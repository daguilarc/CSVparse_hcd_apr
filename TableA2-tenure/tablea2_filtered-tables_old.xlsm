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iegoaguilar-canabal/Desktop/work/CAY/CSVparse_hcd_apr/TableA2-tenure/"/>
    </mc:Choice>
  </mc:AlternateContent>
  <xr:revisionPtr revIDLastSave="0" documentId="13_ncr:1_{5C316BD0-74B1-C54E-BAA8-4B3ADE251A0C}" xr6:coauthVersionLast="47" xr6:coauthVersionMax="47" xr10:uidLastSave="{00000000-0000-0000-0000-000000000000}"/>
  <bookViews>
    <workbookView xWindow="32340" yWindow="1280" windowWidth="27240" windowHeight="16260" xr2:uid="{EF950B6F-838D-194F-8E10-F09774193A8A}"/>
  </bookViews>
  <sheets>
    <sheet name="tablea2_filtered" sheetId="1" r:id="rId1"/>
    <sheet name="Entitled - Deed Restricted" sheetId="5" r:id="rId2"/>
    <sheet name="Sheet5" sheetId="9" r:id="rId3"/>
    <sheet name="Entitled - NDR" sheetId="6" r:id="rId4"/>
    <sheet name="BP - DR" sheetId="7" r:id="rId5"/>
    <sheet name="BP - NDR" sheetId="8" r:id="rId6"/>
  </sheets>
  <calcPr calcId="191029"/>
  <pivotCaches>
    <pivotCache cacheId="5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6" l="1"/>
  <c r="E8" i="6"/>
  <c r="E7" i="6"/>
  <c r="E7" i="5"/>
  <c r="E9" i="8"/>
  <c r="E8" i="8"/>
  <c r="E7" i="8"/>
  <c r="E9" i="7"/>
  <c r="E8" i="7"/>
  <c r="E7" i="7"/>
  <c r="E8" i="5"/>
  <c r="E9" i="5"/>
</calcChain>
</file>

<file path=xl/sharedStrings.xml><?xml version="1.0" encoding="utf-8"?>
<sst xmlns="http://schemas.openxmlformats.org/spreadsheetml/2006/main" count="30156" uniqueCount="6547">
  <si>
    <t>JURIS_NAME</t>
  </si>
  <si>
    <t>YEAR</t>
  </si>
  <si>
    <t>APN</t>
  </si>
  <si>
    <t>STREET_ADDRESS</t>
  </si>
  <si>
    <t>UNIT_CAT</t>
  </si>
  <si>
    <t>TENURE</t>
  </si>
  <si>
    <t>VLOW_INCOME_DR</t>
  </si>
  <si>
    <t>VLOW_INCOME_NDR</t>
  </si>
  <si>
    <t>LOW_INCOME_DR</t>
  </si>
  <si>
    <t>LOW_INCOME_NDR</t>
  </si>
  <si>
    <t>MOD_INCOME_DR</t>
  </si>
  <si>
    <t>MOD_INCOME_NDR</t>
  </si>
  <si>
    <t>BP_VLOW_INCOME_DR</t>
  </si>
  <si>
    <t>BP_VLOW_INCOME_NDR</t>
  </si>
  <si>
    <t>BP_LOW_INCOME_DR</t>
  </si>
  <si>
    <t>BP_LOW_INCOME_NDR</t>
  </si>
  <si>
    <t>BP_MOD_INCOME_DR</t>
  </si>
  <si>
    <t>BP_MOD_INCOME_NDR</t>
  </si>
  <si>
    <t>CO_VLOW_INCOME_DR</t>
  </si>
  <si>
    <t>CO_VLOW_INCOME_NDR</t>
  </si>
  <si>
    <t>CO_LOW_INCOME_DR</t>
  </si>
  <si>
    <t>CO_LOW_INCOME_NDR</t>
  </si>
  <si>
    <t>CO_MOD_INCOME_DR</t>
  </si>
  <si>
    <t>CO_MOD_INCOME_NDR</t>
  </si>
  <si>
    <t>DR_TYPE</t>
  </si>
  <si>
    <t>TERM_AFF_DR</t>
  </si>
  <si>
    <t>DENSITY_BONUS_TOTAL</t>
  </si>
  <si>
    <t>LONG BEACH</t>
  </si>
  <si>
    <t>854 E. 7th Street</t>
  </si>
  <si>
    <t>5+</t>
  </si>
  <si>
    <t>Renter</t>
  </si>
  <si>
    <t>DB</t>
  </si>
  <si>
    <t>SACRAMENTO COUNTY</t>
  </si>
  <si>
    <t>051-0640-047-0000</t>
  </si>
  <si>
    <t>7351 STOCKTON BL, 
SACRAMENTO, CA 95823</t>
  </si>
  <si>
    <t>051-0030-001-0000</t>
  </si>
  <si>
    <t>7243 Power Inn Rd, Sacramento, CA 95828</t>
  </si>
  <si>
    <t>1115 East Artesia Boulevard</t>
  </si>
  <si>
    <t>GLENDALE</t>
  </si>
  <si>
    <t>5675-025-006</t>
  </si>
  <si>
    <t>518 E Windsor Rd</t>
  </si>
  <si>
    <t>Owner</t>
  </si>
  <si>
    <t>78.900000000000006</t>
  </si>
  <si>
    <t>WEST HOLLYWOOD</t>
  </si>
  <si>
    <t>5531-022-003</t>
  </si>
  <si>
    <t>7424 Santa Monica Blvd</t>
  </si>
  <si>
    <t>5531-008-010</t>
  </si>
  <si>
    <t>1257 Detroit St</t>
  </si>
  <si>
    <t>SAN LUIS OBISPO</t>
  </si>
  <si>
    <t>053-202-026</t>
  </si>
  <si>
    <t>830 Orcutt Rd</t>
  </si>
  <si>
    <t>INC</t>
  </si>
  <si>
    <t>5530-014-015</t>
  </si>
  <si>
    <t>1020 Ogden Dr</t>
  </si>
  <si>
    <t>053-231-048</t>
  </si>
  <si>
    <t>3722 Broad St</t>
  </si>
  <si>
    <t>5637-004-028</t>
  </si>
  <si>
    <t>352 W. Milford St.</t>
  </si>
  <si>
    <t>33.299999999999997</t>
  </si>
  <si>
    <t>5530-011-037</t>
  </si>
  <si>
    <t>7617 Santa Monica Blvd</t>
  </si>
  <si>
    <t>053-411-002</t>
  </si>
  <si>
    <t>835 El Capitan Way</t>
  </si>
  <si>
    <t>003-721-039</t>
  </si>
  <si>
    <t>207 Higuera St</t>
  </si>
  <si>
    <t>053-203-002</t>
  </si>
  <si>
    <t>3110 Duncan Rd</t>
  </si>
  <si>
    <t>MORENO VALLEY</t>
  </si>
  <si>
    <t>24580 COTTONWOOD AVE</t>
  </si>
  <si>
    <t>VENTURA</t>
  </si>
  <si>
    <t>073-0-144-130</t>
  </si>
  <si>
    <t>935 E Front St</t>
  </si>
  <si>
    <t>REEDLEY</t>
  </si>
  <si>
    <t>363-070-49</t>
  </si>
  <si>
    <t>TBD</t>
  </si>
  <si>
    <t>SAN DIEGO</t>
  </si>
  <si>
    <t>2175 Balboa Av, San Diego, CA</t>
  </si>
  <si>
    <t>8555 Aero Dr, San Diego, CA</t>
  </si>
  <si>
    <t>4015 IDAHO ST</t>
  </si>
  <si>
    <t>5727 Lauretta St, San Diego, CA 92110</t>
  </si>
  <si>
    <t>3086 Meade Av, San Diego, CA</t>
  </si>
  <si>
    <t>1222 01ST AV [Pending]</t>
  </si>
  <si>
    <t>1320 Broadway, San Diego, CA</t>
  </si>
  <si>
    <t>101 50th St, San Diego, CA</t>
  </si>
  <si>
    <t>3027 KEATS ST</t>
  </si>
  <si>
    <t>MONTEBELLO</t>
  </si>
  <si>
    <t>6349-005-901</t>
  </si>
  <si>
    <t>112-132 S 6th St</t>
  </si>
  <si>
    <t>SANTA CLARA</t>
  </si>
  <si>
    <t>097-46-024</t>
  </si>
  <si>
    <t>2302/2310 Calle Del Mundo</t>
  </si>
  <si>
    <t>004-705-009, 053-061-056</t>
  </si>
  <si>
    <t>3580 Bullock</t>
  </si>
  <si>
    <t>5530-001-004</t>
  </si>
  <si>
    <t>1250 Fairfax Ave</t>
  </si>
  <si>
    <t>5530-015-029</t>
  </si>
  <si>
    <t>1041 Spaulding Ave</t>
  </si>
  <si>
    <t>1407 W. Glenoaks</t>
  </si>
  <si>
    <t>5637-023-806</t>
  </si>
  <si>
    <t>515 PIONEER DR</t>
  </si>
  <si>
    <t>5554-021-001</t>
  </si>
  <si>
    <t>1216 Flores St</t>
  </si>
  <si>
    <t>053-421-006</t>
  </si>
  <si>
    <t>600 Tank Farm Road</t>
  </si>
  <si>
    <t>004-712-080</t>
  </si>
  <si>
    <t>3540 Ranch House Rd</t>
  </si>
  <si>
    <t>SIERRA MADRE</t>
  </si>
  <si>
    <t>5767-026-008, 5767-026-036</t>
  </si>
  <si>
    <t>30 Suffolk</t>
  </si>
  <si>
    <t>5530-002-015</t>
  </si>
  <si>
    <t>1150 Orange Grove Ave</t>
  </si>
  <si>
    <t>5674-010-900</t>
  </si>
  <si>
    <t>900 E BROADWAY</t>
  </si>
  <si>
    <t>5674-010-024</t>
  </si>
  <si>
    <t>920 E BROADWAY</t>
  </si>
  <si>
    <t>5554-006-008</t>
  </si>
  <si>
    <t>1300 Crescent Heights Blvd</t>
  </si>
  <si>
    <t>001-114-038</t>
  </si>
  <si>
    <t>1121 Montalban St</t>
  </si>
  <si>
    <t>10198 1/3 PASEO MONTRIL</t>
  </si>
  <si>
    <t>891 Turquoise St, San Diego, CA</t>
  </si>
  <si>
    <t>1249 Union St, San Diego, CA</t>
  </si>
  <si>
    <t>110 Beech St, San Diego, CA</t>
  </si>
  <si>
    <t>3501 Vista (Sb) Ln, San Diego, CA 92173</t>
  </si>
  <si>
    <t>3509 Vista (Sb) Ln, San Diego, CA 92173</t>
  </si>
  <si>
    <t>901 Beech St, San Diego, CA 92101</t>
  </si>
  <si>
    <t>15051 Junipers Dr, San Diego, CA 92129</t>
  </si>
  <si>
    <t>2519 El Cajon Bl, San Diego, CA</t>
  </si>
  <si>
    <t>3919 LOUISIANA ST</t>
  </si>
  <si>
    <t>220 MONTECITO WY</t>
  </si>
  <si>
    <t>5305 Seacliff Pl, San Diego, CA 92154</t>
  </si>
  <si>
    <t>5202 Sunset Wave Dr, San Diego, CA 92154</t>
  </si>
  <si>
    <t>421 25TH ST</t>
  </si>
  <si>
    <t>4234 MISSISSIPPI ST</t>
  </si>
  <si>
    <t>913 S ADAMS ST</t>
  </si>
  <si>
    <t>891 TURQUOISE ST</t>
  </si>
  <si>
    <t>2642 Newton Av, San Diego, CA</t>
  </si>
  <si>
    <t>REDDING</t>
  </si>
  <si>
    <t>104-680-031</t>
  </si>
  <si>
    <t>3294 Piper Way
REDDING, CA 96003</t>
  </si>
  <si>
    <t>11520 WEST BERNARDO CT Unit Bldg. C</t>
  </si>
  <si>
    <t>11520 WEST BERNARDO CT Unit Bldg. B</t>
  </si>
  <si>
    <t>5531-008-016</t>
  </si>
  <si>
    <t>1238 Formosa Ave</t>
  </si>
  <si>
    <t>5530-001-001</t>
  </si>
  <si>
    <t>1282 Fairfax Ave</t>
  </si>
  <si>
    <t>5530-024-020</t>
  </si>
  <si>
    <t>939 - 949 Spaulding Ave</t>
  </si>
  <si>
    <t>004-847-031</t>
  </si>
  <si>
    <t>2355 Victoria Ave</t>
  </si>
  <si>
    <t>2645 ULRIC ST</t>
  </si>
  <si>
    <t>429 W SAN YSIDRO BL</t>
  </si>
  <si>
    <t>3530 Ranch House Rd</t>
  </si>
  <si>
    <t>1661 HARVEY MILK ST</t>
  </si>
  <si>
    <t>370-122-03T</t>
  </si>
  <si>
    <t>601 E 11th St</t>
  </si>
  <si>
    <t>4888 Convoy St, San Diego, CA</t>
  </si>
  <si>
    <t>1908 HOTEL CIRCLE NORTH, SAN DIEGO, CA 92108</t>
  </si>
  <si>
    <t>16610 Templeton St, San Diego, CA</t>
  </si>
  <si>
    <t>5472 El Cajon Bl, San Diego, CA 92115</t>
  </si>
  <si>
    <t>5257 Mount Etna Dr, San Diego, CA</t>
  </si>
  <si>
    <t>1351 BRUNNER ST</t>
  </si>
  <si>
    <t>327 Willie James Jones Av, San Diego, CA 92102</t>
  </si>
  <si>
    <t>LA MESA</t>
  </si>
  <si>
    <t>7475 EL CAJON Blvd</t>
  </si>
  <si>
    <t>7365 COLONY DR</t>
  </si>
  <si>
    <t>17.199999999999999</t>
  </si>
  <si>
    <t>4520 ALVARADO CANYON RD</t>
  </si>
  <si>
    <t>3910 CHAPMAN ST</t>
  </si>
  <si>
    <t>10380 SPRING CANYON RD</t>
  </si>
  <si>
    <t>LAGUNA NIGUEL</t>
  </si>
  <si>
    <t>25887 Crown Valley Pkwy</t>
  </si>
  <si>
    <t>OAKLAND</t>
  </si>
  <si>
    <t>009 068904001</t>
  </si>
  <si>
    <t>550 27TH ST, Oakland, CA 94612</t>
  </si>
  <si>
    <t>005 043301805</t>
  </si>
  <si>
    <t>2400 FILBERT ST, Oakland, CA 94607</t>
  </si>
  <si>
    <t>006 004700101</t>
  </si>
  <si>
    <t>821 PINE ST, Oakland, CA 94607</t>
  </si>
  <si>
    <t>3935 NORMAL ST</t>
  </si>
  <si>
    <t>2441 UNIVERSITY AV</t>
  </si>
  <si>
    <t>012 095900903</t>
  </si>
  <si>
    <t>820 W MACARTHUR BLVD, Oakland, CA 94608</t>
  </si>
  <si>
    <t>005 040603000</t>
  </si>
  <si>
    <t>1904 ADELINE ST, Oakland, CA 94607</t>
  </si>
  <si>
    <t>073-0-111-010</t>
  </si>
  <si>
    <t>102 S Garden St</t>
  </si>
  <si>
    <t>4120 Beyer Bl, San Diego, CA</t>
  </si>
  <si>
    <t>1548 Kettner Bl, San Diego, CA</t>
  </si>
  <si>
    <t>2440 CACTUS RD Unit Bldg. B</t>
  </si>
  <si>
    <t>2250 SISAL LN</t>
  </si>
  <si>
    <t>10211 Rancho Carmel Dr, San Diego, CA</t>
  </si>
  <si>
    <t>5472 EL CAJON BL</t>
  </si>
  <si>
    <t>6213 Montezuma Rd, San Diego, CA</t>
  </si>
  <si>
    <t>331 Willie James Jones Av, San Diego, CA 92102</t>
  </si>
  <si>
    <t>4070 Georgia St, San Diego, CA</t>
  </si>
  <si>
    <t>083-0-050-490</t>
  </si>
  <si>
    <t>915 Goodman Ave</t>
  </si>
  <si>
    <t>1357 ROSECRANS ST</t>
  </si>
  <si>
    <t>3775 06th Av, San Diego, CA</t>
  </si>
  <si>
    <t>5256 Naranja St, San Diego, CA</t>
  </si>
  <si>
    <t>1663 Dairy Mart Rd, San Diego, CA 92173</t>
  </si>
  <si>
    <t>6251 MONTEZUMA RD</t>
  </si>
  <si>
    <t>5650 GAINES ST</t>
  </si>
  <si>
    <t>3793 RAY ST</t>
  </si>
  <si>
    <t>TWENTYNINE PALMS</t>
  </si>
  <si>
    <t>0618-322-04</t>
  </si>
  <si>
    <t>73449 Desert Trail Drive</t>
  </si>
  <si>
    <t>3774 05th Av, San Diego, CA 92103</t>
  </si>
  <si>
    <t>6635 Alvarado Rd, San Diego, CA</t>
  </si>
  <si>
    <t>1908 HOTEL CIRCLE N- WEST BLDG, SAN DIEGO, CA 92108</t>
  </si>
  <si>
    <t>5255 Mount Etna Dr, San Diego, CA</t>
  </si>
  <si>
    <t>11520 WEST BERNARDO CT Unit Bldg. D</t>
  </si>
  <si>
    <t>16785 West Bernardo Dr, San Diego, CA</t>
  </si>
  <si>
    <t>323 Willie James Jones Av, San Diego, CA 92102</t>
  </si>
  <si>
    <t>333 Willie James Jones Av, San Diego, CA</t>
  </si>
  <si>
    <t>337 Willie James Jones Av, San Diego, CA</t>
  </si>
  <si>
    <t>2238 WEST DUNLOP ST</t>
  </si>
  <si>
    <t>423 OAK ST</t>
  </si>
  <si>
    <t>SANTA ANA</t>
  </si>
  <si>
    <t>398-303-04</t>
  </si>
  <si>
    <t>801 E Santa Ana Blvd</t>
  </si>
  <si>
    <t>402-191-14</t>
  </si>
  <si>
    <t>2112 E First St</t>
  </si>
  <si>
    <t>701 ROBINSON AV</t>
  </si>
  <si>
    <t>191 W BEECH ST</t>
  </si>
  <si>
    <t>11520 WEST BERNARDO CT Unit Bldg. A</t>
  </si>
  <si>
    <t>LAFAYETTE</t>
  </si>
  <si>
    <t>241-020-033</t>
  </si>
  <si>
    <t>60 Woodbury Highlands</t>
  </si>
  <si>
    <t>7385 COLONY DR</t>
  </si>
  <si>
    <t>7375 COLONY DR</t>
  </si>
  <si>
    <t>4210 SPRING ST</t>
  </si>
  <si>
    <t>MODESTO</t>
  </si>
  <si>
    <t>111-005-073</t>
  </si>
  <si>
    <t>Intersection of Foy and Morris</t>
  </si>
  <si>
    <t>8585 La Mesa Blvd</t>
  </si>
  <si>
    <t>5637-004-030</t>
  </si>
  <si>
    <t>5385 LA JOLLA BL</t>
  </si>
  <si>
    <t>1475 Front Street</t>
  </si>
  <si>
    <t>4354 TWAIN AV</t>
  </si>
  <si>
    <t>2426 4th Avenue</t>
  </si>
  <si>
    <t>398-236-05</t>
  </si>
  <si>
    <t>301 E Santa Ana Blvd</t>
  </si>
  <si>
    <t>PORTERVILLE</t>
  </si>
  <si>
    <t>260-242-012</t>
  </si>
  <si>
    <t>358 S E ST</t>
  </si>
  <si>
    <t>2001 04TH AV</t>
  </si>
  <si>
    <t>1144 30TH ST</t>
  </si>
  <si>
    <t>001 013900100</t>
  </si>
  <si>
    <t>430 BROADWAY, Oakland, CA 94607</t>
  </si>
  <si>
    <t>CHICO</t>
  </si>
  <si>
    <t>006-220-015-000</t>
  </si>
  <si>
    <t>184 TONEA WAY, Bldg 3</t>
  </si>
  <si>
    <t>EL MONTE</t>
  </si>
  <si>
    <t>8567-010-015</t>
  </si>
  <si>
    <t>11730 Ramona</t>
  </si>
  <si>
    <t>4999 Baltimore Dr</t>
  </si>
  <si>
    <t>5526 LAURETTA ST</t>
  </si>
  <si>
    <t>8875 LA MESA Blvd</t>
  </si>
  <si>
    <t>TRUCKEE</t>
  </si>
  <si>
    <t>11200 RUE IVY, TRUCKEE, CA 96161</t>
  </si>
  <si>
    <t>0618-282-14</t>
  </si>
  <si>
    <t>73476 El Paseo Drive</t>
  </si>
  <si>
    <t>4364 ALABAMA ST</t>
  </si>
  <si>
    <t>7217 COLCHESTER CT</t>
  </si>
  <si>
    <t>184 TONEA WAY, Bldg 1</t>
  </si>
  <si>
    <t>BURBANK</t>
  </si>
  <si>
    <t>2311 N. HOLLYWOOD WAY</t>
  </si>
  <si>
    <t>040 339600400</t>
  </si>
  <si>
    <t>7521 MACARTHUR BLVD, Oakland, CA 94605</t>
  </si>
  <si>
    <t>MILPITAS</t>
  </si>
  <si>
    <t>355 Sango Ct</t>
  </si>
  <si>
    <t>2654 B ST</t>
  </si>
  <si>
    <t>14423 PENASQUITOS DR</t>
  </si>
  <si>
    <t>14403 PENASQUITOS DR</t>
  </si>
  <si>
    <t>3918 ARIZONA ST</t>
  </si>
  <si>
    <t>184 TONEA WAY, Bldg 7</t>
  </si>
  <si>
    <t>MOUNTAIN VIEW</t>
  </si>
  <si>
    <t>147-40-056</t>
  </si>
  <si>
    <t>2580  CALIFORNIA ST</t>
  </si>
  <si>
    <t>153-15-032</t>
  </si>
  <si>
    <t>1001 N SHORELINE BLVD</t>
  </si>
  <si>
    <t>PLEASANTON</t>
  </si>
  <si>
    <t>941 120109403</t>
  </si>
  <si>
    <t>1008 Stoneridge Mall Road</t>
  </si>
  <si>
    <t>503 N KENWOOD ST</t>
  </si>
  <si>
    <t>424 W MILFORD STREET
GLENDALE, CA 91203</t>
  </si>
  <si>
    <t>398-523-04</t>
  </si>
  <si>
    <t>1411 N Broadway</t>
  </si>
  <si>
    <t>8940 DAILEY Rd</t>
  </si>
  <si>
    <t>MILLBRAE</t>
  </si>
  <si>
    <t>1301 Broadway</t>
  </si>
  <si>
    <t>423 OAK ST
GLENDALE, CA 91204</t>
  </si>
  <si>
    <t>1838 S BRAND BLVD
GLENDALE, CA 91204</t>
  </si>
  <si>
    <t>241-020-024</t>
  </si>
  <si>
    <t>100 Woodbury Highlands Pl</t>
  </si>
  <si>
    <t>4400 Palm Ave</t>
  </si>
  <si>
    <t>012 099400300</t>
  </si>
  <si>
    <t>4185 PIEDMONT AVE, Oakland, CA 94611</t>
  </si>
  <si>
    <t>189-33-028</t>
  </si>
  <si>
    <t>918 Rich Ave</t>
  </si>
  <si>
    <t>CUDAHY</t>
  </si>
  <si>
    <t>6226-014-015</t>
  </si>
  <si>
    <t>4936 Live Oak</t>
  </si>
  <si>
    <t>314 W DORAN ST
GLENDALE, CA 91203</t>
  </si>
  <si>
    <t>1838 S BRAND BLVD</t>
  </si>
  <si>
    <t>004-961-087</t>
  </si>
  <si>
    <t>1241 Laurel</t>
  </si>
  <si>
    <t>004-705-021</t>
  </si>
  <si>
    <t>3550 Ranch House</t>
  </si>
  <si>
    <t>052-162-007</t>
  </si>
  <si>
    <t>53 Palomar</t>
  </si>
  <si>
    <t>PALMDALE</t>
  </si>
  <si>
    <t>3018-014-074</t>
  </si>
  <si>
    <t>38533 25th Street East</t>
  </si>
  <si>
    <t>3008-040-012</t>
  </si>
  <si>
    <t>38732 9th Street East</t>
  </si>
  <si>
    <t>SUNNYVALE</t>
  </si>
  <si>
    <t>1040 INDIAN WELLS AV Unit: 100</t>
  </si>
  <si>
    <t>1642 S CENTRAL AVENUE
GLENDALE, CA 91204</t>
  </si>
  <si>
    <t>SANTA MONICA</t>
  </si>
  <si>
    <t>1235  5TH ST</t>
  </si>
  <si>
    <t>501 Broadway</t>
  </si>
  <si>
    <t>BURLINGAME</t>
  </si>
  <si>
    <t>128 Lorton
Avenue</t>
  </si>
  <si>
    <t>4130 LOUISIANA ST</t>
  </si>
  <si>
    <t>8575-019-030</t>
  </si>
  <si>
    <t>3643 Tyler Ave</t>
  </si>
  <si>
    <t>241-020-025</t>
  </si>
  <si>
    <t>110 Woodbury Highlands Pl</t>
  </si>
  <si>
    <t>233-260-014</t>
  </si>
  <si>
    <t>3410 Mt Diablo</t>
  </si>
  <si>
    <t>241-020-032</t>
  </si>
  <si>
    <t>70 Woodbury Highlands</t>
  </si>
  <si>
    <t>3843 NATIONAL AV</t>
  </si>
  <si>
    <t>052-041-084</t>
  </si>
  <si>
    <t>790 Foothill</t>
  </si>
  <si>
    <t>004-705-002</t>
  </si>
  <si>
    <t>3570 Ranch House</t>
  </si>
  <si>
    <t>2015 ALBATROSS ST</t>
  </si>
  <si>
    <t>4384 HAMILTON ST</t>
  </si>
  <si>
    <t>2341 ULRIC ST</t>
  </si>
  <si>
    <t>2441 University Avenue</t>
  </si>
  <si>
    <t>14453 PENASQUITOS DR</t>
  </si>
  <si>
    <t>5230 Adobe Falls Road</t>
  </si>
  <si>
    <t>184 TONEA WAY, Bldg 4</t>
  </si>
  <si>
    <t>184 TONEA WAY, Bldg 6</t>
  </si>
  <si>
    <t>1445  10TH ST</t>
  </si>
  <si>
    <t>CAPITOLA</t>
  </si>
  <si>
    <t>034-123-05</t>
  </si>
  <si>
    <t>4401 Capitola Rd</t>
  </si>
  <si>
    <t>1444  11TH ST</t>
  </si>
  <si>
    <t>CARLSBAD</t>
  </si>
  <si>
    <t>VIEJO CASTILLA WY</t>
  </si>
  <si>
    <t>1205 AVIARA PKWY</t>
  </si>
  <si>
    <t>040A340802203</t>
  </si>
  <si>
    <t>7300 MACARTHUR BLVD, Oakland, CA 94605</t>
  </si>
  <si>
    <t>38.799999999999997</t>
  </si>
  <si>
    <t>4400 PALM Ave</t>
  </si>
  <si>
    <t>650  S SIXTH ST</t>
  </si>
  <si>
    <t>158-01-038</t>
  </si>
  <si>
    <t>96 W El Camino Real</t>
  </si>
  <si>
    <t>158-07-019</t>
  </si>
  <si>
    <t>950 W EL CAMINO REAL</t>
  </si>
  <si>
    <t>3634 INDIANA ST</t>
  </si>
  <si>
    <t>2915 E Street</t>
  </si>
  <si>
    <t>14443 PENASQUITOS DR</t>
  </si>
  <si>
    <t>006-100-049-000</t>
  </si>
  <si>
    <t>2324 ESPLANADE</t>
  </si>
  <si>
    <t>184 TONEA WAY, Bldg 5</t>
  </si>
  <si>
    <t>008 062503200</t>
  </si>
  <si>
    <t>1510 WEBSTER ST, Oakland, CA 94612</t>
  </si>
  <si>
    <t>016 144205000</t>
  </si>
  <si>
    <t>1031 62ND ST, Oakland, CA 94608</t>
  </si>
  <si>
    <t>46.299999999999997</t>
  </si>
  <si>
    <t>NEWARK</t>
  </si>
  <si>
    <t>901-111-19</t>
  </si>
  <si>
    <t>2086 NewPark Mall Road</t>
  </si>
  <si>
    <t>WINDSOR</t>
  </si>
  <si>
    <t>163-171-037; 163-171-031, 163-171-032</t>
  </si>
  <si>
    <t>Shiloh Road/Old Redwood Hwy</t>
  </si>
  <si>
    <t>164-050-046</t>
  </si>
  <si>
    <t>8490 Old Redwood Hwy</t>
  </si>
  <si>
    <t>25150160, 25150190</t>
  </si>
  <si>
    <t>1870-1876 El Camino Real</t>
  </si>
  <si>
    <t>150 Park Road</t>
  </si>
  <si>
    <t>SANTA CRUZ</t>
  </si>
  <si>
    <t>008-162-19</t>
  </si>
  <si>
    <t>801 RIVER ST</t>
  </si>
  <si>
    <t>004-081-12</t>
  </si>
  <si>
    <t>190 West Cliff Dr</t>
  </si>
  <si>
    <t>314 W DORAN ST</t>
  </si>
  <si>
    <t>308 Sango Ct</t>
  </si>
  <si>
    <t>040A342202100</t>
  </si>
  <si>
    <t>7954 MACARTHUR BLVD, Oakland, CA 94605</t>
  </si>
  <si>
    <t>002 005500100</t>
  </si>
  <si>
    <t>385 14TH ST, Oakland, CA 94612</t>
  </si>
  <si>
    <t>148-09-009</t>
  </si>
  <si>
    <t>2700 W EL CAMINO REAL</t>
  </si>
  <si>
    <t>154-21-013, 154-21-007, 154-21-008, 154-21-009, 154-21-010, 154-21-011, 154-21-012</t>
  </si>
  <si>
    <t>1919-1933 GAMEL WAY &amp; 574 ESCUELA AVE &amp;1970 Latham</t>
  </si>
  <si>
    <t>TUSTIN</t>
  </si>
  <si>
    <t>500-141-10 and 500-141-09</t>
  </si>
  <si>
    <t>13751 and 13841 Red Hill Avenue</t>
  </si>
  <si>
    <t>111 Lena Way</t>
  </si>
  <si>
    <t>LIVERMORE</t>
  </si>
  <si>
    <t>099 139000600</t>
  </si>
  <si>
    <t>116 APRICOT ST</t>
  </si>
  <si>
    <t>SALINAS</t>
  </si>
  <si>
    <t>003773057000</t>
  </si>
  <si>
    <t>1112 PARKSIDE ST C/A</t>
  </si>
  <si>
    <t>SONOMA</t>
  </si>
  <si>
    <t>128-181-001</t>
  </si>
  <si>
    <t>1269 Broadway</t>
  </si>
  <si>
    <t>PALM SPRINGS</t>
  </si>
  <si>
    <t>505-182-010, 505-182-004</t>
  </si>
  <si>
    <t>1479 N. Palm Canyon Dr</t>
  </si>
  <si>
    <t>SAN JOSE</t>
  </si>
  <si>
    <t>46717044; 46717045; 46717046</t>
  </si>
  <si>
    <t>484 E ST JOHN ST SAN JOSE, CA 95112-3415; 488 E ST JOHN ST SAN JOSE, CA 95112-3426; 95 N 11TH ST SAN JOSE, CA</t>
  </si>
  <si>
    <t>26420079; 26420108; 26420109; 26420110; 26420128</t>
  </si>
  <si>
    <t>486 W SAN CARLOS ST SAN JOSE, CA 95110-2627; 490 W SAN CARLOS ST SAN JOSE, CA 95110-2627; 346 JOSEFA ST SAN JOSE, CA 95126-3637; 338 JOSEFA ST SAN JOSE, CA 95126-3637; 332 JOSEFA ST SAN JOSE, CA 95126-3637; 498 W SAN CARLOS ST SAN JOSE, CA 95110-2627</t>
  </si>
  <si>
    <t>551 KEYES ST</t>
  </si>
  <si>
    <t>CONTRA COSTA COUNTY</t>
  </si>
  <si>
    <t>3010 DEL HOMBRE WALNUT CREEK, CA</t>
  </si>
  <si>
    <t>8549-004-900, 8549-005-900 (lots 5,6,7,8,9)</t>
  </si>
  <si>
    <t>4024 Durfee</t>
  </si>
  <si>
    <t>241-020-031</t>
  </si>
  <si>
    <t>95 Woodbury Highlands Pl</t>
  </si>
  <si>
    <t>5548 RILEY ST</t>
  </si>
  <si>
    <t>515 PIONEER DR
GLENDALE, CA 91203</t>
  </si>
  <si>
    <t>1154 SONORA CT</t>
  </si>
  <si>
    <t>LOS ALTOS</t>
  </si>
  <si>
    <t>376 1St ST</t>
  </si>
  <si>
    <t>5150 EL CAMINO REAL</t>
  </si>
  <si>
    <t>ROCKLIN</t>
  </si>
  <si>
    <t>017-172-014-000</t>
  </si>
  <si>
    <t>816 UNIVERSITY AVE</t>
  </si>
  <si>
    <t>807 UNIVERSITY AVE</t>
  </si>
  <si>
    <t>1170 SONORA CT</t>
  </si>
  <si>
    <t>1338 5th Street</t>
  </si>
  <si>
    <t>26231250, 26231260</t>
  </si>
  <si>
    <t>1095 Rollins Road</t>
  </si>
  <si>
    <t>1355 California Cl</t>
  </si>
  <si>
    <t>116-14-111</t>
  </si>
  <si>
    <t>1188 Armand Dr</t>
  </si>
  <si>
    <t>ROMERIA ST</t>
  </si>
  <si>
    <t>14413 PENASQUITOS DR</t>
  </si>
  <si>
    <t>1932 KEARNY AV</t>
  </si>
  <si>
    <t>4015 Kansas Street</t>
  </si>
  <si>
    <t>3066 NORTH PARK WY</t>
  </si>
  <si>
    <t>14483 PENASQUITOS DR</t>
  </si>
  <si>
    <t>184 TONEA WAY, Bldg 2</t>
  </si>
  <si>
    <t>900 E BROADWAY
GLENDALE, CA 91205</t>
  </si>
  <si>
    <t>503 N KENWOOD ST
GLENDALE, CA 91206</t>
  </si>
  <si>
    <t>2187 EVERETT AV</t>
  </si>
  <si>
    <t>YUCAIPA</t>
  </si>
  <si>
    <t>0303-133-04</t>
  </si>
  <si>
    <t>34384 Yucaaipa Blvd.</t>
  </si>
  <si>
    <t>SANTA MARIA</t>
  </si>
  <si>
    <t>118-010-058</t>
  </si>
  <si>
    <t>880 W BATTLES RD</t>
  </si>
  <si>
    <t>128-090-011</t>
  </si>
  <si>
    <t>2660 SANTA MARIA WAY #101-123,201- 234,</t>
  </si>
  <si>
    <t>128-066-003</t>
  </si>
  <si>
    <t>342 E PLAZA DR# 101-108,201-208,301 308</t>
  </si>
  <si>
    <t>ROSEMEAD</t>
  </si>
  <si>
    <t>5288-001-040</t>
  </si>
  <si>
    <t>3001 Walnut Grove Ave</t>
  </si>
  <si>
    <t>009 073200502</t>
  </si>
  <si>
    <t>3403 PIEDMONT AVE, Oakland, CA 94611</t>
  </si>
  <si>
    <t>004 006900202</t>
  </si>
  <si>
    <t>533 KIRKHAM</t>
  </si>
  <si>
    <t>16.100000000000001</t>
  </si>
  <si>
    <t>046 549000300</t>
  </si>
  <si>
    <t>9809 MacArthur BLVD, OAKLAND, CA 94605</t>
  </si>
  <si>
    <t>001 021704800</t>
  </si>
  <si>
    <t>685 9TH ST, Oakland, CA 94607</t>
  </si>
  <si>
    <t>1437 6th Street</t>
  </si>
  <si>
    <t>1437 5th Street</t>
  </si>
  <si>
    <t>1133 Ocean Ave</t>
  </si>
  <si>
    <t>066-060-068</t>
  </si>
  <si>
    <t>9500-9550 Oak Park Street</t>
  </si>
  <si>
    <t>3732 10TH AV</t>
  </si>
  <si>
    <t>14473 PENASQUITOS DR</t>
  </si>
  <si>
    <t>2724 EL CAJON BL</t>
  </si>
  <si>
    <t>3910 Chapman Street</t>
  </si>
  <si>
    <t>4020 44TH ST</t>
  </si>
  <si>
    <t>3922 PARK BL</t>
  </si>
  <si>
    <t>2629 EL CAJON BL</t>
  </si>
  <si>
    <t>153-15-021, 153-15-002</t>
  </si>
  <si>
    <t>1020 Terra Bella Ave</t>
  </si>
  <si>
    <t>154-02-001; 154-02-002; 154-03-019;154-03-020; 154-03-021; 154-03-022</t>
  </si>
  <si>
    <t>1720 Villa St</t>
  </si>
  <si>
    <t>147-40-057</t>
  </si>
  <si>
    <t>2590  CALIFORNIA ST</t>
  </si>
  <si>
    <t>153-24-005</t>
  </si>
  <si>
    <t>777 W MIDDLEFIELD RD</t>
  </si>
  <si>
    <t>1202 KIFER RD</t>
  </si>
  <si>
    <t>3088  STATE ST  200</t>
  </si>
  <si>
    <t>099 139000700</t>
  </si>
  <si>
    <t>242 PLUM TREE ST</t>
  </si>
  <si>
    <t>MORRO BAY</t>
  </si>
  <si>
    <t>068-323-034</t>
  </si>
  <si>
    <t>405 Atascadero Road</t>
  </si>
  <si>
    <t>065-386-015</t>
  </si>
  <si>
    <t>2783 Coral Ave</t>
  </si>
  <si>
    <t>4210 Spring St</t>
  </si>
  <si>
    <t>3510 Ranch House</t>
  </si>
  <si>
    <t>2120  LINCOLN BLVD</t>
  </si>
  <si>
    <t>800  COLORADO AVE</t>
  </si>
  <si>
    <t>161-040-008</t>
  </si>
  <si>
    <t>10221 Old Redwood Hwy</t>
  </si>
  <si>
    <t>FOLSOM</t>
  </si>
  <si>
    <t>07101900610000</t>
  </si>
  <si>
    <t>403 BIDWELL PLACE</t>
  </si>
  <si>
    <t>MERCED</t>
  </si>
  <si>
    <t>007-350-018</t>
  </si>
  <si>
    <t>3015 Park Ave</t>
  </si>
  <si>
    <t>205-22-032</t>
  </si>
  <si>
    <t>959  STEWART DR 411</t>
  </si>
  <si>
    <t>209-34-019</t>
  </si>
  <si>
    <t>333 W IOWA AV</t>
  </si>
  <si>
    <t>MENLO PARK</t>
  </si>
  <si>
    <t>055-242-090</t>
  </si>
  <si>
    <t>165 Jefferson Drive</t>
  </si>
  <si>
    <t>1514 7th Street</t>
  </si>
  <si>
    <t>1323 5th Street</t>
  </si>
  <si>
    <t>920 Bayswater Avenue</t>
  </si>
  <si>
    <t>MARIN COUNTY</t>
  </si>
  <si>
    <t>052-112-03</t>
  </si>
  <si>
    <t>825 Drake Ave</t>
  </si>
  <si>
    <t>ALAMEDA</t>
  </si>
  <si>
    <t>74-1373-16-9</t>
  </si>
  <si>
    <t>2871 TRADEWIND DR</t>
  </si>
  <si>
    <t>74-1373-16-7</t>
  </si>
  <si>
    <t>2831 FIFTH ST</t>
  </si>
  <si>
    <t>74-1373-16-8</t>
  </si>
  <si>
    <t>2830 TRADEWIND DR</t>
  </si>
  <si>
    <t>2777 ROOSEVELT ST</t>
  </si>
  <si>
    <t>1040 CARLSBAD VILLAGE DR</t>
  </si>
  <si>
    <t>004-583-052</t>
  </si>
  <si>
    <t>3049 Broad</t>
  </si>
  <si>
    <t>3968 HAWK ST</t>
  </si>
  <si>
    <t>3111 FENELON ST</t>
  </si>
  <si>
    <t>5472-5482 El Cajon Boulevard</t>
  </si>
  <si>
    <t>LOS ANGELES</t>
  </si>
  <si>
    <t>1352 N ORANGE DR</t>
  </si>
  <si>
    <t>13716 W VICTORY BLVD 1-32</t>
  </si>
  <si>
    <t>14728 W FRIAR ST 1-12</t>
  </si>
  <si>
    <t>4367 S BERRYMAN AVE 1-21</t>
  </si>
  <si>
    <t>14222 W VICTORY BLVD #1-18</t>
  </si>
  <si>
    <t>832 S MARIPOSA AVE</t>
  </si>
  <si>
    <t>505 W 31ST ST #1-73</t>
  </si>
  <si>
    <t>5445031***</t>
  </si>
  <si>
    <t>2581 E CHAUCER ST Bldg#1, 1-12; 2581 E CHAUCER ST Bldg #2, 1-12; 2581 E CHAUCER ST Bldg #5, 1-6; 2581 E CHAUCER ST BLDG # 4,1-6; 2581 E CHAUCER ST BLDG # 3,1-6</t>
  </si>
  <si>
    <t>3324 N CHAPMAN ST Units 1-7</t>
  </si>
  <si>
    <t>092A212501002</t>
  </si>
  <si>
    <t>37660 Timber Street</t>
  </si>
  <si>
    <t>FULLERTON</t>
  </si>
  <si>
    <t>033-092-05</t>
  </si>
  <si>
    <t>336 E Santa Fe Av</t>
  </si>
  <si>
    <t>74-1373-16-6</t>
  </si>
  <si>
    <t>2801 FIFTH ST</t>
  </si>
  <si>
    <t>160-58-002</t>
  </si>
  <si>
    <t>400 LOGUE AVE</t>
  </si>
  <si>
    <t>093100059 093100060</t>
  </si>
  <si>
    <t>0 Alves Lane
Bay Point, CA</t>
  </si>
  <si>
    <t>74-1373-10-19</t>
  </si>
  <si>
    <t>500 MARTIN MARINER AVE</t>
  </si>
  <si>
    <t>170 02 022</t>
  </si>
  <si>
    <t>4880 El Camino  Real</t>
  </si>
  <si>
    <t>UNION CITY</t>
  </si>
  <si>
    <t>87-21-13-1, 87-21-13-2 (Portion), 87-21-5-2 (Portion)</t>
  </si>
  <si>
    <t>700 Decoto Road, 33950 7th Street</t>
  </si>
  <si>
    <t>0319-381-12</t>
  </si>
  <si>
    <t>12710 3rd Street</t>
  </si>
  <si>
    <t>APN to be assigned</t>
  </si>
  <si>
    <t>NEC County Line Road and 5th Street</t>
  </si>
  <si>
    <t>099 005600901</t>
  </si>
  <si>
    <t>202 PLUM TREE ST</t>
  </si>
  <si>
    <t>011-154-43</t>
  </si>
  <si>
    <t>1440  E First St</t>
  </si>
  <si>
    <t>SAN RAFAEL</t>
  </si>
  <si>
    <t>01114513</t>
  </si>
  <si>
    <t>1380 Lincoln Avenue</t>
  </si>
  <si>
    <t>PACIFICA</t>
  </si>
  <si>
    <t>022-083-030</t>
  </si>
  <si>
    <t>801 FASSLER</t>
  </si>
  <si>
    <t>0319-351-57</t>
  </si>
  <si>
    <t>12279 3rd Street</t>
  </si>
  <si>
    <t>098 028902200</t>
  </si>
  <si>
    <t>2139 RAILROAD AV</t>
  </si>
  <si>
    <t>501-031-026</t>
  </si>
  <si>
    <t>SEC N. Indian Canyon Drive &amp; E. San Rafael Drive</t>
  </si>
  <si>
    <t>270 SUNOL ST SAN JOSE, CA 95126-4804</t>
  </si>
  <si>
    <t>1238 7th Street</t>
  </si>
  <si>
    <t>2880 Alum Rock Ave</t>
  </si>
  <si>
    <t>330 DISTEL CIR</t>
  </si>
  <si>
    <t>SAN FRANCISCO</t>
  </si>
  <si>
    <t>0744002</t>
  </si>
  <si>
    <t>807 FRANKLIN ST</t>
  </si>
  <si>
    <t>1169 MARKET ST</t>
  </si>
  <si>
    <t>2290 03RD ST</t>
  </si>
  <si>
    <t>3620 CESAR CHAVEZ ST</t>
  </si>
  <si>
    <t>1801 MISSION ST</t>
  </si>
  <si>
    <t>0297009</t>
  </si>
  <si>
    <t>693 SUTTER ST</t>
  </si>
  <si>
    <t>645 TEXAS ST</t>
  </si>
  <si>
    <t>181 FREMONT ST</t>
  </si>
  <si>
    <t>5050 MISSION ST</t>
  </si>
  <si>
    <t>0670011</t>
  </si>
  <si>
    <t>1238 SUTTER ST</t>
  </si>
  <si>
    <t>0101004</t>
  </si>
  <si>
    <t>1731 POWELL ST</t>
  </si>
  <si>
    <t>818 UNIVERSITY AVE</t>
  </si>
  <si>
    <t>267-031-17</t>
  </si>
  <si>
    <t>1220 E Orangethorpe</t>
  </si>
  <si>
    <t>DALY CITY</t>
  </si>
  <si>
    <t>091-211-230</t>
  </si>
  <si>
    <t>699 Serramonte Blvd</t>
  </si>
  <si>
    <t>ROSEVILLE</t>
  </si>
  <si>
    <t>017-231-024-000</t>
  </si>
  <si>
    <t>350 ROSEVILLE PW, BLDG 22</t>
  </si>
  <si>
    <t>350 ROSEVILLE PW, BLDG 23</t>
  </si>
  <si>
    <t>350 ROSEVILLE PW, BLDG 28</t>
  </si>
  <si>
    <t>74-1373-16-3</t>
  </si>
  <si>
    <t>2841 TRADEWIND CT</t>
  </si>
  <si>
    <t>74-1373-16-4</t>
  </si>
  <si>
    <t>2851 TRADEWIND DR</t>
  </si>
  <si>
    <t>605 S 2ND ST</t>
  </si>
  <si>
    <t>0319-351-02</t>
  </si>
  <si>
    <t>12301 3rd Street</t>
  </si>
  <si>
    <t>01126501, 01301238 - 39, 01301250 - 55</t>
  </si>
  <si>
    <t>999 3rd Street</t>
  </si>
  <si>
    <t>16522006 &amp; 07</t>
  </si>
  <si>
    <t>Los Gamos Drive</t>
  </si>
  <si>
    <t>920 E BROADWAY GLENDALE, CA 91205</t>
  </si>
  <si>
    <t>1150 KIFER RD</t>
  </si>
  <si>
    <t>1178 SONORA CT</t>
  </si>
  <si>
    <t>3520 Ranch House</t>
  </si>
  <si>
    <t>004-705-020</t>
  </si>
  <si>
    <t>3560 Ranch House</t>
  </si>
  <si>
    <t>2729  WILSHIRE BLVD</t>
  </si>
  <si>
    <t>1834  14TH ST</t>
  </si>
  <si>
    <t>1415 5th Street</t>
  </si>
  <si>
    <t>1557 7th Street</t>
  </si>
  <si>
    <t>30 Ingold Road</t>
  </si>
  <si>
    <t>LANCASTER</t>
  </si>
  <si>
    <t>3148-041-001</t>
  </si>
  <si>
    <t>1752 E Ave J-4</t>
  </si>
  <si>
    <t>814 UNIVERSITY AVE</t>
  </si>
  <si>
    <t>808 UNIVERSITY AVE</t>
  </si>
  <si>
    <t>34385 Yucaaipa Blvd.</t>
  </si>
  <si>
    <t>1936 ALUM ROCK AV SAN JOSE, CA 95116</t>
  </si>
  <si>
    <t>355 1ST ST</t>
  </si>
  <si>
    <t>806 UNIVERSITY AVE</t>
  </si>
  <si>
    <t>805 UNIVERSITY AVE</t>
  </si>
  <si>
    <t>330 E PLAZA DR #101-108,201-208, 301-308</t>
  </si>
  <si>
    <t>348 E PLAZA DR #101-108,201-208, 301-308</t>
  </si>
  <si>
    <t>24520 COTTONWOOD  AVE</t>
  </si>
  <si>
    <t>870 W BATTLES RD</t>
  </si>
  <si>
    <t>366 E PLAZA DR#101-108, 201-208, 301-308</t>
  </si>
  <si>
    <t>1317 CRESCENT HEIGHTS BLVD</t>
  </si>
  <si>
    <t>158-11-033 158-11-038 158-11-066 158-11-060</t>
  </si>
  <si>
    <t>Lot 12</t>
  </si>
  <si>
    <t>1155  ASTER AV</t>
  </si>
  <si>
    <t>925 S Wolfe</t>
  </si>
  <si>
    <t>959  STEWART DR 311</t>
  </si>
  <si>
    <t>INGLEWOOD</t>
  </si>
  <si>
    <t>4016-002-026</t>
  </si>
  <si>
    <t>921 Edgewood</t>
  </si>
  <si>
    <t>717 Edgewood St</t>
  </si>
  <si>
    <t>01119306</t>
  </si>
  <si>
    <t>1628 5TH AVE units 1-9</t>
  </si>
  <si>
    <t>154-35-013</t>
  </si>
  <si>
    <t>601 - 649 ESCUELA AV &amp; 1873 LATHAM ST</t>
  </si>
  <si>
    <t>564 La Conner</t>
  </si>
  <si>
    <t>055-236-020</t>
  </si>
  <si>
    <t>110 Constitution Drive</t>
  </si>
  <si>
    <t>4.7000000000000002</t>
  </si>
  <si>
    <t>24540 COTTONWOOD AVE</t>
  </si>
  <si>
    <t>7.2337E+12</t>
  </si>
  <si>
    <t>14776 MANGINI PKWY</t>
  </si>
  <si>
    <t>3001 Walnut Grove Ave.</t>
  </si>
  <si>
    <t>903 001003000</t>
  </si>
  <si>
    <t>Portola Ave</t>
  </si>
  <si>
    <t>CORNING</t>
  </si>
  <si>
    <t>071-250-032</t>
  </si>
  <si>
    <t>2171 Fig Lane</t>
  </si>
  <si>
    <t>74-1373-10-20</t>
  </si>
  <si>
    <t>450 PAWNEE LN</t>
  </si>
  <si>
    <t>74-1373-16-10</t>
  </si>
  <si>
    <t>2881 FIFTH ST</t>
  </si>
  <si>
    <t>74-1373-16-5</t>
  </si>
  <si>
    <t>2800 TRADEWIND CT</t>
  </si>
  <si>
    <t>71-0288-1-2</t>
  </si>
  <si>
    <t>1777 CLEMENT AVE</t>
  </si>
  <si>
    <t>116-14-137</t>
  </si>
  <si>
    <t>1100 LA AVENIDA</t>
  </si>
  <si>
    <t>500-071-12</t>
  </si>
  <si>
    <t>1941 El Camino Real</t>
  </si>
  <si>
    <t>ARROYO GRANDE</t>
  </si>
  <si>
    <t>077-201-012</t>
  </si>
  <si>
    <t>224 S. Halcyon Ave</t>
  </si>
  <si>
    <t>170 02 027 &amp; 170 02 029</t>
  </si>
  <si>
    <t>4856 El Camino Real</t>
  </si>
  <si>
    <t>SAN LUIS OBISPO COUNTY</t>
  </si>
  <si>
    <t>062-271-013</t>
  </si>
  <si>
    <t>1273 BELRIDGE ST
OCEANO, CA 93445</t>
  </si>
  <si>
    <t>DUBLIN</t>
  </si>
  <si>
    <t>985-0051-004, 985-0051-005, 985-0051-006, 985-0052-024, and 985-0052-025</t>
  </si>
  <si>
    <t>76.9-acre site primarily bound by Tassajara Road, Interstate 580, Brannigan Street and Gleason Drive</t>
  </si>
  <si>
    <t>820 W BATTLES RD Bldg 2</t>
  </si>
  <si>
    <t>860 W BATTLES RD</t>
  </si>
  <si>
    <t>128-090-073</t>
  </si>
  <si>
    <t>2770 SANTA MARIA WAY</t>
  </si>
  <si>
    <t>905 001000600</t>
  </si>
  <si>
    <t>Triad Dr</t>
  </si>
  <si>
    <t>0319-242-01</t>
  </si>
  <si>
    <t>13421 4th St.</t>
  </si>
  <si>
    <t>3902 N KENTUCKY DR</t>
  </si>
  <si>
    <t>4818 N SEPULVEDA BLVD</t>
  </si>
  <si>
    <t>954 W PRINCETON DR 1-8; 1013 W OXFORD AVE 1-5; 3311 S THATCHER AVE 1-68</t>
  </si>
  <si>
    <t>964 S NORMANDIE AVE 1-26</t>
  </si>
  <si>
    <t>806 W ADAMS BLVD</t>
  </si>
  <si>
    <t>10140 N HILLHAVEN AVE</t>
  </si>
  <si>
    <t>2726 S COCHRAN AVE</t>
  </si>
  <si>
    <t>1119 N MCCADDEN PL 1-26</t>
  </si>
  <si>
    <t>1111 N KENMORE AVE</t>
  </si>
  <si>
    <t>221 W E ST 1-10</t>
  </si>
  <si>
    <t>378 E PLAZA DR #101-108,201-208 301-308</t>
  </si>
  <si>
    <t>372 E PLAZA DR #101-108,201-208, 301-308</t>
  </si>
  <si>
    <t>4011-024-024</t>
  </si>
  <si>
    <t>3320 85th St</t>
  </si>
  <si>
    <t>716  Beach Ave</t>
  </si>
  <si>
    <t>CULVER CITY</t>
  </si>
  <si>
    <t>4215-009-106</t>
  </si>
  <si>
    <t>4464 SEPULVEDA BLVD</t>
  </si>
  <si>
    <t>803 UNIVERSITY AVE</t>
  </si>
  <si>
    <t>802 UNIVERSITY AVE</t>
  </si>
  <si>
    <t>4311 W SUNSET BLVD</t>
  </si>
  <si>
    <t>1818 N CHEROKEE AVE</t>
  </si>
  <si>
    <t>2518 E CESAR E CHAVEZ AVE</t>
  </si>
  <si>
    <t>5254 N RIVERTON AVE</t>
  </si>
  <si>
    <t>4780 W WILSHIRE BLVD</t>
  </si>
  <si>
    <t>736 E VERNON AVE</t>
  </si>
  <si>
    <t>16150 W VANOWEN ST</t>
  </si>
  <si>
    <t>8767 W AIRDROME ST</t>
  </si>
  <si>
    <t>6904 N ETON AVE 1-21</t>
  </si>
  <si>
    <t>12136 W VANOWEN ST 1-9</t>
  </si>
  <si>
    <t>11675 W OXNARD ST 1-9</t>
  </si>
  <si>
    <t>CHULA VISTA</t>
  </si>
  <si>
    <t>1910 ENCELIA CI</t>
  </si>
  <si>
    <t>1008 E EL CAMINO REAL</t>
  </si>
  <si>
    <t>8333 S AIRPORT BLVD 1-102</t>
  </si>
  <si>
    <t>2471 S LINCOLN BLVD 1-40</t>
  </si>
  <si>
    <t>11600 W NATIONAL BLVD</t>
  </si>
  <si>
    <t>10657 W MOORPARK ST</t>
  </si>
  <si>
    <t>3672 S JASMINE AVE #1-17</t>
  </si>
  <si>
    <t>4050 S FIGUEROA ST 1-57</t>
  </si>
  <si>
    <t>839 S FEDORA ST</t>
  </si>
  <si>
    <t>011-013-01</t>
  </si>
  <si>
    <t>727 HANOVER ST</t>
  </si>
  <si>
    <t>4206-033-057</t>
  </si>
  <si>
    <t>3727 ROBERTSON BLVD</t>
  </si>
  <si>
    <t>158-45-001</t>
  </si>
  <si>
    <t>730 CENTRAL AV</t>
  </si>
  <si>
    <t>189-33-027</t>
  </si>
  <si>
    <t>1057, 1059, 1061 EL MONTE AV</t>
  </si>
  <si>
    <t>053-752-008</t>
  </si>
  <si>
    <t>2120 Santa Barbara Ave
San Luis Obispo, CA 93401</t>
  </si>
  <si>
    <t>053-201-014</t>
  </si>
  <si>
    <t>736 Orcutt Rd
San Luis Obispo, CA 93401</t>
  </si>
  <si>
    <t>505 N MARINE AVE 1-17</t>
  </si>
  <si>
    <t>444 Old SF</t>
  </si>
  <si>
    <t>SAN CLEMENTE</t>
  </si>
  <si>
    <t>675-072-19</t>
  </si>
  <si>
    <t>654 CAMINO DE LOS MARES</t>
  </si>
  <si>
    <t>0319-121-42</t>
  </si>
  <si>
    <t>12845 3rd St</t>
  </si>
  <si>
    <t>0319--012-40</t>
  </si>
  <si>
    <t>4th Street, between Ave. E and Yucaipa Blvd.</t>
  </si>
  <si>
    <t>12301 3rd St Units 1-16</t>
  </si>
  <si>
    <t>74-1373-10-16</t>
  </si>
  <si>
    <t>500 OAK RIDGE LN</t>
  </si>
  <si>
    <t>959  STEWART DR 511</t>
  </si>
  <si>
    <t>1747 ALMADEN RD SAN JOSE, CA 95125-1902</t>
  </si>
  <si>
    <t>215 PLUM TREE ST</t>
  </si>
  <si>
    <t>002354027000</t>
  </si>
  <si>
    <t>439 SOLEDAD ST</t>
  </si>
  <si>
    <t>ORANGE</t>
  </si>
  <si>
    <t>1249 E KATELLA AVE</t>
  </si>
  <si>
    <t>7054 W HAWTHORN AVE</t>
  </si>
  <si>
    <t>10824 W BLIX ST 1-23</t>
  </si>
  <si>
    <t>803 E 5TH ST</t>
  </si>
  <si>
    <t>214 S RAMPART BLVD</t>
  </si>
  <si>
    <t>410 E FLORENCE AVE</t>
  </si>
  <si>
    <t>843 N BANNING BLVD 1-19; 841 N BANNING BLVD 1-45</t>
  </si>
  <si>
    <t>5525 N CASE AVE 1-98</t>
  </si>
  <si>
    <t>11401 W SANTA MONICA BLVD</t>
  </si>
  <si>
    <t>1301 S WESTGATE AVE 1-27</t>
  </si>
  <si>
    <t>10403 W EASTBORNE AVE 1-34</t>
  </si>
  <si>
    <t>647 N BEACHWOOD DR 1-52</t>
  </si>
  <si>
    <t>850 W BATTLES RD</t>
  </si>
  <si>
    <t>055-242-140</t>
  </si>
  <si>
    <t>141 Jefferson Drive</t>
  </si>
  <si>
    <t>161-11-011</t>
  </si>
  <si>
    <t>870 E EL CAMINO REAL</t>
  </si>
  <si>
    <t>1139 Karlstad</t>
  </si>
  <si>
    <t>055-440-010</t>
  </si>
  <si>
    <t>1350 Willow Road</t>
  </si>
  <si>
    <t>810 UNIVERSITY AVE</t>
  </si>
  <si>
    <t>12279 3rd St.</t>
  </si>
  <si>
    <t>00809202</t>
  </si>
  <si>
    <t>88 Vivian Street</t>
  </si>
  <si>
    <t>01107404 &amp; 05</t>
  </si>
  <si>
    <t>55 Brookdale Avenue</t>
  </si>
  <si>
    <t>4100 W SUNSET BLVD</t>
  </si>
  <si>
    <t>121 W 3RD ST</t>
  </si>
  <si>
    <t>430 S WESTMORELAND AVE</t>
  </si>
  <si>
    <t>1301 N CHEROKEE AVE</t>
  </si>
  <si>
    <t>1408 W 62ND ST</t>
  </si>
  <si>
    <t>4800 S MAIN ST</t>
  </si>
  <si>
    <t>51.299999999999997</t>
  </si>
  <si>
    <t>12735 W MITCHELL AVE</t>
  </si>
  <si>
    <t>10770 W WILKINS AVE</t>
  </si>
  <si>
    <t>8767 N PARTHENIA PL 1-73</t>
  </si>
  <si>
    <t>1814 S FEDERAL AVE 1-11</t>
  </si>
  <si>
    <t>6650 N RESEDA BLVD 1-180</t>
  </si>
  <si>
    <t>849-857 N BUNKER HILL AVE</t>
  </si>
  <si>
    <t>2923 N ALLESANDRO ST #101-309</t>
  </si>
  <si>
    <t>812 UNIVERSITY AVE</t>
  </si>
  <si>
    <t>804 UNIVERSITY AVE</t>
  </si>
  <si>
    <t>SOUTH SAN FRANCISCO</t>
  </si>
  <si>
    <t>015126010</t>
  </si>
  <si>
    <t>40 AIRPORT BLVD</t>
  </si>
  <si>
    <t>012314070 012314080 012314090</t>
  </si>
  <si>
    <t>421 CYPRESS AVE, 209 &amp; 213 LUX AVE</t>
  </si>
  <si>
    <t>014183110</t>
  </si>
  <si>
    <t>180 EL CAMINO REAL</t>
  </si>
  <si>
    <t>224-20-027</t>
  </si>
  <si>
    <t>1790 WARBURTON AV, #1, SANTA CLARA, CA 95050</t>
  </si>
  <si>
    <t>2323 S SCARFF ST</t>
  </si>
  <si>
    <t>6501 S SEPULVEDA BLVD</t>
  </si>
  <si>
    <t>16030 W SHERMAN WAY</t>
  </si>
  <si>
    <t>10806 W BLIX ST 1-21</t>
  </si>
  <si>
    <t>1530 S HAYWORTH AVE 1-12</t>
  </si>
  <si>
    <t>2938 N ALLESANDRO ST</t>
  </si>
  <si>
    <t>500 W ALONDRA BLVD</t>
  </si>
  <si>
    <t>8750 N SEPULVEDA BLVD</t>
  </si>
  <si>
    <t>11612 W CULVER BLVD 1-40</t>
  </si>
  <si>
    <t>11955 W CULVER BLVD</t>
  </si>
  <si>
    <t>4220 W MONT CLAIR ST</t>
  </si>
  <si>
    <t>11408 S CENTRAL AVE</t>
  </si>
  <si>
    <t>24560 COTTONWOOD  AVE</t>
  </si>
  <si>
    <t>890 W BATTLES RD</t>
  </si>
  <si>
    <t>830 W BATTLES RD</t>
  </si>
  <si>
    <t>FAIRFIELD</t>
  </si>
  <si>
    <t>0034150100</t>
  </si>
  <si>
    <t>212 E TABOR AV</t>
  </si>
  <si>
    <t>30 OTIS ST</t>
  </si>
  <si>
    <t>600 20TH ST</t>
  </si>
  <si>
    <t>188 HOOPER ST</t>
  </si>
  <si>
    <t>490 SOUTH VAN NESS AV</t>
  </si>
  <si>
    <t>2240 MARKET ST</t>
  </si>
  <si>
    <t>2224 CLEMENT ST</t>
  </si>
  <si>
    <t>750 HARRISON ST</t>
  </si>
  <si>
    <t>4591C219</t>
  </si>
  <si>
    <t>52 INNES CT</t>
  </si>
  <si>
    <t>110 CHANNEL *</t>
  </si>
  <si>
    <t>HANFORD</t>
  </si>
  <si>
    <t>007-270-007</t>
  </si>
  <si>
    <t>664 NORTH STAR DR</t>
  </si>
  <si>
    <t>682 NORTH STAR DR</t>
  </si>
  <si>
    <t>CAMPBELL</t>
  </si>
  <si>
    <t>300 RAILWAY AVE</t>
  </si>
  <si>
    <t>228 - 246 RAILWAY AVE (10 UNITS) BUILDING 4</t>
  </si>
  <si>
    <t>601 ALMARIDA DR, CAMPBELL, CA 95008</t>
  </si>
  <si>
    <t>0319-121-78</t>
  </si>
  <si>
    <t>12269 3rd Street</t>
  </si>
  <si>
    <t>12302 3rd St Units 17-32</t>
  </si>
  <si>
    <t>SAN MATEO</t>
  </si>
  <si>
    <t>041522010, 041522020, 041521010, 041521020</t>
  </si>
  <si>
    <t>2988 CAMPUS DR 100</t>
  </si>
  <si>
    <t>PINOLE</t>
  </si>
  <si>
    <t>402-023-007, 402-023-003, 405-023-002</t>
  </si>
  <si>
    <t>600 Roble Ave</t>
  </si>
  <si>
    <t>77.200000000000003</t>
  </si>
  <si>
    <t>EAST PALO ALTO</t>
  </si>
  <si>
    <t>1804 BAY RD</t>
  </si>
  <si>
    <t>148-15-020</t>
  </si>
  <si>
    <t>334 SAN ANTONIO RD</t>
  </si>
  <si>
    <t>SANTA CRUZ COUNTY</t>
  </si>
  <si>
    <t>02674125</t>
  </si>
  <si>
    <t>1500  CAPITOLA  RD, SANTA CRUZ  CA  95062-2912</t>
  </si>
  <si>
    <t>255 W Maude</t>
  </si>
  <si>
    <t>061-422-400</t>
  </si>
  <si>
    <t>1550 El Camino Real</t>
  </si>
  <si>
    <t>810 W BATTLES RD</t>
  </si>
  <si>
    <t>840 W BATTLES RD</t>
  </si>
  <si>
    <t>336 E PLAZA DR #101-108, 201-208, 301-30</t>
  </si>
  <si>
    <t>354 E PLAZA DR #101-104,201-206, 301-306</t>
  </si>
  <si>
    <t>ATASCADERO</t>
  </si>
  <si>
    <t>030-282-015</t>
  </si>
  <si>
    <t>6855 ATASCADERO AVE</t>
  </si>
  <si>
    <t>350 ROSEVILLE PW, BLDG 33</t>
  </si>
  <si>
    <t>350 ROSEVILLE PW, BLDG 35</t>
  </si>
  <si>
    <t>011-145-005-000</t>
  </si>
  <si>
    <t>300 WASHINGTON BL</t>
  </si>
  <si>
    <t>1540 El Camino Real</t>
  </si>
  <si>
    <t>LAKEPORT</t>
  </si>
  <si>
    <t>025-431-16</t>
  </si>
  <si>
    <t>1255 Martin Street</t>
  </si>
  <si>
    <t>429 Beale Street and 430 Main Street</t>
  </si>
  <si>
    <t>255 SHIPLEY ST</t>
  </si>
  <si>
    <t>3637-3657 SACRAMENTO ST</t>
  </si>
  <si>
    <t>333 12TH ST</t>
  </si>
  <si>
    <t>88 ARKANSAS ST</t>
  </si>
  <si>
    <t>4107001B</t>
  </si>
  <si>
    <t>950 TENNESSEE ST</t>
  </si>
  <si>
    <t>0546001</t>
  </si>
  <si>
    <t>2465 VAN NESS AV</t>
  </si>
  <si>
    <t>606 CAPP ST</t>
  </si>
  <si>
    <t>3701 NORIEGA ST</t>
  </si>
  <si>
    <t>23 GRACE ST</t>
  </si>
  <si>
    <t>201 LA BREA AV</t>
  </si>
  <si>
    <t>SAN RAMON</t>
  </si>
  <si>
    <t>208-860-123</t>
  </si>
  <si>
    <t>69106 Via Vicenza</t>
  </si>
  <si>
    <t>208-860-183</t>
  </si>
  <si>
    <t>67106 Via Vicenza</t>
  </si>
  <si>
    <t>208-860-175</t>
  </si>
  <si>
    <t>22112 Argento Loop</t>
  </si>
  <si>
    <t>208-860-147</t>
  </si>
  <si>
    <t>28103 Argento Loop</t>
  </si>
  <si>
    <t>369 18TH AV</t>
  </si>
  <si>
    <t>4591C221</t>
  </si>
  <si>
    <t>10 KENNEDY PL</t>
  </si>
  <si>
    <t>1070001A</t>
  </si>
  <si>
    <t>2750 GEARY BL</t>
  </si>
  <si>
    <t>923 Redondo Blvd</t>
  </si>
  <si>
    <t>150-26-004</t>
  </si>
  <si>
    <t>1265 Montecito Ave</t>
  </si>
  <si>
    <t>3730 S KELTON AVE</t>
  </si>
  <si>
    <t>7000 W MELROSE AVE</t>
  </si>
  <si>
    <t>647 W 28TH ST</t>
  </si>
  <si>
    <t>6001 W SUNSET BLVD</t>
  </si>
  <si>
    <t>4830 S SLAUSON AVE</t>
  </si>
  <si>
    <t>3023 E 4TH ST</t>
  </si>
  <si>
    <t>2683 W SAN MARINO ST 1-23</t>
  </si>
  <si>
    <t>401 S WESTERN AVE 1-73</t>
  </si>
  <si>
    <t>648 N ARDMORE AVE</t>
  </si>
  <si>
    <t>14540 W ERWIN ST 1-48</t>
  </si>
  <si>
    <t>8548 N RESEDA BLVD</t>
  </si>
  <si>
    <t>-</t>
  </si>
  <si>
    <t>4444 MANITOU WY</t>
  </si>
  <si>
    <t>1401 UNION ST</t>
  </si>
  <si>
    <t>GARDENA</t>
  </si>
  <si>
    <t>13126 S Western Ave</t>
  </si>
  <si>
    <t>1144 HARRISON ST</t>
  </si>
  <si>
    <t>0811010</t>
  </si>
  <si>
    <t>200 VAN NESS AVE</t>
  </si>
  <si>
    <t>0766010</t>
  </si>
  <si>
    <t>555 GOLDEN GATE AV</t>
  </si>
  <si>
    <t>0527004</t>
  </si>
  <si>
    <t>2525 VAN NESS AVE</t>
  </si>
  <si>
    <t>280 07TH ST</t>
  </si>
  <si>
    <t>1500 MISSION ST</t>
  </si>
  <si>
    <t>915 MINNA ST</t>
  </si>
  <si>
    <t>349 08TH ST</t>
  </si>
  <si>
    <t>540 DE HARO ST</t>
  </si>
  <si>
    <t>801 BRANNAN ST</t>
  </si>
  <si>
    <t>800 INDIANA ST</t>
  </si>
  <si>
    <t>1198 VALENCIA ST</t>
  </si>
  <si>
    <t>4591C218</t>
  </si>
  <si>
    <t>51 INNES CT</t>
  </si>
  <si>
    <t>4591C220</t>
  </si>
  <si>
    <t>10 INNES CT</t>
  </si>
  <si>
    <t>2305 S WINCHESTER BL</t>
  </si>
  <si>
    <t>635 ROBINSON AV</t>
  </si>
  <si>
    <t>5414 Kearny Mesa Road</t>
  </si>
  <si>
    <t>8547-014-010</t>
  </si>
  <si>
    <t>4704 PECK ROAD</t>
  </si>
  <si>
    <t>1965 MARKET ST</t>
  </si>
  <si>
    <t>0346002</t>
  </si>
  <si>
    <t>135 HYDE ST</t>
  </si>
  <si>
    <t>4023004A</t>
  </si>
  <si>
    <t>2750 19TH ST</t>
  </si>
  <si>
    <t>1052 FOLSOM ST</t>
  </si>
  <si>
    <t>390 01ST ST</t>
  </si>
  <si>
    <t>0717003</t>
  </si>
  <si>
    <t>719 LARKIN ST</t>
  </si>
  <si>
    <t>760 Weeks St</t>
  </si>
  <si>
    <t>492-012-091-000</t>
  </si>
  <si>
    <t>2700 N HAYDEN PW</t>
  </si>
  <si>
    <t>350 ROSEVILLE PW, BLDG 31</t>
  </si>
  <si>
    <t>0645003</t>
  </si>
  <si>
    <t>1335 LARKIN ST</t>
  </si>
  <si>
    <t>37 GRACE ST</t>
  </si>
  <si>
    <t>0814001</t>
  </si>
  <si>
    <t>101 HAYES ST</t>
  </si>
  <si>
    <t>1000 03RD ST</t>
  </si>
  <si>
    <t>0857001</t>
  </si>
  <si>
    <t>218 BUCHANAN ST</t>
  </si>
  <si>
    <t>0667016</t>
  </si>
  <si>
    <t>1545 PINE ST</t>
  </si>
  <si>
    <t>0166003</t>
  </si>
  <si>
    <t>240 PACIFIC AV</t>
  </si>
  <si>
    <t>AMERICAN CANYON</t>
  </si>
  <si>
    <t>058-080-012</t>
  </si>
  <si>
    <t>100 Toscana</t>
  </si>
  <si>
    <t>1111 W SUNSET BLVD</t>
  </si>
  <si>
    <t>1450 W WASHINGTON BLVD 1-40</t>
  </si>
  <si>
    <t>3401 S LA CIENEGA BLVD</t>
  </si>
  <si>
    <t>2529 S ALSACE AVE</t>
  </si>
  <si>
    <t>4305 N LANKERSHIM BLVD</t>
  </si>
  <si>
    <t>1425 S ROBERTSON BLVD 1-65</t>
  </si>
  <si>
    <t>2121 S WESTWOOD BLVD</t>
  </si>
  <si>
    <t>2304 S RIDGELEY DR 1-10</t>
  </si>
  <si>
    <t>6658 W FRANKLIN AVE</t>
  </si>
  <si>
    <t>11311-11321 W CAMARILLO ST 1-60</t>
  </si>
  <si>
    <t>7064 W GREELEY ST</t>
  </si>
  <si>
    <t>2444 S BARRY AVE 1-61</t>
  </si>
  <si>
    <t>1556 S HI POINT ST UNIT 1-45</t>
  </si>
  <si>
    <t>459 S HARTFORD AVE</t>
  </si>
  <si>
    <t>1901 W BLAKE AVE</t>
  </si>
  <si>
    <t>2957 N ALLESANDRO ST #101-312</t>
  </si>
  <si>
    <t>4760 W MELROSE AVE</t>
  </si>
  <si>
    <t>5817 W LEXINGTON AVE 1-21</t>
  </si>
  <si>
    <t>003-210-260</t>
  </si>
  <si>
    <t>4619 Brunswick St</t>
  </si>
  <si>
    <t>350 ROSEVILLE PW, BLDG 24</t>
  </si>
  <si>
    <t>350 ROSEVILLE PW, BLDG 32</t>
  </si>
  <si>
    <t>011-146-018-000</t>
  </si>
  <si>
    <t>140 MAIN ST</t>
  </si>
  <si>
    <t>350 ROSEVILLE PW, BLDG 21</t>
  </si>
  <si>
    <t>NORWALK</t>
  </si>
  <si>
    <t>13629-13705 San Antonio</t>
  </si>
  <si>
    <t>PLEASANT HILL</t>
  </si>
  <si>
    <t>153-030-004</t>
  </si>
  <si>
    <t>490 Golf Club Road</t>
  </si>
  <si>
    <t>BAKERSFIELD</t>
  </si>
  <si>
    <t>811 22ND ST</t>
  </si>
  <si>
    <t>VISTA</t>
  </si>
  <si>
    <t>161-052-02-00</t>
  </si>
  <si>
    <t>1559 N. Santa Fe Avenue</t>
  </si>
  <si>
    <t>SACRAMENTO</t>
  </si>
  <si>
    <t>009-0095-011-0000</t>
  </si>
  <si>
    <t>1715 S ,SACRAMENTO,CA</t>
  </si>
  <si>
    <t>CITRUS HEIGHTS</t>
  </si>
  <si>
    <t>233-0430-002-0000</t>
  </si>
  <si>
    <t>12057 Fair Oaks Blvd</t>
  </si>
  <si>
    <t>3001 24TH ST</t>
  </si>
  <si>
    <t>2000 BRYANT ST</t>
  </si>
  <si>
    <t>603 TENNESSEE ST</t>
  </si>
  <si>
    <t>ELK GROVE</t>
  </si>
  <si>
    <t>132-0050-175, 132-0050-176, and 132-0050-177</t>
  </si>
  <si>
    <t>10149 Bruceville Road</t>
  </si>
  <si>
    <t>350 08TH ST</t>
  </si>
  <si>
    <t>0870003</t>
  </si>
  <si>
    <t>100 BUCHANAN ST</t>
  </si>
  <si>
    <t>0807010</t>
  </si>
  <si>
    <t>580 HAYES ST</t>
  </si>
  <si>
    <t>0459007</t>
  </si>
  <si>
    <t>1598 BAY ST</t>
  </si>
  <si>
    <t>0503021</t>
  </si>
  <si>
    <t>1463 LOMBARD ST</t>
  </si>
  <si>
    <t>002-0010-069-0000</t>
  </si>
  <si>
    <t>305 6TH ,SACRAMENTO,CA</t>
  </si>
  <si>
    <t>MORGAN HILL</t>
  </si>
  <si>
    <t>17965 Monterey Rd</t>
  </si>
  <si>
    <t>Watsonville Rd</t>
  </si>
  <si>
    <t>9124 BRUCEVILLE RD</t>
  </si>
  <si>
    <t>FRESNO</t>
  </si>
  <si>
    <t>5242 E LIBERTY AVE</t>
  </si>
  <si>
    <t>ESCONDIDO</t>
  </si>
  <si>
    <t>22943232 22943233 22943234</t>
  </si>
  <si>
    <t>337 E Valley Pkwy</t>
  </si>
  <si>
    <t>0763009</t>
  </si>
  <si>
    <t>600 VAN NESS AVE</t>
  </si>
  <si>
    <t>222 STANYAN ST</t>
  </si>
  <si>
    <t>1202002B</t>
  </si>
  <si>
    <t>650 DIVISADERO ST</t>
  </si>
  <si>
    <t>200 VAN NESS AV</t>
  </si>
  <si>
    <t>75 HOWARD ST</t>
  </si>
  <si>
    <t>363 06TH ST</t>
  </si>
  <si>
    <t>0256016</t>
  </si>
  <si>
    <t>770 POWELL ST</t>
  </si>
  <si>
    <t>0670024</t>
  </si>
  <si>
    <t>1433 BUSH ST</t>
  </si>
  <si>
    <t>1335 FOLSOM ST</t>
  </si>
  <si>
    <t>3952001B</t>
  </si>
  <si>
    <t>75 ARKANSAS ST</t>
  </si>
  <si>
    <t>1490 OCEAN AV</t>
  </si>
  <si>
    <t>201 - 209 MALLEY WY (5 UNITS) BUILDING 2</t>
  </si>
  <si>
    <t>058-362-021</t>
  </si>
  <si>
    <t>3805 Broadway</t>
  </si>
  <si>
    <t>059-430-017</t>
  </si>
  <si>
    <t>100 Fran Lemos</t>
  </si>
  <si>
    <t>8500 SANTA MONICA BLVD</t>
  </si>
  <si>
    <t>208-870-003</t>
  </si>
  <si>
    <t>10109 Almeria Way</t>
  </si>
  <si>
    <t>208-870-009</t>
  </si>
  <si>
    <t>75112 Via Vicenza</t>
  </si>
  <si>
    <t>208-860-016</t>
  </si>
  <si>
    <t>208-870-030</t>
  </si>
  <si>
    <t>18112 Argento Loop</t>
  </si>
  <si>
    <t>006-244-080</t>
  </si>
  <si>
    <t>7310 Mission Street</t>
  </si>
  <si>
    <t>402-166-030</t>
  </si>
  <si>
    <t>811 San Pablo Ave</t>
  </si>
  <si>
    <t>73.700000000000003</t>
  </si>
  <si>
    <t>025150010</t>
  </si>
  <si>
    <t>1875 CALIFORNIA DR</t>
  </si>
  <si>
    <t>PASO ROBLES</t>
  </si>
  <si>
    <t>008-041-042</t>
  </si>
  <si>
    <t>3445 Park Street</t>
  </si>
  <si>
    <t>492-012-088-000</t>
  </si>
  <si>
    <t>2801 N HAYDEN PW</t>
  </si>
  <si>
    <t>017-162-087-000</t>
  </si>
  <si>
    <t>1721 Pleasant Grove Bl</t>
  </si>
  <si>
    <t>350 ROSEVILLE PW, BLDG 20</t>
  </si>
  <si>
    <t>350 ROSEVILLE PW, BLDG 26</t>
  </si>
  <si>
    <t>350 ROSEVILLE PW, BLDG 27</t>
  </si>
  <si>
    <t>350 ROSEVILLE PW, BLDG 29</t>
  </si>
  <si>
    <t>MONTEREY</t>
  </si>
  <si>
    <t>013-171-014</t>
  </si>
  <si>
    <t>2200 North Fremont</t>
  </si>
  <si>
    <t>SANTEE</t>
  </si>
  <si>
    <t>384-106-16-00</t>
  </si>
  <si>
    <t>8932 1st Street</t>
  </si>
  <si>
    <t>004-962-018</t>
  </si>
  <si>
    <t>1150 Laurel Ln
San Luis Obispo, CA 93401</t>
  </si>
  <si>
    <t>600 Tank Farm Rd
San Luis Obispo, CA 93401</t>
  </si>
  <si>
    <t>053-061-057</t>
  </si>
  <si>
    <t>3750 Bullock Ln
San Luis Obispo, CA 93401</t>
  </si>
  <si>
    <t>001-206-015</t>
  </si>
  <si>
    <t>1131 Olive St
San Luis Obispo, CA 93405</t>
  </si>
  <si>
    <t>1068 MISSION ST</t>
  </si>
  <si>
    <t>0317007</t>
  </si>
  <si>
    <t>450 OFARRELL ST</t>
  </si>
  <si>
    <t>2340 San Jose Ave</t>
  </si>
  <si>
    <t>0522002A</t>
  </si>
  <si>
    <t>2601 VAN NESS AVE</t>
  </si>
  <si>
    <t>1245 FOLSOM ST</t>
  </si>
  <si>
    <t>0350003</t>
  </si>
  <si>
    <t>1066 MARKET ST</t>
  </si>
  <si>
    <t>0936014</t>
  </si>
  <si>
    <t>2444 LOMBARD ST</t>
  </si>
  <si>
    <t>950 NATOMA ST</t>
  </si>
  <si>
    <t>41 TEHAMA ST</t>
  </si>
  <si>
    <t>2051 03RD ST</t>
  </si>
  <si>
    <t>1075 MARKET ST</t>
  </si>
  <si>
    <t>4059001A</t>
  </si>
  <si>
    <t>825 TENNESSEE ST</t>
  </si>
  <si>
    <t>3420 18TH ST</t>
  </si>
  <si>
    <t>1084001B</t>
  </si>
  <si>
    <t>1 STANYAN ST</t>
  </si>
  <si>
    <t>200 - 212 MALLEY WY (7 UNITS) BUILDING 1</t>
  </si>
  <si>
    <t>PORT HUENEME</t>
  </si>
  <si>
    <t>206-0-031-070</t>
  </si>
  <si>
    <t>716 San Pedro St.</t>
  </si>
  <si>
    <t>1950 ENCELIA CI</t>
  </si>
  <si>
    <t>PALO ALTO</t>
  </si>
  <si>
    <t>132-37-055</t>
  </si>
  <si>
    <t>3001 EL CAMINO REAL</t>
  </si>
  <si>
    <t>003-011-06</t>
  </si>
  <si>
    <t>415 NATURAL BRIDGES DR</t>
  </si>
  <si>
    <t>010-551-13</t>
  </si>
  <si>
    <t>314 JESSIE ST</t>
  </si>
  <si>
    <t>005-148-12</t>
  </si>
  <si>
    <t>532 CENTER ST</t>
  </si>
  <si>
    <t>3770 Bullock Ln
San Luis Obispo, CA 93401</t>
  </si>
  <si>
    <t>10139 BRUCEVILLE RD</t>
  </si>
  <si>
    <t>SAN JUAN CAPISTRANO</t>
  </si>
  <si>
    <t>Tract 18148 Lots 61, 62, 63, 64, 65, 71, 72, 73, 74, 75, 84, 85, 86, 87, 88, &amp; 89</t>
  </si>
  <si>
    <t>27102, 27089, 27094, 27090, 27086, 27054, 27050, 27046, 27042, 27038, 27021, 27059, 27055, &amp; 27047 Via Caminata, and 32036 Paseo Rama</t>
  </si>
  <si>
    <t>350 ROSEVILLE PW, BLDG 34</t>
  </si>
  <si>
    <t>132-46-100</t>
  </si>
  <si>
    <t>4115 EL CAMINO REAL</t>
  </si>
  <si>
    <t>008-181-23</t>
  </si>
  <si>
    <t>150 FELKER ST</t>
  </si>
  <si>
    <t>001-137-015</t>
  </si>
  <si>
    <t>1422 Monterey St
San Luis Obispo, CA 93401</t>
  </si>
  <si>
    <t>004-921-026</t>
  </si>
  <si>
    <t>2475 Victoria  Ave
San Luis Obispo, CA 93401</t>
  </si>
  <si>
    <t>GILROY</t>
  </si>
  <si>
    <t>790 21 041</t>
  </si>
  <si>
    <t>975 1ST ST</t>
  </si>
  <si>
    <t>290-16-018</t>
  </si>
  <si>
    <t>2745 BALL PL, #1, SANTA CLARA, CA 95051</t>
  </si>
  <si>
    <t>790 65 092</t>
  </si>
  <si>
    <t>315 Cohansey Ave</t>
  </si>
  <si>
    <t>790 66 056</t>
  </si>
  <si>
    <t>41 Cohansey Ave</t>
  </si>
  <si>
    <t>SAN BRUNO</t>
  </si>
  <si>
    <t>020126210</t>
  </si>
  <si>
    <t>732 El Camino Real</t>
  </si>
  <si>
    <t>71-228-10</t>
  </si>
  <si>
    <t>2100 CLEMENT AVE</t>
  </si>
  <si>
    <t>8074-024-002, 003, 007</t>
  </si>
  <si>
    <t>14815 Pioneer</t>
  </si>
  <si>
    <t>132-0290-054</t>
  </si>
  <si>
    <t>SE corner of Poppy Ridge and Big Horn Blvd</t>
  </si>
  <si>
    <t>THOUSAND OAKS</t>
  </si>
  <si>
    <t>6760150365, 375, 285</t>
  </si>
  <si>
    <t>325/391 HAMPSHIRE RD</t>
  </si>
  <si>
    <t>012334130</t>
  </si>
  <si>
    <t>200 Linden Ave</t>
  </si>
  <si>
    <t>012321170</t>
  </si>
  <si>
    <t>428-432 Baden Ave</t>
  </si>
  <si>
    <t>035200230</t>
  </si>
  <si>
    <t>400 STATION PARK CIR</t>
  </si>
  <si>
    <t>035200210</t>
  </si>
  <si>
    <t>410 STATION PARK CIR</t>
  </si>
  <si>
    <t>ANAHEIM</t>
  </si>
  <si>
    <t>082-185-47</t>
  </si>
  <si>
    <t>1445 S ANAHEIM BLVD, ANAHEIM, CA 92805</t>
  </si>
  <si>
    <t>1110 Monterey Rd</t>
  </si>
  <si>
    <t>COTATI</t>
  </si>
  <si>
    <t>144-274-002, 144-274-014, 144-274-015</t>
  </si>
  <si>
    <t>8170 La Plaza &amp; 100-125 E. Cotati Ave</t>
  </si>
  <si>
    <t>47202158T</t>
  </si>
  <si>
    <t>5070 E KINGS CANYON RD 101+</t>
  </si>
  <si>
    <t>RICHMOND</t>
  </si>
  <si>
    <t>37TH ST</t>
  </si>
  <si>
    <t>8181 ALLISON AVE</t>
  </si>
  <si>
    <t>8335 TARAK DR</t>
  </si>
  <si>
    <t>664 N Fig St</t>
  </si>
  <si>
    <t>PALM DESERT</t>
  </si>
  <si>
    <t>36101 VITALIA WAY</t>
  </si>
  <si>
    <t>432  CAPITOLA  RD, SANTA CRUZ  CA  95062-1639</t>
  </si>
  <si>
    <t>3126-031-039</t>
  </si>
  <si>
    <t>43445 Sahuayo St</t>
  </si>
  <si>
    <t>128-090-016</t>
  </si>
  <si>
    <t>2660 Santa Maria Way</t>
  </si>
  <si>
    <t>650 Live Oak Avenue</t>
  </si>
  <si>
    <t>208-860-168</t>
  </si>
  <si>
    <t>77109 Via Vicenza</t>
  </si>
  <si>
    <t>RIVERSIDE</t>
  </si>
  <si>
    <t>214-212-009</t>
  </si>
  <si>
    <t>3933 MISSION INN AVE , Riverside, CA 92501-3219</t>
  </si>
  <si>
    <t>8555 SANTA MONICA BLVD</t>
  </si>
  <si>
    <t>1011 CRESCENT HEIGHTS BLVD</t>
  </si>
  <si>
    <t>61 Cohansey Ave</t>
  </si>
  <si>
    <t>SANTA ROSA</t>
  </si>
  <si>
    <t>3 3RD ST W</t>
  </si>
  <si>
    <t>2278 STONY POINT RD</t>
  </si>
  <si>
    <t>71-288-1-2</t>
  </si>
  <si>
    <t>1815 CLEMENT AVE</t>
  </si>
  <si>
    <t>1855 SEBASTOPOL RD</t>
  </si>
  <si>
    <t>965 OAK AVE</t>
  </si>
  <si>
    <t>3606 HARDING ST</t>
  </si>
  <si>
    <t>ANTIOCH</t>
  </si>
  <si>
    <t>051200025</t>
  </si>
  <si>
    <t>3534 E 18TH ST</t>
  </si>
  <si>
    <t>097-46-020</t>
  </si>
  <si>
    <t>2225 Calle De Luna, Santa Clara, CA 95054</t>
  </si>
  <si>
    <t>093312050; 093312060</t>
  </si>
  <si>
    <t>1051 Mission Road</t>
  </si>
  <si>
    <t>2089 PACIFIC BLVD</t>
  </si>
  <si>
    <t>164-100-023</t>
  </si>
  <si>
    <t>8685 Old Redwood Hwy</t>
  </si>
  <si>
    <t>LOS GATOS</t>
  </si>
  <si>
    <t>14225 Walker</t>
  </si>
  <si>
    <t>001-691-001</t>
  </si>
  <si>
    <t>595 Munras</t>
  </si>
  <si>
    <t>167-41-019</t>
  </si>
  <si>
    <t>444-450 First Street</t>
  </si>
  <si>
    <t>5621-021-009</t>
  </si>
  <si>
    <t>601-615 E. CEDAR AVE</t>
  </si>
  <si>
    <t>8615 WEST KNOLL DR</t>
  </si>
  <si>
    <t>6349-005-039; 6349-005-038; 6349-005-040; 6349-005-006; 6349-005-903</t>
  </si>
  <si>
    <t>112-132 S. 6th Street</t>
  </si>
  <si>
    <t>132-37-075</t>
  </si>
  <si>
    <t>420 ACACIA</t>
  </si>
  <si>
    <t>COLUSA</t>
  </si>
  <si>
    <t>002-120-029</t>
  </si>
  <si>
    <t>1717 State HWY 20</t>
  </si>
  <si>
    <t>007-023-26</t>
  </si>
  <si>
    <t>130 CENTER ST</t>
  </si>
  <si>
    <t>004-709-026</t>
  </si>
  <si>
    <t>3806 Ranchhouse Rd
San Luis Obispo, CA 93401</t>
  </si>
  <si>
    <t>SAN MARCOS</t>
  </si>
  <si>
    <t>2982 S SANTA FE AVE</t>
  </si>
  <si>
    <t>020019999</t>
  </si>
  <si>
    <t>840 San Bruno Ave.</t>
  </si>
  <si>
    <t>012311260</t>
  </si>
  <si>
    <t>310 Miller Ave</t>
  </si>
  <si>
    <t>COLUSA AVE</t>
  </si>
  <si>
    <t>560 BRANNAN ST</t>
  </si>
  <si>
    <t>65 OCEAN AV</t>
  </si>
  <si>
    <t>1900 MISSION ST</t>
  </si>
  <si>
    <t>0597022</t>
  </si>
  <si>
    <t>1535 JACKSON ST</t>
  </si>
  <si>
    <t>349 8th St</t>
  </si>
  <si>
    <t>17445 Bollinger Canyon Rd.</t>
  </si>
  <si>
    <t>208-870-024</t>
  </si>
  <si>
    <t>71106 Via Vicenza</t>
  </si>
  <si>
    <t>208-870-015</t>
  </si>
  <si>
    <t>73106 Via Vicenza</t>
  </si>
  <si>
    <t>208-870-018</t>
  </si>
  <si>
    <t>73112 Via Vicenza</t>
  </si>
  <si>
    <t>SAINT HELENA</t>
  </si>
  <si>
    <t>009-090-014</t>
  </si>
  <si>
    <t>951 Pope St.</t>
  </si>
  <si>
    <t>Plaza Drive</t>
  </si>
  <si>
    <t>COALINGA</t>
  </si>
  <si>
    <t>083-090-47S</t>
  </si>
  <si>
    <t>EMERYVILLE</t>
  </si>
  <si>
    <t>049A-1490-002-00</t>
  </si>
  <si>
    <t>6701 Shellmound Street</t>
  </si>
  <si>
    <t>049A-0950-001-00</t>
  </si>
  <si>
    <t>1048th 36th Street and 3600-3610 San Pablo Avenue</t>
  </si>
  <si>
    <t>IRVINE</t>
  </si>
  <si>
    <t>588-321-03</t>
  </si>
  <si>
    <t>Bounded by Interstate I-405 Freeway, Irvine Center Drive, Bake Parkway, Lake Forest Drive, and San Diego Creek/open space preservation</t>
  </si>
  <si>
    <t>LEMON GROVE</t>
  </si>
  <si>
    <t>480-161-02-00</t>
  </si>
  <si>
    <t>7508 Church St.</t>
  </si>
  <si>
    <t>591-70-103</t>
  </si>
  <si>
    <t>141 LYNX</t>
  </si>
  <si>
    <t>HAWTHORNE</t>
  </si>
  <si>
    <t>4052-021-017</t>
  </si>
  <si>
    <t>13927 Chadron Ave</t>
  </si>
  <si>
    <t>CUPERTINO</t>
  </si>
  <si>
    <t>366-10-061, -126</t>
  </si>
  <si>
    <t>1655 S De Anza Blvd</t>
  </si>
  <si>
    <t>0718020</t>
  </si>
  <si>
    <t>921 OFARRELL ST</t>
  </si>
  <si>
    <t>350 OCEAN AVE</t>
  </si>
  <si>
    <t>5367 DIAMOND HEIGHTS BLVD</t>
  </si>
  <si>
    <t>32.399999999999999</t>
  </si>
  <si>
    <t>1360 43RD AV</t>
  </si>
  <si>
    <t>4591D154</t>
  </si>
  <si>
    <t>888 LA SALLE AV</t>
  </si>
  <si>
    <t>1 BRADY ST</t>
  </si>
  <si>
    <t>0345002</t>
  </si>
  <si>
    <t>145 LEAVENWORTH ST</t>
  </si>
  <si>
    <t>4230 18TH ST</t>
  </si>
  <si>
    <t>5767-026-039</t>
  </si>
  <si>
    <t>5559 LAURETTA ST</t>
  </si>
  <si>
    <t>445 W ASH ST</t>
  </si>
  <si>
    <t>153-15-015</t>
  </si>
  <si>
    <t>1001 North Shoreline Boulevard</t>
  </si>
  <si>
    <t>148-17-003</t>
  </si>
  <si>
    <t>2580-2590 California Street</t>
  </si>
  <si>
    <t>4360 UTAH ST</t>
  </si>
  <si>
    <t>4455 LAMONT ST</t>
  </si>
  <si>
    <t>2828 Howard Avenue</t>
  </si>
  <si>
    <t>5070 E KINGS CANYON RD 118+</t>
  </si>
  <si>
    <t>1925 AVENIDA ESCAYA</t>
  </si>
  <si>
    <t>2055 OPTIMA ST</t>
  </si>
  <si>
    <t>053-212-022</t>
  </si>
  <si>
    <t>2730 Mcmillan Ave
San Luis Obispo, CA 93401</t>
  </si>
  <si>
    <t>400 El Camino Real</t>
  </si>
  <si>
    <t>1238 FORMOSA AVE</t>
  </si>
  <si>
    <t>73500 Dick Kelly</t>
  </si>
  <si>
    <t>208-870-028</t>
  </si>
  <si>
    <t>18106 Argento Loop</t>
  </si>
  <si>
    <t>208-870-031</t>
  </si>
  <si>
    <t>208-860-110</t>
  </si>
  <si>
    <t>32108 Via Vicenza</t>
  </si>
  <si>
    <t>208-860-187</t>
  </si>
  <si>
    <t>65112 Via Vicenza</t>
  </si>
  <si>
    <t>SANTA BARBARA</t>
  </si>
  <si>
    <t>025-311-014</t>
  </si>
  <si>
    <t>16 W MISSION ST, SANTA BARBARA, CA 93101</t>
  </si>
  <si>
    <t>810 66 012</t>
  </si>
  <si>
    <t>1520 Hecker Pass Hwy</t>
  </si>
  <si>
    <t>74846 Gerald Ford Drive</t>
  </si>
  <si>
    <t>208-860-165</t>
  </si>
  <si>
    <t>77103 Via Vicenza</t>
  </si>
  <si>
    <t>213-120-036</t>
  </si>
  <si>
    <t>6131 Bollinger Canyon Rd.</t>
  </si>
  <si>
    <t>4757 Palm Ave</t>
  </si>
  <si>
    <t>POMONA</t>
  </si>
  <si>
    <t>1321 E Holt</t>
  </si>
  <si>
    <t>216-59-003</t>
  </si>
  <si>
    <t>3560 RAMBLA PLACE, SANTA CLARA, CA 95051</t>
  </si>
  <si>
    <t>71 Cohansey Ave</t>
  </si>
  <si>
    <t>51 Cohansey Ave</t>
  </si>
  <si>
    <t>BELL GARDENS</t>
  </si>
  <si>
    <t>6228-003-014 6228-003-013</t>
  </si>
  <si>
    <t>5945-5953 Live Oak St</t>
  </si>
  <si>
    <t>1955 VIA BUENA</t>
  </si>
  <si>
    <t>74699 Technology Drive</t>
  </si>
  <si>
    <t>75700 Gerald Ford Drive</t>
  </si>
  <si>
    <t>72-382-2</t>
  </si>
  <si>
    <t>1521 BUENA VISTA AVE</t>
  </si>
  <si>
    <t>71-228-1-2</t>
  </si>
  <si>
    <t>2100 Clement</t>
  </si>
  <si>
    <t>014183270</t>
  </si>
  <si>
    <t>410 Noor Ave</t>
  </si>
  <si>
    <t>040030880</t>
  </si>
  <si>
    <t>2775 S DELAWARE ST</t>
  </si>
  <si>
    <t>035243090, -140, -160, -170, -190, -200, -210, -220</t>
  </si>
  <si>
    <t>666 Concar Dr</t>
  </si>
  <si>
    <t>001-031--003</t>
  </si>
  <si>
    <t>300 Cannery Row</t>
  </si>
  <si>
    <t>208-860-190</t>
  </si>
  <si>
    <t>65106 Via Vicenza</t>
  </si>
  <si>
    <t>208-860-150</t>
  </si>
  <si>
    <t>28109 Argento Loop</t>
  </si>
  <si>
    <t>3209 W Imperial Hwy</t>
  </si>
  <si>
    <t>521 S Flower St</t>
  </si>
  <si>
    <t>210-520-031</t>
  </si>
  <si>
    <t>9000 Alcosta Blvd.</t>
  </si>
  <si>
    <t>097-46-002</t>
  </si>
  <si>
    <t>2354 Calle Del Mundo, Santa Clara, CA 95054</t>
  </si>
  <si>
    <t>208-860-130</t>
  </si>
  <si>
    <t>20112 Argento Loop</t>
  </si>
  <si>
    <t>2302 CALLE DEL MUNDO, SANTA CLARA, CA 95054</t>
  </si>
  <si>
    <t>21 Cohansey Ave</t>
  </si>
  <si>
    <t>11 Cohansey Ave</t>
  </si>
  <si>
    <t>325 Cohansey Ave</t>
  </si>
  <si>
    <t>OXNARD</t>
  </si>
  <si>
    <t>220-0--323-445</t>
  </si>
  <si>
    <t>1375 E CHANNEL ISLANDS BLVD</t>
  </si>
  <si>
    <t>139-0-610-175</t>
  </si>
  <si>
    <t>2640 WAGON WHEEL</t>
  </si>
  <si>
    <t>005-152-17</t>
  </si>
  <si>
    <t>818 PACIFIC AVE</t>
  </si>
  <si>
    <t>010-551-08</t>
  </si>
  <si>
    <t>350 OCEAN ST</t>
  </si>
  <si>
    <t>1241 Laurel Ln
San Luis Obispo, CA 93401</t>
  </si>
  <si>
    <t>4551 HAMILTON ST</t>
  </si>
  <si>
    <t>ALAMEDA COUNTY</t>
  </si>
  <si>
    <t>415 023008100</t>
  </si>
  <si>
    <t>22447 RUBY ST, CASTRO VALLEY, CA 94546</t>
  </si>
  <si>
    <t>10.800000000000001</t>
  </si>
  <si>
    <t>73501 DICK KELLY DR</t>
  </si>
  <si>
    <t>MANHATTAN BEACH</t>
  </si>
  <si>
    <t>4137-001-031 4137-001-027</t>
  </si>
  <si>
    <t>401 Rosecrans Avenue
3770 Highland Avenue</t>
  </si>
  <si>
    <t>72-380-13</t>
  </si>
  <si>
    <t>1301 Buena Vista</t>
  </si>
  <si>
    <t>012232140</t>
  </si>
  <si>
    <t>645 Baden Ave</t>
  </si>
  <si>
    <t>MONROVIA</t>
  </si>
  <si>
    <t>8507002034 8507002035 8507002033 8507002039 8507002038 8507002907 8507002908</t>
  </si>
  <si>
    <t>123 West Pomona Avenue; 137 West Pomona Avenue; 141 West Pomona Avenue; 1528 South Primrose Avenue; 1532 South Primrose Avenue</t>
  </si>
  <si>
    <t>034182150</t>
  </si>
  <si>
    <t>406 E 3RD AVE</t>
  </si>
  <si>
    <t>208-870-004</t>
  </si>
  <si>
    <t>10103 Almeria Way</t>
  </si>
  <si>
    <t>208-870-029</t>
  </si>
  <si>
    <t>BERKELEY</t>
  </si>
  <si>
    <t>054 171400501</t>
  </si>
  <si>
    <t>2712 Telegraph Ave</t>
  </si>
  <si>
    <t>057 208700500</t>
  </si>
  <si>
    <t>1820 San Pablo Ave</t>
  </si>
  <si>
    <t>055 189401500</t>
  </si>
  <si>
    <t>2028 Bancroft Way</t>
  </si>
  <si>
    <t>055 189600500</t>
  </si>
  <si>
    <t>2440 Shattuck Ave</t>
  </si>
  <si>
    <t>057 207300500</t>
  </si>
  <si>
    <t>1367 University Ave</t>
  </si>
  <si>
    <t>057 203400800</t>
  </si>
  <si>
    <t>2023 Shattuck Ave</t>
  </si>
  <si>
    <t>052 157408100</t>
  </si>
  <si>
    <t>3031 Telegraph Ave</t>
  </si>
  <si>
    <t>058 212901700</t>
  </si>
  <si>
    <t>1701 San Pablo; 1700-01 SPA, 1150 Franciosco</t>
  </si>
  <si>
    <t>055 183500901</t>
  </si>
  <si>
    <t>2650 Telegraph Ave</t>
  </si>
  <si>
    <t>055 184702000</t>
  </si>
  <si>
    <t>2555 College Ave</t>
  </si>
  <si>
    <t>148-16-008</t>
  </si>
  <si>
    <t>2645-2655 Fayette Drive</t>
  </si>
  <si>
    <t>ORANGE COUNTY</t>
  </si>
  <si>
    <t>107-180-11</t>
  </si>
  <si>
    <t>15162 JACKSON ST, MIDWAY CITY</t>
  </si>
  <si>
    <t>2411 EL CAJON BL</t>
  </si>
  <si>
    <t>017-252-009</t>
  </si>
  <si>
    <t>210 S VOLUNTARIO St, SANTA BARBARA, CA 93103</t>
  </si>
  <si>
    <t>029-072-013</t>
  </si>
  <si>
    <t>215 E VICTORIA ST, SANTA BARBARA, CA</t>
  </si>
  <si>
    <t>055 188802700</t>
  </si>
  <si>
    <t>2236 Channing Way</t>
  </si>
  <si>
    <t>1500 15TH ST</t>
  </si>
  <si>
    <t>0637016</t>
  </si>
  <si>
    <t>2395 SACRAMENTO ST</t>
  </si>
  <si>
    <t>26.300000000000001</t>
  </si>
  <si>
    <t>1406 45TH AV</t>
  </si>
  <si>
    <t>327 E Plymouth St</t>
  </si>
  <si>
    <t>2898 SLOAT BL</t>
  </si>
  <si>
    <t>1150 CAMINO PUENTE</t>
  </si>
  <si>
    <t>1972 VIA BUENA</t>
  </si>
  <si>
    <t>9801 SYDNEY LN</t>
  </si>
  <si>
    <t>922-944 Euclid Avenue</t>
  </si>
  <si>
    <t>30 INGOLD RD</t>
  </si>
  <si>
    <t>71-291-10-3</t>
  </si>
  <si>
    <t>2141 STANFORD ST</t>
  </si>
  <si>
    <t>501-031-029</t>
  </si>
  <si>
    <t>3330 N. Indian Canyon</t>
  </si>
  <si>
    <t>67112 Via Vicenza</t>
  </si>
  <si>
    <t>144-320-015, 144-320-016, 144-320-017</t>
  </si>
  <si>
    <t>LOS ANGELES COUNTY</t>
  </si>
  <si>
    <t>21332 E Arrow Highway, Covina CA 91724</t>
  </si>
  <si>
    <t>4430 E Live Oak Avenue, Arcadia CA 91006</t>
  </si>
  <si>
    <t>58.299999999999997</t>
  </si>
  <si>
    <t>1264 San Gabriel Boulevard, Rosemead CA 91770</t>
  </si>
  <si>
    <t>51.200000000000003</t>
  </si>
  <si>
    <t>162 S 3rd Ave, La Puente, CA 91746</t>
  </si>
  <si>
    <t>117 S Rosemead Boulevard, Pasadena CA 91107</t>
  </si>
  <si>
    <t>85 S Rosemead Boulevard, Pasadena CA 91107</t>
  </si>
  <si>
    <t>VENTURA COUNTY</t>
  </si>
  <si>
    <t>2804 SOMIS RD, SOMIS, CA</t>
  </si>
  <si>
    <t>2801 SOMIS RD, SOMIS, CA</t>
  </si>
  <si>
    <t>2792 SOMIS RD, SOMIS, CA</t>
  </si>
  <si>
    <t>2796 SOMIS RD, SOMIS, CA</t>
  </si>
  <si>
    <t>2798 SOMIS RD, SOMIS, CA</t>
  </si>
  <si>
    <t>CAMARILLO</t>
  </si>
  <si>
    <t>160-0-093-295</t>
  </si>
  <si>
    <t>Camino Ruiz/Verdugo</t>
  </si>
  <si>
    <t>020-126-160 020-126-080</t>
  </si>
  <si>
    <t>732-740 EL CAMINO REAL</t>
  </si>
  <si>
    <t>401 E 6TH ST</t>
  </si>
  <si>
    <t>8701 WESTERN AVE  S  90047</t>
  </si>
  <si>
    <t>14629 W ERWIN ST 1-21</t>
  </si>
  <si>
    <t>10132 N COMMERCE AVE #1-37</t>
  </si>
  <si>
    <t>CLOVIS</t>
  </si>
  <si>
    <t>554-053-41</t>
  </si>
  <si>
    <t>1703 De Wolf Avenue</t>
  </si>
  <si>
    <t>VISALIA</t>
  </si>
  <si>
    <t>Ben Maddox Way &amp; K Ave</t>
  </si>
  <si>
    <t>025161110</t>
  </si>
  <si>
    <t>1766 EL CAMINO REAL</t>
  </si>
  <si>
    <t>132-0050-161</t>
  </si>
  <si>
    <t>10129 BRUCEVILLE RD</t>
  </si>
  <si>
    <t>10149 BRUCEVILLE RD</t>
  </si>
  <si>
    <t>2760 BALL PL, #1, SANTA CLARA, CA 95051</t>
  </si>
  <si>
    <t>810 87 062</t>
  </si>
  <si>
    <t>305 Cohansey Ave</t>
  </si>
  <si>
    <t>FIREBAUGH</t>
  </si>
  <si>
    <t>007-140-07ST</t>
  </si>
  <si>
    <t>1501 Clyde Fannon Rd Bldg A</t>
  </si>
  <si>
    <t>1501 Clyde Fannon Rd Bldg I</t>
  </si>
  <si>
    <t>SONOMA COUNTY</t>
  </si>
  <si>
    <t>134-132-070</t>
  </si>
  <si>
    <t>3430 Santa Rosa
Santa Rosa, CA 95403</t>
  </si>
  <si>
    <t>116-1380-005 116-1380-008 116-1380-009 116-1380-010 116-1380-014 116-0011-020 116-0011-021</t>
  </si>
  <si>
    <t>Bruceville Rd at Laguna Blvd</t>
  </si>
  <si>
    <t>115-0161-005, -021</t>
  </si>
  <si>
    <t>8676 Bow Street</t>
  </si>
  <si>
    <t>WOODLAND</t>
  </si>
  <si>
    <t>064-081-041-000</t>
  </si>
  <si>
    <t>0 W Beamer Street</t>
  </si>
  <si>
    <t>035200220</t>
  </si>
  <si>
    <t>430 STATION PARK CIR</t>
  </si>
  <si>
    <t>480 E 4TH AVE A</t>
  </si>
  <si>
    <t>005-141-21</t>
  </si>
  <si>
    <t>119 LINCOLN ST</t>
  </si>
  <si>
    <t>003-351-35</t>
  </si>
  <si>
    <t>300 INGALLS ALLEY</t>
  </si>
  <si>
    <t>MISSION VIEJO</t>
  </si>
  <si>
    <t>839-161-17</t>
  </si>
  <si>
    <t>28813 Los Alisos, Unit 7</t>
  </si>
  <si>
    <t>920 Bayswater Ave</t>
  </si>
  <si>
    <t>795 THIRD AV</t>
  </si>
  <si>
    <t>3639 Haven Ave - Building B</t>
  </si>
  <si>
    <t>251-291-028</t>
  </si>
  <si>
    <t>43 N Lotas St.</t>
  </si>
  <si>
    <t>801 Fassler</t>
  </si>
  <si>
    <t>202-0-183-120</t>
  </si>
  <si>
    <t>800 South A Street</t>
  </si>
  <si>
    <t>332 S Escondido Blvd</t>
  </si>
  <si>
    <t>201 El Camino Real and 612 Cambridge Avenue</t>
  </si>
  <si>
    <t>208-860-128</t>
  </si>
  <si>
    <t>20106 Argento Loop</t>
  </si>
  <si>
    <t>EL CAJON</t>
  </si>
  <si>
    <t>489 140 08 00</t>
  </si>
  <si>
    <t>395 N First St</t>
  </si>
  <si>
    <t>OCEANSIDE</t>
  </si>
  <si>
    <t>3251 ANCHOR WAY</t>
  </si>
  <si>
    <t>3255 SEA COVE WAY</t>
  </si>
  <si>
    <t>MARTINEZ</t>
  </si>
  <si>
    <t>161-400-009; 161-400-010</t>
  </si>
  <si>
    <t>2200 ARNOLD DR</t>
  </si>
  <si>
    <t>2801 N HAYDEN PW, BLDG, CA 2-12</t>
  </si>
  <si>
    <t>1152 CAMINO DE VIDA</t>
  </si>
  <si>
    <t>2542 OLD STONY POINT RD</t>
  </si>
  <si>
    <t>2270 STONY POINT RD</t>
  </si>
  <si>
    <t>3566 E 18TH ST</t>
  </si>
  <si>
    <t>784 W Holland Ave</t>
  </si>
  <si>
    <t>Lovers Lane &amp; Caldwell Ave</t>
  </si>
  <si>
    <t>0336006</t>
  </si>
  <si>
    <t>468 TURK ST</t>
  </si>
  <si>
    <t>0163002</t>
  </si>
  <si>
    <t>425 BROADWAY</t>
  </si>
  <si>
    <t>4512 23RD ST</t>
  </si>
  <si>
    <t>1125 STEVENSON ST</t>
  </si>
  <si>
    <t>333 12th St</t>
  </si>
  <si>
    <t>555 Golden Gate Av</t>
  </si>
  <si>
    <t>208-860-099</t>
  </si>
  <si>
    <t>38108 Via Vicenza</t>
  </si>
  <si>
    <t>208-860-193</t>
  </si>
  <si>
    <t>26106 Argento Loop</t>
  </si>
  <si>
    <t>SOUTH PASADENA</t>
  </si>
  <si>
    <t>5315-001-072</t>
  </si>
  <si>
    <t>625 Faiir Oaks Ave</t>
  </si>
  <si>
    <t>FORT BRAGG</t>
  </si>
  <si>
    <t>018-340-04</t>
  </si>
  <si>
    <t>441 South Street</t>
  </si>
  <si>
    <t>3428 Santa Rosa Ave
Santa Rosa, CA 95407</t>
  </si>
  <si>
    <t>3424 Santa Rosa Ave
Santa Rosa, CA 95407</t>
  </si>
  <si>
    <t>WATSONVILLE</t>
  </si>
  <si>
    <t>221 AIRPORT BLVD</t>
  </si>
  <si>
    <t>SANTA FE SPRINGS</t>
  </si>
  <si>
    <t>8178-001-045</t>
  </si>
  <si>
    <t>11350 Washington</t>
  </si>
  <si>
    <t>160-52-013</t>
  </si>
  <si>
    <t>355-415 East Middlefield Road</t>
  </si>
  <si>
    <t>16-060-020-</t>
  </si>
  <si>
    <t>200  INFINITY WY</t>
  </si>
  <si>
    <t>4530 INGRAHAM ST</t>
  </si>
  <si>
    <t>525 OLIVE ST</t>
  </si>
  <si>
    <t>435-15-175</t>
  </si>
  <si>
    <t>17600 CARTWRIGHT</t>
  </si>
  <si>
    <t>310 ABACUS</t>
  </si>
  <si>
    <t>440 ABACUS</t>
  </si>
  <si>
    <t>FREMONT</t>
  </si>
  <si>
    <t>525 066100404</t>
  </si>
  <si>
    <t>40871 High St</t>
  </si>
  <si>
    <t>208-860-172</t>
  </si>
  <si>
    <t>22106 Argento Loop</t>
  </si>
  <si>
    <t>208-860-127</t>
  </si>
  <si>
    <t>4132 LOUISIANA ST</t>
  </si>
  <si>
    <t>6240 MISSION GORGE RD</t>
  </si>
  <si>
    <t>5858 MOUNT ALIFAN DR</t>
  </si>
  <si>
    <t>3067 05TH AV</t>
  </si>
  <si>
    <t>1865 Hotel Circle South</t>
  </si>
  <si>
    <t>El Cajon Boulevard &amp; Fairmount Avenue</t>
  </si>
  <si>
    <t>5930 DIVISION ST</t>
  </si>
  <si>
    <t>MILL VALLEY</t>
  </si>
  <si>
    <t>030-021-47</t>
  </si>
  <si>
    <t>575 East Blithedale</t>
  </si>
  <si>
    <t>TMPAPN000229</t>
  </si>
  <si>
    <t>1495 CONSTITUTION BLVD</t>
  </si>
  <si>
    <t>3039  JEFFERSON ST</t>
  </si>
  <si>
    <t>1600 S Escondido Blvd</t>
  </si>
  <si>
    <t>1405 S Escondido Blvd</t>
  </si>
  <si>
    <t>2800 BARRY</t>
  </si>
  <si>
    <t>2820 BARRY</t>
  </si>
  <si>
    <t>TPN-170-57T</t>
  </si>
  <si>
    <t>1707 SEVENTH ST, Riverside, CA 92507</t>
  </si>
  <si>
    <t>12225 S Avalon Boulevard  Los Angeles, CA 90061</t>
  </si>
  <si>
    <t>11609 S Western Avenue  Los Angeles, CA 90047</t>
  </si>
  <si>
    <t>019-420-090-000</t>
  </si>
  <si>
    <t>10470 East Jibboom Street</t>
  </si>
  <si>
    <t>PETALUMA</t>
  </si>
  <si>
    <t>951 Petaluma Blvd.S</t>
  </si>
  <si>
    <t>1418 Mauro Pietro Bldg 4</t>
  </si>
  <si>
    <t>083-080-63ST</t>
  </si>
  <si>
    <t>1950 VIA TALAVERA</t>
  </si>
  <si>
    <t>NOVATO</t>
  </si>
  <si>
    <t>141-282-07</t>
  </si>
  <si>
    <t>1107 Grant Ave.</t>
  </si>
  <si>
    <t>4282-027-020</t>
  </si>
  <si>
    <t>1427 Lincoln Blvd</t>
  </si>
  <si>
    <t>4291-020-008</t>
  </si>
  <si>
    <t>1448 7th St</t>
  </si>
  <si>
    <t>4236-021-082</t>
  </si>
  <si>
    <t>12803 Washington</t>
  </si>
  <si>
    <t>CONCORD</t>
  </si>
  <si>
    <t>1335 GALINDO ST, CONCORD, CA 94520</t>
  </si>
  <si>
    <t>2400 WILLOW PASS RD, CONCORD, CA 94520</t>
  </si>
  <si>
    <t>3727 Robertson</t>
  </si>
  <si>
    <t>208-860-120</t>
  </si>
  <si>
    <t>69112 Via Vicenza</t>
  </si>
  <si>
    <t>208-860-180</t>
  </si>
  <si>
    <t>208-870-021</t>
  </si>
  <si>
    <t>71112 Via Vicenza</t>
  </si>
  <si>
    <t>208-860-196</t>
  </si>
  <si>
    <t>26112 Argento Loop</t>
  </si>
  <si>
    <t>REDWOOD CITY</t>
  </si>
  <si>
    <t>1601 El Camino Real</t>
  </si>
  <si>
    <t>154-02-001</t>
  </si>
  <si>
    <t>1720 Villa Street</t>
  </si>
  <si>
    <t>750 ANITA ST</t>
  </si>
  <si>
    <t>0692001</t>
  </si>
  <si>
    <t>1101 SUTTER ST</t>
  </si>
  <si>
    <t>600 07TH ST</t>
  </si>
  <si>
    <t>1776 NATIONAL AV</t>
  </si>
  <si>
    <t>PM 82128</t>
  </si>
  <si>
    <t>825 South Myrtle Avenue</t>
  </si>
  <si>
    <t>1956 HORNBLEND ST</t>
  </si>
  <si>
    <t>1 14TH ST</t>
  </si>
  <si>
    <t>208-870-010</t>
  </si>
  <si>
    <t>75106 Via Vicenza</t>
  </si>
  <si>
    <t>208-860-020</t>
  </si>
  <si>
    <t>208-860-129</t>
  </si>
  <si>
    <t>0345017</t>
  </si>
  <si>
    <t>361 TURK ST</t>
  </si>
  <si>
    <t>681 FLORIDA ST</t>
  </si>
  <si>
    <t>VTTM 18132</t>
  </si>
  <si>
    <t>1509 BROADWAY</t>
  </si>
  <si>
    <t>1450  CLOVERFIELD BLVD</t>
  </si>
  <si>
    <t>4333 ILLINOIS ST</t>
  </si>
  <si>
    <t>5434 Churchward Street</t>
  </si>
  <si>
    <t>1011 UNION ST</t>
  </si>
  <si>
    <t>77 CONEJO SCHOOL RD</t>
  </si>
  <si>
    <t>2120 LINCOLN BLVD</t>
  </si>
  <si>
    <t>DANVILLE</t>
  </si>
  <si>
    <t>3020 Fostoria Way</t>
  </si>
  <si>
    <t>1704 HORNBLEND ST</t>
  </si>
  <si>
    <t>1011 GRAND AV</t>
  </si>
  <si>
    <t>3840 06TH AV</t>
  </si>
  <si>
    <t>926 27TH ST</t>
  </si>
  <si>
    <t>11520 W Bernardo Court</t>
  </si>
  <si>
    <t>600 Hartz Ave</t>
  </si>
  <si>
    <t>202-0-054-080, 202-0-054-075</t>
  </si>
  <si>
    <t>241 W. Second Street</t>
  </si>
  <si>
    <t>1845 SEBASTOPOL RD</t>
  </si>
  <si>
    <t>314 S Eucalyptus Ave</t>
  </si>
  <si>
    <t>1335 COLLEGE AVE W</t>
  </si>
  <si>
    <t>15.199999999999999</t>
  </si>
  <si>
    <t>1855-1881 ROLLINS RD</t>
  </si>
  <si>
    <t>CLEARLAKE</t>
  </si>
  <si>
    <t>039-560-08</t>
  </si>
  <si>
    <t>3930 Old Highway 53</t>
  </si>
  <si>
    <t>026231250</t>
  </si>
  <si>
    <t>1095 ROLLINS RD</t>
  </si>
  <si>
    <t>077-011-011</t>
  </si>
  <si>
    <t>700 Oak Park</t>
  </si>
  <si>
    <t>066-060-004; 066-060-007; 066-060-021</t>
  </si>
  <si>
    <t>711 and 9500 Oak Park Street</t>
  </si>
  <si>
    <t>2828 BROADWAY</t>
  </si>
  <si>
    <t>3954 KANSAS ST</t>
  </si>
  <si>
    <t>5225 CALLE DORADO</t>
  </si>
  <si>
    <t>517 W SAN YSIDRO BL</t>
  </si>
  <si>
    <t>2517 Union Street</t>
  </si>
  <si>
    <t>1509 Broadway</t>
  </si>
  <si>
    <t>04181106</t>
  </si>
  <si>
    <t>141 APTOS VILLAGE WAY, APTOS , 95003</t>
  </si>
  <si>
    <t>423 E Warren Ln</t>
  </si>
  <si>
    <t>2810 BARRY</t>
  </si>
  <si>
    <t>1705 Seventh Street</t>
  </si>
  <si>
    <t>1751 SEVENTH ST, Riverside, CA 92507</t>
  </si>
  <si>
    <t>1757 SEVENTH ST, Riverside, CA 92507</t>
  </si>
  <si>
    <t>208-860-121</t>
  </si>
  <si>
    <t>1250 Fairfax Avenue</t>
  </si>
  <si>
    <t>1041 SPAULDING AVE</t>
  </si>
  <si>
    <t>300 DE HARO ST</t>
  </si>
  <si>
    <t>375 06TH AVE</t>
  </si>
  <si>
    <t>0667020</t>
  </si>
  <si>
    <t>1525 PINE ST</t>
  </si>
  <si>
    <t>4591D018</t>
  </si>
  <si>
    <t>899 LA SALLE AV</t>
  </si>
  <si>
    <t>1532 Harrison St</t>
  </si>
  <si>
    <t>0140007</t>
  </si>
  <si>
    <t>88 Broadway</t>
  </si>
  <si>
    <t>1482 FREEDOM BLVD</t>
  </si>
  <si>
    <t>342-16-87 &amp; 88</t>
  </si>
  <si>
    <t>10625 S Foothill Blvd</t>
  </si>
  <si>
    <t>Demaree St &amp; Houston Ave</t>
  </si>
  <si>
    <t>121-020-21</t>
  </si>
  <si>
    <t>30333 Camino Capistrano</t>
  </si>
  <si>
    <t>435-053-18</t>
  </si>
  <si>
    <t>2602 McGaw Avenue, PA 36</t>
  </si>
  <si>
    <t>070-222-23</t>
  </si>
  <si>
    <t>3801 Franklin Ave</t>
  </si>
  <si>
    <t>340 7TH ST</t>
  </si>
  <si>
    <t>1825 SEBASTOPOL RD</t>
  </si>
  <si>
    <t>615 ACACIA LN</t>
  </si>
  <si>
    <t>665 Sebastopol Road</t>
  </si>
  <si>
    <t>NEWPORT BEACH</t>
  </si>
  <si>
    <t>427 342 01</t>
  </si>
  <si>
    <t>1300 Bristol Street</t>
  </si>
  <si>
    <t>74-1373-2-2</t>
  </si>
  <si>
    <t>2850 FIFTH ST UNITS 120-131</t>
  </si>
  <si>
    <t>1560 FOLSOM ST</t>
  </si>
  <si>
    <t>0318009</t>
  </si>
  <si>
    <t>550 OFARRELL ST</t>
  </si>
  <si>
    <t>4742 MISSION ST</t>
  </si>
  <si>
    <t>4591D014</t>
  </si>
  <si>
    <t>889 LA SALLE AV</t>
  </si>
  <si>
    <t>343 08TH ST</t>
  </si>
  <si>
    <t>4591D131</t>
  </si>
  <si>
    <t>1 EARL ST</t>
  </si>
  <si>
    <t>0311016</t>
  </si>
  <si>
    <t>690 MARKET ST</t>
  </si>
  <si>
    <t>4591D012</t>
  </si>
  <si>
    <t>898 LA SALLE AV</t>
  </si>
  <si>
    <t>208-860-122</t>
  </si>
  <si>
    <t>1990 Folsom St</t>
  </si>
  <si>
    <t>490 South Van Ness Av</t>
  </si>
  <si>
    <t>2410 33rd Av</t>
  </si>
  <si>
    <t>430-16-219</t>
  </si>
  <si>
    <t>2055 MAIN ST</t>
  </si>
  <si>
    <t>SANTA PAULA</t>
  </si>
  <si>
    <t>107-0-042-015</t>
  </si>
  <si>
    <t>18004 E Telegraph Rd</t>
  </si>
  <si>
    <t>591-131-71</t>
  </si>
  <si>
    <t>Irvine Boulevard to the north, Chinon to the west, Harrier to the south, and Lynx and the Great Park Wildlife Corridor to the east</t>
  </si>
  <si>
    <t>103 LYNX</t>
  </si>
  <si>
    <t>116-0061-011</t>
  </si>
  <si>
    <t>9270 Bruceville Road</t>
  </si>
  <si>
    <t>022-083-020</t>
  </si>
  <si>
    <t>PASADENA</t>
  </si>
  <si>
    <t>5722-001-002</t>
  </si>
  <si>
    <t>86 S FAIR OAKS AVE  PARKING LOT
PASADENA, CA 91105</t>
  </si>
  <si>
    <t>CLAREMONT</t>
  </si>
  <si>
    <t>731 Harrison Avenue</t>
  </si>
  <si>
    <t>049-1041-26-15</t>
  </si>
  <si>
    <t>1450 Sherwin Avenue</t>
  </si>
  <si>
    <t>CALISTOGA</t>
  </si>
  <si>
    <t>011-050-044</t>
  </si>
  <si>
    <t>1866 LINCOLN AVE</t>
  </si>
  <si>
    <t>6224-019-901</t>
  </si>
  <si>
    <t>4610 Santa Ana Street</t>
  </si>
  <si>
    <t>731 Harrison Ave</t>
  </si>
  <si>
    <t>310 K ST A</t>
  </si>
  <si>
    <t>2955 MISSION ST 94110</t>
  </si>
  <si>
    <t>3505032A</t>
  </si>
  <si>
    <t>1629 MARKET ST</t>
  </si>
  <si>
    <t>1 AVENUE OF THE PALMS *</t>
  </si>
  <si>
    <t>4591D017</t>
  </si>
  <si>
    <t>999 OAKDALE AV</t>
  </si>
  <si>
    <t>0836007</t>
  </si>
  <si>
    <t>1554 MARKET ST</t>
  </si>
  <si>
    <t>53V COLTON ST</t>
  </si>
  <si>
    <t>4233 KANSAS ST</t>
  </si>
  <si>
    <t>377 06TH ST</t>
  </si>
  <si>
    <t>4742 Mission St</t>
  </si>
  <si>
    <t>1298 HOWARD ST</t>
  </si>
  <si>
    <t>793 SOUTH VAN NESS AV</t>
  </si>
  <si>
    <t>198 VALENCIA ST</t>
  </si>
  <si>
    <t>74699 TECHNOLOGY DR</t>
  </si>
  <si>
    <t>75700 GERALD FORD DR</t>
  </si>
  <si>
    <t>801 PEARL ST</t>
  </si>
  <si>
    <t>053 168900100</t>
  </si>
  <si>
    <t>2800 Telegraph Ave</t>
  </si>
  <si>
    <t>055 187802200</t>
  </si>
  <si>
    <t>2480 Bancroft Way</t>
  </si>
  <si>
    <t>052 157602701</t>
  </si>
  <si>
    <t>3030 Telegraph Ave</t>
  </si>
  <si>
    <t>1701 SEVENTH ST, Riverside, CA 92507</t>
  </si>
  <si>
    <t>1729 SEVENTH ST, Riverside, CA 92507</t>
  </si>
  <si>
    <t>1745 SEVENTH ST, Riverside, CA 92507</t>
  </si>
  <si>
    <t>1820  14TH ST</t>
  </si>
  <si>
    <t>2729 WILSHIRE BLVD</t>
  </si>
  <si>
    <t>SAN LEANDRO</t>
  </si>
  <si>
    <t>080H 1541 036 00</t>
  </si>
  <si>
    <t>903 Manor Bl</t>
  </si>
  <si>
    <t>037-400-009</t>
  </si>
  <si>
    <t>821 STATE St, SANTA BARBARA, CA 93101</t>
  </si>
  <si>
    <t>053 159200100</t>
  </si>
  <si>
    <t>3000 Shattuck Ave</t>
  </si>
  <si>
    <t>395 3rd St</t>
  </si>
  <si>
    <t>41.200000000000003</t>
  </si>
  <si>
    <t>0811019</t>
  </si>
  <si>
    <t>240 Van Ness Ave</t>
  </si>
  <si>
    <t>1438017A</t>
  </si>
  <si>
    <t>4200 GEARY BL</t>
  </si>
  <si>
    <t>921 HOWARD ST</t>
  </si>
  <si>
    <t>27.699999999999999</t>
  </si>
  <si>
    <t>0714016</t>
  </si>
  <si>
    <t>1001 VAN NESS AV</t>
  </si>
  <si>
    <t>3426 Santa Rosa Ave
Santa Rosa, CA 95407</t>
  </si>
  <si>
    <t>245 BONITA GLEN DR</t>
  </si>
  <si>
    <t>1721 COLBY AVE  S  90025</t>
  </si>
  <si>
    <t>2600 SEPULVEDA BLVD S  90064</t>
  </si>
  <si>
    <t>7022 BROADWAY  S  90003</t>
  </si>
  <si>
    <t>11600 SANTA MONICA BLVD W  90025</t>
  </si>
  <si>
    <t>13716 VICTORY BLVD W  91401</t>
  </si>
  <si>
    <t>10555 BLOOMFIELD ST   W  91602</t>
  </si>
  <si>
    <t>2444 BARRY AVE  S  90064</t>
  </si>
  <si>
    <t>1375 COLLEGE AVE W</t>
  </si>
  <si>
    <t>815 OCEAN FRONT WALK S  90291</t>
  </si>
  <si>
    <t>1630 N SCHRADER BLVD</t>
  </si>
  <si>
    <t>750 S OXFORD AVE</t>
  </si>
  <si>
    <t>4741 N LIBBIT AVE</t>
  </si>
  <si>
    <t>0319-253-28, 0319-253-29, 0319-253-30, 0319-253-84</t>
  </si>
  <si>
    <t>3rd St/County line Rd</t>
  </si>
  <si>
    <t>1860 E Escondido Blvd</t>
  </si>
  <si>
    <t>HUMBOLDT COUNTY</t>
  </si>
  <si>
    <t>302-021-003</t>
  </si>
  <si>
    <t>904 Alpha St, Eureka, CA 95503</t>
  </si>
  <si>
    <t>017-117-097-000</t>
  </si>
  <si>
    <t>1130 HARVEY WY, Roseville CA 95747</t>
  </si>
  <si>
    <t>2790 BARRY</t>
  </si>
  <si>
    <t>241-020-013</t>
  </si>
  <si>
    <t>3672 MT DIABLO BLVD</t>
  </si>
  <si>
    <t>3542 E 18TH ST</t>
  </si>
  <si>
    <t>13421 4TH ST</t>
  </si>
  <si>
    <t>1835 SEBASTOPOL RD</t>
  </si>
  <si>
    <t>1325 COLLEGE AVE W</t>
  </si>
  <si>
    <t>1355 COLLEGE AVE W</t>
  </si>
  <si>
    <t>1365 COLLEGE AVE W</t>
  </si>
  <si>
    <t>525 W STRUCK AVE BLDG. B</t>
  </si>
  <si>
    <t>2800 GEARY BLVD</t>
  </si>
  <si>
    <t>4712-4720 03RD ST</t>
  </si>
  <si>
    <t>4716-4722 MISSION ST</t>
  </si>
  <si>
    <t>2340 SAN JOSE AV</t>
  </si>
  <si>
    <t>4591D005</t>
  </si>
  <si>
    <t>869 LA SALLE AV</t>
  </si>
  <si>
    <t>434 Minna St</t>
  </si>
  <si>
    <t>1001 South Van Ness Av</t>
  </si>
  <si>
    <t>3701 Noriega St</t>
  </si>
  <si>
    <t>558 MAIN STREET</t>
  </si>
  <si>
    <t>141 MILES LANE</t>
  </si>
  <si>
    <t>200140011,12</t>
  </si>
  <si>
    <t>359 &amp; 375 West El Pintado</t>
  </si>
  <si>
    <t>3562 E 18TH ST</t>
  </si>
  <si>
    <t>3530 E 18TH ST</t>
  </si>
  <si>
    <t>507-251-015</t>
  </si>
  <si>
    <t>2301 Columbia Blvd</t>
  </si>
  <si>
    <t>321 FLORIDA ST</t>
  </si>
  <si>
    <t>770 WOOLSEY ST</t>
  </si>
  <si>
    <t>5012 03RD ST</t>
  </si>
  <si>
    <t>986 SOUTH VAN NESS AV</t>
  </si>
  <si>
    <t>1169 Market St</t>
  </si>
  <si>
    <t>975 Bryant St</t>
  </si>
  <si>
    <t>691 China Basin St</t>
  </si>
  <si>
    <t>0738018</t>
  </si>
  <si>
    <t>830 Eddy St</t>
  </si>
  <si>
    <t>71-0291-10-01</t>
  </si>
  <si>
    <t>2001 CLEMENT AVE</t>
  </si>
  <si>
    <t>74-1373-10-21</t>
  </si>
  <si>
    <t>451 MARTIN MARINER ST</t>
  </si>
  <si>
    <t>270 ABACUS</t>
  </si>
  <si>
    <t>400 ABACUS</t>
  </si>
  <si>
    <t>326 34 043 &amp; -066</t>
  </si>
  <si>
    <t>10145 N DE ANZA BLVD &amp; 10118 BANDLEY DR</t>
  </si>
  <si>
    <t>74-1373-13-39</t>
  </si>
  <si>
    <t>501 MARTIN MARINER AVE</t>
  </si>
  <si>
    <t>9201 ASTOR</t>
  </si>
  <si>
    <t>ROHNERT PARK</t>
  </si>
  <si>
    <t>143-380-022</t>
  </si>
  <si>
    <t>100 Avram Avenue</t>
  </si>
  <si>
    <t>5280 03RD ST</t>
  </si>
  <si>
    <t>555, 565, 585 Bryant St</t>
  </si>
  <si>
    <t>1830 ALEMANY BL</t>
  </si>
  <si>
    <t>0744010</t>
  </si>
  <si>
    <t>950 GOUGH ST</t>
  </si>
  <si>
    <t>3075 BROADWAY</t>
  </si>
  <si>
    <t>3450 Clairemont Drive</t>
  </si>
  <si>
    <t>5824 MONTEZUMA RD</t>
  </si>
  <si>
    <t>465 47TH ST</t>
  </si>
  <si>
    <t>4014002A</t>
  </si>
  <si>
    <t>2530 18TH ST</t>
  </si>
  <si>
    <t>5.0999999999999996</t>
  </si>
  <si>
    <t>0491009</t>
  </si>
  <si>
    <t>2055 CHESTNUT ST</t>
  </si>
  <si>
    <t>201 MACALLA RD</t>
  </si>
  <si>
    <t>42 OTIS ST</t>
  </si>
  <si>
    <t>LAGUNA BEACH</t>
  </si>
  <si>
    <t>629-051-23</t>
  </si>
  <si>
    <t>20412 Laguna Canyon Rd
Laguna Beach, CA 92651</t>
  </si>
  <si>
    <t>80 COLLEGE AVE</t>
  </si>
  <si>
    <t>2 4th Street</t>
  </si>
  <si>
    <t>5757-030-001</t>
  </si>
  <si>
    <t>170 N HALSTEAD ST
Pasadena, CA 91107</t>
  </si>
  <si>
    <t>5738-015-130</t>
  </si>
  <si>
    <t>256 N MICHIGAN AVE PASADENA, CA 91106</t>
  </si>
  <si>
    <t>DAVIS</t>
  </si>
  <si>
    <t>070-280-10, -14, -13, -12, -17, -16, -15, 070-290-02, -04, -01, -03</t>
  </si>
  <si>
    <t>1111 Olive Drive</t>
  </si>
  <si>
    <t>4933 North River Rd.</t>
  </si>
  <si>
    <t>0301-051-29, 0301-051-30, 0301-051-48, 0301-051-49</t>
  </si>
  <si>
    <t>County Line Rd/2nd St</t>
  </si>
  <si>
    <t>3570 E 18TH ST</t>
  </si>
  <si>
    <t>3546 E 18TH ST</t>
  </si>
  <si>
    <t>3550 E 18TH ST</t>
  </si>
  <si>
    <t>3554 E 18TH ST</t>
  </si>
  <si>
    <t>3558 E 18TH ST</t>
  </si>
  <si>
    <t>3574 E 18TH ST</t>
  </si>
  <si>
    <t>4840 MISSION ST</t>
  </si>
  <si>
    <t>0573011</t>
  </si>
  <si>
    <t>1570 PACIFIC AV</t>
  </si>
  <si>
    <t>0342001</t>
  </si>
  <si>
    <t>950 Market St</t>
  </si>
  <si>
    <t>2070 Folsom St</t>
  </si>
  <si>
    <t>0691001</t>
  </si>
  <si>
    <t>1145 Polk St</t>
  </si>
  <si>
    <t>3001 24th St</t>
  </si>
  <si>
    <t>230 07th St</t>
  </si>
  <si>
    <t>500 Folsom St</t>
  </si>
  <si>
    <t>BUELLTON</t>
  </si>
  <si>
    <t>137-090-006</t>
  </si>
  <si>
    <t>552, 554, 556, 558 McMurray Road</t>
  </si>
  <si>
    <t>1.1000000000000001</t>
  </si>
  <si>
    <t>YUBA COUNTY</t>
  </si>
  <si>
    <t>2557 RIVER OAKS BLVD #104</t>
  </si>
  <si>
    <t>NAPA</t>
  </si>
  <si>
    <t>044-140-004</t>
  </si>
  <si>
    <t>725 Central</t>
  </si>
  <si>
    <t>2225  BROADWAY</t>
  </si>
  <si>
    <t>2822  SANTA MONICA BLVD</t>
  </si>
  <si>
    <t>2274 STONY POINT RD</t>
  </si>
  <si>
    <t>1345 COLLEGE AVE W</t>
  </si>
  <si>
    <t>1775 Petaluma Hill Road</t>
  </si>
  <si>
    <t>056-511-046</t>
  </si>
  <si>
    <t>18503 Hwy 12
Sonoma, CA 95476</t>
  </si>
  <si>
    <t>7616 Pacific Boulevard, Huntington Park CA 90255</t>
  </si>
  <si>
    <t>SEBASTOPOL</t>
  </si>
  <si>
    <t>004-211-007; 060-230-067</t>
  </si>
  <si>
    <t>7716 Bodega Ave</t>
  </si>
  <si>
    <t>057 202600405</t>
  </si>
  <si>
    <t>2190 Shattuck Ave</t>
  </si>
  <si>
    <t>057 202401300</t>
  </si>
  <si>
    <t>2099 M L King Jr Way</t>
  </si>
  <si>
    <t>IMPERIAL BEACH</t>
  </si>
  <si>
    <t>645 Florence St</t>
  </si>
  <si>
    <t>059-020-003</t>
  </si>
  <si>
    <t>425 Napa Junction</t>
  </si>
  <si>
    <t>137-200-087</t>
  </si>
  <si>
    <t>10 &amp; 12 McMurray Road</t>
  </si>
  <si>
    <t>060 235400200</t>
  </si>
  <si>
    <t>1200 San Pablo Ave</t>
  </si>
  <si>
    <t>055 187602100</t>
  </si>
  <si>
    <t>2542 Durant Ave</t>
  </si>
  <si>
    <t>1010V Mission St</t>
  </si>
  <si>
    <t>5.5999999999999996</t>
  </si>
  <si>
    <t>0213025</t>
  </si>
  <si>
    <t>1151 Washington St</t>
  </si>
  <si>
    <t>8719B002</t>
  </si>
  <si>
    <t>1011 3rd St</t>
  </si>
  <si>
    <t>240 VAN NESS AVE</t>
  </si>
  <si>
    <t>1055 TEXAS ST (formerly 999 TEXAS ST)</t>
  </si>
  <si>
    <t>4591D010</t>
  </si>
  <si>
    <t>879 LA SALLE AV</t>
  </si>
  <si>
    <t>3518 E 1st Street, Los Angeles CA 90063</t>
  </si>
  <si>
    <t>031-201-032</t>
  </si>
  <si>
    <t>116 E COTA ST, SANTA BARBARA, CA</t>
  </si>
  <si>
    <t>031-212-018</t>
  </si>
  <si>
    <t>401 &amp; 409 E HALEY STREET, SANTA BARBARA, CA</t>
  </si>
  <si>
    <t>5726-018-038</t>
  </si>
  <si>
    <t>735 N ORANGE GROVE BLVD MIXED USE</t>
  </si>
  <si>
    <t>701-713 N FREEMAN ST</t>
  </si>
  <si>
    <t>6224-007-012</t>
  </si>
  <si>
    <t>4302-4312 Elizabeth Street</t>
  </si>
  <si>
    <t>OCEANSIDE BLVD</t>
  </si>
  <si>
    <t>1933 S TREMONT ST</t>
  </si>
  <si>
    <t>10136 S Inglewood Avenue, Inglewood CA 90304</t>
  </si>
  <si>
    <t>65 CORAL GABLES ,SACRAMENTO,CA</t>
  </si>
  <si>
    <t>57 CORAL GABLES ,SACRAMENTO,CA</t>
  </si>
  <si>
    <t>10604 Whittier Boulevard, Whittier CA 90606</t>
  </si>
  <si>
    <t>242 Hahn St</t>
  </si>
  <si>
    <t>833 Bryant St</t>
  </si>
  <si>
    <t>925 BRYANT ST</t>
  </si>
  <si>
    <t>0768072</t>
  </si>
  <si>
    <t>600 MCALLISTER ST</t>
  </si>
  <si>
    <t>730 Stanyan ST</t>
  </si>
  <si>
    <t>5222 03RD ST</t>
  </si>
  <si>
    <t>2550 IRVING ST</t>
  </si>
  <si>
    <t>1721 15th ST</t>
  </si>
  <si>
    <t>0793037</t>
  </si>
  <si>
    <t>618 OCTAVIA ST</t>
  </si>
  <si>
    <t>55 BRUTON ST</t>
  </si>
  <si>
    <t>0343014</t>
  </si>
  <si>
    <t>180 JONES ST</t>
  </si>
  <si>
    <t>2260 El Cajon Bl, San Diego, CA 92104</t>
  </si>
  <si>
    <t>4135 PARK BL</t>
  </si>
  <si>
    <t>049-151-029</t>
  </si>
  <si>
    <t>2505 EL CAMINO REAL</t>
  </si>
  <si>
    <t>045-351-008</t>
  </si>
  <si>
    <t>930 KEFFURY LANE</t>
  </si>
  <si>
    <t>71-0291-10</t>
  </si>
  <si>
    <t>2352 STANFORD ST</t>
  </si>
  <si>
    <t>74-1373-13-26</t>
  </si>
  <si>
    <t>2850 CRUSADER ST</t>
  </si>
  <si>
    <t>5734-025-005</t>
  </si>
  <si>
    <t>150 S OAK KNOLL AVE CONDOMINIUM</t>
  </si>
  <si>
    <t>800 W Carson Street, Torrance CA 90502</t>
  </si>
  <si>
    <t>0318-164-21</t>
  </si>
  <si>
    <t>12790 6th St</t>
  </si>
  <si>
    <t>10213 S Inglewood Avenue, Inglewood CA 90304</t>
  </si>
  <si>
    <t>HORNE ST</t>
  </si>
  <si>
    <t>501 W Foothill Blvd</t>
  </si>
  <si>
    <t>73 CORAL GABLES ,SACRAMENTO,CA</t>
  </si>
  <si>
    <t>4217 E Live Oak Avenue, Arcadia CA 91006</t>
  </si>
  <si>
    <t>505 S Sierra Madre Boulevard, Pasadena CA 91107</t>
  </si>
  <si>
    <t>5746-016-088</t>
  </si>
  <si>
    <t>1878 E WALNUT ST CONDOMINIUM</t>
  </si>
  <si>
    <t>Village South</t>
  </si>
  <si>
    <t>01874104</t>
  </si>
  <si>
    <t>405 ANNIE DR</t>
  </si>
  <si>
    <t>055 182201304</t>
  </si>
  <si>
    <t>2015 Blake St</t>
  </si>
  <si>
    <t>057 202700600</t>
  </si>
  <si>
    <t>2065 Kittredge St</t>
  </si>
  <si>
    <t>058 218102700</t>
  </si>
  <si>
    <t>1773 Oxford St</t>
  </si>
  <si>
    <t>055 189504100</t>
  </si>
  <si>
    <t>2352 Shattuck Ave</t>
  </si>
  <si>
    <t>053 163300101</t>
  </si>
  <si>
    <t>3000 San Pablo Ave</t>
  </si>
  <si>
    <t>055 187700100</t>
  </si>
  <si>
    <t>2590 Bancroft Way</t>
  </si>
  <si>
    <t>2799 SOMIS RD, SOMIS, CA</t>
  </si>
  <si>
    <t>2793 SOMIS RD, SOMIS, CA</t>
  </si>
  <si>
    <t>036-060-035</t>
  </si>
  <si>
    <t>Covell Drive</t>
  </si>
  <si>
    <t>3000 Shattuck</t>
  </si>
  <si>
    <t>053-153300103</t>
  </si>
  <si>
    <t>1708 Harmon</t>
  </si>
  <si>
    <t>981 Calla Ave</t>
  </si>
  <si>
    <t>BUENA PARK</t>
  </si>
  <si>
    <t>7101 LINCOLN AVE</t>
  </si>
  <si>
    <t>27.100000000000001</t>
  </si>
  <si>
    <t>W OAKS WAY</t>
  </si>
  <si>
    <t>162-0-135-050, 060 &amp; 162-0-104-010</t>
  </si>
  <si>
    <t>2024 Ventura Blvd</t>
  </si>
  <si>
    <t>350 ABACUS</t>
  </si>
  <si>
    <t>525 033900102</t>
  </si>
  <si>
    <t>41911 Osgood Rd</t>
  </si>
  <si>
    <t>501 053602103</t>
  </si>
  <si>
    <t>37447 Fremont Blvd</t>
  </si>
  <si>
    <t>EUREKA</t>
  </si>
  <si>
    <t>002-064-006</t>
  </si>
  <si>
    <t>1805 4TH ST</t>
  </si>
  <si>
    <t>049-1490-002</t>
  </si>
  <si>
    <t>CYPRESS</t>
  </si>
  <si>
    <t>244-361-03</t>
  </si>
  <si>
    <t>4662 Lincoln Ave.</t>
  </si>
  <si>
    <t>017-080-150</t>
  </si>
  <si>
    <t>12 MIRALUNA DR</t>
  </si>
  <si>
    <t>11001 S BROADWAY 1-55</t>
  </si>
  <si>
    <t>12035 RUNNYMEDE ST   W  91605</t>
  </si>
  <si>
    <t>7130 S KITTYHAWK AVE 1-17</t>
  </si>
  <si>
    <t>20247 W SATICOY ST</t>
  </si>
  <si>
    <t>10.300000000000001</t>
  </si>
  <si>
    <t>21300 DEVONSHIRE ST   W  91311</t>
  </si>
  <si>
    <t>11701 W GATEWAY BLVD 1-73</t>
  </si>
  <si>
    <t>11600 W SANTA MONICA BLVD</t>
  </si>
  <si>
    <t>245 S WESTLAKE AVE</t>
  </si>
  <si>
    <t>057 205302201</t>
  </si>
  <si>
    <t>2012 Berkeley Way</t>
  </si>
  <si>
    <t>98 PENNSYLVANIA AVE</t>
  </si>
  <si>
    <t>48.799999999999997</t>
  </si>
  <si>
    <t>0835004</t>
  </si>
  <si>
    <t>30 VAN NESS AV</t>
  </si>
  <si>
    <t>077 0447 014 06</t>
  </si>
  <si>
    <t>1188 E 14th St</t>
  </si>
  <si>
    <t>056 198304201</t>
  </si>
  <si>
    <t>2147 San Pablo Ave</t>
  </si>
  <si>
    <t>057 205300500</t>
  </si>
  <si>
    <t>2067 University Ave</t>
  </si>
  <si>
    <t>054 178101501</t>
  </si>
  <si>
    <t>2527 San Pablo Ave</t>
  </si>
  <si>
    <t>037-041-024</t>
  </si>
  <si>
    <t>825 DE LA VINA ST, SANTA BARBARA, CA 93101</t>
  </si>
  <si>
    <t>530 BRANNAN ST</t>
  </si>
  <si>
    <t>058 218300100</t>
  </si>
  <si>
    <t>1601 Oxford Street</t>
  </si>
  <si>
    <t>057 204600803</t>
  </si>
  <si>
    <t>2131 University Ave</t>
  </si>
  <si>
    <t>WALNUT CREEK</t>
  </si>
  <si>
    <t>1910 N MAIN ST</t>
  </si>
  <si>
    <t>4570 MISSION ST</t>
  </si>
  <si>
    <t>2791 SOMIS RD, SOMIS, CA</t>
  </si>
  <si>
    <t>2790 SOMIS RD, SOMIS, CA</t>
  </si>
  <si>
    <t>0350002</t>
  </si>
  <si>
    <t>1028 MARKET ST</t>
  </si>
  <si>
    <t>1863 MISSION ST</t>
  </si>
  <si>
    <t>058 212701403</t>
  </si>
  <si>
    <t>1740 San Pablo Ave</t>
  </si>
  <si>
    <t>057 202502300</t>
  </si>
  <si>
    <t>2009 Addison St</t>
  </si>
  <si>
    <t>056 197700605</t>
  </si>
  <si>
    <t>2100 San Pablo Ave</t>
  </si>
  <si>
    <t>055 183700300</t>
  </si>
  <si>
    <t>2597 Telegraph Ave</t>
  </si>
  <si>
    <t>052 156317900</t>
  </si>
  <si>
    <t>2714 Alcatraz Ave</t>
  </si>
  <si>
    <t>0306007</t>
  </si>
  <si>
    <t>440 GEARY ST</t>
  </si>
  <si>
    <t>018-850-017</t>
  </si>
  <si>
    <t>13070 Firsh Camp Way
13058 Fish Camp Way
13042 Fish Camp Way
12959 Winter Camp Way
13051 Sawmill Road
13033 Sawmill Road</t>
  </si>
  <si>
    <t>3600 STOCKER ST   W  90008</t>
  </si>
  <si>
    <t>0741003</t>
  </si>
  <si>
    <t>530 Turk Street</t>
  </si>
  <si>
    <t>15.800000000000001</t>
  </si>
  <si>
    <t>67 BELCHER ST</t>
  </si>
  <si>
    <t>47.600000000000001</t>
  </si>
  <si>
    <t>580 MINNA ST</t>
  </si>
  <si>
    <t>3046 NIMITZ BL Unit 1-9</t>
  </si>
  <si>
    <t>201-0-213-080, -090, -100</t>
  </si>
  <si>
    <t>536-538 Meta Street</t>
  </si>
  <si>
    <t>ALBANY</t>
  </si>
  <si>
    <t>066 -2760-024-01</t>
  </si>
  <si>
    <t>755 Cleveland</t>
  </si>
  <si>
    <t>523 UNION AVE, CAMPBELL, CA 95008</t>
  </si>
  <si>
    <t>039-202-013</t>
  </si>
  <si>
    <t>528 W FIGUEROA St, SANTA BARBARA, CA 93101</t>
  </si>
  <si>
    <t>71-0291-10-4</t>
  </si>
  <si>
    <t>2005 STANFORD ST</t>
  </si>
  <si>
    <t>74-1373-13-28</t>
  </si>
  <si>
    <t>2851 CATHWOOD LN</t>
  </si>
  <si>
    <t>71-0288-01-2</t>
  </si>
  <si>
    <t>5723-009-056</t>
  </si>
  <si>
    <t>218 N EL MOLINO AVE/709 E WALNUT ST</t>
  </si>
  <si>
    <t>LODI</t>
  </si>
  <si>
    <t>620 S CENTRAL AVE</t>
  </si>
  <si>
    <t>DEL NORTE COUNTY</t>
  </si>
  <si>
    <t>116-160-023</t>
  </si>
  <si>
    <t>1600 Northcrest Drive</t>
  </si>
  <si>
    <t>280-860-013</t>
  </si>
  <si>
    <t>17225 Bollinger Canyon Rd.</t>
  </si>
  <si>
    <t>901 PIER VIEW WAY</t>
  </si>
  <si>
    <t>563 GREENBRIER DR</t>
  </si>
  <si>
    <t>3756 E Colorado Boulevard, Pasadena CA 91107</t>
  </si>
  <si>
    <t>080 005704100</t>
  </si>
  <si>
    <t>16060 E 14TH ST, SAN LEANDRO, CA 94578</t>
  </si>
  <si>
    <t>12225 Avalon Boulevard, Los Angeles CA 90061</t>
  </si>
  <si>
    <t>2103¬†STANFORD ST</t>
  </si>
  <si>
    <t>74-1373-13-29</t>
  </si>
  <si>
    <t>401 MARTIN MARINER ST</t>
  </si>
  <si>
    <t>10609 S Inglewood Avenue, Inglewood CA 90304</t>
  </si>
  <si>
    <t>15814 S Butler Avenue, Compton CA 90221</t>
  </si>
  <si>
    <t>1740 San Pablo</t>
  </si>
  <si>
    <t>056 200300100</t>
  </si>
  <si>
    <t>1598 University Ave</t>
  </si>
  <si>
    <t>PORTOLA VALLEY</t>
  </si>
  <si>
    <t>079-072-120</t>
  </si>
  <si>
    <t>4388 Alpine</t>
  </si>
  <si>
    <t>037-212-022</t>
  </si>
  <si>
    <t>410 STATE ST, SANTA BARBARA, CA 93101</t>
  </si>
  <si>
    <t>057-240-051</t>
  </si>
  <si>
    <t>220 N LA CUMBRE Rd, SANTA BARBARA, CA 93110</t>
  </si>
  <si>
    <t>6152002021- 6152002900- 6152002901</t>
  </si>
  <si>
    <t>12617 S Willowbrook Avenue, Compton CA 90222</t>
  </si>
  <si>
    <t>053 162301201</t>
  </si>
  <si>
    <t>1331 Ashby Ave.</t>
  </si>
  <si>
    <t>055 183700100</t>
  </si>
  <si>
    <t>2556 Telegraph Ave</t>
  </si>
  <si>
    <t>055 187701902</t>
  </si>
  <si>
    <t>2580 Bancroft Way</t>
  </si>
  <si>
    <t>3260 26TH ST</t>
  </si>
  <si>
    <t>44.799999999999997</t>
  </si>
  <si>
    <t>4199 MISSION ST</t>
  </si>
  <si>
    <t>2525 VAN NESS AV</t>
  </si>
  <si>
    <t>0319-501-11</t>
  </si>
  <si>
    <t>Ave D/Poplar St</t>
  </si>
  <si>
    <t>13727 S Inglewood Avenue, Hawthorne CA 90250</t>
  </si>
  <si>
    <t>065 -2625-001-00</t>
  </si>
  <si>
    <t>1600 Solano</t>
  </si>
  <si>
    <t>039-222-029</t>
  </si>
  <si>
    <t>115 W ANAPAMU ST, SANTA BARBARA, CA</t>
  </si>
  <si>
    <t>031-271-008</t>
  </si>
  <si>
    <t>425 SANTA BARBARA St, SANTA BARBARA, CA 93101</t>
  </si>
  <si>
    <t>2250 STANFORD ST</t>
  </si>
  <si>
    <t>450 SENTINEL DR</t>
  </si>
  <si>
    <t>3127 W 147th Street, Gardena CA 90249</t>
  </si>
  <si>
    <t>143.80000000000001</t>
  </si>
  <si>
    <t>6032 E Olympic Boulevard, Los Angeles CA 90022</t>
  </si>
  <si>
    <t>166.69999999999999</t>
  </si>
  <si>
    <t>11208 S Western Avenue, Los Angeles CA 90047</t>
  </si>
  <si>
    <t>53.600000000000001</t>
  </si>
  <si>
    <t>4064 E Live Oak Avenue #201, Arcadia CA 91006</t>
  </si>
  <si>
    <t>4856 W Avenue L-14 Lancaster CA 93536</t>
  </si>
  <si>
    <t>537-0852-001-08; 537-0852-002-09; &amp; 092-0100-005</t>
  </si>
  <si>
    <t>8787 Enterprise Drive</t>
  </si>
  <si>
    <t>1752 East Avenue J-4</t>
  </si>
  <si>
    <t>7220 Maie Avenue, Los Angeles CA 90001</t>
  </si>
  <si>
    <t>71-405-38</t>
  </si>
  <si>
    <t>2050 5th Street</t>
  </si>
  <si>
    <t>069-530-030-000</t>
  </si>
  <si>
    <t>2555 Research Park Dr.</t>
  </si>
  <si>
    <t>2439 N Lincoln Avenue, Altadena CA 91001</t>
  </si>
  <si>
    <t>4036016014, 4036016013</t>
  </si>
  <si>
    <t>10503 Hawthorne Boulevard, Inglewood CA 90304</t>
  </si>
  <si>
    <t>402-023-002, 402-023-003, 402-023-007</t>
  </si>
  <si>
    <t>SAN CARLOS</t>
  </si>
  <si>
    <t>045320170;045320220</t>
  </si>
  <si>
    <t>11 El Camino Real</t>
  </si>
  <si>
    <t>006-171-02</t>
  </si>
  <si>
    <t>247 HIGH ST</t>
  </si>
  <si>
    <t>011-041-63</t>
  </si>
  <si>
    <t>1800 SOQUEL AVE</t>
  </si>
  <si>
    <t>18811 Colima Road, Rowland Heights CA 91748</t>
  </si>
  <si>
    <t>273 S Sierra Madre Boulevard, Pasadena CA 91107</t>
  </si>
  <si>
    <t>2789 SOMIS RD SOMIS, CA 93066</t>
  </si>
  <si>
    <t>2802 SOMIS RD, SOMIS, CA</t>
  </si>
  <si>
    <t>9900 W VENICE BLVD 1-54</t>
  </si>
  <si>
    <t>6220 W SELMA AVE</t>
  </si>
  <si>
    <t>4406 N FULTON AVE</t>
  </si>
  <si>
    <t>10218 N FERNGLEN AVE</t>
  </si>
  <si>
    <t>1563 S FAIRFAX AVE 1-10</t>
  </si>
  <si>
    <t>1011 N EVERETT ST Building A; 1011 N EVERETT ST Building B</t>
  </si>
  <si>
    <t>2795 SOMIS RD, SOMIS, CA</t>
  </si>
  <si>
    <t>2794 SOMIS RD, SOMIS, CA</t>
  </si>
  <si>
    <t>FOSTER CITY</t>
  </si>
  <si>
    <t>094-010-840</t>
  </si>
  <si>
    <t>53 Triton Point Lane</t>
  </si>
  <si>
    <t>10 MIRALUNA DR</t>
  </si>
  <si>
    <t>40407150T</t>
  </si>
  <si>
    <t>7521 N CHESTNUT AVE BLDG 114</t>
  </si>
  <si>
    <t>1657 WESTERN AVE  N  90027</t>
  </si>
  <si>
    <t>13853 W VICTORY BLVD</t>
  </si>
  <si>
    <t>7520 W SUNSET BLVD; 7566 W SUNSET BLVD</t>
  </si>
  <si>
    <t>3705 S MCLAUGHLIN AVE 1-21</t>
  </si>
  <si>
    <t>11701 W SANTA MONICA BLVD</t>
  </si>
  <si>
    <t>2908 N ALLESANDRO ST #1-#36</t>
  </si>
  <si>
    <t>049-1504-008</t>
  </si>
  <si>
    <t>1225 65th Street</t>
  </si>
  <si>
    <t>696 S NEW HAMPSHIRE AVE</t>
  </si>
  <si>
    <t>5814 W LA MIRADA AVE 1-13</t>
  </si>
  <si>
    <t>921 S BEACON ST</t>
  </si>
  <si>
    <t>6120 N WOODMAN AVE #1-16</t>
  </si>
  <si>
    <t>12647 N BRADLEY AVE 1-8</t>
  </si>
  <si>
    <t>5738-014-003</t>
  </si>
  <si>
    <t>130-140 MAR VISTA AVE  
PASADENA, CA 91106</t>
  </si>
  <si>
    <t>057 206101000</t>
  </si>
  <si>
    <t>1717 University Ave</t>
  </si>
  <si>
    <t>055 187602101</t>
  </si>
  <si>
    <t>2538 Durant Ave</t>
  </si>
  <si>
    <t>052 155400400</t>
  </si>
  <si>
    <t>3120-30 Shattuck</t>
  </si>
  <si>
    <t>601  WILSHIRE BLVD</t>
  </si>
  <si>
    <t>711  COLORADO AVE</t>
  </si>
  <si>
    <t>SARATOGA</t>
  </si>
  <si>
    <t>18764 COX AVE</t>
  </si>
  <si>
    <t>241-020-037</t>
  </si>
  <si>
    <t>50 Woodbury Highlands</t>
  </si>
  <si>
    <t>125-580-16</t>
  </si>
  <si>
    <t>517 VALLEY OAKS CIRCLE</t>
  </si>
  <si>
    <t>055 182201303</t>
  </si>
  <si>
    <t>2015 Blake</t>
  </si>
  <si>
    <t>02604314</t>
  </si>
  <si>
    <t>2606 PAUL MINNIE AVE, SANTA CRUZ, CA 95062-1727</t>
  </si>
  <si>
    <t>03205136</t>
  </si>
  <si>
    <t>3911 PORTOLA DR, SANTA CRUZ, CA 95062</t>
  </si>
  <si>
    <t>2800 SOMIS RD, SOMIS, CA</t>
  </si>
  <si>
    <t>Tract 18148 Lots 100, 101, 102, 103, 104, 105</t>
  </si>
  <si>
    <t>32037 Paseo Rama, 27033, 27029, 27025, 27021 Via Caminata, &amp; 32048 Paseo Vienta</t>
  </si>
  <si>
    <t>CALEXICO</t>
  </si>
  <si>
    <t>058-833-022</t>
  </si>
  <si>
    <t>1000 MEADOWS DR #5</t>
  </si>
  <si>
    <t>058-833-026</t>
  </si>
  <si>
    <t>1000 MEADOWS DR #4</t>
  </si>
  <si>
    <t>424-56-056</t>
  </si>
  <si>
    <t>037-131-001</t>
  </si>
  <si>
    <t>630 CHAPALA St, SANTA BARBARA, CA 93101</t>
  </si>
  <si>
    <t>055 187500800</t>
  </si>
  <si>
    <t>2510 Channing Way</t>
  </si>
  <si>
    <t>2527 San Pablo</t>
  </si>
  <si>
    <t>8719C001</t>
  </si>
  <si>
    <t>1070 Bridgeview Wy</t>
  </si>
  <si>
    <t>2100 MISSION ST</t>
  </si>
  <si>
    <t>811 VALENCIA ST</t>
  </si>
  <si>
    <t>11600 NATIONAL BLVD W  90064</t>
  </si>
  <si>
    <t>5504 W HOLLYWOOD BLVD</t>
  </si>
  <si>
    <t>7700 N WOODMAN AVE 1-239</t>
  </si>
  <si>
    <t>1216 MENLO AVE  S  90006</t>
  </si>
  <si>
    <t>13724 W VICTORY BLVD #1 -#67</t>
  </si>
  <si>
    <t>5147-5149 N BAKMAN AVE</t>
  </si>
  <si>
    <t>11168 W MORRISON ST 1-12</t>
  </si>
  <si>
    <t>3401-3415 E 1ST ST</t>
  </si>
  <si>
    <t>4591C674</t>
  </si>
  <si>
    <t>52 KIRKWOOD AV</t>
  </si>
  <si>
    <t>585-08201-</t>
  </si>
  <si>
    <t>PACIFICA AND GATEWAY</t>
  </si>
  <si>
    <t>72-383-04</t>
  </si>
  <si>
    <t>1501 BUENA VISTA AVE</t>
  </si>
  <si>
    <t>946 462300900</t>
  </si>
  <si>
    <t>3363 STREAMSIDE CI</t>
  </si>
  <si>
    <t>220-32-059</t>
  </si>
  <si>
    <t>3049 El Camino Real, SANTA CLARA, CA 95051</t>
  </si>
  <si>
    <t>2223 CALLE DE LUNA, SANTA CLARA, CA 95054</t>
  </si>
  <si>
    <t>3271 SEA COVE WAY</t>
  </si>
  <si>
    <t>3229 MISSION COVE</t>
  </si>
  <si>
    <t>243-150-017</t>
  </si>
  <si>
    <t>210 Lafayette Circle</t>
  </si>
  <si>
    <t>1708 E 61st Street, Los Angeles CA 90001</t>
  </si>
  <si>
    <t>1510  PARKMOOR AV  , SAN JOSE CA 95128</t>
  </si>
  <si>
    <t>1501 Clyde Fannon Rd Bldg J</t>
  </si>
  <si>
    <t>2111 E Firestone Boulevard, Los Angeles CA 90002</t>
  </si>
  <si>
    <t>005-131-038</t>
  </si>
  <si>
    <t>122 Brown</t>
  </si>
  <si>
    <t>2906 Fairmount Avenue #1, La Crescenta CA 91214</t>
  </si>
  <si>
    <t>74-1377-4</t>
  </si>
  <si>
    <t>171 W ATLANTIC AVE</t>
  </si>
  <si>
    <t>1501 Clyde Fannon Rd Bldg K</t>
  </si>
  <si>
    <t>024-180-100</t>
  </si>
  <si>
    <t>200 Rollins Road</t>
  </si>
  <si>
    <t>024-154-200</t>
  </si>
  <si>
    <t>200 El Camino Real</t>
  </si>
  <si>
    <t>1725 E Florence Avenue, Los Angeles CA 90001</t>
  </si>
  <si>
    <t>WESTMINSTER</t>
  </si>
  <si>
    <t>096-101-30</t>
  </si>
  <si>
    <t>14041 Locust St.</t>
  </si>
  <si>
    <t>071-0190-061-0000</t>
  </si>
  <si>
    <t>BIDWELL PLACE</t>
  </si>
  <si>
    <t>049360060;050220020;050220170;050220160</t>
  </si>
  <si>
    <t>808 Alameda De Las Pulgas</t>
  </si>
  <si>
    <t>004-124-34</t>
  </si>
  <si>
    <t>1811 MISSION ST</t>
  </si>
  <si>
    <t>040-311-014</t>
  </si>
  <si>
    <t>28813 Los Alisos, Unit 6</t>
  </si>
  <si>
    <t>MONTEREY COUNTY</t>
  </si>
  <si>
    <t>031-292-064-000</t>
  </si>
  <si>
    <t>16242 EAST GARRISON DR, EAST GARRISON, CA 93933</t>
  </si>
  <si>
    <t>3422 Santa Rosa Ave, Santa Rosa CA 95407</t>
  </si>
  <si>
    <t>007-313-19</t>
  </si>
  <si>
    <t>2239 W Fifth St</t>
  </si>
  <si>
    <t>815  COTATI TR 1</t>
  </si>
  <si>
    <t>808  JULIAN TR 3</t>
  </si>
  <si>
    <t>895 DE GUIGNE DR 3</t>
  </si>
  <si>
    <t>124  MAIDENHAIR TR</t>
  </si>
  <si>
    <t>149  IVORY PALM TR</t>
  </si>
  <si>
    <t>137  JEFFREY TR</t>
  </si>
  <si>
    <t>556  SAN MARTIN TR 2</t>
  </si>
  <si>
    <t>885  DE GUIGNE DR 2</t>
  </si>
  <si>
    <t>541  SAN MARCOS TR 1</t>
  </si>
  <si>
    <t>12690 Broadway</t>
  </si>
  <si>
    <t>HAYWARD</t>
  </si>
  <si>
    <t>078C-0438-019-01</t>
  </si>
  <si>
    <t>Mission Blvd/Valle Vista/Dixon Street/Industrial Pkwy</t>
  </si>
  <si>
    <t>3640 Haven Ave - Building A</t>
  </si>
  <si>
    <t>163-171-039</t>
  </si>
  <si>
    <t>295 Shiloh Road</t>
  </si>
  <si>
    <t>ALHAMBRA</t>
  </si>
  <si>
    <t>101 S Chapel</t>
  </si>
  <si>
    <t>GROVER BEACH</t>
  </si>
  <si>
    <t>1176 Ramona Ave</t>
  </si>
  <si>
    <t>HUNTINGTON BEACH</t>
  </si>
  <si>
    <t>159-121-26</t>
  </si>
  <si>
    <t>18750 Delaware St</t>
  </si>
  <si>
    <t>SIMI VALLEY</t>
  </si>
  <si>
    <t>1196 Patricia Ave</t>
  </si>
  <si>
    <t>6343 Rosemead Boulevard
San Gabriel, CA 91775</t>
  </si>
  <si>
    <t>2434 Foothill Boulevard
La Crescenta, CA 91214</t>
  </si>
  <si>
    <t>SAN PABLO</t>
  </si>
  <si>
    <t>411-041-009</t>
  </si>
  <si>
    <t>1820 Rumrill</t>
  </si>
  <si>
    <t>055 188000700</t>
  </si>
  <si>
    <t>2435 HASTE</t>
  </si>
  <si>
    <t>2803 SOMIS RD, SOMIS, CA</t>
  </si>
  <si>
    <t>2797 SOMIS RD, SOMIS, CA</t>
  </si>
  <si>
    <t>007-021-06</t>
  </si>
  <si>
    <t>711 PACIFIC AVE</t>
  </si>
  <si>
    <t>1418 Mauro Pietro Bldg 3</t>
  </si>
  <si>
    <t>157-970-04</t>
  </si>
  <si>
    <t>801 State Access Rd.</t>
  </si>
  <si>
    <t>005-151-46</t>
  </si>
  <si>
    <t>530 FRONT ST</t>
  </si>
  <si>
    <t>009-234-25</t>
  </si>
  <si>
    <t>915 WATER ST</t>
  </si>
  <si>
    <t>1383 Laurel St</t>
  </si>
  <si>
    <t>010-012-29</t>
  </si>
  <si>
    <t>515 SOQUEL AVE</t>
  </si>
  <si>
    <t>300 E Alhambra</t>
  </si>
  <si>
    <t>3009-024-935</t>
  </si>
  <si>
    <t>931 E AVENUE Q-12</t>
  </si>
  <si>
    <t>344 14th Street / 1463 Stevenson Street</t>
  </si>
  <si>
    <t>3314 CESAR CHAVEZ ST</t>
  </si>
  <si>
    <t>3101 19TH ST</t>
  </si>
  <si>
    <t>094-010-860</t>
  </si>
  <si>
    <t>551-565 Pilgrim Drive</t>
  </si>
  <si>
    <t>203-311-13, 24, &amp; 16</t>
  </si>
  <si>
    <t>13800-13832 Milton Ave.</t>
  </si>
  <si>
    <t>0331001A</t>
  </si>
  <si>
    <t>229 ELLIS ST</t>
  </si>
  <si>
    <t>4274-021-015</t>
  </si>
  <si>
    <t>2033 Virginia</t>
  </si>
  <si>
    <t>718 LONG BRIDGE ST</t>
  </si>
  <si>
    <t>1699 MARKET ST</t>
  </si>
  <si>
    <t>2100 MARKET ST</t>
  </si>
  <si>
    <t>2600 HARRISON ST</t>
  </si>
  <si>
    <t>0667008</t>
  </si>
  <si>
    <t>1452 BUSH ST</t>
  </si>
  <si>
    <t>0028014</t>
  </si>
  <si>
    <t>1255 COLUMBUS AV</t>
  </si>
  <si>
    <t>2615 CANNON RD</t>
  </si>
  <si>
    <t>035-010-071</t>
  </si>
  <si>
    <t>1137 B St</t>
  </si>
  <si>
    <t>5120 N CAHUENGA BLVD UNITS: 1-7</t>
  </si>
  <si>
    <t>1800 W BEVERLY BLVD</t>
  </si>
  <si>
    <t>3039 N BLACKSTONE AVE</t>
  </si>
  <si>
    <t>253 RACE ST</t>
  </si>
  <si>
    <t>605 BLOSSOM HILL RD</t>
  </si>
  <si>
    <t>2350 BASCOM AV</t>
  </si>
  <si>
    <t>486 W SAN CARLOS ST</t>
  </si>
  <si>
    <t>21 G ST</t>
  </si>
  <si>
    <t>1200 IRWIN ST</t>
  </si>
  <si>
    <t>6501 BROADWAY  S  90003</t>
  </si>
  <si>
    <t>20120 W SHERMAN WAY 1-91</t>
  </si>
  <si>
    <t>SOUTH EL MONTE</t>
  </si>
  <si>
    <t>8581-038-002</t>
  </si>
  <si>
    <t>3035 Adelia Ave</t>
  </si>
  <si>
    <t>BALDWIN PARK</t>
  </si>
  <si>
    <t>APN not available</t>
  </si>
  <si>
    <t>15110 &amp;15120 Badillo</t>
  </si>
  <si>
    <t>0318-235-24</t>
  </si>
  <si>
    <t>County Line Road and 5th Street</t>
  </si>
  <si>
    <t>12101 W OLYMPIC BLVD</t>
  </si>
  <si>
    <t>4055 W OAKWOOD AVE</t>
  </si>
  <si>
    <t>013-151-034</t>
  </si>
  <si>
    <t>2845 SCHOOLHOUSE LN
CAMBRIA, CA 93428</t>
  </si>
  <si>
    <t>026-240-290</t>
  </si>
  <si>
    <t>1028 Carolan Ave</t>
  </si>
  <si>
    <t>126-061-001</t>
  </si>
  <si>
    <t>19910 Fifth Street West</t>
  </si>
  <si>
    <t>EL CERRITO</t>
  </si>
  <si>
    <t>11965 SAN PABLO AVE</t>
  </si>
  <si>
    <t>CATHEDRAL</t>
  </si>
  <si>
    <t>678-060-001, -002, -003, -004, -005, -049, -050, -051, -052, -053</t>
  </si>
  <si>
    <t>30600 LANDAU BLVD</t>
  </si>
  <si>
    <t>029-112-350</t>
  </si>
  <si>
    <t>1418 Bellevue Ave</t>
  </si>
  <si>
    <t>025-169-380</t>
  </si>
  <si>
    <t>1 Adrian Ct</t>
  </si>
  <si>
    <t>1000 SYNERGY  IRVINE, CA 92614</t>
  </si>
  <si>
    <t>504-170-022</t>
  </si>
  <si>
    <t>512 El Cerrito Plaza</t>
  </si>
  <si>
    <t>059-080-012</t>
  </si>
  <si>
    <t>111 American Canyon Rd</t>
  </si>
  <si>
    <t>029-224-270</t>
  </si>
  <si>
    <t>150 Park Rd</t>
  </si>
  <si>
    <t>Tyler and Pearl</t>
  </si>
  <si>
    <t>094 001901700</t>
  </si>
  <si>
    <t>251 KOTTINGER DR</t>
  </si>
  <si>
    <t>3399 STREAMSIDE CI</t>
  </si>
  <si>
    <t>025 071201400</t>
  </si>
  <si>
    <t>2700 INTERNATIONAL BLVD</t>
  </si>
  <si>
    <t>021 022300301</t>
  </si>
  <si>
    <t>347 E 18TH ST</t>
  </si>
  <si>
    <t>020 015301501</t>
  </si>
  <si>
    <t>1440 23RD AVE</t>
  </si>
  <si>
    <t>020 010900603</t>
  </si>
  <si>
    <t>2040 SOLANO WY</t>
  </si>
  <si>
    <t>139-0-080-335</t>
  </si>
  <si>
    <t>1357 Althea Court</t>
  </si>
  <si>
    <t>DEL MAR</t>
  </si>
  <si>
    <t>300-221-33-00</t>
  </si>
  <si>
    <t>941 Camino del Mar</t>
  </si>
  <si>
    <t>352-358 W. Milford St.</t>
  </si>
  <si>
    <t>066-2797-009-02</t>
  </si>
  <si>
    <t>540 San Pablo</t>
  </si>
  <si>
    <t>1717 University</t>
  </si>
  <si>
    <t>3000 San Pablo</t>
  </si>
  <si>
    <t>18TH &amp; HOLUB LANE</t>
  </si>
  <si>
    <t>409 Glenwood Ave</t>
  </si>
  <si>
    <t>099 005601002</t>
  </si>
  <si>
    <t>101 APRICOT</t>
  </si>
  <si>
    <t>941 277801100</t>
  </si>
  <si>
    <t>5777 GIBRALTAR DR</t>
  </si>
  <si>
    <t>3405 STREAMSIDE CI</t>
  </si>
  <si>
    <t>245 KOTTINGER DR</t>
  </si>
  <si>
    <t>16341004, 05, 29, 30, 46, 47, &amp; 48</t>
  </si>
  <si>
    <t>464 &amp; 468 Los Angeles Drive</t>
  </si>
  <si>
    <t>060-237018-</t>
  </si>
  <si>
    <t>060-242057-</t>
  </si>
  <si>
    <t>1206 W Grand</t>
  </si>
  <si>
    <t>060-357-016</t>
  </si>
  <si>
    <t>1211 Baden Avenue</t>
  </si>
  <si>
    <t>402 N WEITZEL ST</t>
  </si>
  <si>
    <t>018-372-14</t>
  </si>
  <si>
    <t>511 OHLONE PARKWAY</t>
  </si>
  <si>
    <t>3259 SEA COVE WAY</t>
  </si>
  <si>
    <t>3263 SEA COVE WAY</t>
  </si>
  <si>
    <t>1755 W Imperial Highway</t>
  </si>
  <si>
    <t>343 E 2nd Ave</t>
  </si>
  <si>
    <t>005-151-52</t>
  </si>
  <si>
    <t>508/418 FRONT ST</t>
  </si>
  <si>
    <t>POWAY</t>
  </si>
  <si>
    <t>13098 Poway Rd.</t>
  </si>
  <si>
    <t>1425 C ST</t>
  </si>
  <si>
    <t>7321 Miramonte Boulevard, Los Angeles CA 90001</t>
  </si>
  <si>
    <t>4036016016 4036016033</t>
  </si>
  <si>
    <t>10505-10507 Hawthorne Boulevard, Inglewood CA 90304</t>
  </si>
  <si>
    <t>TR | 8180 | 5 | 5 | 0 |</t>
  </si>
  <si>
    <t>4373 MODOC TER</t>
  </si>
  <si>
    <t>519 131000504</t>
  </si>
  <si>
    <t>44728 Old Warm Springs Blvd</t>
  </si>
  <si>
    <t>8031005029 8031005092 8031005093</t>
  </si>
  <si>
    <t>13865 Leffingwell Road, Whittier CA 90604 13869 Leffingwell Road, Whittier CA 90604</t>
  </si>
  <si>
    <t>247 KOTTINGER DR</t>
  </si>
  <si>
    <t>392 Sycamore Road</t>
  </si>
  <si>
    <t>3922-3932 Park Blvd</t>
  </si>
  <si>
    <t>5548 Riley Street</t>
  </si>
  <si>
    <t>1035-1045 E Street</t>
  </si>
  <si>
    <t>5357-008-020</t>
  </si>
  <si>
    <t>1501 S 2nd St</t>
  </si>
  <si>
    <t>1 WATERS PARK DR</t>
  </si>
  <si>
    <t>2449-037-011</t>
  </si>
  <si>
    <t>777  N FRONT ST</t>
  </si>
  <si>
    <t>18326 VILLANOVA LN</t>
  </si>
  <si>
    <t>18310 PALOMARES LN</t>
  </si>
  <si>
    <t>18740 MINER LN</t>
  </si>
  <si>
    <t>15450 WATSONVILLE RD</t>
  </si>
  <si>
    <t>01125612</t>
  </si>
  <si>
    <t>809 B ST</t>
  </si>
  <si>
    <t>01127501</t>
  </si>
  <si>
    <t>980 LINCOLN AVE</t>
  </si>
  <si>
    <t>201 N LA BREA AV</t>
  </si>
  <si>
    <t>7472-7474 El Cajon Blvd</t>
  </si>
  <si>
    <t>72-383-4</t>
  </si>
  <si>
    <t>946 168000203</t>
  </si>
  <si>
    <t>3701 NEVADA ST</t>
  </si>
  <si>
    <t>2331 UNIVERSITY</t>
  </si>
  <si>
    <t>3100 MARTIN</t>
  </si>
  <si>
    <t>CALABASAS</t>
  </si>
  <si>
    <t>2069-011-005, 2069-011-006</t>
  </si>
  <si>
    <t>4240 Las Virgenes</t>
  </si>
  <si>
    <t>2068-005-012 &amp; 2068-005-011</t>
  </si>
  <si>
    <t>23480 Park Sorrento</t>
  </si>
  <si>
    <t>16800 MONTEREY RD</t>
  </si>
  <si>
    <t>HEALDSBURG</t>
  </si>
  <si>
    <t>091-060-019</t>
  </si>
  <si>
    <t>1801 Boxheart Drive</t>
  </si>
  <si>
    <t>1406 W 105th Street
Los Angeles, CA 90047</t>
  </si>
  <si>
    <t>0 Santa Victoria Road</t>
  </si>
  <si>
    <t>777 West Middlefield Road</t>
  </si>
  <si>
    <t>249 KOTTINGER DR</t>
  </si>
  <si>
    <t>LAKE COUNTY</t>
  </si>
  <si>
    <t>024-071-69</t>
  </si>
  <si>
    <t>5400 Gaddy Lane, KELSEYVILLE, CA 95451</t>
  </si>
  <si>
    <t>ENCINITAS</t>
  </si>
  <si>
    <t>260-131-02</t>
  </si>
  <si>
    <t>735 Santa Fe Dr.</t>
  </si>
  <si>
    <t>230 S Eastman Avenue
Los Angeles, CA 90063</t>
  </si>
  <si>
    <t>5622 Walnut Grove Avenue
San Gabriel, CA 91776</t>
  </si>
  <si>
    <t>243-040-035</t>
  </si>
  <si>
    <t>1000 Dewing Avenue</t>
  </si>
  <si>
    <t>202 PLUM TREE</t>
  </si>
  <si>
    <t>1437 Lincoln Blvd</t>
  </si>
  <si>
    <t>2822 Santa Monica Blvd</t>
  </si>
  <si>
    <t>11814 Aviation Boulevard  Inglewood, CA 90304</t>
  </si>
  <si>
    <t>11237 Gladhill Road
Whittier, CA 90604</t>
  </si>
  <si>
    <t>1619 Firestone Boulevard  Los Angeles, CA 90001</t>
  </si>
  <si>
    <t>4655 E 3rd Street  Los Angeles, CA 90022</t>
  </si>
  <si>
    <t>222-0-011-270; -280</t>
  </si>
  <si>
    <t>5567 SAVIERS RD</t>
  </si>
  <si>
    <t>049-0951-004-02; 049-0951-005-01; 049-0951-006-01; 049-0951-007; 012-0951-011</t>
  </si>
  <si>
    <t>3706 San Pablo Ave</t>
  </si>
  <si>
    <t>501 W. Foothill Blvd.</t>
  </si>
  <si>
    <t>10505 Hawthorne Boulevard  Inglewood, CA 90304</t>
  </si>
  <si>
    <t>5557 SAVIERS RD</t>
  </si>
  <si>
    <t>008-044-02</t>
  </si>
  <si>
    <t>1930 OCEAN ST EXT</t>
  </si>
  <si>
    <t>398-328-01</t>
  </si>
  <si>
    <t>114 E. Fifth St.</t>
  </si>
  <si>
    <t>3267 SEA COVE WAY</t>
  </si>
  <si>
    <t>10501 S Buford Avenue, Inglewood CA 90304</t>
  </si>
  <si>
    <t>5801 CAMERFORD AVE  W  90038</t>
  </si>
  <si>
    <t>5232 WILLOW CREST AVE  N  91601</t>
  </si>
  <si>
    <t>11201 VENTURA BLVD W  91604</t>
  </si>
  <si>
    <t>13267 MOORPARK ST   W  91423</t>
  </si>
  <si>
    <t>1563 FAIRFAX AVE  S  90019</t>
  </si>
  <si>
    <t>11010 SANTA MONICA BLVD W  90025</t>
  </si>
  <si>
    <t>4242 CRENSHAW BLVD S  90008</t>
  </si>
  <si>
    <t>2528 S GRAND AVE</t>
  </si>
  <si>
    <t>4314 W ADAMS BLVD</t>
  </si>
  <si>
    <t>049-1556-001</t>
  </si>
  <si>
    <t>6301 Shellmound St</t>
  </si>
  <si>
    <t>5288-004-057</t>
  </si>
  <si>
    <t>8449 Earle Avenue</t>
  </si>
  <si>
    <t>039-0011-013-0000</t>
  </si>
  <si>
    <t>4550 LE DONNE DR, BLDG# 3
SACRAMENTO, CA 95823</t>
  </si>
  <si>
    <t>4550 LE DONNE DR, BLDG# 9
SACRAMENTO, CA 95823</t>
  </si>
  <si>
    <t>294-39-010</t>
  </si>
  <si>
    <t>3945 Stevens Creek BL, SANTA CLARA, CA</t>
  </si>
  <si>
    <t>224-48-004</t>
  </si>
  <si>
    <t>1465 EL CAMINO REAL, SANTA CLARA, CA 95050</t>
  </si>
  <si>
    <t>5537 SAVIERS RD</t>
  </si>
  <si>
    <t>5181 W ADAMS BLVD</t>
  </si>
  <si>
    <t>010-072-78</t>
  </si>
  <si>
    <t>1024 SOQUEL AVE</t>
  </si>
  <si>
    <t>1230 W INGRAHAM ST</t>
  </si>
  <si>
    <t>6105-009-008, 009</t>
  </si>
  <si>
    <t>15717 &amp; 15725 S. Normandie Ave</t>
  </si>
  <si>
    <t>4236-020-006</t>
  </si>
  <si>
    <t>12727 Washington</t>
  </si>
  <si>
    <t>954 S CATALINA ST 1-19</t>
  </si>
  <si>
    <t>2062 E 99TH PL 101-523</t>
  </si>
  <si>
    <t>4266-001-045</t>
  </si>
  <si>
    <t>3223  WILSHIRE BLVD</t>
  </si>
  <si>
    <t>1418 Mauro Pietro  Bldg2</t>
  </si>
  <si>
    <t>415-0180-076-00; 415-0180-075-00; 415-0180-074-00</t>
  </si>
  <si>
    <t>21502 Foothill Blvd; 1435 Grove Way</t>
  </si>
  <si>
    <t>501 093002002</t>
  </si>
  <si>
    <t>4101 Mowry Ave</t>
  </si>
  <si>
    <t>4267-018-026</t>
  </si>
  <si>
    <t>2906 Santa Monica Blvd</t>
  </si>
  <si>
    <t>TR | 8180 | 4 | 4 | 0 |</t>
  </si>
  <si>
    <t>4372 MODOC TER</t>
  </si>
  <si>
    <t>19545 E Cienega Avenue
Covina, CA 91724</t>
  </si>
  <si>
    <t>4018 W Avenue L
Lancaster, CA 93536</t>
  </si>
  <si>
    <t>2439 N Lincoln Avenue
Altadena, CA 91001</t>
  </si>
  <si>
    <t>453-0090-014-00</t>
  </si>
  <si>
    <t>Manon Ave</t>
  </si>
  <si>
    <t>011-256-12</t>
  </si>
  <si>
    <t>815 B Street</t>
  </si>
  <si>
    <t>36.700000000000003</t>
  </si>
  <si>
    <t>NATIONAL CITY</t>
  </si>
  <si>
    <t>1821 C Avenue</t>
  </si>
  <si>
    <t>17275 DERIAN AVE  IRVINE, CA 92614</t>
  </si>
  <si>
    <t>299 E Thousand Oaks Blvd</t>
  </si>
  <si>
    <t>VTTM 18165</t>
  </si>
  <si>
    <t>215 Weller Street</t>
  </si>
  <si>
    <t>4186 04TH AV</t>
  </si>
  <si>
    <t>126-164-051, -054</t>
  </si>
  <si>
    <t>1313-1321 Galindo Street</t>
  </si>
  <si>
    <t>4856 W Avenue L-14
Quartz Hill, CA 93536</t>
  </si>
  <si>
    <t>5010 E 3rd Street
Los Angeles, CA 90022</t>
  </si>
  <si>
    <t>4064 E Live Oak Avenue Unit: 201
Arcadia, CA 91006</t>
  </si>
  <si>
    <t>035200180</t>
  </si>
  <si>
    <t>420 STATION PARK CIR</t>
  </si>
  <si>
    <t>034182160</t>
  </si>
  <si>
    <t>405 E 4TH AVE</t>
  </si>
  <si>
    <t>032322130 and 032322200</t>
  </si>
  <si>
    <t>303 Baldwin Ave</t>
  </si>
  <si>
    <t>557-120-25-00</t>
  </si>
  <si>
    <t>630 R</t>
  </si>
  <si>
    <t>560 El Camino Real</t>
  </si>
  <si>
    <t>11202 Whittier Boulevard
Whittier, CA 90606</t>
  </si>
  <si>
    <t>4862 &amp; 4864 E. Cochran St.</t>
  </si>
  <si>
    <t>162 S 3rd Avenue  La Puente, CA 91746</t>
  </si>
  <si>
    <t>712 SEAGAZE DR</t>
  </si>
  <si>
    <t>0.10000000000000001</t>
  </si>
  <si>
    <t>176-300-54 &amp; 55</t>
  </si>
  <si>
    <t>751 E. Vista Way</t>
  </si>
  <si>
    <t>OAKLEY</t>
  </si>
  <si>
    <t>051-210-019</t>
  </si>
  <si>
    <t>Elm Ln.</t>
  </si>
  <si>
    <t>TULARE</t>
  </si>
  <si>
    <t>175-014-003</t>
  </si>
  <si>
    <t>256 S SACRAMENTO ST</t>
  </si>
  <si>
    <t>TEMECULA</t>
  </si>
  <si>
    <t>43513 VENTANA STREET</t>
  </si>
  <si>
    <t>236 S SACRAMENTO ST</t>
  </si>
  <si>
    <t>13865 Leffingwell Road  Whittier, CA 90604</t>
  </si>
  <si>
    <t>14433 Leffingwell Road  Whittier, CA 90604</t>
  </si>
  <si>
    <t>365 W. San Jose Avenue</t>
  </si>
  <si>
    <t>001-172-04</t>
  </si>
  <si>
    <t>335 GOLF CLUB DR</t>
  </si>
  <si>
    <t>198-281-25</t>
  </si>
  <si>
    <t>3417 W. Fifth St.</t>
  </si>
  <si>
    <t>5527 SAVIERS RD</t>
  </si>
  <si>
    <t>5547 SAVIERS RD</t>
  </si>
  <si>
    <t>010-031-76</t>
  </si>
  <si>
    <t>630 WATER ST</t>
  </si>
  <si>
    <t>389 FIRST STREET</t>
  </si>
  <si>
    <t>518 131003418</t>
  </si>
  <si>
    <t>45025 S Grimmer Blvd</t>
  </si>
  <si>
    <t>45108 Tom Blalock St</t>
  </si>
  <si>
    <t>BREA</t>
  </si>
  <si>
    <t>Not Available</t>
  </si>
  <si>
    <t>400 W Central Ave 101-104,201-206 301-310</t>
  </si>
  <si>
    <t>051-220-005</t>
  </si>
  <si>
    <t>5301 Elm Lane</t>
  </si>
  <si>
    <t>078C-0626-00309,  078C-0626-003-16,  078C-0626-001-07,  078C-0641-010-01, 078C-0635-013-03, 078C0640-007-06, 078C-0641-001-00</t>
  </si>
  <si>
    <t>No address</t>
  </si>
  <si>
    <t>078C-0438-990-217</t>
  </si>
  <si>
    <t>29243 Mission Blvd</t>
  </si>
  <si>
    <t>4282-032-003</t>
  </si>
  <si>
    <t>1512 Euclid St</t>
  </si>
  <si>
    <t>4291-022-026</t>
  </si>
  <si>
    <t>710 Broadway</t>
  </si>
  <si>
    <t>1341 W Gardena Blvd</t>
  </si>
  <si>
    <t>7901 CIVITA BL</t>
  </si>
  <si>
    <t>4305 03RD AV</t>
  </si>
  <si>
    <t>005 047900301</t>
  </si>
  <si>
    <t>3419 SAN PABLO AVE, Oakland, CA 94608</t>
  </si>
  <si>
    <t>9.0999999999999996</t>
  </si>
  <si>
    <t>008 067000100</t>
  </si>
  <si>
    <t>2359 HARRISON ST, OAKLAND, CA 94612</t>
  </si>
  <si>
    <t>3600-3628 WILLOW PASS RD BAY POINT</t>
  </si>
  <si>
    <t>5235 CALLE DORADO</t>
  </si>
  <si>
    <t>4285-027-023</t>
  </si>
  <si>
    <t>2903  LINCOLN BLVD</t>
  </si>
  <si>
    <t>4207-006-915</t>
  </si>
  <si>
    <t>9763 Culver</t>
  </si>
  <si>
    <t>078C-0626-006-01</t>
  </si>
  <si>
    <t>28000 Mission Blvd/28090 Mission Blvd</t>
  </si>
  <si>
    <t>17321 MURPHY AVE 100 IRVINE, CA 92614</t>
  </si>
  <si>
    <t>4162 Estrella Avenue</t>
  </si>
  <si>
    <t>232 West Ash &amp; 1400 Front St.</t>
  </si>
  <si>
    <t>454 13th Street</t>
  </si>
  <si>
    <t>707 17th Street</t>
  </si>
  <si>
    <t>5638-001-087</t>
  </si>
  <si>
    <t>515 W. Broadway</t>
  </si>
  <si>
    <t>815 Civic Center Drive</t>
  </si>
  <si>
    <t>1821 E 9th St</t>
  </si>
  <si>
    <t>WEST SACRAMENTO</t>
  </si>
  <si>
    <t>010-464-004</t>
  </si>
  <si>
    <t>421 F ST, BLDG</t>
  </si>
  <si>
    <t>ARCATA</t>
  </si>
  <si>
    <t>021-163-006</t>
  </si>
  <si>
    <t>969 7th Street</t>
  </si>
  <si>
    <t>1030 INDIAN WELLS AV</t>
  </si>
  <si>
    <t>501 147503206</t>
  </si>
  <si>
    <t>37358 Fremont Boulevard</t>
  </si>
  <si>
    <t>5215 CALLE DORADO</t>
  </si>
  <si>
    <t>392 SYCAMORE RD</t>
  </si>
  <si>
    <t>1144 30th Street</t>
  </si>
  <si>
    <t>2828 Broadway</t>
  </si>
  <si>
    <t>4195 Kansas St</t>
  </si>
  <si>
    <t>8162 1/3 CARMEL MOUNTAIN RD</t>
  </si>
  <si>
    <t>1141 E Street</t>
  </si>
  <si>
    <t>2557 RIVER OAKS BLVD #120</t>
  </si>
  <si>
    <t>004-530-045</t>
  </si>
  <si>
    <t>2375 Old Sonoma</t>
  </si>
  <si>
    <t>431-0004-090-00</t>
  </si>
  <si>
    <t>603 A Street</t>
  </si>
  <si>
    <t>3532019B</t>
  </si>
  <si>
    <t>235 VALENCIA ST</t>
  </si>
  <si>
    <t>04180102</t>
  </si>
  <si>
    <t>11001 S Vermont Avenue, Los Angeles CA 90044</t>
  </si>
  <si>
    <t>14433 Leffingwell Road, Whittier CA 90604</t>
  </si>
  <si>
    <t>1633 E 117th Place, Los Angeles CA 90059</t>
  </si>
  <si>
    <t>HOLLISTER</t>
  </si>
  <si>
    <t>580 Westside Blvd.</t>
  </si>
  <si>
    <t>BRISBANE</t>
  </si>
  <si>
    <t>007220020</t>
  </si>
  <si>
    <t>36-50 San Bruno Ave</t>
  </si>
  <si>
    <t>VTTM 17723</t>
  </si>
  <si>
    <t>1125 Detroit Street</t>
  </si>
  <si>
    <t>74-1373-102-2</t>
  </si>
  <si>
    <t>601 MARTIN MARINER AVE UNITS 113-119</t>
  </si>
  <si>
    <t>1414 5th St</t>
  </si>
  <si>
    <t>17902201, 02, 05, 06, 07, 24, 23, 25</t>
  </si>
  <si>
    <t>S. Santa Fe Avenue</t>
  </si>
  <si>
    <t>74-1366-9</t>
  </si>
  <si>
    <t>2801 TRADEWIND CT UNITS 7-12</t>
  </si>
  <si>
    <t>451 MITCHELL AVE  UNITS 1-6</t>
  </si>
  <si>
    <t>839-161-16</t>
  </si>
  <si>
    <t>TBD Los Alisos Boulevard</t>
  </si>
  <si>
    <t>1101 5TH ST   E  90013</t>
  </si>
  <si>
    <t>975 MANHATTAN PL   S  90019</t>
  </si>
  <si>
    <t>5246 HERMITAGE AVE  N  91607</t>
  </si>
  <si>
    <t>4741 LIBBIT AVE  N  91436</t>
  </si>
  <si>
    <t>11750 W WILSHIRE BLVD 1-376</t>
  </si>
  <si>
    <t>10325 W TABOR ST 1-42</t>
  </si>
  <si>
    <t>839-161-12</t>
  </si>
  <si>
    <t>28715 Los Alisos Boulevard</t>
  </si>
  <si>
    <t>049-15560-001</t>
  </si>
  <si>
    <t>6301 Shellmound Street</t>
  </si>
  <si>
    <t>1103 HAMAL</t>
  </si>
  <si>
    <t>12611 W OXNARD ST #1-11</t>
  </si>
  <si>
    <t>1105 HAMAL  IRVINE, CA 92618</t>
  </si>
  <si>
    <t>9502 COMPTON AVE  S  90002</t>
  </si>
  <si>
    <t>726 WILTON PL   S  90005</t>
  </si>
  <si>
    <t>10425 SANTA MONICA BLVD W  90025</t>
  </si>
  <si>
    <t>5501 MAIN ST   S  90037</t>
  </si>
  <si>
    <t>2908 ALLESANDRO ST   N  90039</t>
  </si>
  <si>
    <t>11961 VENICE BLVD W  90066</t>
  </si>
  <si>
    <t>17346 SUNSET BLVD W  90272</t>
  </si>
  <si>
    <t>11311 W CHANDLER BLVD</t>
  </si>
  <si>
    <t>767 N AVENUE 50</t>
  </si>
  <si>
    <t>049-0950-001-00  049-0950-006-01</t>
  </si>
  <si>
    <t>3600-3610-3620 San Pablo Avenue</t>
  </si>
  <si>
    <t>049-1556-008</t>
  </si>
  <si>
    <t>6251 Shellmound Street</t>
  </si>
  <si>
    <t>986-0034-009-00</t>
  </si>
  <si>
    <t>Dublin BLVD</t>
  </si>
  <si>
    <t>4073 ALBATROSS ST</t>
  </si>
  <si>
    <t>598 W LAUREL ST</t>
  </si>
  <si>
    <t>320 W CEDAR ST</t>
  </si>
  <si>
    <t>4224 OHIO ST</t>
  </si>
  <si>
    <t>470 NAUTILUS ST</t>
  </si>
  <si>
    <t>2293 Dunlop St</t>
  </si>
  <si>
    <t>04180104</t>
  </si>
  <si>
    <t>030-461-044</t>
  </si>
  <si>
    <t>10165 EL CAMINO REAL</t>
  </si>
  <si>
    <t>GARDEN GROVE</t>
  </si>
  <si>
    <t>10080 GARDEN GROVE BLVD</t>
  </si>
  <si>
    <t>003-551-003</t>
  </si>
  <si>
    <t>1601 Osos St
San Luis Obispo, CA 93401</t>
  </si>
  <si>
    <t>2150 W Hillcrest Dr</t>
  </si>
  <si>
    <t>GOLETA</t>
  </si>
  <si>
    <t>073-330-022</t>
  </si>
  <si>
    <t>6501 Cobble Lane</t>
  </si>
  <si>
    <t>1201 RUNNYMEDE ST.</t>
  </si>
  <si>
    <t>005-151-50</t>
  </si>
  <si>
    <t>508 FRONT ST</t>
  </si>
  <si>
    <t>31.600000000000001</t>
  </si>
  <si>
    <t>4091 REDWOOD AVE  S  90066</t>
  </si>
  <si>
    <t>6604 WEST BLVD S  90043</t>
  </si>
  <si>
    <t>511 HARBOR BLVD S  90731</t>
  </si>
  <si>
    <t>NONE NONE 79464</t>
  </si>
  <si>
    <t>9402 BROADWAY  S  90003</t>
  </si>
  <si>
    <t>3760 NORMANDIE AVE  S  90007</t>
  </si>
  <si>
    <t>418 ALVARADO ST   N  90026</t>
  </si>
  <si>
    <t>3077 CAHUENGA BLVD N  90068</t>
  </si>
  <si>
    <t>1333 TAMARIND AVE  N  90028</t>
  </si>
  <si>
    <t>1028-1030 N. Kings Road</t>
  </si>
  <si>
    <t>2810 FIFTH ST UNITS 132-143</t>
  </si>
  <si>
    <t>6817 WINNETKA AVE  N  91306</t>
  </si>
  <si>
    <t>6329 N CLYBOURN AVE</t>
  </si>
  <si>
    <t>4719 S NORMANDIE AVE</t>
  </si>
  <si>
    <t>10247 N VARIEL AVE #1-#32</t>
  </si>
  <si>
    <t>283 W IMPERIAL HWY</t>
  </si>
  <si>
    <t>12444 W VENICE BLVD</t>
  </si>
  <si>
    <t>11800 W KAGEL CANYON ST 1-49</t>
  </si>
  <si>
    <t>5623-005-901</t>
  </si>
  <si>
    <t>1116 Sonora Ave</t>
  </si>
  <si>
    <t>2514  WEST RANCH ST</t>
  </si>
  <si>
    <t>008 065101801</t>
  </si>
  <si>
    <t>2044 FRANKLIN ST</t>
  </si>
  <si>
    <t>456 W 9TH ST</t>
  </si>
  <si>
    <t>4128 30TH ST</t>
  </si>
  <si>
    <t>6315 IMPERIAL AV</t>
  </si>
  <si>
    <t>13713 W OXNARD ST</t>
  </si>
  <si>
    <t>200 E WASHINGTON BLVD</t>
  </si>
  <si>
    <t>7219 N CANBY AVE 1-26</t>
  </si>
  <si>
    <t>1035 S BERENDO ST 1-42</t>
  </si>
  <si>
    <t>8218 GARDEN GROVE BLVD</t>
  </si>
  <si>
    <t>3793-3797 Ray St</t>
  </si>
  <si>
    <t>10222 San Diego Mission Rd</t>
  </si>
  <si>
    <t>SHASTA LAKE</t>
  </si>
  <si>
    <t>005-060-053</t>
  </si>
  <si>
    <t>4275 MEADE ST</t>
  </si>
  <si>
    <t>12003 S MAIN ST</t>
  </si>
  <si>
    <t>2581 E CHAUCER ST BLDG # 3,1-6</t>
  </si>
  <si>
    <t>8899 BEVERLY BLVD</t>
  </si>
  <si>
    <t>072011062</t>
  </si>
  <si>
    <t>3701 TABORA DR</t>
  </si>
  <si>
    <t>1102 HAMAL</t>
  </si>
  <si>
    <t>056-201-101</t>
  </si>
  <si>
    <t>400 LOUISE Way, SONOMA CA</t>
  </si>
  <si>
    <t>6325 IMPERIAL AV</t>
  </si>
  <si>
    <t>1445 WASHINGTON ST</t>
  </si>
  <si>
    <t>04180106</t>
  </si>
  <si>
    <t>1610512600, 1610510600, &amp; 1610512100</t>
  </si>
  <si>
    <t>1150-1564 N Santa Fe Avenue</t>
  </si>
  <si>
    <t>1650 W Steele Ln</t>
  </si>
  <si>
    <t>10132 COMMERCE AVE  N  91042</t>
  </si>
  <si>
    <t>16015 SHERMAN WAY  W  91406</t>
  </si>
  <si>
    <t>1601 LAS PALMAS AVE  N  90028</t>
  </si>
  <si>
    <t>2957 ALLESANDRO ST   N  90039</t>
  </si>
  <si>
    <t>6714 MAIN ST   S  90003</t>
  </si>
  <si>
    <t>5525 SUNSET BLVD W  90028</t>
  </si>
  <si>
    <t>2423 1ST ST</t>
  </si>
  <si>
    <t>4050 FIGUEROA ST   S  90037</t>
  </si>
  <si>
    <t>4325025BRK</t>
  </si>
  <si>
    <t>1644 MALCOLM AVE</t>
  </si>
  <si>
    <t>5750 HOLLYWOOD BLVD</t>
  </si>
  <si>
    <t>1525 HOBART BLVD N  90027</t>
  </si>
  <si>
    <t>14303 FRIAR ST   W  91401</t>
  </si>
  <si>
    <t>11272 NEBRASKA AVE  W  90025</t>
  </si>
  <si>
    <t>924 CATALINA ST   S  90006</t>
  </si>
  <si>
    <t>3735 BAGLEY AVE</t>
  </si>
  <si>
    <t>3815 AVENUE 43</t>
  </si>
  <si>
    <t>12444 CHANDLER BLVD</t>
  </si>
  <si>
    <t>161 NORMANDIE AVE</t>
  </si>
  <si>
    <t>11681 FOOTHILL BLVD W  91342</t>
  </si>
  <si>
    <t>12147 MAGNOLIA BLVD W  91607</t>
  </si>
  <si>
    <t>14353 RIVERSIDE DR   W  91423</t>
  </si>
  <si>
    <t>1800 7TH ST   E  90021</t>
  </si>
  <si>
    <t>315 COMMONWEALTH AVE  S  90020</t>
  </si>
  <si>
    <t>5181 ADAMS BLVD W  90016</t>
  </si>
  <si>
    <t>6912 RESEDA BLVD N  91335</t>
  </si>
  <si>
    <t>7500 SUNSET BLVD W  90046</t>
  </si>
  <si>
    <t>943 82ND ST   W  90044</t>
  </si>
  <si>
    <t>2870 OLYMPIC BLVD W  90006</t>
  </si>
  <si>
    <t>407 5TH ST   E  90013</t>
  </si>
  <si>
    <t>1316 LINWOOD AVE  W  90017</t>
  </si>
  <si>
    <t>4219 BROADWAY  S  90037</t>
  </si>
  <si>
    <t>9900 VENICE BLVD W  90232</t>
  </si>
  <si>
    <t>8767 PARTHENIA PL   N  91343</t>
  </si>
  <si>
    <t>1309 PACIFIC AVE  S  90731</t>
  </si>
  <si>
    <t>2467 LINCOLN BLVD S  90291</t>
  </si>
  <si>
    <t>11829 CHANDLER BLVD W  91607</t>
  </si>
  <si>
    <t>5235 VANTAGE AVE  N  91607</t>
  </si>
  <si>
    <t>316 LA CIENEGA BLVD N  90048</t>
  </si>
  <si>
    <t>11568 PICO BLVD W  90064</t>
  </si>
  <si>
    <t>6706 S MAIN ST</t>
  </si>
  <si>
    <t>11500 W EMELITA ST</t>
  </si>
  <si>
    <t>12665 N SAN FERNANDO ROAD</t>
  </si>
  <si>
    <t>6940 N OWENSMOUTH AVE</t>
  </si>
  <si>
    <t>3200 W TEMPLE ST</t>
  </si>
  <si>
    <t>235 N HOOVER ST</t>
  </si>
  <si>
    <t>5125 S AVALON BLVD 1-28</t>
  </si>
  <si>
    <t>14401 W FOOTHILL BLVD 1-37</t>
  </si>
  <si>
    <t>424 N FIRMIN ST</t>
  </si>
  <si>
    <t>2151 E 101ST ST 1-91</t>
  </si>
  <si>
    <t>044051048</t>
  </si>
  <si>
    <t>1024 Kawana Springs RD</t>
  </si>
  <si>
    <t>4900 W HOLLYWOOD BLVD</t>
  </si>
  <si>
    <t>3010 Del Hombre Walnut Creek, CA</t>
  </si>
  <si>
    <t>402-191-04</t>
  </si>
  <si>
    <t>061430490</t>
  </si>
  <si>
    <t>550 OAK GROVE AVENUE</t>
  </si>
  <si>
    <t>012-345-6781</t>
  </si>
  <si>
    <t>126 Rollins Rd.</t>
  </si>
  <si>
    <t>1829 HANCOCK ST   N  90031</t>
  </si>
  <si>
    <t>1141 CRENSHAW BLVD S  90019</t>
  </si>
  <si>
    <t>2923 ALLESANDRO ST   N  90039</t>
  </si>
  <si>
    <t>15027 VENTURA BLVD W  91403</t>
  </si>
  <si>
    <t>5120 CAHUENGA BLVD N  91601</t>
  </si>
  <si>
    <t>213-0-090-285</t>
  </si>
  <si>
    <t>2001 Outlet Center Drive</t>
  </si>
  <si>
    <t>202-0-054-075</t>
  </si>
  <si>
    <t>241 W Second Street</t>
  </si>
  <si>
    <t>303-17-053</t>
  </si>
  <si>
    <t>1834 Worthington Cir</t>
  </si>
  <si>
    <t>097-05-062</t>
  </si>
  <si>
    <t>2323 Calle Del Mundo</t>
  </si>
  <si>
    <t>1155 FULLER AVE</t>
  </si>
  <si>
    <t>74-1377-1</t>
  </si>
  <si>
    <t>170 CORONADO AVE</t>
  </si>
  <si>
    <t>017-231-033-000</t>
  </si>
  <si>
    <t>500 ROSEVILLE PW, BLDG 19</t>
  </si>
  <si>
    <t>4200 W PICO BLVD</t>
  </si>
  <si>
    <t>5153 W MAPLEWOOD AVE 1-34</t>
  </si>
  <si>
    <t>641 N HOBART BLVD #1 - #14</t>
  </si>
  <si>
    <t>233-131-020</t>
  </si>
  <si>
    <t>3235 MT DIABLO CT</t>
  </si>
  <si>
    <t>208-860-166</t>
  </si>
  <si>
    <t>002355007000</t>
  </si>
  <si>
    <t>401 Monterey St C/A</t>
  </si>
  <si>
    <t>003131019000</t>
  </si>
  <si>
    <t>40,50, 60 E Rossi St</t>
  </si>
  <si>
    <t>005-041-20</t>
  </si>
  <si>
    <t>1547 PACIFIC AVE</t>
  </si>
  <si>
    <t>2201000800, see notes</t>
  </si>
  <si>
    <t>340 W MISSION ROAD</t>
  </si>
  <si>
    <t>2201001400, see notes</t>
  </si>
  <si>
    <t>317 RICHMAR AVE</t>
  </si>
  <si>
    <t>2201006700, see notes</t>
  </si>
  <si>
    <t>321 RICHMAR AVE</t>
  </si>
  <si>
    <t>326 27 043</t>
  </si>
  <si>
    <t>21267 STEVENS CREEK BLVD</t>
  </si>
  <si>
    <t>9.3000000000000007</t>
  </si>
  <si>
    <t>200 E. 14th Street</t>
  </si>
  <si>
    <t>561-100-008-3</t>
  </si>
  <si>
    <t>2100 STENMARK DRIVE</t>
  </si>
  <si>
    <t>VACAVILLE</t>
  </si>
  <si>
    <t>582 ROCKY HILL ROAD</t>
  </si>
  <si>
    <t>2001 Tarob Ct</t>
  </si>
  <si>
    <t>832 E 5th Street</t>
  </si>
  <si>
    <t>1333 7th St</t>
  </si>
  <si>
    <t>4282-028-018</t>
  </si>
  <si>
    <t>1527 Lincoln Blvd</t>
  </si>
  <si>
    <t>4282-028007-</t>
  </si>
  <si>
    <t>1546  9TH ST</t>
  </si>
  <si>
    <t>1708 E 61st Street
Los Angeles, CA 90001</t>
  </si>
  <si>
    <t>BELMONT</t>
  </si>
  <si>
    <t>046031070</t>
  </si>
  <si>
    <t>1325 OLD COUNTY ROAD</t>
  </si>
  <si>
    <t>425 FIRST STREET</t>
  </si>
  <si>
    <t>4276-001-026</t>
  </si>
  <si>
    <t>2501 Wilshire Blvd</t>
  </si>
  <si>
    <t>1240 El Camino Real</t>
  </si>
  <si>
    <t>8750 SEPULVEDA BLVD N  91343</t>
  </si>
  <si>
    <t>10247 HILLHAVEN AVE  N  91042</t>
  </si>
  <si>
    <t>5817 LEXINGTON AVE  W  90038</t>
  </si>
  <si>
    <t>4347 W ADAMS BLVD</t>
  </si>
  <si>
    <t>029-322-012</t>
  </si>
  <si>
    <t>5802 Traffic Way</t>
  </si>
  <si>
    <t>3800 S FIGUEROA ST</t>
  </si>
  <si>
    <t>718 E ROSE AVE</t>
  </si>
  <si>
    <t>720 W WASHINGTON BLVD</t>
  </si>
  <si>
    <t>330 N PATTON ST 1-32</t>
  </si>
  <si>
    <t>1349 W 1ST ST</t>
  </si>
  <si>
    <t>4949-4999 Baltimore Dr</t>
  </si>
  <si>
    <t>1413  MICHIGAN AVE</t>
  </si>
  <si>
    <t>4275-025-002</t>
  </si>
  <si>
    <t>1643 20th St</t>
  </si>
  <si>
    <t>241-020-036</t>
  </si>
  <si>
    <t>40 Woodbury Highlands</t>
  </si>
  <si>
    <t>019-421-004</t>
  </si>
  <si>
    <t>9848 Donner Pass Road</t>
  </si>
  <si>
    <t>157-970-03</t>
  </si>
  <si>
    <t>705 ROCKVIEW ROAD</t>
  </si>
  <si>
    <t>3031 Telegraph</t>
  </si>
  <si>
    <t>971 First Street</t>
  </si>
  <si>
    <t>019-420-071</t>
  </si>
  <si>
    <t>10121 Church Street</t>
  </si>
  <si>
    <t>1855 Lincoln Ave</t>
  </si>
  <si>
    <t>YORBA LINDA</t>
  </si>
  <si>
    <t>323-231-08</t>
  </si>
  <si>
    <t>18549 ALTRUDY LN, YORBA LINDA, CA</t>
  </si>
  <si>
    <t>269-07-051</t>
  </si>
  <si>
    <t>1368 El Camino Real. Unit 209,</t>
  </si>
  <si>
    <t>224-77-011</t>
  </si>
  <si>
    <t>1546 Alviso Street</t>
  </si>
  <si>
    <t>224-77-018</t>
  </si>
  <si>
    <t>1578 Pratt Place</t>
  </si>
  <si>
    <t>4312-028-025</t>
  </si>
  <si>
    <t>3434 Wesley</t>
  </si>
  <si>
    <t>1724 SUNNYHILLS DR</t>
  </si>
  <si>
    <t>2453-031-022</t>
  </si>
  <si>
    <t>624 South San Fernando Blvd</t>
  </si>
  <si>
    <t>108-253-21</t>
  </si>
  <si>
    <t>830 S Harbor Blvd</t>
  </si>
  <si>
    <t>5621-021-013</t>
  </si>
  <si>
    <t>610-615 E CEDAR AVE</t>
  </si>
  <si>
    <t>109 Ellis Street</t>
  </si>
  <si>
    <t>1525 San Carlos Ave</t>
  </si>
  <si>
    <t>12341 Oak Knoll Road</t>
  </si>
  <si>
    <t>030-271-019</t>
  </si>
  <si>
    <t>5880 ARDILLA RD</t>
  </si>
  <si>
    <t>233-032-020</t>
  </si>
  <si>
    <t>3408 Mt Diablo Blvd</t>
  </si>
  <si>
    <t>008-072-008,  008-072-009</t>
  </si>
  <si>
    <t>3115 Pine St</t>
  </si>
  <si>
    <t>805 32nd St</t>
  </si>
  <si>
    <t>2364 Road 20</t>
  </si>
  <si>
    <t>CLOVERDALE</t>
  </si>
  <si>
    <t>117-040-053</t>
  </si>
  <si>
    <t>1398 S. Foothill Blvd</t>
  </si>
  <si>
    <t>2557 RIVER OAKS BLVD #110</t>
  </si>
  <si>
    <t>214-010-125</t>
  </si>
  <si>
    <t>1216 Azure Ct.</t>
  </si>
  <si>
    <t>214-010-033</t>
  </si>
  <si>
    <t>1612 Cinnabar Ct.</t>
  </si>
  <si>
    <t>09725106, 09725107</t>
  </si>
  <si>
    <t>13361 YOCKEY ST</t>
  </si>
  <si>
    <t>RIDGECREST</t>
  </si>
  <si>
    <t>067-040-29-00-4</t>
  </si>
  <si>
    <t>400 W MOJAVE VIEW</t>
  </si>
  <si>
    <t>435-14239-</t>
  </si>
  <si>
    <t>17861 CARTWRIGHT RD</t>
  </si>
  <si>
    <t>435-22107-</t>
  </si>
  <si>
    <t>1100 Steely</t>
  </si>
  <si>
    <t>290-24-071</t>
  </si>
  <si>
    <t>3131 HOMESTEAD RD, SANTA CLARA, CA 95051</t>
  </si>
  <si>
    <t>277-18-021</t>
  </si>
  <si>
    <t>1520 W San Carlos St.</t>
  </si>
  <si>
    <t>249-66-040</t>
  </si>
  <si>
    <t>1298 Tripp Ave.</t>
  </si>
  <si>
    <t>2350 S BASCOM AV  , SAN JOSE CA 95128-0000</t>
  </si>
  <si>
    <t>585  KEYES ST  , SAN JOSE CA 95112</t>
  </si>
  <si>
    <t>2557 RIVER OAKS BLVD #100</t>
  </si>
  <si>
    <t>6501 FAIRMOUNT AVE</t>
  </si>
  <si>
    <t>LA QUINTA</t>
  </si>
  <si>
    <t>045163070</t>
  </si>
  <si>
    <t>900 EL CAMINO REAL</t>
  </si>
  <si>
    <t>0 STOCKTON BL, SACRAMENTO, CA 95823</t>
  </si>
  <si>
    <t>1559 N. Santa Fe Ave.</t>
  </si>
  <si>
    <t>AVENAL</t>
  </si>
  <si>
    <t>038-260-059</t>
  </si>
  <si>
    <t>801 S Corcoran BLD 2B</t>
  </si>
  <si>
    <t>001-114-034</t>
  </si>
  <si>
    <t>1121 Montalban</t>
  </si>
  <si>
    <t>3530 Ranch House</t>
  </si>
  <si>
    <t>053-222-007</t>
  </si>
  <si>
    <t>793 Orcutt</t>
  </si>
  <si>
    <t>799 Orcutt</t>
  </si>
  <si>
    <t>127-070-012</t>
  </si>
  <si>
    <t>175 west Verano Avenue, Sonoma, CA</t>
  </si>
  <si>
    <t>031-292-063-000</t>
  </si>
  <si>
    <t>16238 EAST GARRISON DR, EAST GARRISON, CA 93933</t>
  </si>
  <si>
    <t>016-101-55</t>
  </si>
  <si>
    <t>1205 FREEDOM BLVD.</t>
  </si>
  <si>
    <t>735 N Orange Grove Blvd</t>
  </si>
  <si>
    <t>5723-028-033</t>
  </si>
  <si>
    <t>88 N Oakland Ave</t>
  </si>
  <si>
    <t>019-410-046</t>
  </si>
  <si>
    <t>11200 Rue Ivy</t>
  </si>
  <si>
    <t>019-700-006</t>
  </si>
  <si>
    <t>10969 Industrial Way</t>
  </si>
  <si>
    <t>402-181-11</t>
  </si>
  <si>
    <t>2222 E First St</t>
  </si>
  <si>
    <t>160  PERSIAN DR</t>
  </si>
  <si>
    <t>561  SAN PASQUAL TR 3</t>
  </si>
  <si>
    <t>905  DE GUIGNE DR 2</t>
  </si>
  <si>
    <t>919  DELANO TR 4</t>
  </si>
  <si>
    <t>927  DELANO TR 3</t>
  </si>
  <si>
    <t>815  COTATI TR 6</t>
  </si>
  <si>
    <t>814  COTATI TR 5</t>
  </si>
  <si>
    <t>855  DE GUIGNE DR 2</t>
  </si>
  <si>
    <t>840  JULIAN TR 2</t>
  </si>
  <si>
    <t>810  GRIDLEY TR 2</t>
  </si>
  <si>
    <t>175  JEFFREY TR</t>
  </si>
  <si>
    <t>785 E EVELYN AV</t>
  </si>
  <si>
    <t>540  SAN MARCOS TR 2</t>
  </si>
  <si>
    <t>835  COTATI TR 8</t>
  </si>
  <si>
    <t>030-461-012</t>
  </si>
  <si>
    <t>10205 EL CAMINO REAL</t>
  </si>
  <si>
    <t>182520088¬†</t>
  </si>
  <si>
    <t>600 Acacia Lane</t>
  </si>
  <si>
    <t>5802 TRAFFIC WAY</t>
  </si>
  <si>
    <t>019-420-090</t>
  </si>
  <si>
    <t>10470 E Jibboom Street</t>
  </si>
  <si>
    <t>74-1373-01-21</t>
  </si>
  <si>
    <t>400 PAWNEE LN</t>
  </si>
  <si>
    <t>74-1373-10-26</t>
  </si>
  <si>
    <t>17115 Bollinger Canyon Rd.</t>
  </si>
  <si>
    <t>280-860-009</t>
  </si>
  <si>
    <t>562-072-03</t>
  </si>
  <si>
    <t>129 National City Blvd</t>
  </si>
  <si>
    <t>117-040-053 &amp; 117-040-084</t>
  </si>
  <si>
    <t>28195 Old Redwood Hwy</t>
  </si>
  <si>
    <t>525 W STRUCK AVE BLDG. A</t>
  </si>
  <si>
    <t>033-101-160</t>
  </si>
  <si>
    <t>220 N BAYSHORE Blvd</t>
  </si>
  <si>
    <t>1750 S Delaware St</t>
  </si>
  <si>
    <t>1650 S. DELAWARE ST</t>
  </si>
  <si>
    <t>LA VERNE</t>
  </si>
  <si>
    <t>2363-2379 First Street</t>
  </si>
  <si>
    <t>91 MONTAGUE EX</t>
  </si>
  <si>
    <t>3069 E Kyne St</t>
  </si>
  <si>
    <t>150 Waters Park Circle</t>
  </si>
  <si>
    <t>071-405-39</t>
  </si>
  <si>
    <t>2100 5th Street</t>
  </si>
  <si>
    <t>450 FIRST STREET</t>
  </si>
  <si>
    <t>2557 RIVER OAKS BLVD #116</t>
  </si>
  <si>
    <t>8530 S Vermont Avenue, Los Angeles CA 90044</t>
  </si>
  <si>
    <t>1161 S Hicks Avenue, Los Angeles 90023</t>
  </si>
  <si>
    <t>14545 Lanark Street, Panorama City CA 91402</t>
  </si>
  <si>
    <t>4639 E. 3rd Street, Los Angeles CA 90022</t>
  </si>
  <si>
    <t>12885 MAIN ST</t>
  </si>
  <si>
    <t>0319-233-58,59</t>
  </si>
  <si>
    <t>5th street between Ave H and County Line Rd</t>
  </si>
  <si>
    <t>12790 6th street</t>
  </si>
  <si>
    <t>712 Baker St.</t>
  </si>
  <si>
    <t>2450 LONG BEACH BLVD</t>
  </si>
  <si>
    <t>3590E PACIFIC COAST HWY</t>
  </si>
  <si>
    <t>939 N COAST HWY</t>
  </si>
  <si>
    <t>067-2832-007-03</t>
  </si>
  <si>
    <t>423 Evelyn</t>
  </si>
  <si>
    <t>031-201-003</t>
  </si>
  <si>
    <t>040290260</t>
  </si>
  <si>
    <t>815 OLD COUNTY RD</t>
  </si>
  <si>
    <t>3107-012-905</t>
  </si>
  <si>
    <t>45258 32nd St W</t>
  </si>
  <si>
    <t>3112-003-013</t>
  </si>
  <si>
    <t>8722 GARDEN GROVE BLVD</t>
  </si>
  <si>
    <t>389 First Street</t>
  </si>
  <si>
    <t>FILLMORE</t>
  </si>
  <si>
    <t>210 - 246 Santa Clara Street</t>
  </si>
  <si>
    <t>486-3-29, 486-3-28, 486-3-30, 486-3-35, 486-3-34-3, 486-3-34-4</t>
  </si>
  <si>
    <t>5173 HWY 12</t>
  </si>
  <si>
    <t>2905 Santa Rosa Avenue</t>
  </si>
  <si>
    <t>2099 M L KING JR</t>
  </si>
  <si>
    <t>2131 UNIVERSITY</t>
  </si>
  <si>
    <t>055 189501805</t>
  </si>
  <si>
    <t>2352 SHATTUCK</t>
  </si>
  <si>
    <t>132-0-100-095, 132-0-100-085</t>
  </si>
  <si>
    <t>2700/2750 North Ventura Road</t>
  </si>
  <si>
    <t>208-860-167</t>
  </si>
  <si>
    <t>1240 N CRYSTAL AVE</t>
  </si>
  <si>
    <t>755 BRANNAN ST</t>
  </si>
  <si>
    <t>3780004E</t>
  </si>
  <si>
    <t>828 BRANNAN ST</t>
  </si>
  <si>
    <t>0453002</t>
  </si>
  <si>
    <t>915 NORTH POINT ST</t>
  </si>
  <si>
    <t>245 01ST ST</t>
  </si>
  <si>
    <t>950 MARKET ST</t>
  </si>
  <si>
    <t>2500 TURK BL</t>
  </si>
  <si>
    <t>0836011</t>
  </si>
  <si>
    <t>22 FRANKLIN ST</t>
  </si>
  <si>
    <t>09701106</t>
  </si>
  <si>
    <t>8218 Garden Grove Blvd</t>
  </si>
  <si>
    <t>0.28000000000000003</t>
  </si>
  <si>
    <t>WILDOMAR</t>
  </si>
  <si>
    <t>380-100-022</t>
  </si>
  <si>
    <t>23379 CATT RD</t>
  </si>
  <si>
    <t>8.6999999999999993</t>
  </si>
  <si>
    <t>021-276-330</t>
  </si>
  <si>
    <t>010171018</t>
  </si>
  <si>
    <t>3 W 3RD ST</t>
  </si>
  <si>
    <t>015492019</t>
  </si>
  <si>
    <t>2906 MCBRIDE LN</t>
  </si>
  <si>
    <t>044041096</t>
  </si>
  <si>
    <t>500 KAWANA SPRINGS RD</t>
  </si>
  <si>
    <t>100 Waters Park Circle</t>
  </si>
  <si>
    <t>280 Waters Park Circle</t>
  </si>
  <si>
    <t>74-1373-01-25</t>
  </si>
  <si>
    <t>2800 CRUSADER ST</t>
  </si>
  <si>
    <t>300 Waters Park Circle</t>
  </si>
  <si>
    <t>420 Station Park Circle</t>
  </si>
  <si>
    <t>8525-8585 La Mesa Blvd</t>
  </si>
  <si>
    <t>1840  17TH ST</t>
  </si>
  <si>
    <t>4777 Cesar E Chavez Avenue, Los Angeles CA 90022</t>
  </si>
  <si>
    <t>2.4399999999999999</t>
  </si>
  <si>
    <t>9021 S VERMONT AVE LOS ANGELES CA 90044</t>
  </si>
  <si>
    <t>744 S Kern Avenue, Los Angeles CA 90022</t>
  </si>
  <si>
    <t>1.5600000000000001</t>
  </si>
  <si>
    <t>201-0-213-110</t>
  </si>
  <si>
    <t>217-235 East Sixth Street</t>
  </si>
  <si>
    <t>748 W SAN CARLOS ST</t>
  </si>
  <si>
    <t>10501 S Normandie Avenue, Los Angeles CA 90044</t>
  </si>
  <si>
    <t>2.3300000000000001</t>
  </si>
  <si>
    <t>12630 S Compton Avenue Unit: I, K
Compton, CA 90222</t>
  </si>
  <si>
    <t>1755 W Imperial Highway
Los Angeles, CA 90047</t>
  </si>
  <si>
    <t>1200 San Pablo</t>
  </si>
  <si>
    <t>12013 5th St</t>
  </si>
  <si>
    <t>141  APTOS VILLAGE  WAY, APTOS  CA  95003</t>
  </si>
  <si>
    <t>480 E 4th</t>
  </si>
  <si>
    <t>130 Waters Park Circle</t>
  </si>
  <si>
    <t>4652 Gratian Street, Los Angeles CA 90022</t>
  </si>
  <si>
    <t>22801 S Vermont Avenue, Torrance CA 90502</t>
  </si>
  <si>
    <t>7602 Pacific Boulevard, Huntington Park CA 90255</t>
  </si>
  <si>
    <t>Valley Blvd. &amp; Workman Mill Road, City of Industry CA 91746</t>
  </si>
  <si>
    <t>067-2813-009-00</t>
  </si>
  <si>
    <t>634 Kains</t>
  </si>
  <si>
    <t>117-240-028</t>
  </si>
  <si>
    <t>SEC Blosser and West Stowell Road</t>
  </si>
  <si>
    <t>128-067-032</t>
  </si>
  <si>
    <t>502 East Barcellus Avenue</t>
  </si>
  <si>
    <t>10501 S Buford Avenue Unit: A, B, C
Inglewood, CA 90304</t>
  </si>
  <si>
    <t>1602 S COAST HWY</t>
  </si>
  <si>
    <t>19545 E Cienega Avenue, Covina CA 91724</t>
  </si>
  <si>
    <t>13540 Valley Boulevard, La Puente CA 91746</t>
  </si>
  <si>
    <t>1351 W 95th Street, Los Angeles CA 90044</t>
  </si>
  <si>
    <t>11739 Holmes Avenue
Los Angeles, CA 90059</t>
  </si>
  <si>
    <t>054-640-001 through -028</t>
  </si>
  <si>
    <t>400 San Benito St</t>
  </si>
  <si>
    <t>0.20000000000000001</t>
  </si>
  <si>
    <t>301 ROCKVIEW RD</t>
  </si>
  <si>
    <t>032 210800400</t>
  </si>
  <si>
    <t>3525 LYON AVE</t>
  </si>
  <si>
    <t>521 W Colorado St.</t>
  </si>
  <si>
    <t>5640-022-039</t>
  </si>
  <si>
    <t>3909 San Fernando</t>
  </si>
  <si>
    <t>1032 Kawana Springs RD</t>
  </si>
  <si>
    <t>1036 Kawana Springs RD</t>
  </si>
  <si>
    <t>1040 KAWANA SPRINGS RD</t>
  </si>
  <si>
    <t>13253 Poway Road</t>
  </si>
  <si>
    <t>668-491-32</t>
  </si>
  <si>
    <t>25642 Camino Del Avion</t>
  </si>
  <si>
    <t>0.26000000000000001</t>
  </si>
  <si>
    <t>1006 EDINBURGH AVE WEST HOLLYWOOD, CA 90046</t>
  </si>
  <si>
    <t>1601 San Remo Pl 103, Encinitas, CA 92024</t>
  </si>
  <si>
    <t>777 Second St</t>
  </si>
  <si>
    <t>0.34999999999999998</t>
  </si>
  <si>
    <t>1500 Livorno Pl 209</t>
  </si>
  <si>
    <t>1107 Catania Ct 209</t>
  </si>
  <si>
    <t>1107 Catania Ct 101</t>
  </si>
  <si>
    <t>046-286-021</t>
  </si>
  <si>
    <t>0 Alder Ave</t>
  </si>
  <si>
    <t>LA HABRA</t>
  </si>
  <si>
    <t>018-070-17</t>
  </si>
  <si>
    <t>1802-1816 Sonata Street</t>
  </si>
  <si>
    <t>496-100-027-000</t>
  </si>
  <si>
    <t>3380 PLEASANT GROVE BL, Roseville CA 95747</t>
  </si>
  <si>
    <t>256-392-06-00, 256-392-11-00, 256-392-12-00</t>
  </si>
  <si>
    <t>158, 184, 186 North Coast Highway 101</t>
  </si>
  <si>
    <t>SCOTTS VALLEY</t>
  </si>
  <si>
    <t>022-951-06</t>
  </si>
  <si>
    <t>4104 Scotts Valley Drive, Unit 206</t>
  </si>
  <si>
    <t>223-0-090-015, 223-0-041-020</t>
  </si>
  <si>
    <t>5482 Cypress Rd, 5536 Cypress Rd</t>
  </si>
  <si>
    <t>202-0-054-060</t>
  </si>
  <si>
    <t>155 South A Street</t>
  </si>
  <si>
    <t>201-0300-180-0000</t>
  </si>
  <si>
    <t>3506 HAMMOCK ,SACRAMENTO,CA</t>
  </si>
  <si>
    <t>3548 HAMMOCK ,SACRAMENTO,CA</t>
  </si>
  <si>
    <t>670 -0 -29 0 -42 0</t>
  </si>
  <si>
    <t>77 N CONEJO SCHOOL RD</t>
  </si>
  <si>
    <t>049-0250-035-0000</t>
  </si>
  <si>
    <t>100 Santa Rosa Island Dr</t>
  </si>
  <si>
    <t>2777 SOMIS RD, SOMIS, CA  93066</t>
  </si>
  <si>
    <t>2735 SOMIS RD, SOMIS, CA  93066</t>
  </si>
  <si>
    <t>2751 Somis Rd, Somis, CA 93066</t>
  </si>
  <si>
    <t>426-391-010</t>
  </si>
  <si>
    <t>1500 Fitzgerald Dr</t>
  </si>
  <si>
    <t>25.300000000000001</t>
  </si>
  <si>
    <t>059 231000205</t>
  </si>
  <si>
    <t>1500 San Pablo</t>
  </si>
  <si>
    <t>1701 ARTESIA BLVD¬†</t>
  </si>
  <si>
    <t>0.080000000000000002</t>
  </si>
  <si>
    <t>058 214901904</t>
  </si>
  <si>
    <t>1750 SACRAMENTO St</t>
  </si>
  <si>
    <t>058 217600101</t>
  </si>
  <si>
    <t>1752 Shattuck Ave</t>
  </si>
  <si>
    <t>2538 DURANT Ave</t>
  </si>
  <si>
    <t>0.23000000000000001</t>
  </si>
  <si>
    <t>149-130-032</t>
  </si>
  <si>
    <t>230-240 Cleaveland Road</t>
  </si>
  <si>
    <t>0.17000000000000001</t>
  </si>
  <si>
    <t>71-293-21</t>
  </si>
  <si>
    <t>2051 CLEMENT AVE</t>
  </si>
  <si>
    <t>72-381-01</t>
  </si>
  <si>
    <t>1646 LARKSPUR ST</t>
  </si>
  <si>
    <t>401-240-017, 401-240-018</t>
  </si>
  <si>
    <t>2151 Appian Way</t>
  </si>
  <si>
    <t>360-010-029</t>
  </si>
  <si>
    <t>2801 Pinole Valley Rd</t>
  </si>
  <si>
    <t>20.800000000000001</t>
  </si>
  <si>
    <t>450 FIRST STREET UNIT 207</t>
  </si>
  <si>
    <t>3051 El Camino Real, SANTA CLARA, CA 95051</t>
  </si>
  <si>
    <t>230-60-001</t>
  </si>
  <si>
    <t>350 Chastain Pl, Santa Clara 95050</t>
  </si>
  <si>
    <t>569-10-080</t>
  </si>
  <si>
    <t>1371 Kooser Rd.</t>
  </si>
  <si>
    <t>1221  LICK AV  , SAN JOSE CA 95110</t>
  </si>
  <si>
    <t>260 Waters Park Circle</t>
  </si>
  <si>
    <t>160 Waters Park Circle</t>
  </si>
  <si>
    <t>5315-009-051</t>
  </si>
  <si>
    <t>815 Fremont Ave</t>
  </si>
  <si>
    <t>5140 VERDUGO WY</t>
  </si>
  <si>
    <t>083-292-05</t>
  </si>
  <si>
    <t>915 E ORANGEWOOD AVE, ANAHEIM, CA 92802</t>
  </si>
  <si>
    <t>7521 N CHESTNUT AVE</t>
  </si>
  <si>
    <t>1216 Nadeau Street, Los Angeles CA 90001</t>
  </si>
  <si>
    <t>TORRANCE</t>
  </si>
  <si>
    <t>7359-028-233</t>
  </si>
  <si>
    <t>2325 Crenshaw Blvd</t>
  </si>
  <si>
    <t>0.14999999999999999</t>
  </si>
  <si>
    <t>OROVILLE</t>
  </si>
  <si>
    <t>031-150-059 &amp; 031-150-119</t>
  </si>
  <si>
    <t>131 Nelson Ave</t>
  </si>
  <si>
    <t>0.34000000000000002</t>
  </si>
  <si>
    <t>4276-025-062</t>
  </si>
  <si>
    <t>2121 Santa Monica Blvd</t>
  </si>
  <si>
    <t>63 W SHAW AVE</t>
  </si>
  <si>
    <t>246 VERANDAH AVENUE BLDG 13</t>
  </si>
  <si>
    <t>410 VERANDAH AVE BLD 12</t>
  </si>
  <si>
    <t>060 244901300</t>
  </si>
  <si>
    <t>1915 Berryman</t>
  </si>
  <si>
    <t>1919 O'FARRELL ST</t>
  </si>
  <si>
    <t>5220 Wilson St</t>
  </si>
  <si>
    <t>077660022</t>
  </si>
  <si>
    <t>3837 W HOUSTON AVE</t>
  </si>
  <si>
    <t>3723 W HOUSTON AVE</t>
  </si>
  <si>
    <t>18312 PALOMARES LN</t>
  </si>
  <si>
    <t>18815 MINER LN</t>
  </si>
  <si>
    <t>18825 MINER LN</t>
  </si>
  <si>
    <t>097-121-25</t>
  </si>
  <si>
    <t>14846 Beach BLVD</t>
  </si>
  <si>
    <t>14041 Locust ST</t>
  </si>
  <si>
    <t>TR 8253</t>
  </si>
  <si>
    <t>3051 Quantum Rd</t>
  </si>
  <si>
    <t>7521 N CHESTNUT AVE BLDG 101</t>
  </si>
  <si>
    <t>Woodmark</t>
  </si>
  <si>
    <t>VALLEJO</t>
  </si>
  <si>
    <t>2134 Sacramento Street</t>
  </si>
  <si>
    <t>010121025</t>
  </si>
  <si>
    <t>1028 Kawana Springs RD</t>
  </si>
  <si>
    <t>5723-009-055</t>
  </si>
  <si>
    <t>709 E Walnut St</t>
  </si>
  <si>
    <t>LEMOORE</t>
  </si>
  <si>
    <t>021-500-007</t>
  </si>
  <si>
    <t>235 W. Cinnamon Dr</t>
  </si>
  <si>
    <t>500 N Bush St</t>
  </si>
  <si>
    <t>229-0-070-210</t>
  </si>
  <si>
    <t>Village Gatway</t>
  </si>
  <si>
    <t>ARCADIA</t>
  </si>
  <si>
    <t>150 N. Santa Anita Ave</t>
  </si>
  <si>
    <t>241-020-029</t>
  </si>
  <si>
    <t>20 Woodbury Highlands</t>
  </si>
  <si>
    <t>233-032-030</t>
  </si>
  <si>
    <t>3408-3410 Mt Diablo</t>
  </si>
  <si>
    <t>12891 Main St</t>
  </si>
  <si>
    <t>704 ROCKVIEW ROAD</t>
  </si>
  <si>
    <t>057 202501300</t>
  </si>
  <si>
    <t>2000 University</t>
  </si>
  <si>
    <t>2597 Telegraph</t>
  </si>
  <si>
    <t>1430  LINCOLN BLVD</t>
  </si>
  <si>
    <t>1650  LINCOLN BLVD</t>
  </si>
  <si>
    <t>434 VERANDAH AVE BLDG 11</t>
  </si>
  <si>
    <t>609 ROCKVIEW ROAD</t>
  </si>
  <si>
    <t>Tract 18148 Lots 106, 107, 108, 109, 110, 111, 112, 113, &amp; 114</t>
  </si>
  <si>
    <t>32040, 32036, 32032, 32028, 32037, 32041, 32045, 32049, &amp; 32053 Via Vienta</t>
  </si>
  <si>
    <t>565  CHARLES FRAKER TR 2</t>
  </si>
  <si>
    <t>929  DELANO TR 6</t>
  </si>
  <si>
    <t>846  COTATI TR 6</t>
  </si>
  <si>
    <t>816  JULIAN TR 2</t>
  </si>
  <si>
    <t>870 COTATI TR 2</t>
  </si>
  <si>
    <t>559-105-12-00</t>
  </si>
  <si>
    <t>1924 Harding Ave</t>
  </si>
  <si>
    <t>110 Waters Park Circle</t>
  </si>
  <si>
    <t>120 Waters Park Circle</t>
  </si>
  <si>
    <t>298 Waters Park Circle</t>
  </si>
  <si>
    <t>02674112</t>
  </si>
  <si>
    <t>1412 CAPITOLA RD, SANTA CRUZ, CA 95062-2911</t>
  </si>
  <si>
    <t>710  BRAMBLE TR</t>
  </si>
  <si>
    <t>554  SANTA MARIA TR 2</t>
  </si>
  <si>
    <t>5315-008-047</t>
  </si>
  <si>
    <t>1020 El Centro</t>
  </si>
  <si>
    <t>500 E THOUSAND OAKS BLVD
THOUSAND OAKS, CA 91360</t>
  </si>
  <si>
    <t>941 278004300</t>
  </si>
  <si>
    <t>5725 OWENS DR</t>
  </si>
  <si>
    <t>7521 N CHESTNUT AVE BLDG 107</t>
  </si>
  <si>
    <t>Tract 18148 Lots 66, 67, 68, 69, &amp; 70</t>
  </si>
  <si>
    <t>27078, 27074, 27040, 27066, &amp; 27062 Via Caminata</t>
  </si>
  <si>
    <t>855  COTATI TR 3</t>
  </si>
  <si>
    <t>875  COTATI TR 6</t>
  </si>
  <si>
    <t>813  GALT TR 5</t>
  </si>
  <si>
    <t>804  GALT TR 1</t>
  </si>
  <si>
    <t>539  SAN LORENZO TR 3</t>
  </si>
  <si>
    <t>3845 SYDNEY WAY</t>
  </si>
  <si>
    <t>7525 ROMERIA ST</t>
  </si>
  <si>
    <t>1619 Firestone Boulevard, Los Angeles CA 90001</t>
  </si>
  <si>
    <t>4101-4111 Whittier Boulevard, Los Angeles CA 90023</t>
  </si>
  <si>
    <t>242 VERANDAH BLDG 13</t>
  </si>
  <si>
    <t>438 VERANDAH AVE BLDG 11</t>
  </si>
  <si>
    <t>141-221-75</t>
  </si>
  <si>
    <t>1602 VALLEJO UNIT 8</t>
  </si>
  <si>
    <t>1602 VALLEJO UNIT 9</t>
  </si>
  <si>
    <t>601 ROCKVIEW ROAD</t>
  </si>
  <si>
    <t>605 ROCKVIEW ROAD</t>
  </si>
  <si>
    <t>521 VALLEY OAKS CIRCLE</t>
  </si>
  <si>
    <t>702 ROCKVIEW ROAD</t>
  </si>
  <si>
    <t>709 ROCKVIEW ROAD</t>
  </si>
  <si>
    <t>127-221-032</t>
  </si>
  <si>
    <t>655 West Spain Street, Bldg. 3</t>
  </si>
  <si>
    <t>CHINO</t>
  </si>
  <si>
    <t>11918 Central Ave</t>
  </si>
  <si>
    <t>SAN GABRIEL</t>
  </si>
  <si>
    <t>1975 S DEL MAR AVE</t>
  </si>
  <si>
    <t>163-172-021, -019, and -020</t>
  </si>
  <si>
    <t>6114 &amp; 6122 Old Redwood Hwy</t>
  </si>
  <si>
    <t>055 182201800</t>
  </si>
  <si>
    <t>2000 DWIGHT</t>
  </si>
  <si>
    <t>2590 BANCROFT</t>
  </si>
  <si>
    <t>95 HAWTHORNE ST</t>
  </si>
  <si>
    <t>915 CAYUGA AVE</t>
  </si>
  <si>
    <t>266 04TH ST</t>
  </si>
  <si>
    <t>55 BELCHER ST</t>
  </si>
  <si>
    <t>0512031</t>
  </si>
  <si>
    <t>2301 LOMBARD ST</t>
  </si>
  <si>
    <t>2255 TARAVAL ST</t>
  </si>
  <si>
    <t>1601 MARIPOSA ST</t>
  </si>
  <si>
    <t>660 INDIANA ST</t>
  </si>
  <si>
    <t>36101 EXPLORER DR</t>
  </si>
  <si>
    <t>1532 HOWARD ST</t>
  </si>
  <si>
    <t>23500 Park Sorrento Building A</t>
  </si>
  <si>
    <t>BEVERLY HILLS</t>
  </si>
  <si>
    <t>250 N. Crescent Drive</t>
  </si>
  <si>
    <t>093081027; 093081028; 093081029</t>
  </si>
  <si>
    <t>2867 WILLOW PASS RD, BAY POINT CA 94565-3236</t>
  </si>
  <si>
    <t>0.80000000000000004</t>
  </si>
  <si>
    <t>821 STATE ST</t>
  </si>
  <si>
    <t>3020-005-031</t>
  </si>
  <si>
    <t>Avenue R and 30th East</t>
  </si>
  <si>
    <t>276-282-13 and -14</t>
  </si>
  <si>
    <t>7692 &amp; 7682 9th Street</t>
  </si>
  <si>
    <t>5723-015-081</t>
  </si>
  <si>
    <t>111 N MADISON AVE APARTMENT
PASADENA, CA 91101</t>
  </si>
  <si>
    <t>178 N HALSTEAD ST  CONDOMINIUM
PASADENA, CA 91107</t>
  </si>
  <si>
    <t>669 -0 -05 0 -13 5</t>
  </si>
  <si>
    <t>299 E THOUSAND OAKS BLVD</t>
  </si>
  <si>
    <t>Tract 18148 Lots 90, 91, 92, 93, 94, 95, 96, 97, 98, &amp; 99</t>
  </si>
  <si>
    <t>32028, 32024, 32020, 32016, 32009, 32013, 32017, 32021, 32025, &amp; 32029 Paseo Rama</t>
  </si>
  <si>
    <t>104-35132-</t>
  </si>
  <si>
    <t>BRYAN AVENUE AND THE EASTERN TRANSPORTATION CORRIDOR</t>
  </si>
  <si>
    <t>435-05326-</t>
  </si>
  <si>
    <t>17422 DERIAN AVE</t>
  </si>
  <si>
    <t>3041 El Camino Real, SANTA CLARA, CA 95051</t>
  </si>
  <si>
    <t>467-21-028</t>
  </si>
  <si>
    <t>19 N 2nd St.</t>
  </si>
  <si>
    <t>467-14-086</t>
  </si>
  <si>
    <t>0 E Santa Clara St.</t>
  </si>
  <si>
    <t>467-09-076</t>
  </si>
  <si>
    <t>70 N 27th St.</t>
  </si>
  <si>
    <t>456-09-008</t>
  </si>
  <si>
    <t>2080 Almaden Rd.</t>
  </si>
  <si>
    <t>456-25-005</t>
  </si>
  <si>
    <t>2315 Canoas Garden Ave.</t>
  </si>
  <si>
    <t>412-20-004</t>
  </si>
  <si>
    <t>2388 S Bascom Ave.</t>
  </si>
  <si>
    <t>695-24-072</t>
  </si>
  <si>
    <t>5885 Santa Teresa Bl</t>
  </si>
  <si>
    <t>008-121-001</t>
  </si>
  <si>
    <t>2548 Spring Street</t>
  </si>
  <si>
    <t>3701 NEVADA ST, PLEASANTON, CA 94566</t>
  </si>
  <si>
    <t>278  SUNOL ST  , SAN JOSE CA 95126</t>
  </si>
  <si>
    <t>1171  MESA DR  , SAN JOSE CA 95118-3142</t>
  </si>
  <si>
    <t>4398 RAINIER WAY</t>
  </si>
  <si>
    <t>4933 NORTH RIVER RD</t>
  </si>
  <si>
    <t>1.4299999999999999</t>
  </si>
  <si>
    <t>585-08102-</t>
  </si>
  <si>
    <t>5734-010-035</t>
  </si>
  <si>
    <t>218 S Oakland Ave</t>
  </si>
  <si>
    <t>236-238 Palm Ave</t>
  </si>
  <si>
    <t>225-0-014-020</t>
  </si>
  <si>
    <t>2161 ETTING RD</t>
  </si>
  <si>
    <t>LINCOLN</t>
  </si>
  <si>
    <t>329-010-080-000</t>
  </si>
  <si>
    <t>1500 DRESDEN DRIVE, LINCOLN, CA 95648</t>
  </si>
  <si>
    <t>1800 DRESDEN DRIVE, LINCOLN, CA 95648</t>
  </si>
  <si>
    <t>SAN DIEGO COUNTY</t>
  </si>
  <si>
    <t>564-040-21-00</t>
  </si>
  <si>
    <t>2542 ridgeway dr, national city, ca 91950</t>
  </si>
  <si>
    <t>950 JULIAN ST</t>
  </si>
  <si>
    <t>4360 STEVENS CREEK BL</t>
  </si>
  <si>
    <t>1007 BLOSSOM HILL RD</t>
  </si>
  <si>
    <t>244 MCEVOY STREET</t>
  </si>
  <si>
    <t>058-833-024</t>
  </si>
  <si>
    <t>1000 MEADOWS DR #2</t>
  </si>
  <si>
    <t>058-833-025</t>
  </si>
  <si>
    <t>1000 MEADOWS DR #3</t>
  </si>
  <si>
    <t>249-65-060</t>
  </si>
  <si>
    <t>1347 E Julian St.</t>
  </si>
  <si>
    <t>249-65-061</t>
  </si>
  <si>
    <t>1325 E Julian St.</t>
  </si>
  <si>
    <t>254-91-004</t>
  </si>
  <si>
    <t>525 N Capitol Ave.</t>
  </si>
  <si>
    <t>5677-005-006</t>
  </si>
  <si>
    <t>1416 5th St</t>
  </si>
  <si>
    <t>046032030, 046032040, 046032080 &amp; 046032090</t>
  </si>
  <si>
    <t>604, 608, &amp; 610 HARBOR BLVD</t>
  </si>
  <si>
    <t>7521 N CHESTNUT AVE BLDG 120</t>
  </si>
  <si>
    <t>117-240-0028</t>
  </si>
  <si>
    <t>1335 Galindo St.</t>
  </si>
  <si>
    <t>214-010-293</t>
  </si>
  <si>
    <t>5506 Linen Court</t>
  </si>
  <si>
    <t>214-010-228</t>
  </si>
  <si>
    <t>2002 Ivory Terrace</t>
  </si>
  <si>
    <t>044 496700100</t>
  </si>
  <si>
    <t>9409 INTERNATIONAL BLVD</t>
  </si>
  <si>
    <t>030 198212100</t>
  </si>
  <si>
    <t>4311 MACARTHUR BLVD</t>
  </si>
  <si>
    <t>009 068800600</t>
  </si>
  <si>
    <t>424 28TH ST</t>
  </si>
  <si>
    <t>3045 El Camino Real, SANTA CLARA, CA 95051</t>
  </si>
  <si>
    <t>7243 POWER INN RD, BLDG# 5
SACRAMENTO, CA 95828</t>
  </si>
  <si>
    <t>0.28999999999999998</t>
  </si>
  <si>
    <t>264-31-110</t>
  </si>
  <si>
    <t>501 Almaden Ave.</t>
  </si>
  <si>
    <t>202-0-054-090</t>
  </si>
  <si>
    <t>136 South B Street</t>
  </si>
  <si>
    <t>049-1079-014-01 049-1079-017-01</t>
  </si>
  <si>
    <t>4300 San Pablo Avenue</t>
  </si>
  <si>
    <t>2023 Shattuck</t>
  </si>
  <si>
    <t>2352 Shattuck</t>
  </si>
  <si>
    <t>LOMITA</t>
  </si>
  <si>
    <t>24830-24838 Narbonne Ave.</t>
  </si>
  <si>
    <t>014184120</t>
  </si>
  <si>
    <t>1477 Huntington Ave</t>
  </si>
  <si>
    <t>294-38-016</t>
  </si>
  <si>
    <t>88 Saratoga AV, SANTA CLARA, CA</t>
  </si>
  <si>
    <t>484-21-003</t>
  </si>
  <si>
    <t>2920 Alum Rock Ave.</t>
  </si>
  <si>
    <t>237  RACE ST  , SAN JOSE CA 95126</t>
  </si>
  <si>
    <t>4291-014-025</t>
  </si>
  <si>
    <t>101 Santa Monica Blvd</t>
  </si>
  <si>
    <t>241-020-030</t>
  </si>
  <si>
    <t>105 Woodbury Highlands Pl</t>
  </si>
  <si>
    <t>414 VERANDAH AVENUE BLD 12</t>
  </si>
  <si>
    <t>1001  BLOSSOM HILL RD  , SAN JOSE CA 95123</t>
  </si>
  <si>
    <t>2388 S BASCOM AV  , SAN JOSE CA 95008</t>
  </si>
  <si>
    <t>2580 Bancroft</t>
  </si>
  <si>
    <t>234 Pico Blvd</t>
  </si>
  <si>
    <t>5723-007-081</t>
  </si>
  <si>
    <t>289 N El Molino Ave</t>
  </si>
  <si>
    <t>3222 Mission Village Dr, San Diego, CA</t>
  </si>
  <si>
    <t>4030 43rd St, San Diego, CA</t>
  </si>
  <si>
    <t>0.67000000000000004</t>
  </si>
  <si>
    <t>3301 Ruffin Rd, San Diego, CA</t>
  </si>
  <si>
    <t>3305 Ruffin Rd, San Diego, CA</t>
  </si>
  <si>
    <t>Tract 18148 Lots 48, 49, 50, 51, 52, 53, 54, 55, 56, 57, 58, 59, &amp; 60</t>
  </si>
  <si>
    <t>31990, 31994, 31998, 32002, 32006 Paseo Deriva, 27101 Via Caminata, 32010, 32011, 32007, 32003, 31999, 31995, &amp; 31991 Paseo Deriva</t>
  </si>
  <si>
    <t>058-833-023</t>
  </si>
  <si>
    <t>1000 MEADOWS DR #1</t>
  </si>
  <si>
    <t>2301 Ulric St, San Diego, CA</t>
  </si>
  <si>
    <t>5945 Mission Gorge Rd, San Diego, CA</t>
  </si>
  <si>
    <t>0.089999999999999997</t>
  </si>
  <si>
    <t>0.29999999999999999</t>
  </si>
  <si>
    <t>4360 TWAIN AV</t>
  </si>
  <si>
    <t>0.58999999999999997</t>
  </si>
  <si>
    <t>2251 IRONWOOD CR</t>
  </si>
  <si>
    <t>4970 Market St, San Diego, CA</t>
  </si>
  <si>
    <t>398-236-03</t>
  </si>
  <si>
    <t>1325 Old County Rd</t>
  </si>
  <si>
    <t>905  DE GUIGNE DR 3</t>
  </si>
  <si>
    <t>820 E DUANE AV 7</t>
  </si>
  <si>
    <t>531  SAN LORENZO TR 5</t>
  </si>
  <si>
    <t>845  JULIAN TR 6</t>
  </si>
  <si>
    <t>14822 Beach BLVD</t>
  </si>
  <si>
    <t>792  BRAMBLE TR</t>
  </si>
  <si>
    <t>904 ¬†COTATI TR 3</t>
  </si>
  <si>
    <t>925  DE GUIGNE DR 2</t>
  </si>
  <si>
    <t>537  SAN LORENZO TR 1</t>
  </si>
  <si>
    <t>525-1200-002-02</t>
  </si>
  <si>
    <t>41191 Fremont Blvd</t>
  </si>
  <si>
    <t>0.059999999999999998</t>
  </si>
  <si>
    <t>508 SARDINIA TR</t>
  </si>
  <si>
    <t>149  JEFFREY TR</t>
  </si>
  <si>
    <t>563  SAN MARTIN TR 3</t>
  </si>
  <si>
    <t>860 E DUANE AV 10</t>
  </si>
  <si>
    <t>880 E DUANE AV 5</t>
  </si>
  <si>
    <t>905  COTATI TR 5</t>
  </si>
  <si>
    <t>844  GALT TR 3</t>
  </si>
  <si>
    <t>544  SAN MARCOS TR 2</t>
  </si>
  <si>
    <t>533 E Union St</t>
  </si>
  <si>
    <t>261-0210-019-0000</t>
  </si>
  <si>
    <t>0 BEECH AVE, ORANGEVALE, CA 95662</t>
  </si>
  <si>
    <t>401 N Main St</t>
  </si>
  <si>
    <t>UKIAH</t>
  </si>
  <si>
    <t>003-581-22</t>
  </si>
  <si>
    <t>237 E Gobbi St</t>
  </si>
  <si>
    <t>814  COTATI TR 16</t>
  </si>
  <si>
    <t>824  GRIDLEY TR 5</t>
  </si>
  <si>
    <t>845  JULIAN TR 7</t>
  </si>
  <si>
    <t>040031210, 040031220, 040031230, 040031240</t>
  </si>
  <si>
    <t>No Site Address</t>
  </si>
  <si>
    <t>8565 La Mesa Blvd</t>
  </si>
  <si>
    <t>765 E EVELYN AV</t>
  </si>
  <si>
    <t>910 E DUANE AV 4</t>
  </si>
  <si>
    <t>830  GRIDLEY TR 3</t>
  </si>
  <si>
    <t>18309 BARROSA LN</t>
  </si>
  <si>
    <t>18750 MINER LN</t>
  </si>
  <si>
    <t>18765 MINER LN</t>
  </si>
  <si>
    <t>18795 MINER LN</t>
  </si>
  <si>
    <t>15470 WATSONVILLE RD</t>
  </si>
  <si>
    <t>19380 Monterey Rd</t>
  </si>
  <si>
    <t>15161 VAN BUREN ST, MIDWAY CITY, CA 92655</t>
  </si>
  <si>
    <t>557  CHARLES FRAKER TR 2</t>
  </si>
  <si>
    <t>846  COTATI TR 16</t>
  </si>
  <si>
    <t>525 120000202</t>
  </si>
  <si>
    <t>4038 Irvington Ave</t>
  </si>
  <si>
    <t>533  SAN LORENZO TR 2</t>
  </si>
  <si>
    <t>655 West Spain St., Bldg. 1</t>
  </si>
  <si>
    <t>655 West Spain St., Bldg. 4</t>
  </si>
  <si>
    <t>445-01120-</t>
  </si>
  <si>
    <t>2171 CAMPUS DR</t>
  </si>
  <si>
    <t>445-01311-</t>
  </si>
  <si>
    <t>147-03-038</t>
  </si>
  <si>
    <t>800 SAN ANTONIO RD</t>
  </si>
  <si>
    <t>230-60-002</t>
  </si>
  <si>
    <t>350 Chastain PL, SANTA CLARA, CA 95050</t>
  </si>
  <si>
    <t>731 E EVELYN AV</t>
  </si>
  <si>
    <t>552  GALT TR 3</t>
  </si>
  <si>
    <t>840 E DUANE AV 10</t>
  </si>
  <si>
    <t>810  COTATI TR 2</t>
  </si>
  <si>
    <t>838  GALT TR 5</t>
  </si>
  <si>
    <t>163-171-031</t>
  </si>
  <si>
    <t>6035 OLD REDWOOD HWY</t>
  </si>
  <si>
    <t>716 Beach Ave</t>
  </si>
  <si>
    <t>060 240500100</t>
  </si>
  <si>
    <t>1201 SAN PABLO</t>
  </si>
  <si>
    <t>057 204601000</t>
  </si>
  <si>
    <t>2111 UNIVERSITY</t>
  </si>
  <si>
    <t>054 171900100</t>
  </si>
  <si>
    <t>2701 SHATTUCK</t>
  </si>
  <si>
    <t>65 - 67 LANGTON ST</t>
  </si>
  <si>
    <t>0595008</t>
  </si>
  <si>
    <t>2050 Van Ness Ave / 1675 Pacific Ave</t>
  </si>
  <si>
    <t>018-131-018</t>
  </si>
  <si>
    <t>254 First Street East</t>
  </si>
  <si>
    <t>097-46-027</t>
  </si>
  <si>
    <t>2230 CALLE DEL MUNDO, SANTA CLARA, CA 95054</t>
  </si>
  <si>
    <t>Cottonwood Street and  W Beamer Street</t>
  </si>
  <si>
    <t>1301 FAIRFAX AVE</t>
  </si>
  <si>
    <t>948 SAN VICENTE BLVD BUILDING</t>
  </si>
  <si>
    <t>1001 FAIRFAX AVE</t>
  </si>
  <si>
    <t>0.48999999999999999</t>
  </si>
  <si>
    <t>4282-028-019</t>
  </si>
  <si>
    <t>4266-016-051</t>
  </si>
  <si>
    <t>1342  BERKELEY ST</t>
  </si>
  <si>
    <t>057 202201900</t>
  </si>
  <si>
    <t>1950 ADDISON</t>
  </si>
  <si>
    <t>277-22-009</t>
  </si>
  <si>
    <t>1510 Parkmoor Ave.</t>
  </si>
  <si>
    <t>467-30-038</t>
  </si>
  <si>
    <t>934 E Santa Clara St.</t>
  </si>
  <si>
    <t>2000 UNIVERSITY</t>
  </si>
  <si>
    <t>053 159101803</t>
  </si>
  <si>
    <t>2001 ASHBY</t>
  </si>
  <si>
    <t>2440 SHATTUCK</t>
  </si>
  <si>
    <t>1860  ALUM ROCK AV  , SAN JOSE CA 95116-1303</t>
  </si>
  <si>
    <t>164-080-038, 164-080-002</t>
  </si>
  <si>
    <t>8550, 8560 Old Redwood Hwy</t>
  </si>
  <si>
    <t>1601 OXFORD</t>
  </si>
  <si>
    <t>311 S MATHILDA AV</t>
  </si>
  <si>
    <t>499-220-53</t>
  </si>
  <si>
    <t>8465 Broadway</t>
  </si>
  <si>
    <t>3945 JUDAH ST</t>
  </si>
  <si>
    <t>975 BRYANT ST</t>
  </si>
  <si>
    <t>0855016</t>
  </si>
  <si>
    <t>1700 MARKET ST</t>
  </si>
  <si>
    <t>0857007</t>
  </si>
  <si>
    <t>95 LAGUNA ST</t>
  </si>
  <si>
    <t>777 TENNESSEE ST</t>
  </si>
  <si>
    <t>680 INDIANA ST</t>
  </si>
  <si>
    <t>595 MARIPOSA ST</t>
  </si>
  <si>
    <t>475 MINNA ST</t>
  </si>
  <si>
    <t>0300003C</t>
  </si>
  <si>
    <t>820 POST ST</t>
  </si>
  <si>
    <t>901 TENNESSEE ST</t>
  </si>
  <si>
    <t>1538 E CLINTON AVE</t>
  </si>
  <si>
    <t>740 SAN CARLOS ST</t>
  </si>
  <si>
    <t>543 LORRAINE AVE</t>
  </si>
  <si>
    <t>838 1ST ST</t>
  </si>
  <si>
    <t>132-0-080-275</t>
  </si>
  <si>
    <t>3030 Johnson Dr</t>
  </si>
  <si>
    <t>335 Pacific Ave</t>
  </si>
  <si>
    <t>711 Pine Avenue</t>
  </si>
  <si>
    <t>999 Atlantic Ave.</t>
  </si>
  <si>
    <t>058-180-082</t>
  </si>
  <si>
    <t>1005 REMINGTON CT</t>
  </si>
  <si>
    <t>801 E Main St Alhambra, CA 91801</t>
  </si>
  <si>
    <t>REDLANDS</t>
  </si>
  <si>
    <t>016902119</t>
  </si>
  <si>
    <t>1215 TEXAS ST</t>
  </si>
  <si>
    <t>0.14000000000000001</t>
  </si>
  <si>
    <t>053-433-051</t>
  </si>
  <si>
    <t>3171 Violet</t>
  </si>
  <si>
    <t>580-491-30</t>
  </si>
  <si>
    <t>100 Magnet</t>
  </si>
  <si>
    <t>1650 Ashbury Dr.</t>
  </si>
  <si>
    <t>EL CENTRO</t>
  </si>
  <si>
    <t>064-470-103</t>
  </si>
  <si>
    <t>1625 Waterman</t>
  </si>
  <si>
    <t>053-231-047</t>
  </si>
  <si>
    <t>3682 Broad</t>
  </si>
  <si>
    <t>COLMA</t>
  </si>
  <si>
    <t>011-370-220</t>
  </si>
  <si>
    <t>1680 Mission Road</t>
  </si>
  <si>
    <t>MANTECA</t>
  </si>
  <si>
    <t>510 COTTAGE AVE MANTECA CA 95336</t>
  </si>
  <si>
    <t>002-142-007</t>
  </si>
  <si>
    <t>500 Piper St. 1-8</t>
  </si>
  <si>
    <t>198-182-21</t>
  </si>
  <si>
    <t>101 N Harbor</t>
  </si>
  <si>
    <t>6600 N VAN NUYS BLVD #1- #54</t>
  </si>
  <si>
    <t>701 S HUDSON AVE</t>
  </si>
  <si>
    <t>216 120 037</t>
  </si>
  <si>
    <t>373-383 Diablo Road</t>
  </si>
  <si>
    <t>009 072200700</t>
  </si>
  <si>
    <t>3268 SAN PABLO AVE</t>
  </si>
  <si>
    <t>012 101300701</t>
  </si>
  <si>
    <t>524 41st ST</t>
  </si>
  <si>
    <t>008 067200801</t>
  </si>
  <si>
    <t>2415 VALDEZ ST</t>
  </si>
  <si>
    <t>202-0-135-035</t>
  </si>
  <si>
    <t>761 South C Street</t>
  </si>
  <si>
    <t>2510 Channing</t>
  </si>
  <si>
    <t>3720 S WESTERN AVE</t>
  </si>
  <si>
    <t>1601 W VENICE BLVD</t>
  </si>
  <si>
    <t>1228 S FEDORA ST</t>
  </si>
  <si>
    <t>900 S WILTON PL</t>
  </si>
  <si>
    <t>632 E WASHINGTON BLVD</t>
  </si>
  <si>
    <t>1115 N HELIOTROPE DR</t>
  </si>
  <si>
    <t>7421 S BROADWAY</t>
  </si>
  <si>
    <t>8301 S WESTERN AVE</t>
  </si>
  <si>
    <t>8217 N WINNETKA AVE</t>
  </si>
  <si>
    <t>6834 N BAIRD AVE</t>
  </si>
  <si>
    <t>5328 N TOPANGA CANYON BLVD</t>
  </si>
  <si>
    <t>4345 N MATILIJA AVE</t>
  </si>
  <si>
    <t>11103 W CUMPSTON ST</t>
  </si>
  <si>
    <t>5814 N VINELAND AVE</t>
  </si>
  <si>
    <t>7937 W FOOTHILL BLVD</t>
  </si>
  <si>
    <t>6122 S VICTORIA AVE 1-11</t>
  </si>
  <si>
    <t>1309 W 36TH PL</t>
  </si>
  <si>
    <t>2755 S RAYMOND AVE</t>
  </si>
  <si>
    <t>2112 S LA BREA AVE</t>
  </si>
  <si>
    <t>5514 W PICO BLVD</t>
  </si>
  <si>
    <t>904 S NORMANDIE AVE</t>
  </si>
  <si>
    <t>2515 E HOUSTON ST</t>
  </si>
  <si>
    <t>827 N MCCADDEN PL</t>
  </si>
  <si>
    <t>843 N ALFRED ST</t>
  </si>
  <si>
    <t>1156 N KINGSLEY DR</t>
  </si>
  <si>
    <t>1020 N ARDMORE AVE</t>
  </si>
  <si>
    <t>1205 N MARIPOSA AVE</t>
  </si>
  <si>
    <t>920 W FLORENCE AVE 1-22</t>
  </si>
  <si>
    <t>14842 Beach BLVD</t>
  </si>
  <si>
    <t>160 W Seaward Ave</t>
  </si>
  <si>
    <t>995 SANTA CLARA ST</t>
  </si>
  <si>
    <t>771 ALMADEN</t>
  </si>
  <si>
    <t>12534 N SAN FERNANDO ROAD</t>
  </si>
  <si>
    <t>1015 E HOME AVE</t>
  </si>
  <si>
    <t>198-132-23</t>
  </si>
  <si>
    <t>2534 W Westminster Ave</t>
  </si>
  <si>
    <t>012338140; 012338060; 012338070</t>
  </si>
  <si>
    <t>150 Airport Blvd</t>
  </si>
  <si>
    <t>70-290-XX</t>
  </si>
  <si>
    <t>East Olive Drive</t>
  </si>
  <si>
    <t>828  JULIAN TR 4</t>
  </si>
  <si>
    <t>535  SAN LORENZO TR 5</t>
  </si>
  <si>
    <t>SUTTER CREEK</t>
  </si>
  <si>
    <t>044-020-057</t>
  </si>
  <si>
    <t>NE Corner of Valley View Way/Bowers Drive</t>
  </si>
  <si>
    <t>5345-004-041</t>
  </si>
  <si>
    <t>15 S Chapel Ave</t>
  </si>
  <si>
    <t>8545 La Mesa Blvd</t>
  </si>
  <si>
    <t>8575 La Mesa Blvd</t>
  </si>
  <si>
    <t>18302 ARAGON LN</t>
  </si>
  <si>
    <t>18316 PALOMARES LN</t>
  </si>
  <si>
    <t>18318 PALOMARES LN</t>
  </si>
  <si>
    <t>18320 PALOMARES LN</t>
  </si>
  <si>
    <t>16685 CHURCH ST</t>
  </si>
  <si>
    <t>520 E WEDDELL DR</t>
  </si>
  <si>
    <t>124  HORNBEAM TR</t>
  </si>
  <si>
    <t>711 E EVELYN AV</t>
  </si>
  <si>
    <t>805  GALT TR 2</t>
  </si>
  <si>
    <t>809  GALT TR 4</t>
  </si>
  <si>
    <t>812  GALT TR 4</t>
  </si>
  <si>
    <t>SAN ANSELMO</t>
  </si>
  <si>
    <t>006-254-12</t>
  </si>
  <si>
    <t>1 Lincoln Park</t>
  </si>
  <si>
    <t>8234-8240 University Ave</t>
  </si>
  <si>
    <t>080 -0057-041-00</t>
  </si>
  <si>
    <t>16060 E. 14th St</t>
  </si>
  <si>
    <t>1319 TRIPP AV</t>
  </si>
  <si>
    <t>565 LORRAINE AVE</t>
  </si>
  <si>
    <t>242 N SOTO ST</t>
  </si>
  <si>
    <t>1931 S COAST HWY</t>
  </si>
  <si>
    <t>10770 W WILKINS AVE 1-11</t>
  </si>
  <si>
    <t>11010 W SANTA MONICA BLVD</t>
  </si>
  <si>
    <t>5516 S CENTRAL AVE 1-29</t>
  </si>
  <si>
    <t>5800 S BRYNHURST AVE 1-27</t>
  </si>
  <si>
    <t>033 219701900</t>
  </si>
  <si>
    <t>3511 E 12TH ST</t>
  </si>
  <si>
    <t>2359 Harrison ST</t>
  </si>
  <si>
    <t>043 462000102</t>
  </si>
  <si>
    <t>8201 MACARTHUR BLVD</t>
  </si>
  <si>
    <t>043 462200402</t>
  </si>
  <si>
    <t>8425 MACARTHUR BLVD</t>
  </si>
  <si>
    <t>002 006300700</t>
  </si>
  <si>
    <t>316 12TH ST</t>
  </si>
  <si>
    <t>1400 S GLENVILLE DR</t>
  </si>
  <si>
    <t>5501 N LAUREL CANYON BLVD 1-46</t>
  </si>
  <si>
    <t>014 122601500</t>
  </si>
  <si>
    <t>5110 TELEGRAPH AVE</t>
  </si>
  <si>
    <t>8521 W HORNER ST</t>
  </si>
  <si>
    <t>1.2250000000000001</t>
  </si>
  <si>
    <t>12035 W RUNNYMEDE ST</t>
  </si>
  <si>
    <t>5623 N DENNY AVE</t>
  </si>
  <si>
    <t>1717 N WINONA BLVD 1-15</t>
  </si>
  <si>
    <t>511 S HARBOR BLVD</t>
  </si>
  <si>
    <t>7715 S CRENSHAW BLVD</t>
  </si>
  <si>
    <t>2308 S PISANI PL</t>
  </si>
  <si>
    <t>11418 W MISSOURI AVE</t>
  </si>
  <si>
    <t>6.8799999999999999</t>
  </si>
  <si>
    <t>3950 W INGRAHAM ST</t>
  </si>
  <si>
    <t>1.6799999999999999</t>
  </si>
  <si>
    <t>845 S OLIVE ST</t>
  </si>
  <si>
    <t>699 YGNACIO VALLEY RD</t>
  </si>
  <si>
    <t>125.59999999999999</t>
  </si>
  <si>
    <t>417-130-036</t>
  </si>
  <si>
    <t>13717 San Pablo Ave</t>
  </si>
  <si>
    <t>144 S CATALINA ST</t>
  </si>
  <si>
    <t>2.8300000000000001</t>
  </si>
  <si>
    <t>6219 W BANNER AVE</t>
  </si>
  <si>
    <t>2553 W 12TH ST</t>
  </si>
  <si>
    <t>0.33000000000000002</t>
  </si>
  <si>
    <t>373 Diablo Rd</t>
  </si>
  <si>
    <t>1140 HARRISON ST</t>
  </si>
  <si>
    <t>0853034</t>
  </si>
  <si>
    <t>188 OCTAVIA ST</t>
  </si>
  <si>
    <t>049-1041-026-15</t>
  </si>
  <si>
    <t>4310 Hubbard  Street</t>
  </si>
  <si>
    <t>1367 University</t>
  </si>
  <si>
    <t>800 PENNSYLVANIA AV</t>
  </si>
  <si>
    <t>1 HENRY ADAMS ST</t>
  </si>
  <si>
    <t>502 07TH ST</t>
  </si>
  <si>
    <t>655 West Spain Street, Bldg. 2</t>
  </si>
  <si>
    <t>5725-009-700</t>
  </si>
  <si>
    <t>106 E Orange Grove Blvd</t>
  </si>
  <si>
    <t>5723-015-045</t>
  </si>
  <si>
    <t>535 E Union St</t>
  </si>
  <si>
    <t>1240 N CRYSTAL AVE 102+</t>
  </si>
  <si>
    <t>2012 BERKELEY</t>
  </si>
  <si>
    <t>055 182102100</t>
  </si>
  <si>
    <t>2018 BLAKE</t>
  </si>
  <si>
    <t>2527 SAN PABLO</t>
  </si>
  <si>
    <t>014074010</t>
  </si>
  <si>
    <t>7 South Linden Ave</t>
  </si>
  <si>
    <t>294 TOWNSEND ST</t>
  </si>
  <si>
    <t>65 OCEAN AVE</t>
  </si>
  <si>
    <t>830 EDDY ST</t>
  </si>
  <si>
    <t>1145 POLK ST</t>
  </si>
  <si>
    <t>500 FOLSOM ST</t>
  </si>
  <si>
    <t>0794028</t>
  </si>
  <si>
    <t>555 FULTON ST</t>
  </si>
  <si>
    <t>1432 E 25TH ST</t>
  </si>
  <si>
    <t>5.8700000000000001</t>
  </si>
  <si>
    <t>7529-019-003</t>
  </si>
  <si>
    <t>4111 Pacific Coast Hwy</t>
  </si>
  <si>
    <t>6224-015-016</t>
  </si>
  <si>
    <t>5210 Santa Ana Street</t>
  </si>
  <si>
    <t>3010-030-023</t>
  </si>
  <si>
    <t>150 E Avenue R</t>
  </si>
  <si>
    <t>3100 BASCOM AV</t>
  </si>
  <si>
    <t>124 N 15TH STREET</t>
  </si>
  <si>
    <t>3.2999999999999998</t>
  </si>
  <si>
    <t>7368-001-015</t>
  </si>
  <si>
    <t>22501 Hawthorne Bvld</t>
  </si>
  <si>
    <t>2010 N LINCOLN PARK; 2016 N LINCOLN PARK; 2020 N LINCOLN PARK; 2026 N LINCOLN PARK; 2030 N LINCOLN PARK; 2036 N LINCOLN PARK; 3601 E MISSION; 3609 E MISSION; 3615 E MISSION</t>
  </si>
  <si>
    <t>0.72999999999999998</t>
  </si>
  <si>
    <t>1200 N VINE; 1204 N VINE; 1214 N VINE; 1218 N VINE; 6245 W LEXINGTON; 6247 W LEXINGTON</t>
  </si>
  <si>
    <t>0.47499999999999998</t>
  </si>
  <si>
    <t>3018 S WESTERN; 3022 S WESTERN; 3024 S WESTERN; 3026 S WESTERN; 3100 S WESTERN; 3102 S WESTERN; 3104 S WESTERN; 3106 S WESTERN; 3108 S WESTERN; 3110 S WESTERN</t>
  </si>
  <si>
    <t>13481 W BEACH; 13485 W BEACH</t>
  </si>
  <si>
    <t>019-042-21</t>
  </si>
  <si>
    <t>251-351 W Imperial Hwy</t>
  </si>
  <si>
    <t>1650 S DELAWARE ST</t>
  </si>
  <si>
    <t>2901 E Kyne St</t>
  </si>
  <si>
    <t>200 S FREMONT ST</t>
  </si>
  <si>
    <t>7735 University Ave</t>
  </si>
  <si>
    <t>8234 University Ave</t>
  </si>
  <si>
    <t>8535 La Mesa Blvd</t>
  </si>
  <si>
    <t>17 E SANTA CLARA ST</t>
  </si>
  <si>
    <t>07103200420000</t>
  </si>
  <si>
    <t>103 E NATOMA ST</t>
  </si>
  <si>
    <t>07233700410000</t>
  </si>
  <si>
    <t>0.012999999999999999</t>
  </si>
  <si>
    <t>018 031000308</t>
  </si>
  <si>
    <t>2121 WOOD ST, Oakland, CA 94607</t>
  </si>
  <si>
    <t>041 415301302</t>
  </si>
  <si>
    <t>7120 HAWLEY ST, OAKLAND, CA 94621</t>
  </si>
  <si>
    <t>1070 BRIDGEVIEW WY</t>
  </si>
  <si>
    <t>400 CHINA BASIN ST</t>
  </si>
  <si>
    <t>001 020901500</t>
  </si>
  <si>
    <t>578 7TH ST</t>
  </si>
  <si>
    <t>009 068403001</t>
  </si>
  <si>
    <t>451 28TH ST</t>
  </si>
  <si>
    <t>003 002100700</t>
  </si>
  <si>
    <t>2323 SAN PABLO AVE</t>
  </si>
  <si>
    <t>003 002300802</t>
  </si>
  <si>
    <t>2116 BRUSH ST</t>
  </si>
  <si>
    <t>380-100-008</t>
  </si>
  <si>
    <t>no address</t>
  </si>
  <si>
    <t>325 ROCKVIEW RD</t>
  </si>
  <si>
    <t>321 ROCKVIEW RD</t>
  </si>
  <si>
    <t>18322 VILLANOVA LN</t>
  </si>
  <si>
    <t>18324 VILLANOVA LN</t>
  </si>
  <si>
    <t>18319 PASADAS LN</t>
  </si>
  <si>
    <t>18305 BARROSA LN</t>
  </si>
  <si>
    <t>18307 BARROSA LN</t>
  </si>
  <si>
    <t>123 ROCKVIEW RD</t>
  </si>
  <si>
    <t>1732 S. Lewis Road Camarillo, CA 93102</t>
  </si>
  <si>
    <t>012 096500100</t>
  </si>
  <si>
    <t>3737 M L KING JR WY</t>
  </si>
  <si>
    <t>010-0253-016-0000</t>
  </si>
  <si>
    <t>3131 W ,SACRAMENTO,CA</t>
  </si>
  <si>
    <t>0.050000000000000003</t>
  </si>
  <si>
    <t>2590 Bancroft</t>
  </si>
  <si>
    <t>054 174400700</t>
  </si>
  <si>
    <t>2720 San Pablo</t>
  </si>
  <si>
    <t>18760 MINER LN</t>
  </si>
  <si>
    <t>18775 MINER LN</t>
  </si>
  <si>
    <t>11215 PIERCE ST, Riverside, CA 92505</t>
  </si>
  <si>
    <t>1602 VALLEJO #9</t>
  </si>
  <si>
    <t>609 ROCKVIEW</t>
  </si>
  <si>
    <t>484-20-040</t>
  </si>
  <si>
    <t>2884 Alum Rock Avenue</t>
  </si>
  <si>
    <t>415-0240-032-00</t>
  </si>
  <si>
    <t>Russell Way</t>
  </si>
  <si>
    <t>0.070000000000000007</t>
  </si>
  <si>
    <t>416-140-047</t>
  </si>
  <si>
    <t>2555 El portal Dr</t>
  </si>
  <si>
    <t>188-0-310--055</t>
  </si>
  <si>
    <t>3851 Harbour Island Lane</t>
  </si>
  <si>
    <t>026-231-290</t>
  </si>
  <si>
    <t>1095 Rollins Rd</t>
  </si>
  <si>
    <t>UNIVERSITY AVENUE</t>
  </si>
  <si>
    <t>22-732-01, 22-732-48</t>
  </si>
  <si>
    <t>4104 Scotts Valley Drive</t>
  </si>
  <si>
    <t>2250 E PLEASANT VALLEY RD</t>
  </si>
  <si>
    <t>4510 Hubbard Street</t>
  </si>
  <si>
    <t>009 069902301</t>
  </si>
  <si>
    <t>445 30TH ST</t>
  </si>
  <si>
    <t>020 010600704</t>
  </si>
  <si>
    <t>1233 23RD AVE</t>
  </si>
  <si>
    <t>1510 WEBSTER ST</t>
  </si>
  <si>
    <t>685 9TH ST</t>
  </si>
  <si>
    <t>010 078500200</t>
  </si>
  <si>
    <t>430 ADAMS ST</t>
  </si>
  <si>
    <t>023 041800401</t>
  </si>
  <si>
    <t>31 EXCELSIOR CT</t>
  </si>
  <si>
    <t>006-091-39</t>
  </si>
  <si>
    <t>754 Sir Francis Drake</t>
  </si>
  <si>
    <t>5061 Keeney St</t>
  </si>
  <si>
    <t>8555 La Mesa Blvd</t>
  </si>
  <si>
    <t>8055 La Mesa Blvd</t>
  </si>
  <si>
    <t>18314 PALOMARES LN</t>
  </si>
  <si>
    <t>18317 PASADAS LN</t>
  </si>
  <si>
    <t>18805 MINER LN</t>
  </si>
  <si>
    <t>18835 MINER LN</t>
  </si>
  <si>
    <t>054 174203101</t>
  </si>
  <si>
    <t>2747 San Pablo</t>
  </si>
  <si>
    <t>2161 East Etting Road</t>
  </si>
  <si>
    <t>1409 EL CAMINO REAL</t>
  </si>
  <si>
    <t>01123210</t>
  </si>
  <si>
    <t>8181 Allison Ave</t>
  </si>
  <si>
    <t>3721015A</t>
  </si>
  <si>
    <t>546 HOWARD ST</t>
  </si>
  <si>
    <t>2030 POLK ST</t>
  </si>
  <si>
    <t>1601 Oxford</t>
  </si>
  <si>
    <t>2000 Dwight</t>
  </si>
  <si>
    <t>2099 M L K Jr.</t>
  </si>
  <si>
    <t>302 SILVER AV</t>
  </si>
  <si>
    <t>345 06TH ST</t>
  </si>
  <si>
    <t>119 07TH ST</t>
  </si>
  <si>
    <t>505-182-010; 505-182-004</t>
  </si>
  <si>
    <t>1475 N Palm Canyon DR
Palm Springs, CA</t>
  </si>
  <si>
    <t>3154-002-092</t>
  </si>
  <si>
    <t>20th Street East &amp; Avenue I</t>
  </si>
  <si>
    <t>18300 ARAGON LN</t>
  </si>
  <si>
    <t>15460 WATSONVILLE RD</t>
  </si>
  <si>
    <t>3300 College Dr.</t>
  </si>
  <si>
    <t>525 W. Struck Ave</t>
  </si>
  <si>
    <t>150 CHARTER STREET</t>
  </si>
  <si>
    <t>1318 Lincoln Blvd.</t>
  </si>
  <si>
    <t>1650 Lincoln Blvd</t>
  </si>
  <si>
    <t>1828 Ocean Ave</t>
  </si>
  <si>
    <t>1641 Lincoln Blvd.</t>
  </si>
  <si>
    <t>3366 84th Street</t>
  </si>
  <si>
    <t>SANTA BARBARA COUNTY</t>
  </si>
  <si>
    <t>005-270-034</t>
  </si>
  <si>
    <t>3230 VIA REAL, CARPINTERIA, CA 93013</t>
  </si>
  <si>
    <t>4550 LE DONNE DR, BLDG# 5
SACRAMENTO, CA 95823</t>
  </si>
  <si>
    <t>149-051-002</t>
  </si>
  <si>
    <t>PERKINS ROAD, NEW CUYAMA, CA</t>
  </si>
  <si>
    <t>051336140</t>
  </si>
  <si>
    <t>3705 MCLAUGHLIN AVE  S  90066</t>
  </si>
  <si>
    <t>1222 BEACHWOOD DR   N  90038</t>
  </si>
  <si>
    <t>1134 ORANGE DR   N  90038</t>
  </si>
  <si>
    <t>12663 SAN FERNANDO ROAD N  91342</t>
  </si>
  <si>
    <t>10010 GRAPE ST    90002</t>
  </si>
  <si>
    <t>819 East La Palma Drive</t>
  </si>
  <si>
    <t>019-042-170, 019-042-150, 019-042-160</t>
  </si>
  <si>
    <t>850 GLENVIEW DRIVE</t>
  </si>
  <si>
    <t>5723-009-034</t>
  </si>
  <si>
    <t>737 E Walnut St</t>
  </si>
  <si>
    <t>9229 WILSHIRE BLVD</t>
  </si>
  <si>
    <t>303 BALDWIN AVE</t>
  </si>
  <si>
    <t>8525 La Mesa Blvd</t>
  </si>
  <si>
    <t>002-870-008</t>
  </si>
  <si>
    <t>111 Saw Mill Cir. Lot 7</t>
  </si>
  <si>
    <t>008-171-31</t>
  </si>
  <si>
    <t>119 CORAL ST</t>
  </si>
  <si>
    <t>005-148-22</t>
  </si>
  <si>
    <t>525 CEDAR ST</t>
  </si>
  <si>
    <t>11620 W CHENAULT ST</t>
  </si>
  <si>
    <t>1525 N HOBART BLVD</t>
  </si>
  <si>
    <t>3647 S HUGHES AVE #1-8</t>
  </si>
  <si>
    <t>6711 S SEPULVEDA BLVD #1-#180</t>
  </si>
  <si>
    <t>9421 W ALCOTT ST 1-23</t>
  </si>
  <si>
    <t>1010 E HOME AVE</t>
  </si>
  <si>
    <t>101-0-222-015</t>
  </si>
  <si>
    <t>112 S. 12th St. Units 1-11</t>
  </si>
  <si>
    <t>18328 VILLANOVA LN</t>
  </si>
  <si>
    <t>18308 PALOMARES LN</t>
  </si>
  <si>
    <t>18770 MINER LN</t>
  </si>
  <si>
    <t>18785 MINER LN</t>
  </si>
  <si>
    <t>18830 MINER LN</t>
  </si>
  <si>
    <t>18820 MINER LN</t>
  </si>
  <si>
    <t>2700 W El Camino Real</t>
  </si>
  <si>
    <t>022-162-76</t>
  </si>
  <si>
    <t>No Address</t>
  </si>
  <si>
    <t>1304 EL CAMINO REAL Bldg F</t>
  </si>
  <si>
    <t>557 E BAYSHORE RD</t>
  </si>
  <si>
    <t>058-650-001</t>
  </si>
  <si>
    <t>1 Natalie Ln</t>
  </si>
  <si>
    <t>3586 ADAMS AV</t>
  </si>
  <si>
    <t>454 13TH ST</t>
  </si>
  <si>
    <t>525-342-5</t>
  </si>
  <si>
    <t>41829 and 41875 Osgood Road</t>
  </si>
  <si>
    <t>NEVADA CITY</t>
  </si>
  <si>
    <t>005-290-26</t>
  </si>
  <si>
    <t>170 Ridge Road</t>
  </si>
  <si>
    <t>8508006037 8508006038 8508006039 8508006040 8508006054 8508006055</t>
  </si>
  <si>
    <t>825 S Myrtle Ave</t>
  </si>
  <si>
    <t>7385 Colony Dr</t>
  </si>
  <si>
    <t>16180 MONTEREY RD UNITS 101-106, 201-205</t>
  </si>
  <si>
    <t>12341 Oak Knoll Rd</t>
  </si>
  <si>
    <t>3133-002-026</t>
  </si>
  <si>
    <t>44948 10th Street West</t>
  </si>
  <si>
    <t>5713-009-035</t>
  </si>
  <si>
    <t>75 W Walnut St</t>
  </si>
  <si>
    <t>9691 BIXBY AVE</t>
  </si>
  <si>
    <t>2225 Broadway</t>
  </si>
  <si>
    <t>1437 5th St</t>
  </si>
  <si>
    <t>1626  LINCOLN BLVD</t>
  </si>
  <si>
    <t>830 Orcutt Rd
San Luis Obispo, CA 93401</t>
  </si>
  <si>
    <t>34-252-12</t>
  </si>
  <si>
    <t>525 Oxford Circle</t>
  </si>
  <si>
    <t>3825 SYDNEY WAY
Carlsbad, CA 92008--508</t>
  </si>
  <si>
    <t>70-151-2</t>
  </si>
  <si>
    <t>820 B Street</t>
  </si>
  <si>
    <t>406 E Third Ave</t>
  </si>
  <si>
    <t>5183 DALAI LAMA AVE</t>
  </si>
  <si>
    <t>2379 COLUMBIA BLVD</t>
  </si>
  <si>
    <t>189-32-074</t>
  </si>
  <si>
    <t>1411-1495 West El Camino Real</t>
  </si>
  <si>
    <t>178 Third Avenue</t>
  </si>
  <si>
    <t>18110 Monterey Rd</t>
  </si>
  <si>
    <t>071-090-049</t>
  </si>
  <si>
    <t>159 South Kellogg Ave</t>
  </si>
  <si>
    <t>22501 Hawthorne Blvd</t>
  </si>
  <si>
    <t>012 100000701</t>
  </si>
  <si>
    <t>4045 BROADWAY, Oakland, CA 94611</t>
  </si>
  <si>
    <t>BENICIA</t>
  </si>
  <si>
    <t>0080-150-380</t>
  </si>
  <si>
    <t>1075 Jefferson Street</t>
  </si>
  <si>
    <t>4550 LE DONNE DR, BLDG# 6
SACRAMENTO, CA 95823</t>
  </si>
  <si>
    <t>4550 LE DONNE DR, BLDG# 12
SACRAMENTO, CA 95823</t>
  </si>
  <si>
    <t>1200 RICKABAUGH WY, SANTA CLARA, CA 95050</t>
  </si>
  <si>
    <t>16170 MONTEREY RD UNITS 200-205</t>
  </si>
  <si>
    <t>230-07-062</t>
  </si>
  <si>
    <t>588 EL CAMINO REAL, SANTA CLARA, CA 95050</t>
  </si>
  <si>
    <t>11824 Aviation Boulevard, Inglewood CA 90304</t>
  </si>
  <si>
    <t>2068-003-020</t>
  </si>
  <si>
    <t>4799 Commons Way</t>
  </si>
  <si>
    <t>011-260-027</t>
  </si>
  <si>
    <t>611 Washington</t>
  </si>
  <si>
    <t>5719-024-700</t>
  </si>
  <si>
    <t>125 Hurlbut St</t>
  </si>
  <si>
    <t>1443 18th St</t>
  </si>
  <si>
    <t>1601 Lincoln Blvd</t>
  </si>
  <si>
    <t>1560 Lincoln Blvd</t>
  </si>
  <si>
    <t>175-306-11-00</t>
  </si>
  <si>
    <t>165 Eucalyptus Ave.</t>
  </si>
  <si>
    <t>9001 SANTA MONICA BLVD</t>
  </si>
  <si>
    <t>1.3999999999999999</t>
  </si>
  <si>
    <t>240 S TAAFFE ST</t>
  </si>
  <si>
    <t>401 Monterey Street</t>
  </si>
  <si>
    <t>75-1-4</t>
  </si>
  <si>
    <t>1199 East 14th St, San Leandro, Ca 94577</t>
  </si>
  <si>
    <t>5722-013-010</t>
  </si>
  <si>
    <t>177 E Del Mar Blvd</t>
  </si>
  <si>
    <t>035-011-030</t>
  </si>
  <si>
    <t>2605 Main Street</t>
  </si>
  <si>
    <t>441-0068-040-04</t>
  </si>
  <si>
    <t>2595 Depot Rd</t>
  </si>
  <si>
    <t>300 ELAINE'S WAY, AGUA CALIENTE CA</t>
  </si>
  <si>
    <t>600 LOUISE WAY, Sonoma CA 95476</t>
  </si>
  <si>
    <t>1300 El Camino Real</t>
  </si>
  <si>
    <t>1560  B ST</t>
  </si>
  <si>
    <t>1401 Broadway</t>
  </si>
  <si>
    <t>849 Veterans Blvd</t>
  </si>
  <si>
    <t>132-0-100-095</t>
  </si>
  <si>
    <t>2700 N VENTURA RD</t>
  </si>
  <si>
    <t>5623-005-014</t>
  </si>
  <si>
    <t>5421 CAMPBELL LN
DUBLIN  CA 94568</t>
  </si>
  <si>
    <t>1801 Ridley</t>
  </si>
  <si>
    <t>702 BENNETT VALLEY RD</t>
  </si>
  <si>
    <t>401 7TH ST   E  90014</t>
  </si>
  <si>
    <t>11311-11321 CAMARILLO ST</t>
  </si>
  <si>
    <t>5608 LA MIRADA AVE  W  90038</t>
  </si>
  <si>
    <t>706 ALVARADO ST</t>
  </si>
  <si>
    <t>1901 BLAKE AVE  W  90039</t>
  </si>
  <si>
    <t>3423 WALTON AVE</t>
  </si>
  <si>
    <t>3643 EMPIRE DR</t>
  </si>
  <si>
    <t>7639 VAN NUYS BLVD</t>
  </si>
  <si>
    <t>11616 BURBANK BLVD</t>
  </si>
  <si>
    <t>6740 BRYNHURST AVE</t>
  </si>
  <si>
    <t>12626 BURBANK BLVD</t>
  </si>
  <si>
    <t>1114 ST ANDREWS PL   N  90038</t>
  </si>
  <si>
    <t>1212 WESTMORELAND AVE  S  90006</t>
  </si>
  <si>
    <t>12331 PALMS BLVD W  90066</t>
  </si>
  <si>
    <t>15323 VANOWEN ST   W  91406</t>
  </si>
  <si>
    <t>1800 BEVERLY BLVD W  90057</t>
  </si>
  <si>
    <t>182 VIRGIL AVE  S  90004</t>
  </si>
  <si>
    <t>235 HOOVER ST   N  90004</t>
  </si>
  <si>
    <t>5058 MAPLEWOOD AVE  W  90004</t>
  </si>
  <si>
    <t>029-235-290</t>
  </si>
  <si>
    <t>025-280-480</t>
  </si>
  <si>
    <t>30 Ingold Rd</t>
  </si>
  <si>
    <t>33.600000000000001</t>
  </si>
  <si>
    <t>5929 SUNSET BLVD W  90028</t>
  </si>
  <si>
    <t>743 GRAMERCY DR   S  90005</t>
  </si>
  <si>
    <t>224 S. Halcyon Road</t>
  </si>
  <si>
    <t>445 134 08 &amp; 445 134 09</t>
  </si>
  <si>
    <t>4201 &amp; 4301 Jamboree Road</t>
  </si>
  <si>
    <t>2294323300 2294323400 2294323200</t>
  </si>
  <si>
    <t>224-141-23-00, 224-141-24-00, 224-141-25-00, 224-142-30-00, 224-142-31-00, 224-142-32-00, 224-142-33-00</t>
  </si>
  <si>
    <t>942, and 943 Stanley Avenue, and 2005 ‚Äì 2175 Conway Drive</t>
  </si>
  <si>
    <t>4195 KANSAS ST</t>
  </si>
  <si>
    <t>033 215800501</t>
  </si>
  <si>
    <t>3751 INTERNATIONAL BLVD, Oakland, CA 94601</t>
  </si>
  <si>
    <t>001 014900402</t>
  </si>
  <si>
    <t>335 3RD ST, Oakland, CA 94607</t>
  </si>
  <si>
    <t>1401 IMPERIAL AV</t>
  </si>
  <si>
    <t>2903 Lincoln Blvd.</t>
  </si>
  <si>
    <t>179-024-09-00</t>
  </si>
  <si>
    <t>212 Guajome St.</t>
  </si>
  <si>
    <t>011171500</t>
  </si>
  <si>
    <t>1271 Edgewood Wy C</t>
  </si>
  <si>
    <t>035200120</t>
  </si>
  <si>
    <t>524 41st ST, OAKLAND, CA 94609</t>
  </si>
  <si>
    <t>LAKE FOREST</t>
  </si>
  <si>
    <t>617-441-02</t>
  </si>
  <si>
    <t>24551 RAYMOND WAY</t>
  </si>
  <si>
    <t>336-371-14-00 , 336-371-15-00</t>
  </si>
  <si>
    <t>829-849 S. Escondido Boulevard and 332 W. Ninth Avenue</t>
  </si>
  <si>
    <t>002-301-54</t>
  </si>
  <si>
    <t>763 S Oak St</t>
  </si>
  <si>
    <t>0080-222-010</t>
  </si>
  <si>
    <t>1451 Park Road</t>
  </si>
  <si>
    <t>4550 LE DONNE DR, BLDG# 10
SACRAMENTO, CA 95823</t>
  </si>
  <si>
    <t>4550 LE DONNE DR, BLDG# 11
SACRAMENTO, CA 95823</t>
  </si>
  <si>
    <t>SOLANA BEACH</t>
  </si>
  <si>
    <t>298-260-33, 298-281-10, 298-164-22</t>
  </si>
  <si>
    <t>661 - 781 S. Nardo Ave &amp; 821 Stevens Ave</t>
  </si>
  <si>
    <t>5747-002-193</t>
  </si>
  <si>
    <t>2488 Mohawk St</t>
  </si>
  <si>
    <t>097-05-059</t>
  </si>
  <si>
    <t>2231 CALLE DEL MUNDO, SANTA CLARA, CA 95054</t>
  </si>
  <si>
    <t>200-0-100-020</t>
  </si>
  <si>
    <t>1345 N. Oxnard Boulevard</t>
  </si>
  <si>
    <t>510-053-032</t>
  </si>
  <si>
    <t>5620 Central Avenue</t>
  </si>
  <si>
    <t>389-47-066</t>
  </si>
  <si>
    <t>10855 Elm Circle</t>
  </si>
  <si>
    <t>269-39-101</t>
  </si>
  <si>
    <t>555 Saratoga</t>
  </si>
  <si>
    <t>097-05-098</t>
  </si>
  <si>
    <t>2200 Calle De Luna</t>
  </si>
  <si>
    <t>43602 VENTANA ST</t>
  </si>
  <si>
    <t>436 GEARY ST</t>
  </si>
  <si>
    <t>434 MINNA ST</t>
  </si>
  <si>
    <t>1394 HARRISON ST</t>
  </si>
  <si>
    <t>048-260-030-000</t>
  </si>
  <si>
    <t>1650 HUNTINGTON DR</t>
  </si>
  <si>
    <t>500 ROSEVILLE PW, BLDG 5</t>
  </si>
  <si>
    <t>333 BEALE ST</t>
  </si>
  <si>
    <t>1450 Cloverfield Blvd.</t>
  </si>
  <si>
    <t>4550 LE DONNE DR, BLDG# 7
SACRAMENTO, CA 95823</t>
  </si>
  <si>
    <t>4550 LE DONNE DR, BLDG# 8
SACRAMENTO, CA 95823</t>
  </si>
  <si>
    <t>097-05-110</t>
  </si>
  <si>
    <t>2333 Calle del Mundo, SANTA CLARA, CA 95054</t>
  </si>
  <si>
    <t>2310 CALLE DEL MUNDO, SANTA CLARA, CA 95054</t>
  </si>
  <si>
    <t>444-0057-033-00</t>
  </si>
  <si>
    <t>692 Berry Ave</t>
  </si>
  <si>
    <t>078C-0438-006-00</t>
  </si>
  <si>
    <t>29213 Mission Blvd</t>
  </si>
  <si>
    <t>4856 W Avenue L-14 #101, Lancaster CA 93536</t>
  </si>
  <si>
    <t>2799 HEALTH CENTER DR</t>
  </si>
  <si>
    <t>4162 ESTRELLA AV</t>
  </si>
  <si>
    <t>4325 03RD AV</t>
  </si>
  <si>
    <t>1041 MARTEL AVE</t>
  </si>
  <si>
    <t>TR 8180</t>
  </si>
  <si>
    <t>4890 SUNROAD CENTRUM LN</t>
  </si>
  <si>
    <t>HIGHLAND</t>
  </si>
  <si>
    <t>0278-131-45</t>
  </si>
  <si>
    <t>7536 Sterling Ave</t>
  </si>
  <si>
    <t>71-100-25</t>
  </si>
  <si>
    <t>2990 Fifth Street</t>
  </si>
  <si>
    <t>36-170-18</t>
  </si>
  <si>
    <t>Olive Drive</t>
  </si>
  <si>
    <t>36-060-05</t>
  </si>
  <si>
    <t>059-271-059</t>
  </si>
  <si>
    <t>376 Shiloh Road</t>
  </si>
  <si>
    <t>011-265-01</t>
  </si>
  <si>
    <t>999 Third Street</t>
  </si>
  <si>
    <t>056 197701300</t>
  </si>
  <si>
    <t>2198 San Pablo</t>
  </si>
  <si>
    <t>NEVADA ST</t>
  </si>
  <si>
    <t>025-166-230, 025-166-240</t>
  </si>
  <si>
    <t>1855-81 Rollins Road</t>
  </si>
  <si>
    <t>009 070100800</t>
  </si>
  <si>
    <t>2901 BROADWAY, Oakland, CA 94611</t>
  </si>
  <si>
    <t>49.700000000000003</t>
  </si>
  <si>
    <t>012 097200100</t>
  </si>
  <si>
    <t>469 40TH ST, Oakland, CA 94609</t>
  </si>
  <si>
    <t>47.799999999999997</t>
  </si>
  <si>
    <t>003 002101000</t>
  </si>
  <si>
    <t>2311 SAN PABLO AVE, Oakland, CA 94612</t>
  </si>
  <si>
    <t>46.700000000000003</t>
  </si>
  <si>
    <t>005 046700100</t>
  </si>
  <si>
    <t>3135 SAN PABLO AVE, Oakland, CA 94608</t>
  </si>
  <si>
    <t>100.09999999999999</t>
  </si>
  <si>
    <t>316 12TH ST, Oakland, CA 94607</t>
  </si>
  <si>
    <t>006 001702000</t>
  </si>
  <si>
    <t>1670 7TH ST, OAKLAND, CA 94607</t>
  </si>
  <si>
    <t>28715 LAS HACIENDAS ST</t>
  </si>
  <si>
    <t>5242 E LIBERTY AVE 105+</t>
  </si>
  <si>
    <t>1120 LARRABEE ST</t>
  </si>
  <si>
    <t>100 Rojas</t>
  </si>
  <si>
    <t>22109 S Vermont Avenue Torrance, CA 90502</t>
  </si>
  <si>
    <t>022 030800200</t>
  </si>
  <si>
    <t>459 WAYNE AVE, Oakland, CA 94606</t>
  </si>
  <si>
    <t>53.799999999999997</t>
  </si>
  <si>
    <t>121 East 12th ST, Oakland , CA 94606</t>
  </si>
  <si>
    <t>3787 CENTRE ST</t>
  </si>
  <si>
    <t>707 17TH ST</t>
  </si>
  <si>
    <t>2415 VALDEZ ST, Oakland, CA 94612</t>
  </si>
  <si>
    <t>205-50-045</t>
  </si>
  <si>
    <t>1120  KIFER RD</t>
  </si>
  <si>
    <t>3539 DEL REY ST</t>
  </si>
  <si>
    <t>4550 LE DONNE DR, BLDG# 4
SACRAMENTO, CA 95823</t>
  </si>
  <si>
    <t>4550 LE DONNE DR, BLDG# 13
SACRAMENTO, CA 95823</t>
  </si>
  <si>
    <t>35401440 and 035401450</t>
  </si>
  <si>
    <t>1, 2, 3 Waters Park Dr</t>
  </si>
  <si>
    <t>3323 OLYMPIC BLVD W  90019</t>
  </si>
  <si>
    <t>19975 VENTURA BLVD W  91364</t>
  </si>
  <si>
    <t>10850 RIVERSIDE DR   W  91602</t>
  </si>
  <si>
    <t>20247 SATICOY ST   W  91306</t>
  </si>
  <si>
    <t>720 ROSE AVE  E  90291</t>
  </si>
  <si>
    <t>1637 WILCOX AVE  N  90028</t>
  </si>
  <si>
    <t>040031250</t>
  </si>
  <si>
    <t>2600 S DELAWARE ST</t>
  </si>
  <si>
    <t>24550 COTTONWOOD AVE</t>
  </si>
  <si>
    <t>2028 Bancroft</t>
  </si>
  <si>
    <t>2701 Shattuck</t>
  </si>
  <si>
    <t>7025 S MAIN ST 1-11</t>
  </si>
  <si>
    <t>24570 COTTONWOOD AVE</t>
  </si>
  <si>
    <t>15108 LOGOS CT</t>
  </si>
  <si>
    <t>43519 VENTANA ST</t>
  </si>
  <si>
    <t>005-072-310</t>
  </si>
  <si>
    <t>3001 Geneva Ave</t>
  </si>
  <si>
    <t>1661 E HOME AVE 101+</t>
  </si>
  <si>
    <t>10 McMurray Road</t>
  </si>
  <si>
    <t>137-090-067</t>
  </si>
  <si>
    <t>560 McMurray Road</t>
  </si>
  <si>
    <t>10 SOUTH VAN NESS AVE</t>
  </si>
  <si>
    <t>30 VAN NESS AVE</t>
  </si>
  <si>
    <t>3601 LAWTON ST</t>
  </si>
  <si>
    <t>228 CLARA ST</t>
  </si>
  <si>
    <t>360 05TH ST</t>
  </si>
  <si>
    <t>230 07TH ST</t>
  </si>
  <si>
    <t>078G-2760-009-07</t>
  </si>
  <si>
    <t>32513 Mission Blvd</t>
  </si>
  <si>
    <t>101 E Pacific Coast Hwy and 1814 Pine Ave</t>
  </si>
  <si>
    <t>4005001B</t>
  </si>
  <si>
    <t>210 ARKANSAS ST</t>
  </si>
  <si>
    <t>1902 Wilshire Blvd</t>
  </si>
  <si>
    <t>427 172 02</t>
  </si>
  <si>
    <t>1701 Corinthian Way</t>
  </si>
  <si>
    <t>039 327100505</t>
  </si>
  <si>
    <t>6733 FOOTHILL BLVD, Oakland, CA 94605</t>
  </si>
  <si>
    <t>047 550900101</t>
  </si>
  <si>
    <t>10550 INTERNATIONAL BLVD, Oakland, CA 94603</t>
  </si>
  <si>
    <t>55.600000000000001</t>
  </si>
  <si>
    <t>008 066400600</t>
  </si>
  <si>
    <t>2301 TELEGRAPH AVE, Oakland, CA 94612</t>
  </si>
  <si>
    <t>61.100000000000001</t>
  </si>
  <si>
    <t>040A342201700</t>
  </si>
  <si>
    <t>7994 MACARTHUR BLVD, Oakland, CA 94605</t>
  </si>
  <si>
    <t>81.799999999999997</t>
  </si>
  <si>
    <t>12575 W VENICE BLVD</t>
  </si>
  <si>
    <t>318 MAIN ST</t>
  </si>
  <si>
    <t>10501 S Buford Avenue #A, B &amp; C, Inglewood CA 90304</t>
  </si>
  <si>
    <t>529.39999999999998</t>
  </si>
  <si>
    <t>862 N MORAGA DR</t>
  </si>
  <si>
    <t>025 072000702</t>
  </si>
  <si>
    <t>2956 INTERNATIONAL BLVD, Oakland, CA 94601</t>
  </si>
  <si>
    <t>334.80000000000001</t>
  </si>
  <si>
    <t>001 013500100</t>
  </si>
  <si>
    <t>233 BROADWAY, Oakland, CA 94607</t>
  </si>
  <si>
    <t>4311 MACARTHUR BLVD, Oakland, CA 94619</t>
  </si>
  <si>
    <t>14419 W RIVERSIDE DR</t>
  </si>
  <si>
    <t>3737 M L KING JR WY, OAKLAND, CA 94609</t>
  </si>
  <si>
    <t>017-490-025-000</t>
  </si>
  <si>
    <t>2930 BLUE OAKS BL, Roseville CA 95747</t>
  </si>
  <si>
    <t>048-260-048-000</t>
  </si>
  <si>
    <t>1650 HUNTINGTON DR, BLDG 10, Roseville CA 95661</t>
  </si>
  <si>
    <t>22905 S Vermont Avenue, Torrance CA 90502</t>
  </si>
  <si>
    <t>44.299999999999997</t>
  </si>
  <si>
    <t>13021 Poway Rd</t>
  </si>
  <si>
    <t>MURRIETA</t>
  </si>
  <si>
    <t>Cherry Street and Winchester Road</t>
  </si>
  <si>
    <t>034200240</t>
  </si>
  <si>
    <t>31 9TH AVE</t>
  </si>
  <si>
    <t>11660 Compton Avenue, Los Angeles, CA 90059</t>
  </si>
  <si>
    <t>14142 VANOWEN ST   W  91405</t>
  </si>
  <si>
    <t>9919 LOU-DILLON AVE  S  90002</t>
  </si>
  <si>
    <t>2771 ROWENA AVE  W  90039</t>
  </si>
  <si>
    <t>4055 OAKWOOD AVE  W  90004</t>
  </si>
  <si>
    <t>181 AVENUE 21  N  90031</t>
  </si>
  <si>
    <t>100 BOYLE AVE  S  90033</t>
  </si>
  <si>
    <t>304 KENMORE AVE  N  90004</t>
  </si>
  <si>
    <t>456 9TH ST   W  90731</t>
  </si>
  <si>
    <t>14818 DELANO ST   W  91411</t>
  </si>
  <si>
    <t>1150 WILSHIRE BLVD W  90017</t>
  </si>
  <si>
    <t>4153 Whittier Boulevard Los Angeles, CA 90023</t>
  </si>
  <si>
    <t>008-082-160</t>
  </si>
  <si>
    <t>305 Eastmoor Ave</t>
  </si>
  <si>
    <t>053-605-002</t>
  </si>
  <si>
    <t>865 Madonna Road Unit: 101
San Luis Obispo, CA 93405</t>
  </si>
  <si>
    <t>1730 Los Feliz</t>
  </si>
  <si>
    <t>008 064700100</t>
  </si>
  <si>
    <t>2125 TELEGRAPH AVE, Oakland, CA 94612</t>
  </si>
  <si>
    <t>021 028803101</t>
  </si>
  <si>
    <t>1495 E 22ND ST, Oakland, CA 94606</t>
  </si>
  <si>
    <t>1006 CARLSBAD VILLAGE DR Carlsbad, CA 92008</t>
  </si>
  <si>
    <t>7294 PONTO DR
Carlsbad, CA 92011--460</t>
  </si>
  <si>
    <t>22.800000000000001</t>
  </si>
  <si>
    <t>4660 GARDEN HILL LOOP
Carlsbad, CA 92008--374</t>
  </si>
  <si>
    <t>31.300000000000001</t>
  </si>
  <si>
    <t>1380 LAUREL TREE LN
CARLSBAD, CA 92011</t>
  </si>
  <si>
    <t>3835 SYDNEY WAY
Carlsbad, CA 92008--508</t>
  </si>
  <si>
    <t>3865 SYDNEY WAY
Carlsbad, CA 92008--508</t>
  </si>
  <si>
    <t>1205 AVIARA PKWY
Carlsbad, CA 92011--127</t>
  </si>
  <si>
    <t>1351 42ND AVE</t>
  </si>
  <si>
    <t>0645014</t>
  </si>
  <si>
    <t>1567 CALIFORNIA ST</t>
  </si>
  <si>
    <t>0853032</t>
  </si>
  <si>
    <t>78 HAIGHT ST</t>
  </si>
  <si>
    <t>301 BEALE ST</t>
  </si>
  <si>
    <t>706 MISSION ST</t>
  </si>
  <si>
    <t>12147 W MAGNOLIA BLVD 1-36</t>
  </si>
  <si>
    <t>14645 W VANOWEN ST</t>
  </si>
  <si>
    <t>4208 E HUNTINGTON DR SOUTH</t>
  </si>
  <si>
    <t>14639 W VANOWEN ST</t>
  </si>
  <si>
    <t>3500 S CHESAPEAKE AVE 1-22</t>
  </si>
  <si>
    <t>11859 SANTA MONICA BLVD W  90025</t>
  </si>
  <si>
    <t>923 GLENDALE BLVD N  90026</t>
  </si>
  <si>
    <t>5627 FERNWOOD AVE  W  90028</t>
  </si>
  <si>
    <t>11701 GATEWAY BLVD W  90064</t>
  </si>
  <si>
    <t>4305 LANKERSHIM BLVD N  91602</t>
  </si>
  <si>
    <t>942 NORTH BROADWAY  N  90012</t>
  </si>
  <si>
    <t>6329 CLYBOURN AVE  N  91606</t>
  </si>
  <si>
    <t>425 UNION AVE  S  90017</t>
  </si>
  <si>
    <t>11614 BURBANK BLVD W  91601</t>
  </si>
  <si>
    <t>6400 SUNSET BLVD W  90028</t>
  </si>
  <si>
    <t>3800 FIGUEROA ST   S  90037</t>
  </si>
  <si>
    <t>0836008</t>
  </si>
  <si>
    <t>98 FRANKLIN ST</t>
  </si>
  <si>
    <t>3700 CALIFORNIA ST</t>
  </si>
  <si>
    <t>15566 W RAYEN ST 1-30</t>
  </si>
  <si>
    <t>833 BRYANT ST</t>
  </si>
  <si>
    <t>338 MAIN ST</t>
  </si>
  <si>
    <t>12071 W WILSHIRE BLVD</t>
  </si>
  <si>
    <t>004 006900400</t>
  </si>
  <si>
    <t>1396 5TH ST, Oakland, CA 94607</t>
  </si>
  <si>
    <t>038 317503300</t>
  </si>
  <si>
    <t>2611 SEMINARY AVE, Oakland, CA 94605</t>
  </si>
  <si>
    <t>21.699999999999999</t>
  </si>
  <si>
    <t>020 013901702</t>
  </si>
  <si>
    <t>1003 E 15TH ST, OAKLAND, CA 94606</t>
  </si>
  <si>
    <t>655.60000000000002</t>
  </si>
  <si>
    <t>99 South Kellogg Ave</t>
  </si>
  <si>
    <t>179 South Kellogg Ave</t>
  </si>
  <si>
    <t>008 067200800</t>
  </si>
  <si>
    <t>013 109402801</t>
  </si>
  <si>
    <t>4400 M L KING JR WY, Oakland, CA 94609</t>
  </si>
  <si>
    <t>35.700000000000003</t>
  </si>
  <si>
    <t>014 122600902</t>
  </si>
  <si>
    <t>5110 TELEGRAPH AVE, Oakland, CA 94609</t>
  </si>
  <si>
    <t>4252 Whittier Boulevard, Los Angeles CA 90023</t>
  </si>
  <si>
    <t>2052 N Lake Avenue, Altadena CA 91001</t>
  </si>
  <si>
    <t>009-212-31</t>
  </si>
  <si>
    <t>831 WATER ST</t>
  </si>
  <si>
    <t>012 102501200</t>
  </si>
  <si>
    <t>3883 TURQUOISE WY</t>
  </si>
  <si>
    <t>4806 N SYLMAR AVE 1-11</t>
  </si>
  <si>
    <t>204-03-002</t>
  </si>
  <si>
    <t>210 W AHWANEE AV</t>
  </si>
  <si>
    <t>3233 THATCHER AVE  S  90292</t>
  </si>
  <si>
    <t>10220 FERNGLEN AVE  N  91042</t>
  </si>
  <si>
    <t>19360 VENTURA BLVD W  91356</t>
  </si>
  <si>
    <t>6650 FRANKLIN AVE  W  90028</t>
  </si>
  <si>
    <t>806 ADAMS BLVD W  90007</t>
  </si>
  <si>
    <t>5431 NORMANDIE AVE  S  90037</t>
  </si>
  <si>
    <t>17436 CHATSWORTH ST   W  91344</t>
  </si>
  <si>
    <t>070-144-003</t>
  </si>
  <si>
    <t>1111 H Street</t>
  </si>
  <si>
    <t>009 068401100</t>
  </si>
  <si>
    <t>2600 TELEGRAPH AVE, Oakland, CA 94612</t>
  </si>
  <si>
    <t>15528 W RAYEN ST 1-18</t>
  </si>
  <si>
    <t>264 S UNION AVE</t>
  </si>
  <si>
    <t>5929 W SUNSET BLVD</t>
  </si>
  <si>
    <t>4179 E City Terrace Drive, Los Angeles CA 90063</t>
  </si>
  <si>
    <t>837 82ND ST   W  90044</t>
  </si>
  <si>
    <t>11955 CULVER BLVD W  90066</t>
  </si>
  <si>
    <t>4446 FLORIZEL ST   E  90032</t>
  </si>
  <si>
    <t>2910 SAN FERNANDO ROAD W  90065</t>
  </si>
  <si>
    <t>14534 BURBANK BLVD W  91411</t>
  </si>
  <si>
    <t>4200 PICO BLVD W  90019</t>
  </si>
  <si>
    <t>720 WASHINGTON BLVD W  90015</t>
  </si>
  <si>
    <t>1110 VINTAGE LN</t>
  </si>
  <si>
    <t>1180 VINTAGE LN</t>
  </si>
  <si>
    <t>1160 VINTAGE LN</t>
  </si>
  <si>
    <t>8000 3RD ST   W  90048</t>
  </si>
  <si>
    <t>3170 OLYMPIC BLVD W  90006</t>
  </si>
  <si>
    <t>13570 W FOOTHILL BLVD</t>
  </si>
  <si>
    <t>7823 S MAIN ST #1-#47</t>
  </si>
  <si>
    <t>4965 S CENTINELA AVE #1-25</t>
  </si>
  <si>
    <t>708 S NEW DEPOT ST 1-33</t>
  </si>
  <si>
    <t>13654 W BASSETT ST 1-19</t>
  </si>
  <si>
    <t>3638 S MOTOR AVE</t>
  </si>
  <si>
    <t>11588 W PICO BLVD #1-21</t>
  </si>
  <si>
    <t>3827 S FRANCES AVE 1-18</t>
  </si>
  <si>
    <t>4505-4513 S SLAUSON AVE</t>
  </si>
  <si>
    <t>400 02ND ST</t>
  </si>
  <si>
    <t>0302021</t>
  </si>
  <si>
    <t>955 POST ST</t>
  </si>
  <si>
    <t>6740 S BRYNHURST AVE</t>
  </si>
  <si>
    <t>0832025</t>
  </si>
  <si>
    <t>300 OCTAVIA ST</t>
  </si>
  <si>
    <t>160 FOLSOM ST</t>
  </si>
  <si>
    <t>1301 16TH ST</t>
  </si>
  <si>
    <t>2171 03RD ST</t>
  </si>
  <si>
    <t>750 S KINGSLEY DR</t>
  </si>
  <si>
    <t>1100 W TEMPLE ST</t>
  </si>
  <si>
    <t>802 STATE ACCESS RD</t>
  </si>
  <si>
    <t>11727 W KIOWA AVE</t>
  </si>
  <si>
    <t>2365 S FOX HILLS DR #100-#504</t>
  </si>
  <si>
    <t>6363 N TYRONE AVE</t>
  </si>
  <si>
    <t>12233 Choisser Rd</t>
  </si>
  <si>
    <t>10200 S Inglewood Avenue Inglewood, CA 90304</t>
  </si>
  <si>
    <t>14800 Beach Blvd</t>
  </si>
  <si>
    <t>2990 5th Street</t>
  </si>
  <si>
    <t>88 Long Court</t>
  </si>
  <si>
    <t>005-152-33</t>
  </si>
  <si>
    <t>902 PACIFIC AVE</t>
  </si>
  <si>
    <t>001014800402</t>
  </si>
  <si>
    <t>335 3rd, OAKLAND, CA</t>
  </si>
  <si>
    <t>020014901400</t>
  </si>
  <si>
    <t>2000 INTERNATIONAL BLVD, Oakland, CA 94606</t>
  </si>
  <si>
    <t>003-511-013</t>
  </si>
  <si>
    <t>581 Higuera St
San Luis Obispo, CA 93401</t>
  </si>
  <si>
    <t>170 Erbes</t>
  </si>
  <si>
    <t>124-33-068</t>
  </si>
  <si>
    <t>2515 EL CAMINO REAL</t>
  </si>
  <si>
    <t>2600  GAGE DR</t>
  </si>
  <si>
    <t>2116 BRUSH ST, Oakland, CA 94612</t>
  </si>
  <si>
    <t>3845 SYDNEY WAY
Carlsbad, CA 92008--508</t>
  </si>
  <si>
    <t>340 HILL ST   S  90013</t>
  </si>
  <si>
    <t>5050 BAKMAN AVE  N  91601</t>
  </si>
  <si>
    <t>2042 CAHUENGA BLVD N  90068</t>
  </si>
  <si>
    <t>1600 WILSHIRE BLVD W  90017</t>
  </si>
  <si>
    <t>11674 SANTA MONICA BLVD W  90025</t>
  </si>
  <si>
    <t>4719 NORMANDIE AVE  S  90037</t>
  </si>
  <si>
    <t>5501 RESEDA BLVD N  91356</t>
  </si>
  <si>
    <t>1609 218TH ST   W  90501</t>
  </si>
  <si>
    <t>385 14TH ST</t>
  </si>
  <si>
    <t>3855 SYDNEY WAY
Carlsbad, CA 92008--508</t>
  </si>
  <si>
    <t>1500 GRANVILLE AVE</t>
  </si>
  <si>
    <t>1223 EDGEMONT ST</t>
  </si>
  <si>
    <t>1301 SUNSET BLVD</t>
  </si>
  <si>
    <t>1827 MIDVALE AVE</t>
  </si>
  <si>
    <t>10604 SANTA MONICA BLVD W  90025</t>
  </si>
  <si>
    <t>5022 WHITSETT AVE  N  91607</t>
  </si>
  <si>
    <t>2602 ORANGE DR   S  90016</t>
  </si>
  <si>
    <t>226 LAKE ST   N  90026</t>
  </si>
  <si>
    <t>1901 ECHO PARK AVE</t>
  </si>
  <si>
    <t>6000 COMEY AVE  W  90034</t>
  </si>
  <si>
    <t>527 WILTON PL</t>
  </si>
  <si>
    <t>1127 SPAULDING AVE</t>
  </si>
  <si>
    <t>849-857 BUNKER HILL AVE</t>
  </si>
  <si>
    <t>5342 FOUNTAIN AVE</t>
  </si>
  <si>
    <t>5240 VIRGINIA AVE</t>
  </si>
  <si>
    <t>11612 CULVER BLVD</t>
  </si>
  <si>
    <t>11671 ERWIN ST</t>
  </si>
  <si>
    <t>3401 1ST ST   E  90063</t>
  </si>
  <si>
    <t>401 WESTERN AVE  S  90020</t>
  </si>
  <si>
    <t>4208 HUNTINGTON DR   E  90032</t>
  </si>
  <si>
    <t>431 LA CIENEGA BLVD N  90048</t>
  </si>
  <si>
    <t>668 ALAMEDA ST   S  90021</t>
  </si>
  <si>
    <t>731 BOYLE AVE  S  90023</t>
  </si>
  <si>
    <t>7720 LANKERSHIM BLVD N  91605</t>
  </si>
  <si>
    <t>1645 BEVERLY GLEN BLVD S  90024</t>
  </si>
  <si>
    <t>1409 W 55TH ST UNIT# 1-8</t>
  </si>
  <si>
    <t>955 S FEDORA ST 1-60</t>
  </si>
  <si>
    <t>150-154 N BERENDO ST</t>
  </si>
  <si>
    <t>8507002011 8507002012 8507002014 8507002015 8507002017 8507002018 8507002019 8507002020 8507002022 8507002023 8507002036 8507002037</t>
  </si>
  <si>
    <t>202, 206, 210, 212, 216, 220, 224, 228, 234, 238 West Evergreen Avenue; 1551 South Primrose Avenue; 1610 South Magnolia Avenue</t>
  </si>
  <si>
    <t>6933 W SANTA MONICA BLVD</t>
  </si>
  <si>
    <t>119 South Kellogg Ave</t>
  </si>
  <si>
    <t>004 004900100</t>
  </si>
  <si>
    <t>500 KIRKHAM ST</t>
  </si>
  <si>
    <t>012 098602501</t>
  </si>
  <si>
    <t>230 W MACARTHUR BLVD</t>
  </si>
  <si>
    <t>010 078001507</t>
  </si>
  <si>
    <t>500 GRAND AVE</t>
  </si>
  <si>
    <t>1230 VINTAGE LN</t>
  </si>
  <si>
    <t>1150 VINTAGE LN</t>
  </si>
  <si>
    <t>Monterey Rd</t>
  </si>
  <si>
    <t>12630 S Compton Avenue, Compton CA 90222</t>
  </si>
  <si>
    <t>11668 Compton Avenue, Los Angeles CA 90059</t>
  </si>
  <si>
    <t>11739 Holmes Avenue, Los Angeles CA 90059</t>
  </si>
  <si>
    <t>004 007100300</t>
  </si>
  <si>
    <t>1451 7TH ST, Oakland, CA 94607</t>
  </si>
  <si>
    <t>301 ALVES LN, BAY POINT, CA</t>
  </si>
  <si>
    <t>402-061-03</t>
  </si>
  <si>
    <t>717 S Lyon St</t>
  </si>
  <si>
    <t>2534  W Westminster Ave</t>
  </si>
  <si>
    <t>398-092-14</t>
  </si>
  <si>
    <t>1146  E Washington Ave</t>
  </si>
  <si>
    <t>1190 VINTAGE LN</t>
  </si>
  <si>
    <t>153-162-70</t>
  </si>
  <si>
    <t>- -</t>
  </si>
  <si>
    <t>097-05-063</t>
  </si>
  <si>
    <t>2343 Calle Del Mundo</t>
  </si>
  <si>
    <t>10317 Whittier Boulevard, Whittier CA 90606</t>
  </si>
  <si>
    <t>500 ROSEVILLE PW, BLDG 3</t>
  </si>
  <si>
    <t>500 ROSEVILLE PW, BLDG 7</t>
  </si>
  <si>
    <t>002-402-048</t>
  </si>
  <si>
    <t>564 Higuera St
San Luis Obispo, CA 93401</t>
  </si>
  <si>
    <t>013 109402701</t>
  </si>
  <si>
    <t>4328 Martin Luther King Jr WY</t>
  </si>
  <si>
    <t>009 070800400</t>
  </si>
  <si>
    <t>3007 TELEGRAPH AVE</t>
  </si>
  <si>
    <t>11909 Willowbrook Avenue, Los Angeles CA 90059</t>
  </si>
  <si>
    <t>961 Porter Street</t>
  </si>
  <si>
    <t>11609 S Western Avenue, Los Angeles CA 90047</t>
  </si>
  <si>
    <t>14558 Francisquito Ave.</t>
  </si>
  <si>
    <t>008 065600100</t>
  </si>
  <si>
    <t>88 GRAND AVE, OAKLAND, CA</t>
  </si>
  <si>
    <t>1888 M L KING JR WY, Oakland, CA 94607</t>
  </si>
  <si>
    <t>240 W MACARTHUR BLVD, Oakland, CA 94611</t>
  </si>
  <si>
    <t>5414 CRENSHAW BLVD</t>
  </si>
  <si>
    <t>1532 CAMBRIA ST</t>
  </si>
  <si>
    <t>1556 HI POINT ST</t>
  </si>
  <si>
    <t>BRAWLEY</t>
  </si>
  <si>
    <t>047-480-039</t>
  </si>
  <si>
    <t>1580 C Street</t>
  </si>
  <si>
    <t>426 ROBERTSON BLVD S  90048</t>
  </si>
  <si>
    <t>6226 COLFAX AVE</t>
  </si>
  <si>
    <t>1301 WESTGATE AVE</t>
  </si>
  <si>
    <t>3160 RIVERSIDE DR</t>
  </si>
  <si>
    <t>4807 ELMWOOD AVE</t>
  </si>
  <si>
    <t>6109 CRENSHAW BLVD</t>
  </si>
  <si>
    <t>16026 SHERMAN WAY  W  91406</t>
  </si>
  <si>
    <t>16161 VENTURA BLVD W  91436</t>
  </si>
  <si>
    <t>923 KENMORE AVE  S  90006</t>
  </si>
  <si>
    <t>959 EVERETT ST   N  90026</t>
  </si>
  <si>
    <t>45244 32nd Street West</t>
  </si>
  <si>
    <t>810 33rd St</t>
  </si>
  <si>
    <t>3208 Park St</t>
  </si>
  <si>
    <t>3213 Pine St</t>
  </si>
  <si>
    <t>200 ELAINE'S WAY, AGUA CALIENTE CA</t>
  </si>
  <si>
    <t>500 LOUISE WAY, Sonoma CA 95476</t>
  </si>
  <si>
    <t>1170 VINTAGE LN</t>
  </si>
  <si>
    <t>Street address not yet assigned</t>
  </si>
  <si>
    <t>151-022-09</t>
  </si>
  <si>
    <t>1461 Novato Blvd</t>
  </si>
  <si>
    <t>011-275-01</t>
  </si>
  <si>
    <t>980 Lincoln Avenue</t>
  </si>
  <si>
    <t>004-151-01</t>
  </si>
  <si>
    <t>111 ERRETT CIR</t>
  </si>
  <si>
    <t>011-012-04</t>
  </si>
  <si>
    <t>719 DARWIN ST</t>
  </si>
  <si>
    <t>011-123-66</t>
  </si>
  <si>
    <t>916 SEABRIGHT AVE</t>
  </si>
  <si>
    <t>5525 CASE AVE</t>
  </si>
  <si>
    <t>1860 Trinity Avenue</t>
  </si>
  <si>
    <t>3320 W 85TH ST INGLEWOOD CA 90305</t>
  </si>
  <si>
    <t>1500 E ANAHEIM ST     LONG BEACH CA 90813</t>
  </si>
  <si>
    <t>801 STATE ACCESS RD</t>
  </si>
  <si>
    <t>10 Longshore Place</t>
  </si>
  <si>
    <t>11 Compass Lane</t>
  </si>
  <si>
    <t>2905 SANTA ROSA AVE</t>
  </si>
  <si>
    <t>619 SEMILLON LN</t>
  </si>
  <si>
    <t>10966 RATNER ST   W  91352</t>
  </si>
  <si>
    <t>14912 WYANDOTTE ST</t>
  </si>
  <si>
    <t>1750 GLENDALE BLVD</t>
  </si>
  <si>
    <t>767 AVENUE 50  N  90042</t>
  </si>
  <si>
    <t>552 HOBART BLVD</t>
  </si>
  <si>
    <t>5315 ADAMS BLVD W  90016</t>
  </si>
  <si>
    <t>13724 VICTORY BLVD W  91401</t>
  </si>
  <si>
    <t>3415 BELLEVUE AVE  W  90026</t>
  </si>
  <si>
    <t>846 MARIPOSA AVE  S  90005</t>
  </si>
  <si>
    <t>11408 SARAH ST</t>
  </si>
  <si>
    <t>10718 ACAMA ST</t>
  </si>
  <si>
    <t>1233 DUNSMUIR AVE</t>
  </si>
  <si>
    <t>22121 CLARENDON ST</t>
  </si>
  <si>
    <t>4864 MELROSE AVE</t>
  </si>
  <si>
    <t>11445 RIVERSIDE DR</t>
  </si>
  <si>
    <t>11043 HARTSOOK ST   W  91601</t>
  </si>
  <si>
    <t>12607 PACIFIC AVE  W  90066</t>
  </si>
  <si>
    <t>1755 3RD ST   E  90033</t>
  </si>
  <si>
    <t>2261 14TH ST   W  90006</t>
  </si>
  <si>
    <t>2501 OLYMPIC BLVD W  90006</t>
  </si>
  <si>
    <t>488 SAN VICENTE BLVD S  90048</t>
  </si>
  <si>
    <t>6569 VAN NUYS BLVD N  91401</t>
  </si>
  <si>
    <t>800 WESTERN AVE  S  90005</t>
  </si>
  <si>
    <t>10701 Soaring Way</t>
  </si>
  <si>
    <t>821 WILCOX AVE  N  90038</t>
  </si>
  <si>
    <t>2116 E First St</t>
  </si>
  <si>
    <t>901 VINE ST</t>
  </si>
  <si>
    <t>1323 ORANGE GROVE AVE</t>
  </si>
  <si>
    <t>3618 DUNN DR</t>
  </si>
  <si>
    <t>800 HARVARD BLVD</t>
  </si>
  <si>
    <t>221 E ST</t>
  </si>
  <si>
    <t>8521 SEPULVEDA BLVD S  90045</t>
  </si>
  <si>
    <t>1127 LAS PALMAS AVE</t>
  </si>
  <si>
    <t>338 MARIPOSA AVE</t>
  </si>
  <si>
    <t>714 SWEETZER AVE</t>
  </si>
  <si>
    <t>1051 CORNING ST   S  90035</t>
  </si>
  <si>
    <t>1226 BEDFORD ST</t>
  </si>
  <si>
    <t>8555 COLGATE AVE</t>
  </si>
  <si>
    <t>10140 HILLHAVEN AVE  N  91042</t>
  </si>
  <si>
    <t>1100 TEMPLE ST   W  90012</t>
  </si>
  <si>
    <t>1332 COLORADO BLVD W  90041</t>
  </si>
  <si>
    <t>2720 JAMES M. WOOD BLVD W  90006</t>
  </si>
  <si>
    <t>6711 SEPULVEDA BLVD S  90045</t>
  </si>
  <si>
    <t>813 WILCOX AVE  N  90038</t>
  </si>
  <si>
    <t>055236140</t>
  </si>
  <si>
    <t>123 INDEPENDENCE DRIVE</t>
  </si>
  <si>
    <t>055242120</t>
  </si>
  <si>
    <t>141 JEFFERSON DRIVE</t>
  </si>
  <si>
    <t>097-46-017</t>
  </si>
  <si>
    <t>2300 Calle De Luna</t>
  </si>
  <si>
    <t>3035 El Camino Real</t>
  </si>
  <si>
    <t>037-231-23</t>
  </si>
  <si>
    <t>2838 PARK AVE Ste 100 SOQUEL, CA 95073-2843</t>
  </si>
  <si>
    <t>398-264-13</t>
  </si>
  <si>
    <t>201 W Third St</t>
  </si>
  <si>
    <t>851 Brittain Ln</t>
  </si>
  <si>
    <t>659 SEMILLON LN</t>
  </si>
  <si>
    <t>455 SEMILLON LN</t>
  </si>
  <si>
    <t>493 UNOCAL PL</t>
  </si>
  <si>
    <t>647 BEACHWOOD DR</t>
  </si>
  <si>
    <t>667-671 WILTON PL</t>
  </si>
  <si>
    <t>6240 SUNSET BLVD</t>
  </si>
  <si>
    <t>1101 BEDFORD DR</t>
  </si>
  <si>
    <t>5122 MAPLEWOOD AVE  W  90004</t>
  </si>
  <si>
    <t>9543 COMPTON AVE</t>
  </si>
  <si>
    <t>10240 COMMERCE AVE  N  91042</t>
  </si>
  <si>
    <t>505 MARINE AVE</t>
  </si>
  <si>
    <t>4749 ELMWOOD AVE  W  90004</t>
  </si>
  <si>
    <t>1021 SHENANDOAH ST</t>
  </si>
  <si>
    <t>3536 HUGHES AVE  S  90034</t>
  </si>
  <si>
    <t>3355 OVERLAND AVE</t>
  </si>
  <si>
    <t>8837 BURNET AVE</t>
  </si>
  <si>
    <t>2600 SAN MARINO ST</t>
  </si>
  <si>
    <t>7043-7047 JORDAN AVE</t>
  </si>
  <si>
    <t>718 HUDSON AVE</t>
  </si>
  <si>
    <t>6417 FIGUEROA ST</t>
  </si>
  <si>
    <t>12431 ROCHESTER AVE</t>
  </si>
  <si>
    <t>11837 MAYFIELD AVE</t>
  </si>
  <si>
    <t>214-010-243</t>
  </si>
  <si>
    <t>1111 Amethyst Ct.</t>
  </si>
  <si>
    <t>166 E FREMONT AV</t>
  </si>
  <si>
    <t>1040 INDIAN WELLS AV 100</t>
  </si>
  <si>
    <t>380 CHARLES ST</t>
  </si>
  <si>
    <t>34.299999999999997</t>
  </si>
  <si>
    <t>4170 5TH ST</t>
  </si>
  <si>
    <t>1331 CAHUENGA BLVD</t>
  </si>
  <si>
    <t>1237 7TH ST   W  90017</t>
  </si>
  <si>
    <t>14558 ERWIN ST   W  91411</t>
  </si>
  <si>
    <t>1620 WESTERLY TER  N  90026</t>
  </si>
  <si>
    <t>1868 WESTERN AVE  N  90027</t>
  </si>
  <si>
    <t>451 BONNIE BRAE ST   S  90057</t>
  </si>
  <si>
    <t>230-46-061</t>
  </si>
  <si>
    <t>1205 Coleman</t>
  </si>
  <si>
    <t>500 ROSEVILLE PW, BLDG 10</t>
  </si>
  <si>
    <t>500 ROSEVILLE PW, BLDG 11</t>
  </si>
  <si>
    <t>702 ROCKVIEW</t>
  </si>
  <si>
    <t>709 ROCKVIEW</t>
  </si>
  <si>
    <t>6701 SUNSET BLVD W  90028</t>
  </si>
  <si>
    <t>LIVE OAK</t>
  </si>
  <si>
    <t>06-700-220</t>
  </si>
  <si>
    <t>9027 N St Bld 9  8 units</t>
  </si>
  <si>
    <t>500 ROSEVILLE PW, BLDG 6</t>
  </si>
  <si>
    <t>500 ROSEVILLE PW, BLDG 8</t>
  </si>
  <si>
    <t>067-040-12</t>
  </si>
  <si>
    <t>400 W. Mojave View Avenue</t>
  </si>
  <si>
    <t>SAN MATEO COUNTY</t>
  </si>
  <si>
    <t>069261440</t>
  </si>
  <si>
    <t>1811 WOODSIDE RD, REDWOOD CITY, CA</t>
  </si>
  <si>
    <t>26138001; 26138004; 26138005; 26138030; 26138047; 26138048; 26138049</t>
  </si>
  <si>
    <t>0 MCEVOY ST SAN JOSE, CA 95126-0000; 254 MCEVOY ST SAN JOSE, CA 95126-4835; 277 DUPONT ST SAN JOSE, CA 95126-4809; 258 MCEVOY ST SAN JOSE, CA 95126-4835; 699 W SAN CARLOS ST SAN JOSE, CA 95126-4807</t>
  </si>
  <si>
    <t>LOMPOC</t>
  </si>
  <si>
    <t>085-150-047</t>
  </si>
  <si>
    <t>109 S Third St</t>
  </si>
  <si>
    <t>085-150-089</t>
  </si>
  <si>
    <t>1401 E Cypress Ave</t>
  </si>
  <si>
    <t>500 ROSEVILLE PW, BLDG 4</t>
  </si>
  <si>
    <t>500 ROSEVILLE PW, BLDG 9</t>
  </si>
  <si>
    <t>058-050-042</t>
  </si>
  <si>
    <t>4420 Old Redwood Hwy Santa Rosa 95403</t>
  </si>
  <si>
    <t>039-012-055</t>
  </si>
  <si>
    <t>5354 OLD REDWOOD HWY, WINDSOR (COUNTY) CA</t>
  </si>
  <si>
    <t>4496 Old Redwood Hwy</t>
  </si>
  <si>
    <t>375 PARKER AVE, RODEO, CA</t>
  </si>
  <si>
    <t>RIALTO</t>
  </si>
  <si>
    <t>0131-021-40</t>
  </si>
  <si>
    <t>8575-019-902</t>
  </si>
  <si>
    <t>3650 Center</t>
  </si>
  <si>
    <t>179-022-01, 02, 05, 06, 07, 24, 23, 25</t>
  </si>
  <si>
    <t>501-515 S. Santa Fe Avenue</t>
  </si>
  <si>
    <t>6224-007-002 &amp; 6224-006-016</t>
  </si>
  <si>
    <t>137520070; 137520064; 137520066; 137520067; 137520069; 137520060; 137520075</t>
  </si>
  <si>
    <t>1412 Mauro Pietro</t>
  </si>
  <si>
    <t>604 W RICHMAR AVE</t>
  </si>
  <si>
    <t>5722-030-021</t>
  </si>
  <si>
    <t>178 S EUCLID AVE</t>
  </si>
  <si>
    <t>5726-010-042</t>
  </si>
  <si>
    <t>690 N Orange Grove Blvd</t>
  </si>
  <si>
    <t>5752-023-039</t>
  </si>
  <si>
    <t>3202 E Foothill Blvd</t>
  </si>
  <si>
    <t>500 ROSEVILLE PW, BLDG 13</t>
  </si>
  <si>
    <t>S.B.E. 200-41-1 (1 Adrian Ct) &amp; 200-4-6 (45 Adrian Ct)</t>
  </si>
  <si>
    <t>1 &amp; 45 Adrian Court</t>
  </si>
  <si>
    <t>801 S Corcoran BLD 4C</t>
  </si>
  <si>
    <t>044-062-033</t>
  </si>
  <si>
    <t>4190 Soscol Ave</t>
  </si>
  <si>
    <t>615 E. Ocean Blvd</t>
  </si>
  <si>
    <t>912-946 Linden Ave</t>
  </si>
  <si>
    <t>045-316-075</t>
  </si>
  <si>
    <t>9380 CIELO AZUL CT</t>
  </si>
  <si>
    <t>047-320-103</t>
  </si>
  <si>
    <t>350 South 18th Street</t>
  </si>
  <si>
    <t>1249 E Katella Ave</t>
  </si>
  <si>
    <t>4291-022003-</t>
  </si>
  <si>
    <t>710  BROADWAY</t>
  </si>
  <si>
    <t>450 The Promenade North/501-599 Long Beach Blvd.</t>
  </si>
  <si>
    <t>639 SEMILLON LN</t>
  </si>
  <si>
    <t>14540 ERWIN ST</t>
  </si>
  <si>
    <t>5639 LEXINGTON AVE</t>
  </si>
  <si>
    <t>5610 CAMELLIA AVE  N  91601</t>
  </si>
  <si>
    <t>11588 PICO BLVD W  90064</t>
  </si>
  <si>
    <t>7401 LANKERSHIM BLVD N  91605</t>
  </si>
  <si>
    <t>6211 VERMONT AVE</t>
  </si>
  <si>
    <t>11525 CHANDLER BLVD</t>
  </si>
  <si>
    <t>9131 DARBY AVE</t>
  </si>
  <si>
    <t>11433 ALBERS ST</t>
  </si>
  <si>
    <t>1718 LAS PALMAS AVE</t>
  </si>
  <si>
    <t>1545 FAIRFAX AVE</t>
  </si>
  <si>
    <t>3672 JASMINE AVE</t>
  </si>
  <si>
    <t>1276 WESTERN AVE  N  90029</t>
  </si>
  <si>
    <t>13713 OXNARD ST   W  91401</t>
  </si>
  <si>
    <t>138 CULVER BLVD E  90293</t>
  </si>
  <si>
    <t>20126 SHERMAN WAY  W  91306</t>
  </si>
  <si>
    <t>631 VERMONT AVE  S  90010</t>
  </si>
  <si>
    <t>668 CORONADO ST   S  90057</t>
  </si>
  <si>
    <t>6909 SANTA MONICA BLVD W  90038</t>
  </si>
  <si>
    <t>7227 CANBY AVE  N  91335</t>
  </si>
  <si>
    <t>8000 BEVERLY BLVD W  90048</t>
  </si>
  <si>
    <t>528 Arizona Ave</t>
  </si>
  <si>
    <t>4291-025-028</t>
  </si>
  <si>
    <t>407 Colorado Ave</t>
  </si>
  <si>
    <t>08329203</t>
  </si>
  <si>
    <t>915 E ORANGEWOOD AVE</t>
  </si>
  <si>
    <t>602 N Norma St</t>
  </si>
  <si>
    <t>269-01-081</t>
  </si>
  <si>
    <t>1850 El Camino Real</t>
  </si>
  <si>
    <t>269-07-057</t>
  </si>
  <si>
    <t>1368 El Camino Real Unit¬† 305</t>
  </si>
  <si>
    <t>99 - 157 E. 5TH AVE</t>
  </si>
  <si>
    <t>03717352</t>
  </si>
  <si>
    <t>1248 E LINCOLN AVE</t>
  </si>
  <si>
    <t>098 024000117</t>
  </si>
  <si>
    <t>460 N LIVERMORE AVE</t>
  </si>
  <si>
    <t>099B576001300</t>
  </si>
  <si>
    <t>1023 WESTWIND ST</t>
  </si>
  <si>
    <t>1097 WESTWIND ST</t>
  </si>
  <si>
    <t>182520050 ¬†</t>
  </si>
  <si>
    <t>746 ACACIA LN</t>
  </si>
  <si>
    <t>050-131-060, 070, 080</t>
  </si>
  <si>
    <t>626  Walnut</t>
  </si>
  <si>
    <t>1501 1507 N BLACKSTONE AVE</t>
  </si>
  <si>
    <t>538-181-001</t>
  </si>
  <si>
    <t>100 W. Macdonald Avenue</t>
  </si>
  <si>
    <t>STOCKTON</t>
  </si>
  <si>
    <t>804 North Hunter</t>
  </si>
  <si>
    <t>055236020</t>
  </si>
  <si>
    <t>110 CONSTITUTION DRIVE</t>
  </si>
  <si>
    <t>SEASIDE</t>
  </si>
  <si>
    <t>012-191-001</t>
  </si>
  <si>
    <t>Broadway &amp; Terrace</t>
  </si>
  <si>
    <t>216-33-034</t>
  </si>
  <si>
    <t>3311 Kifer Rd</t>
  </si>
  <si>
    <t>CLAYTON</t>
  </si>
  <si>
    <t>119021063, 119021055, 119021013</t>
  </si>
  <si>
    <t>6170 High St, 6450 and 6490 Marsh Creek Road</t>
  </si>
  <si>
    <t>216-34-051</t>
  </si>
  <si>
    <t>3560 Rambla</t>
  </si>
  <si>
    <t>216-33-001</t>
  </si>
  <si>
    <t>3305 Kifer Road</t>
  </si>
  <si>
    <t>224-77-040</t>
  </si>
  <si>
    <t>1567 Pratt Place</t>
  </si>
  <si>
    <t>100 MAGNET</t>
  </si>
  <si>
    <t>2700 MAIN ST</t>
  </si>
  <si>
    <t>1040 KAWANA SPRINGS ROAD</t>
  </si>
  <si>
    <t>402-211-03</t>
  </si>
  <si>
    <t>1814 E First St</t>
  </si>
  <si>
    <t>481-260-025-000</t>
  </si>
  <si>
    <t>350 ROSEVILLE PW</t>
  </si>
  <si>
    <t>500 ROSEVILLE PW, BLDG 14</t>
  </si>
  <si>
    <t>050-163-190</t>
  </si>
  <si>
    <t>817 Walnut</t>
  </si>
  <si>
    <t>085-081-022</t>
  </si>
  <si>
    <t>233 N H St</t>
  </si>
  <si>
    <t>802 32nd St</t>
  </si>
  <si>
    <t>055242030, 055242040, 055242140</t>
  </si>
  <si>
    <t>180-186 Constitution Drive and 141 Jefferson Drive</t>
  </si>
  <si>
    <t>1501 BROADWAY</t>
  </si>
  <si>
    <t>3410 MT DIABLO</t>
  </si>
  <si>
    <t>269-07-068</t>
  </si>
  <si>
    <t>1368 El Camino Real Unit¬† 409</t>
  </si>
  <si>
    <t>439 Soledad Street</t>
  </si>
  <si>
    <t>5735-024-702</t>
  </si>
  <si>
    <t>137 S Wilson Ave</t>
  </si>
  <si>
    <t>026-741-25</t>
  </si>
  <si>
    <t>1520 CAPITOLA RD Ste 1 SANTA CRUZ, CA 95062</t>
  </si>
  <si>
    <t>4017-025-902</t>
  </si>
  <si>
    <t>716 W BEACH AVE INGLEWOOD CA 90302</t>
  </si>
  <si>
    <t>241-050-015</t>
  </si>
  <si>
    <t>3721 Mt Diablo Blvd</t>
  </si>
  <si>
    <t>18551 ALTRUDY LN, YORBA LINDA, CA</t>
  </si>
  <si>
    <t>1055 WESTWIND ST</t>
  </si>
  <si>
    <t>1730 SUNNYHILLS DR</t>
  </si>
  <si>
    <t>094-010-520</t>
  </si>
  <si>
    <t>501 PILGRIM DR</t>
  </si>
  <si>
    <t>0.53000000000000003</t>
  </si>
  <si>
    <t>214-010-034</t>
  </si>
  <si>
    <t>1709 Cinnabar Ct.</t>
  </si>
  <si>
    <t>959 STEWART DR 511</t>
  </si>
  <si>
    <t>959 STEWART DR 411</t>
  </si>
  <si>
    <t>123 ROCKVIEW</t>
  </si>
  <si>
    <t>614 Verandah</t>
  </si>
  <si>
    <t>9027 N St Bld 7  8 units</t>
  </si>
  <si>
    <t>9605 Kalmia Street, Los Angeles CA 90002</t>
  </si>
  <si>
    <t>4763 Cesar E Chavez Avenue, Los Angeles CA 90022</t>
  </si>
  <si>
    <t>7.4199999999999999</t>
  </si>
  <si>
    <t>2212 El Molino Avenue, Altadena CA 91001</t>
  </si>
  <si>
    <t>525 034502104</t>
  </si>
  <si>
    <t>41868 Osgood Rd</t>
  </si>
  <si>
    <t>CORONA</t>
  </si>
  <si>
    <t>NONE</t>
  </si>
  <si>
    <t>4215-001-020, 4215-001-016, 4215-001-010, 4215-001-013</t>
  </si>
  <si>
    <t>11111 Jefferson</t>
  </si>
  <si>
    <t>198-132-21</t>
  </si>
  <si>
    <t>2530  W Westminster Ave</t>
  </si>
  <si>
    <t>15, 20, 25, 30, 35, 40 WOODBURY HIGHLANDS</t>
  </si>
  <si>
    <t>052-090008-</t>
  </si>
  <si>
    <t>1550 San Juan Rd</t>
  </si>
  <si>
    <t>213-020-037</t>
  </si>
  <si>
    <t>3401 Crow Canyon Rd.</t>
  </si>
  <si>
    <t>200 S TAAFFE ST</t>
  </si>
  <si>
    <t>1139 KARLSTAD DR</t>
  </si>
  <si>
    <t>01124526</t>
  </si>
  <si>
    <t>1515 4th St</t>
  </si>
  <si>
    <t>01126501</t>
  </si>
  <si>
    <t>999 3rd St</t>
  </si>
  <si>
    <t>705 ROCKVIEW</t>
  </si>
  <si>
    <t>1600 San Remo Pl 101, Encinitas, CA 92024</t>
  </si>
  <si>
    <t>1300 Bergamo Pl 201</t>
  </si>
  <si>
    <t>1501 Livorno Pl 206</t>
  </si>
  <si>
    <t>1403 Anacona Pl 104</t>
  </si>
  <si>
    <t>6615 E. Pacific Coast Hwy.</t>
  </si>
  <si>
    <t>1400 Long Beach Blvd</t>
  </si>
  <si>
    <t>300 Alamitos Ave.</t>
  </si>
  <si>
    <t>95.400000000000006</t>
  </si>
  <si>
    <t>9027 N St Bld 8  8 units</t>
  </si>
  <si>
    <t>4276-007-021</t>
  </si>
  <si>
    <t>2025 Wilshire Blvd</t>
  </si>
  <si>
    <t>4285-001-030</t>
  </si>
  <si>
    <t>2601 Lincoln Blvd</t>
  </si>
  <si>
    <t>4291-019027-</t>
  </si>
  <si>
    <t>501  BROADWAY</t>
  </si>
  <si>
    <t>900 32nd ST</t>
  </si>
  <si>
    <t>3214 Park St</t>
  </si>
  <si>
    <t>3209 Pine St</t>
  </si>
  <si>
    <t>903 32nd St</t>
  </si>
  <si>
    <t>27665 FORBES RD</t>
  </si>
  <si>
    <t>1001 WESTWIND ST</t>
  </si>
  <si>
    <t>428-0006-0058-01</t>
  </si>
  <si>
    <t>21659 Mission Blvd</t>
  </si>
  <si>
    <t>444-0057-006-00</t>
  </si>
  <si>
    <t>24997 O'Neil Avenue</t>
  </si>
  <si>
    <t>600 BARBER LN</t>
  </si>
  <si>
    <t>078C-0461-007-00</t>
  </si>
  <si>
    <t>28870 Mission Blvd</t>
  </si>
  <si>
    <t>1011 CRESCENT HEIGHTS</t>
  </si>
  <si>
    <t>702 DOHENY DR</t>
  </si>
  <si>
    <t>259 MERIDIAN AV SAN JOSE, CA 95126-2905</t>
  </si>
  <si>
    <t>3111 Pine St</t>
  </si>
  <si>
    <t>13098 Poway Road</t>
  </si>
  <si>
    <t>254-144-01-00, 216-110-35-00</t>
  </si>
  <si>
    <t>NE corner of Piraeus Street and Plato Place</t>
  </si>
  <si>
    <t>17861 Cartwright Road</t>
  </si>
  <si>
    <t>1711-1755 EASTSHORE BLVD</t>
  </si>
  <si>
    <t>0.40000000000000002</t>
  </si>
  <si>
    <t>BARSTOW</t>
  </si>
  <si>
    <t>PM 20276 parcel 1</t>
  </si>
  <si>
    <t>555 S 7th Ave</t>
  </si>
  <si>
    <t>1000 ELEMENTS WAY</t>
  </si>
  <si>
    <t>501 NIGHTMIST  IRVINE, CA 92618</t>
  </si>
  <si>
    <t>3518 HAMMOCK ,SACRAMENTO,CA</t>
  </si>
  <si>
    <t>3596 HAMMOCK ,SACRAMENTO,CA</t>
  </si>
  <si>
    <t>519 131003418</t>
  </si>
  <si>
    <t>RANCHO CUCAMONGA</t>
  </si>
  <si>
    <t>020835302-0000</t>
  </si>
  <si>
    <t>10575 FOOTHILL BLVD, RANCHO CUCAMONGA 91730</t>
  </si>
  <si>
    <t>1602 Cinnabar Ct.</t>
  </si>
  <si>
    <t>1055 STEWART DR</t>
  </si>
  <si>
    <t>1130 KIFER RD</t>
  </si>
  <si>
    <t>057-860046-</t>
  </si>
  <si>
    <t>Brighton Dr</t>
  </si>
  <si>
    <t>051-110-001, 054-110-002</t>
  </si>
  <si>
    <t>375 Fourth St</t>
  </si>
  <si>
    <t>3202 Park St</t>
  </si>
  <si>
    <t>610 Verandah</t>
  </si>
  <si>
    <t>3212 Pine St</t>
  </si>
  <si>
    <t>049-0250-027-0000</t>
  </si>
  <si>
    <t>206 W. 3RD</t>
  </si>
  <si>
    <t>256 N Michigan Ave</t>
  </si>
  <si>
    <t>008-111-080</t>
  </si>
  <si>
    <t>123 Mabuhay Way</t>
  </si>
  <si>
    <t>125 D St</t>
  </si>
  <si>
    <t>150-210-059</t>
  </si>
  <si>
    <t>85 Cleaveland Road</t>
  </si>
  <si>
    <t>5421 Campbell Lane</t>
  </si>
  <si>
    <t>1385 W. College</t>
  </si>
  <si>
    <t>11.699999999999999</t>
  </si>
  <si>
    <t>224-77-004</t>
  </si>
  <si>
    <t>1583 Alviso Street</t>
  </si>
  <si>
    <t>5725-002-913</t>
  </si>
  <si>
    <t>710 N Fair Oaks</t>
  </si>
  <si>
    <t>2783 SOMIS RD, SOMIS, CA  93066</t>
  </si>
  <si>
    <t>2785 SOMIS RD, SOMIS, CA  93066</t>
  </si>
  <si>
    <t>2731 SOMIS RD, SOMIS, CA  93066</t>
  </si>
  <si>
    <t>2747 Somis Rd, Somis, CA 93066</t>
  </si>
  <si>
    <t>078C-0438-013-06</t>
  </si>
  <si>
    <t>29497 Mission Blvd</t>
  </si>
  <si>
    <t>214-010-251</t>
  </si>
  <si>
    <t>1309 Azure Ct.</t>
  </si>
  <si>
    <t>1178  SONORA CT</t>
  </si>
  <si>
    <t>1025 STEWART DR</t>
  </si>
  <si>
    <t>521 VALLEY OAKS</t>
  </si>
  <si>
    <t>704 ROCKVIEW</t>
  </si>
  <si>
    <t>634 Verandah</t>
  </si>
  <si>
    <t>814 Verandah</t>
  </si>
  <si>
    <t>AZUSA</t>
  </si>
  <si>
    <t>8621-002-001, 8621-022-002</t>
  </si>
  <si>
    <t>360 E. Gladstone St.</t>
  </si>
  <si>
    <t>2171 CAMPUS DR  IRVINE, CA 92612</t>
  </si>
  <si>
    <t>0.20999999999999999</t>
  </si>
  <si>
    <t>189-32-085</t>
  </si>
  <si>
    <t>1313-1347 W. El Camino Real</t>
  </si>
  <si>
    <t>2128 MONTEREY RD  MET SOUTH (BEPM 100%) LIVING UNITS</t>
  </si>
  <si>
    <t>053-061-055</t>
  </si>
  <si>
    <t>3750 Bullock</t>
  </si>
  <si>
    <t>1259 Laurel</t>
  </si>
  <si>
    <t>28403015; 28403016; 28403049</t>
  </si>
  <si>
    <t>961 MERIDIAN AV SAN JOSE, CA 95126-4039; 971 MERIDIAN AV SAN JOSE, CA 95126-4039; 0 MERIDIAN AV SAN JOSE, CA 95128-0000</t>
  </si>
  <si>
    <t>2099 M L KING JR Way</t>
  </si>
  <si>
    <t>057 203100101</t>
  </si>
  <si>
    <t>2128 OXFORD St</t>
  </si>
  <si>
    <t>0.39000000000000001</t>
  </si>
  <si>
    <t>056 197701101</t>
  </si>
  <si>
    <t>2136 San Pablo Ave</t>
  </si>
  <si>
    <t>055 187701601</t>
  </si>
  <si>
    <t>2530 BANCROFT Way</t>
  </si>
  <si>
    <t>0.46000000000000002</t>
  </si>
  <si>
    <t>71-293-22</t>
  </si>
  <si>
    <t>2050 BARNES  WHARF LN</t>
  </si>
  <si>
    <t>298-260-45 298-260-46</t>
  </si>
  <si>
    <t>637-717 S Nardo Ave, 821 Stevens Ave</t>
  </si>
  <si>
    <t>7617 SANTA MONICA BLVD</t>
  </si>
  <si>
    <t>1223 HAYWORTH AVE</t>
  </si>
  <si>
    <t>LARKSPUR</t>
  </si>
  <si>
    <t>020-034-14</t>
  </si>
  <si>
    <t>1135-1169 Magnolia Avenue</t>
  </si>
  <si>
    <t>5723-006-037</t>
  </si>
  <si>
    <t>274 N Oakland Ave</t>
  </si>
  <si>
    <t>5738-003-083</t>
  </si>
  <si>
    <t>1000 E Walnut Ave</t>
  </si>
  <si>
    <t>1220 HOOVER STREET</t>
  </si>
  <si>
    <t>525 034200500</t>
  </si>
  <si>
    <t>41829 Osgood Rd</t>
  </si>
  <si>
    <t>501 142603600</t>
  </si>
  <si>
    <t>3900 Thornton Ave</t>
  </si>
  <si>
    <t>MARINA</t>
  </si>
  <si>
    <t>032-291-044</t>
  </si>
  <si>
    <t>264 Carmel Ave</t>
  </si>
  <si>
    <t>1870 E Walnut St</t>
  </si>
  <si>
    <t>425 FIRST STREET UNIT 17</t>
  </si>
  <si>
    <t>2427 WILLOW WAY Unit: BLDG J</t>
  </si>
  <si>
    <t>2429 WILLOW WAY Unit: BLDG I</t>
  </si>
  <si>
    <t>3069 E KYNE ST</t>
  </si>
  <si>
    <t>5110 VERDUGO WY</t>
  </si>
  <si>
    <t>5172 VERDUGO WY</t>
  </si>
  <si>
    <t>16873 Montery Rd</t>
  </si>
  <si>
    <t>245 W WEDDELL DR</t>
  </si>
  <si>
    <t>98.599999999999994</t>
  </si>
  <si>
    <t>40 E Dunne Ave</t>
  </si>
  <si>
    <t>034-157-120</t>
  </si>
  <si>
    <t>106 Tilton Ave</t>
  </si>
  <si>
    <t>1112 PARKSIDE ST</t>
  </si>
  <si>
    <t>004-583-057</t>
  </si>
  <si>
    <t>3214 Rockview</t>
  </si>
  <si>
    <t>077660024</t>
  </si>
  <si>
    <t>3709 W HOUSTON AVE</t>
  </si>
  <si>
    <t>675-685 E Middlefield Rd</t>
  </si>
  <si>
    <t>14816009, 14816008</t>
  </si>
  <si>
    <t>2645-2655 Fayette Dr</t>
  </si>
  <si>
    <t>052-174-002</t>
  </si>
  <si>
    <t>22 Chorro</t>
  </si>
  <si>
    <t>517 VALLEY OAKS</t>
  </si>
  <si>
    <t>665 SEBASTOPOL RD</t>
  </si>
  <si>
    <t>2900 McBride Lane</t>
  </si>
  <si>
    <t>702 Bennett Valley Road</t>
  </si>
  <si>
    <t>2542 Old Stony Point Road</t>
  </si>
  <si>
    <t>801 S Corcoran BLD 3B</t>
  </si>
  <si>
    <t>801 S Corcoran BLD 5B</t>
  </si>
  <si>
    <t>001-280-018</t>
  </si>
  <si>
    <t>100 Asti Rd</t>
  </si>
  <si>
    <t>1364 N Towne Ave.</t>
  </si>
  <si>
    <t>0.76000000000000001</t>
  </si>
  <si>
    <t>941 278001901</t>
  </si>
  <si>
    <t>5713 OWENS DR</t>
  </si>
  <si>
    <t>2151 Lockwood Street</t>
  </si>
  <si>
    <t>086-36-013</t>
  </si>
  <si>
    <t>355 Sango Court</t>
  </si>
  <si>
    <t>005-060-025;-053,-058,-059</t>
  </si>
  <si>
    <t>4275 Meade Street</t>
  </si>
  <si>
    <t>150-26-006</t>
  </si>
  <si>
    <t>460 N. Shoreline Blvd.</t>
  </si>
  <si>
    <t>148-36-039</t>
  </si>
  <si>
    <t>2268-2280 W. El Camino Real</t>
  </si>
  <si>
    <t>189-64-001 to -052</t>
  </si>
  <si>
    <t>1101 W. El Camino Real</t>
  </si>
  <si>
    <t>189-01-157, 189-01-158</t>
  </si>
  <si>
    <t>801 W El Camino Real</t>
  </si>
  <si>
    <t>193-061-03</t>
  </si>
  <si>
    <t>31 Wharf Rd</t>
  </si>
  <si>
    <t>6115 Potrero Ave</t>
  </si>
  <si>
    <t>1715 Elm St</t>
  </si>
  <si>
    <t>032-201-138</t>
  </si>
  <si>
    <t>3108 Seacrest Ave</t>
  </si>
  <si>
    <t>223-0-041-060</t>
  </si>
  <si>
    <t>5536 CYPRESS RD</t>
  </si>
  <si>
    <t>047271200</t>
  </si>
  <si>
    <t>195 AVENUE CABRILLO, EL GRANADA, CA 94018</t>
  </si>
  <si>
    <t>2400 LONG BEACH BLVD</t>
  </si>
  <si>
    <t>ROLLING HILLS ESTATES</t>
  </si>
  <si>
    <t>7589-005-020</t>
  </si>
  <si>
    <t>27525 Norris Center Drive</t>
  </si>
  <si>
    <t>0.45000000000000001</t>
  </si>
  <si>
    <t>590 Veterans Blvd &amp; 
91 Winslow St</t>
  </si>
  <si>
    <t>2680 ROOSEVELT ST</t>
  </si>
  <si>
    <t>078C-0455-001-04</t>
  </si>
  <si>
    <t>29212 Mission Blvd</t>
  </si>
  <si>
    <t>299-100-48</t>
  </si>
  <si>
    <t>Vacant</t>
  </si>
  <si>
    <t>020-406-730, 020-406-700, 020-406-690, 020-406-870, 020-406-590, 020-406-790</t>
  </si>
  <si>
    <t>271 El Camino Real</t>
  </si>
  <si>
    <t>31 9th Ave</t>
  </si>
  <si>
    <t>405 E 4th</t>
  </si>
  <si>
    <t>543 046400300</t>
  </si>
  <si>
    <t>34320 Fremont Blvd</t>
  </si>
  <si>
    <t>214-010-118</t>
  </si>
  <si>
    <t>1516 Carmine Ct.</t>
  </si>
  <si>
    <t>1175 ASTER AV</t>
  </si>
  <si>
    <t>397 S MATHILDA AV</t>
  </si>
  <si>
    <t>959 STEWART DR 311</t>
  </si>
  <si>
    <t>425 471 55</t>
  </si>
  <si>
    <t>2510 Coast Highway W.</t>
  </si>
  <si>
    <t>1602 VALLEJO #8</t>
  </si>
  <si>
    <t>601 ROCKVIEW</t>
  </si>
  <si>
    <t>605 ROCKVIEW</t>
  </si>
  <si>
    <t>638 Verandah</t>
  </si>
  <si>
    <t>1201 Main St</t>
  </si>
  <si>
    <t>505 E Bayshore Road</t>
  </si>
  <si>
    <t>1304 El Camino</t>
  </si>
  <si>
    <t>10201 GARDEN GROVE BLVD</t>
  </si>
  <si>
    <t>4898 El Camino Real</t>
  </si>
  <si>
    <t>425 First Street</t>
  </si>
  <si>
    <t>445 131 29</t>
  </si>
  <si>
    <t>4440 Von Karman</t>
  </si>
  <si>
    <t>019-820-001-000</t>
  </si>
  <si>
    <t>10011 Winter Creek Loop</t>
  </si>
  <si>
    <t>415-0170-019-00</t>
  </si>
  <si>
    <t>21339 Oak Street</t>
  </si>
  <si>
    <t>12701 BUARO ST</t>
  </si>
  <si>
    <t>664/682 NORTH STAR DR</t>
  </si>
  <si>
    <t>12681 HASTER ST</t>
  </si>
  <si>
    <t>5288-004-066</t>
  </si>
  <si>
    <t>8479 Garvey Ave</t>
  </si>
  <si>
    <t>008 062503401</t>
  </si>
  <si>
    <t>020 016500200</t>
  </si>
  <si>
    <t>1715 FOOTHILL BLVD, Oakland, CA 94606</t>
  </si>
  <si>
    <t>1012 CORY AVE</t>
  </si>
  <si>
    <t>1136 LA CIENEGA BLVD</t>
  </si>
  <si>
    <t>147-03-041</t>
  </si>
  <si>
    <t>788 SAN ANTONIO AVE</t>
  </si>
  <si>
    <t>101 NIGHTMIST  IRVINE, CA 92618</t>
  </si>
  <si>
    <t>055236010, 055236020, 055236190</t>
  </si>
  <si>
    <t>104 and 110 Constitution Drive and 115 Independence Drive</t>
  </si>
  <si>
    <t>111 Independence Drive</t>
  </si>
  <si>
    <t>003 006100603</t>
  </si>
  <si>
    <t>1304 Middlefield Rd</t>
  </si>
  <si>
    <t>2400 Long Beach Blvd</t>
  </si>
  <si>
    <t>941E PACIFIC COAST HWY</t>
  </si>
  <si>
    <t>7.8499999999999996</t>
  </si>
  <si>
    <t>11934 Aviation Boulevard, Inglewood CA 90304</t>
  </si>
  <si>
    <t>0.56999999999999995</t>
  </si>
  <si>
    <t>5150 El Camino Real</t>
  </si>
  <si>
    <t>1162 El Camino Real</t>
  </si>
  <si>
    <t>5734-023-022</t>
  </si>
  <si>
    <t>139 S Oak Knoll</t>
  </si>
  <si>
    <t>10969 INDUSTRIAL WAY, TRUCKEE, CA 96161</t>
  </si>
  <si>
    <t>23403 CATT RD</t>
  </si>
  <si>
    <t>15101 Crenshaw Boulevard, Gardena CA 90249</t>
  </si>
  <si>
    <t>12.869999999999999</t>
  </si>
  <si>
    <t>5804002017, 5804002018</t>
  </si>
  <si>
    <t>2413 Foothill Boulevard, La Crescenta CA 91214</t>
  </si>
  <si>
    <t>0.47999999999999998</t>
  </si>
  <si>
    <t>214 West 3rd Street</t>
  </si>
  <si>
    <t>2268 STONY POINT RD</t>
  </si>
  <si>
    <t>3540 Ranch House</t>
  </si>
  <si>
    <t>803 Orcutt</t>
  </si>
  <si>
    <t>3110 Duncan</t>
  </si>
  <si>
    <t>019-102-011-000</t>
  </si>
  <si>
    <t>10012 Jibboom Street
10090 Jibboom Street</t>
  </si>
  <si>
    <t>425 471 58</t>
  </si>
  <si>
    <t>2510 West Coast Highway</t>
  </si>
  <si>
    <t>2720 W Avenue K-12, Bldg 2 93536</t>
  </si>
  <si>
    <t>44948 W 10th St, Lancaster 93534</t>
  </si>
  <si>
    <t>1727 E Avenue J-4, Lancaster, CA 93535</t>
  </si>
  <si>
    <t>1759 E Avenue J-4, Lancaster, CA 93535</t>
  </si>
  <si>
    <t>1705 E Avenue J-4, Lancaster, CA 93535</t>
  </si>
  <si>
    <t>147-17-002, 148-18-015</t>
  </si>
  <si>
    <t>2580 California Street</t>
  </si>
  <si>
    <t>153-26-084, 153-28-090</t>
  </si>
  <si>
    <t>100 Moffett Blvd</t>
  </si>
  <si>
    <t>09720113</t>
  </si>
  <si>
    <t>13171 Jefferson St</t>
  </si>
  <si>
    <t>2650 E AVENUE Q 12, PALMDALE, CA 93550</t>
  </si>
  <si>
    <t>032-171-018</t>
  </si>
  <si>
    <t>3125 DeForest Ave</t>
  </si>
  <si>
    <t>214-010-307</t>
  </si>
  <si>
    <t>5710 Melon  Court</t>
  </si>
  <si>
    <t>1342 E IMPERIAL HWY LOS ANGELES CA 90059</t>
  </si>
  <si>
    <t>3.6499999999999999</t>
  </si>
  <si>
    <t>10618 S Inglewood Avenue, Inglewood CA 90304</t>
  </si>
  <si>
    <t>124-510-030</t>
  </si>
  <si>
    <t>2600 S DELAWARE St</t>
  </si>
  <si>
    <t>118270051 118270053 118270055</t>
  </si>
  <si>
    <t>Tract 18148 Unit 76, 77, 78, 79, 80, 81, 82, &amp; 83</t>
  </si>
  <si>
    <t>32004, 32005, 32008, 32009, 32012, 32013, 32016, 32020 Paseo Legado</t>
  </si>
  <si>
    <t>1301 Bergamo Pl 102</t>
  </si>
  <si>
    <t>1303 Bergamo Pl 103</t>
  </si>
  <si>
    <t>1302 Bergamo Pl 105</t>
  </si>
  <si>
    <t>1302 Bergamo Pl 101</t>
  </si>
  <si>
    <t>1201 Ustica Pl 102</t>
  </si>
  <si>
    <t>216-052-01-00</t>
  </si>
  <si>
    <t>1967 N Vulcan Ave</t>
  </si>
  <si>
    <t>159-550-007</t>
  </si>
  <si>
    <t>6000 Kerry Road</t>
  </si>
  <si>
    <t>678-060-058</t>
  </si>
  <si>
    <t>NEVADA COUNTY</t>
  </si>
  <si>
    <t>10528 Broken Oak Court</t>
  </si>
  <si>
    <t>2700 N HAYDEN PW, BLDG 3</t>
  </si>
  <si>
    <t>167-471-02</t>
  </si>
  <si>
    <t>17532 Cameron Ln.</t>
  </si>
  <si>
    <t>1330 El Camino Real</t>
  </si>
  <si>
    <t>258-111-16-00, 258-130-34-00, 258-130-81-00, and 258-130-45-00</t>
  </si>
  <si>
    <t>550-590 and 696 Encinitas Boulevard</t>
  </si>
  <si>
    <t>1240 Molara Ln, Encinitas, CA 92024</t>
  </si>
  <si>
    <t>1503 Livorno Pl 101, Encinitas, CA 92024</t>
  </si>
  <si>
    <t>1601 San Remo Pl 105, Encinitas, CA 92024</t>
  </si>
  <si>
    <t>11432 STANFORD AVE, 11462 STANFORD AVE</t>
  </si>
  <si>
    <t>3536 HAMMOCK ,SACRAMENTO,CA</t>
  </si>
  <si>
    <t>3542 HAMMOCK ,SACRAMENTO,CA</t>
  </si>
  <si>
    <t>3524 HAMMOCK ,SACRAMENTO,CA</t>
  </si>
  <si>
    <t>3560 HAMMOCK ,SACRAMENTO,CA</t>
  </si>
  <si>
    <t>3578 HAMMOCK ,SACRAMENTO,CA</t>
  </si>
  <si>
    <t>0.93000000000000005</t>
  </si>
  <si>
    <t>049-0250-028-0000</t>
  </si>
  <si>
    <t>9325 S Vermont Avenue, Los Angeles CA 90044</t>
  </si>
  <si>
    <t>CARPINTERIA</t>
  </si>
  <si>
    <t>003-251-021</t>
  </si>
  <si>
    <t>4745 Carpinteria Avenue</t>
  </si>
  <si>
    <t>058-220-048</t>
  </si>
  <si>
    <t>1555   DEVONWOOD DR</t>
  </si>
  <si>
    <t>5038 W Avenue L10, Lancaster CA 93536</t>
  </si>
  <si>
    <t>2789 SOMIS RD, SOMIS, CA  93066</t>
  </si>
  <si>
    <t>2773 SOMIS RD, SOMIS, CA  93066</t>
  </si>
  <si>
    <t>375 West El Pintado Ave</t>
  </si>
  <si>
    <t>2779 SOMIS RD, SOMIS, CA  93066</t>
  </si>
  <si>
    <t>178 THIRD AV</t>
  </si>
  <si>
    <t>305 E ST</t>
  </si>
  <si>
    <t>2040 TRANSIT GUIDEWAY</t>
  </si>
  <si>
    <t>3565 E 1st Street, Los Angeles CA 90063</t>
  </si>
  <si>
    <t>2.6600000000000001</t>
  </si>
  <si>
    <t>020863247-0000</t>
  </si>
  <si>
    <t>NEC Foothill and Lion</t>
  </si>
  <si>
    <t>903 001004800</t>
  </si>
  <si>
    <t>Isabel Ave, Portola Ave</t>
  </si>
  <si>
    <t>451 MARTIN MARINER AVE</t>
  </si>
  <si>
    <t>71-293-20</t>
  </si>
  <si>
    <t>2055 BARNES  WHARF LN</t>
  </si>
  <si>
    <t>71-293-19</t>
  </si>
  <si>
    <t>2171 BARNES  WHARF LN</t>
  </si>
  <si>
    <t>6331611400, 6331611300, 6331611200</t>
  </si>
  <si>
    <t>1368 HOLLY AVE, 1376 HOLLY AVE, 1368 14TH ST</t>
  </si>
  <si>
    <t>401 ROBERTSON BLVD
WEST HOLLYWOOD, CA 90048</t>
  </si>
  <si>
    <t>1603 San Remo Pl 102</t>
  </si>
  <si>
    <t>1301 Bergamo Pl 105</t>
  </si>
  <si>
    <t>1400 Anacona Pl 202</t>
  </si>
  <si>
    <t>031-221-015</t>
  </si>
  <si>
    <t>BMR Site 1</t>
  </si>
  <si>
    <t>2700 N HAYDEN PW, BLDG 2</t>
  </si>
  <si>
    <t>0 Otay Mesa Road</t>
  </si>
  <si>
    <t>2440 Cactus Rd, San Diego, CA</t>
  </si>
  <si>
    <t>1502 Livorno Pl 208, Encinitas, CA 92024</t>
  </si>
  <si>
    <t>1201 DETROIT ST
WEST HOLLYWOOD, CA 90046</t>
  </si>
  <si>
    <t>1602 San Remo Pl 101, Encinitas, CA 92024</t>
  </si>
  <si>
    <t>38225 9th Street East</t>
  </si>
  <si>
    <t>150 E AVENUE R, PALMDALE, CA</t>
  </si>
  <si>
    <t>8333 Clairemont Mesa Bl, San Diego, CA</t>
  </si>
  <si>
    <t>5335 Seacliff Pl, San Diego, CA 92154</t>
  </si>
  <si>
    <t>078C-0626-009-02</t>
  </si>
  <si>
    <t>28000 Mission Blvd
Hayward, CA 94544</t>
  </si>
  <si>
    <t>1501 Livorno Pl 209</t>
  </si>
  <si>
    <t>1201 Ustica Pl 209</t>
  </si>
  <si>
    <t>1403 Anacona Pl 201</t>
  </si>
  <si>
    <t>096-041-30</t>
  </si>
  <si>
    <t>13552 Goldenwest ST
Westminster, CA 92683</t>
  </si>
  <si>
    <t>4415 ALAMO ST</t>
  </si>
  <si>
    <t>103-0-082-225</t>
  </si>
  <si>
    <t>603 E Main St</t>
  </si>
  <si>
    <t>2561712400 2561711500 2561711300</t>
  </si>
  <si>
    <t>662, 672 &amp; 682 Clark Ave.
556 Union St.</t>
  </si>
  <si>
    <t>0.35999999999999999</t>
  </si>
  <si>
    <t>055 189400200</t>
  </si>
  <si>
    <t>2037 Durant Ave</t>
  </si>
  <si>
    <t>055 189000900</t>
  </si>
  <si>
    <t>2137 Dwight Way</t>
  </si>
  <si>
    <t>055 183901901</t>
  </si>
  <si>
    <t>2587 Telegraph St</t>
  </si>
  <si>
    <t>2701 Shattuck Ave</t>
  </si>
  <si>
    <t>400 SENTINEL DR</t>
  </si>
  <si>
    <t>5180 VERDUGO WY</t>
  </si>
  <si>
    <t>5190 VERDUGO WY</t>
  </si>
  <si>
    <t>5192 VERDUGO WY</t>
  </si>
  <si>
    <t>390 CAMINO RUIZ</t>
  </si>
  <si>
    <t>080C 0500 032 00</t>
  </si>
  <si>
    <t>15693 E 14th St, San Leandro, CA 94578</t>
  </si>
  <si>
    <t>020701144-0000</t>
  </si>
  <si>
    <t>NEC Foothill and Grove</t>
  </si>
  <si>
    <t>3512 HAMMOCK ,SACRAMENTO,CA</t>
  </si>
  <si>
    <t>3530 HAMMOCK ,SACRAMENTO,CA</t>
  </si>
  <si>
    <t>1041 MARTEL AVE
WEST HOLLYWOOD, CA 90046</t>
  </si>
  <si>
    <t>8500 SANTA MONICA BLVD
WEST HOLLYWOOD, CA 90069</t>
  </si>
  <si>
    <t>8025 SANTA MONICA BLVD, WEST HOLLYWOOD, CA 90046</t>
  </si>
  <si>
    <t>23391 CATT RD</t>
  </si>
  <si>
    <t>23415 CATT RD</t>
  </si>
  <si>
    <t>3741 W HOUSTON AVE</t>
  </si>
  <si>
    <t>3825 W HOUSTON AVE</t>
  </si>
  <si>
    <t>3747 W HOUSTON AVE</t>
  </si>
  <si>
    <t>2581309700, 2581309800</t>
  </si>
  <si>
    <t>155 Quail Gardens Dr</t>
  </si>
  <si>
    <t>2220 Encinitas Blvd</t>
  </si>
  <si>
    <t>1303 Bergamo Pl 101</t>
  </si>
  <si>
    <t>1201 Ustica Pl 101</t>
  </si>
  <si>
    <t>1107 Catania Ct 102</t>
  </si>
  <si>
    <t>258-130-80-00</t>
  </si>
  <si>
    <t>601 N. El Camino Real</t>
  </si>
  <si>
    <t>145 Sanford St</t>
  </si>
  <si>
    <t>225-2060-003-0000, 225-2060-004-0000, 225-2060-005-0000</t>
  </si>
  <si>
    <t>3531 DEL PASO ,SACRAMENTO,CA</t>
  </si>
  <si>
    <t>265-0011-002-0000</t>
  </si>
  <si>
    <t>3139 RIO LINDA ,SACRAMENTO,CA</t>
  </si>
  <si>
    <t>334 San Antonio Rd</t>
  </si>
  <si>
    <t>326 27 049</t>
  </si>
  <si>
    <t>21301 Point Reyes</t>
  </si>
  <si>
    <t>425 FIRST STREET UNIT 16</t>
  </si>
  <si>
    <t>580 LEWIS RD</t>
  </si>
  <si>
    <t>5138 VERDUGO WY</t>
  </si>
  <si>
    <t>5154 VERDUGO WY</t>
  </si>
  <si>
    <t>144-040-011</t>
  </si>
  <si>
    <t>7515 Alder Avenue &amp; 8145 Gravenstein Hwy</t>
  </si>
  <si>
    <t>2737 SOMIS RD, SOMIS, CA  93066</t>
  </si>
  <si>
    <t>125-044-007</t>
  </si>
  <si>
    <t>124 S COLLEGE DR</t>
  </si>
  <si>
    <t>051-210-028</t>
  </si>
  <si>
    <t>0.51000000000000001</t>
  </si>
  <si>
    <t>1644 CLEMENT AVE</t>
  </si>
  <si>
    <t>009-073-001</t>
  </si>
  <si>
    <t>3230 HILER, EUREKA, Ca 95503</t>
  </si>
  <si>
    <t>511-013-03-00</t>
  </si>
  <si>
    <t>1471 East Main Street</t>
  </si>
  <si>
    <t>389 FIRST STREET UNIT 22</t>
  </si>
  <si>
    <t>4896 El Camino Real</t>
  </si>
  <si>
    <t>345 W CERRITOS AVENUE</t>
  </si>
  <si>
    <t>731 Harrison Ave.</t>
  </si>
  <si>
    <t>496-100-034-000</t>
  </si>
  <si>
    <t>4201 SANTUCCI BL, Roseville CA 95747</t>
  </si>
  <si>
    <t>450 FIRST STREET UNIT 105</t>
  </si>
  <si>
    <t>596 W RICHMAR AVE</t>
  </si>
  <si>
    <t>1559 W 101st Street, Los Angeles CA 90047</t>
  </si>
  <si>
    <t>4.2199999999999998</t>
  </si>
  <si>
    <t>3865 SYDNEY WAY</t>
  </si>
  <si>
    <t>5150 VERDUGO WY</t>
  </si>
  <si>
    <t>213-0-090-295</t>
  </si>
  <si>
    <t>2152 LOCKWOOD ST</t>
  </si>
  <si>
    <t>0 CAPALINA RD</t>
  </si>
  <si>
    <t>233 &amp; 301 E HUNTINGTON DR</t>
  </si>
  <si>
    <t>258-031-12-00, 258-031-15-00, 258-031-11-00</t>
  </si>
  <si>
    <t>102 and 118 Second Street</t>
  </si>
  <si>
    <t>1601 San Remo Pl 202, Encinitas, CA 92024</t>
  </si>
  <si>
    <t>El Cajon Blvd, La Mesa CA 91941</t>
  </si>
  <si>
    <t>410 CAMINO RUIZ</t>
  </si>
  <si>
    <t>4153 Whittier Boulevard, Los Angeles CA 90023</t>
  </si>
  <si>
    <t>1.8300000000000001</t>
  </si>
  <si>
    <t>8122 Compton Avenue, Los Angeles CA 90001</t>
  </si>
  <si>
    <t>4088-002-021</t>
  </si>
  <si>
    <t>Prairie Ave</t>
  </si>
  <si>
    <t>037-212-035</t>
  </si>
  <si>
    <t>27 E GUTIERREZ ST</t>
  </si>
  <si>
    <t>1625 N. Waterman Ave # 2</t>
  </si>
  <si>
    <t>034-172-01</t>
  </si>
  <si>
    <t>1098 38th Avenue</t>
  </si>
  <si>
    <t>1520 HECKER PASS HWY</t>
  </si>
  <si>
    <t>140 LYELL ST</t>
  </si>
  <si>
    <t>3705 W HOUSTON AVE</t>
  </si>
  <si>
    <t>022-961-04</t>
  </si>
  <si>
    <t>4104 Scotts Valley Drive, Unit 304</t>
  </si>
  <si>
    <t>261-15-064-00</t>
  </si>
  <si>
    <t>3459 Manchester Ave</t>
  </si>
  <si>
    <t>1602 San Remo Pl 103, Encinitas, CA 92024</t>
  </si>
  <si>
    <t>1502 Livorno Pl 209, Encinitas, CA 92024</t>
  </si>
  <si>
    <t>5640015044 5640015043</t>
  </si>
  <si>
    <t>1242 &amp; 1246 S MARYLAND AVENUE</t>
  </si>
  <si>
    <t>5723-005-029</t>
  </si>
  <si>
    <t>270 N LOS ROBLES AVE  APARTMENT
PASADENA, CA 91101</t>
  </si>
  <si>
    <t>710 N FAIR OAKS AVE MIXED USE - BLDG B
PASADENA, CA 91103</t>
  </si>
  <si>
    <t>015 136400100</t>
  </si>
  <si>
    <t>6341 SHATTUCK AVE, Oakland, CA 946091238</t>
  </si>
  <si>
    <t>015-0181-052-0000</t>
  </si>
  <si>
    <t>3441 STOCKTON ,SACRAMENTO,CA</t>
  </si>
  <si>
    <t>002-0010-077-0000</t>
  </si>
  <si>
    <t>530 7TH ,SACRAMENTO,CA</t>
  </si>
  <si>
    <t>100 Roja</t>
  </si>
  <si>
    <t>159-281-02</t>
  </si>
  <si>
    <t>19011 Main St</t>
  </si>
  <si>
    <t>5220 WILSON St, La Mesa, CA 91942</t>
  </si>
  <si>
    <t>3554 HAMMOCK ,SACRAMENTO,CA</t>
  </si>
  <si>
    <t>3566 HAMMOCK ,SACRAMENTO,CA</t>
  </si>
  <si>
    <t>3572 HAMMOCK ,SACRAMENTO,CA</t>
  </si>
  <si>
    <t>3590 HAMMOCK ,SACRAMENTO,CA</t>
  </si>
  <si>
    <t>6349-005-042</t>
  </si>
  <si>
    <t>1.9299999999999999</t>
  </si>
  <si>
    <t>193 Evergreen Ln.</t>
  </si>
  <si>
    <t>1800 E LA VETA AVE BLDG. B</t>
  </si>
  <si>
    <t>1840 Boxheart Drive</t>
  </si>
  <si>
    <t>1603 San Remo Pl 202</t>
  </si>
  <si>
    <t>1500 Livorno Pl 206</t>
  </si>
  <si>
    <t>2250014265, 2250014275</t>
  </si>
  <si>
    <t>2300 Pleasant Valley</t>
  </si>
  <si>
    <t>030-250-01</t>
  </si>
  <si>
    <t>1 Hamilton</t>
  </si>
  <si>
    <t>044041107</t>
  </si>
  <si>
    <t>1400 DRESDEN DRIVE, LINCOLN, CA 95648</t>
  </si>
  <si>
    <t>216-33-035</t>
  </si>
  <si>
    <t>3333 KIFER RD, SANTA CLARA, CA 95051</t>
  </si>
  <si>
    <t>0.54000000000000004</t>
  </si>
  <si>
    <t>3855 SYDNEY WAY</t>
  </si>
  <si>
    <t>2743 SOMIS RD, SOMIS, CA  93066</t>
  </si>
  <si>
    <t>2753 Somis Rd, Somis, CA 93066</t>
  </si>
  <si>
    <t>2749 Somis Rd, Somis, CA 93066</t>
  </si>
  <si>
    <t>5722-024-117</t>
  </si>
  <si>
    <t>350 CORDOVA ST OFFICE BUILDING
PASADENA, CA 91101</t>
  </si>
  <si>
    <t>5737-007-065</t>
  </si>
  <si>
    <t>1501 E WALNUT ST VACANT LOT
PASADENA, CA 91106</t>
  </si>
  <si>
    <t>5723-015-028</t>
  </si>
  <si>
    <t>127 N MADISON AVE MIXED USE
PASADENA, CA 91101</t>
  </si>
  <si>
    <t>008 066700500</t>
  </si>
  <si>
    <t>2305 WEBSTER ST, Oakland, CA</t>
  </si>
  <si>
    <t>175-060-12, 175-060-40, 175-060-59, 175-060-61, 175-060-66 &amp; 175-060-6</t>
  </si>
  <si>
    <t>5800 Northgate Dr</t>
  </si>
  <si>
    <t>043 462100100</t>
  </si>
  <si>
    <t>8301 MACARTHUR BLVD, Oakland, CA 94605</t>
  </si>
  <si>
    <t>008 062100807</t>
  </si>
  <si>
    <t>1431 FRANKLIN ST, Oakland, CA 94612</t>
  </si>
  <si>
    <t>001 015700500</t>
  </si>
  <si>
    <t>220 ALICE ST, Oakland, CA 94607</t>
  </si>
  <si>
    <t>825 Santa Monica Blvd</t>
  </si>
  <si>
    <t>7521 N CHESTNUT AVE BLDG 101+</t>
  </si>
  <si>
    <t>0.52000000000000002</t>
  </si>
  <si>
    <t>019 002701400</t>
  </si>
  <si>
    <t>125 E 12th ST, Oakland, CA 94606</t>
  </si>
  <si>
    <t>0.029999999999999999</t>
  </si>
  <si>
    <t>0.42999999999999999</t>
  </si>
  <si>
    <t>033 219701901</t>
  </si>
  <si>
    <t>3511 E 12 TH, OAKLAND, CA 94601</t>
  </si>
  <si>
    <t>2720 W Avenue K-12, Bldg 3 93536</t>
  </si>
  <si>
    <t>1725 E Avenue J-4, Lancaster, CA 93535</t>
  </si>
  <si>
    <t>1735 E Avenue J-4, Lancaster, CA 93535</t>
  </si>
  <si>
    <t>501 Pilgrim Drive</t>
  </si>
  <si>
    <t>401 MARTIN MARINER AVE</t>
  </si>
  <si>
    <t>3133-023-007</t>
  </si>
  <si>
    <t>44702 Fig Ave</t>
  </si>
  <si>
    <t>233-0430-0002-0000</t>
  </si>
  <si>
    <t>1035 W EL CAMINO REAL</t>
  </si>
  <si>
    <t>214-010-181</t>
  </si>
  <si>
    <t>3009 Ivory Terrace</t>
  </si>
  <si>
    <t>36101 Explorer Dr</t>
  </si>
  <si>
    <t>8234 UNIVERSITY AV, La Mesa, CA</t>
  </si>
  <si>
    <t>5281-002-022</t>
  </si>
  <si>
    <t>2727 ROSEMEAD</t>
  </si>
  <si>
    <t>692-171-18</t>
  </si>
  <si>
    <t>1430 S EL CAMINO REAL</t>
  </si>
  <si>
    <t>421 E 4th St</t>
  </si>
  <si>
    <t>815 N Coast Hwy</t>
  </si>
  <si>
    <t>026-0073-014-0000</t>
  </si>
  <si>
    <t>5700 STOCKTON BLVD, BLDG# E1
SACRAMENTO, CA 95824-1614</t>
  </si>
  <si>
    <t>5700 STOCKTON BLVD, BLDG# E2
SACRAMENTO, CA 95824-1614</t>
  </si>
  <si>
    <t>025280510</t>
  </si>
  <si>
    <t>039-322-045</t>
  </si>
  <si>
    <t>12 E CARRILLO ST</t>
  </si>
  <si>
    <t>230-12-012</t>
  </si>
  <si>
    <t>2685 The Alameda, SANTA CLARA, CA</t>
  </si>
  <si>
    <t>014 124300101</t>
  </si>
  <si>
    <t>5200 BROADWAY, Oakland, CA 94618</t>
  </si>
  <si>
    <t>025 071900701</t>
  </si>
  <si>
    <t>3050 INTERNATIONAL BLVD, Oakland, CA 94601</t>
  </si>
  <si>
    <t>450 FIRST STREET UNIT 103</t>
  </si>
  <si>
    <t>425 FIRST STREET UNIT 18</t>
  </si>
  <si>
    <t>480 E 4TH AVE</t>
  </si>
  <si>
    <t>477 9TH AVE Unit: 101</t>
  </si>
  <si>
    <t>5132 VERDUGO WY</t>
  </si>
  <si>
    <t>5174 VERDUGO WY</t>
  </si>
  <si>
    <t>617-441-23</t>
  </si>
  <si>
    <t>1610 W Artesia Blvd</t>
  </si>
  <si>
    <t>1105 BROADWAY</t>
  </si>
  <si>
    <t>4651 Arizona St, San Diego, CA 92116</t>
  </si>
  <si>
    <t>119-198-03</t>
  </si>
  <si>
    <t>11401 STATE ROUTE 1</t>
  </si>
  <si>
    <t>010-0253-014-0000, 010-0253-016-0000</t>
  </si>
  <si>
    <t>3141 W ,SACRAMENTO,CA</t>
  </si>
  <si>
    <t>2260 IRONWOOD CR</t>
  </si>
  <si>
    <t>012 101400303</t>
  </si>
  <si>
    <t>4127 Martin Luther King Jr WY, Oakland, CA 946092139</t>
  </si>
  <si>
    <t>042 432300305</t>
  </si>
  <si>
    <t>8471 ENTERPRISE WY, Oakland, CA 94621</t>
  </si>
  <si>
    <t>2701 Everly Dr, San Diego, CA</t>
  </si>
  <si>
    <t>1999 S OCEANSIDE BLVD</t>
  </si>
  <si>
    <t>1919 S OCEANSIDE BLVD</t>
  </si>
  <si>
    <t>023-020-065</t>
  </si>
  <si>
    <t>532 Oleander</t>
  </si>
  <si>
    <t>0.27000000000000002</t>
  </si>
  <si>
    <t>427 111 09</t>
  </si>
  <si>
    <t>4540, 4570, 4600, and 4630 Campus Drive, 4525, 4533, and 4647</t>
  </si>
  <si>
    <t>427 332 02</t>
  </si>
  <si>
    <t>1400 Bristol St</t>
  </si>
  <si>
    <t>2733 SOMIS RD, SOMIS, CA  93066</t>
  </si>
  <si>
    <t>2745 SOMIS RD, SOMIS, CA  93066</t>
  </si>
  <si>
    <t>3584 HAMMOCK ,SACRAMENTO,CA</t>
  </si>
  <si>
    <t>5325 Seacliff Pl, San Diego, CA 92154</t>
  </si>
  <si>
    <t>3729 W HOUSTON AVE</t>
  </si>
  <si>
    <t>99-100-30-8</t>
  </si>
  <si>
    <t>28090 Mission Blvd
Hayward, CA 94544</t>
  </si>
  <si>
    <t>055 188600100</t>
  </si>
  <si>
    <t>2300 ELLSWORTH St</t>
  </si>
  <si>
    <t>2527 SAN PABLO Ave</t>
  </si>
  <si>
    <t>2720 W Avenue K-12, Bldg 1 93536</t>
  </si>
  <si>
    <t>2720 W Avenue K-12, Bldg 7, Lancaster, CA 93536</t>
  </si>
  <si>
    <t>214-010-276</t>
  </si>
  <si>
    <t>3607 Iceberg Court</t>
  </si>
  <si>
    <t>214-010-283</t>
  </si>
  <si>
    <t>3710 Lava  Court</t>
  </si>
  <si>
    <t>214-010-300</t>
  </si>
  <si>
    <t>5607 Linen Court</t>
  </si>
  <si>
    <t>214-010-223</t>
  </si>
  <si>
    <t>2016 Ivory Terrace</t>
  </si>
  <si>
    <t>092-572-025</t>
  </si>
  <si>
    <t>00 Magenta Ln, Nipomo, CA 93444</t>
  </si>
  <si>
    <t>008-283-012</t>
  </si>
  <si>
    <t>1745 Spring</t>
  </si>
  <si>
    <t>1300 S. Main St</t>
  </si>
  <si>
    <t>12700 Norwalk Blvd</t>
  </si>
  <si>
    <t>026-0073-003-0000</t>
  </si>
  <si>
    <t>5700 STOCKTON BLVD
SACRAMENTO, CA 95824-1614</t>
  </si>
  <si>
    <t>5700 STOCKTON BLVD, BLDG# E4
SACRAMENTO, CA 95824-1614</t>
  </si>
  <si>
    <t>5700 STOCKTON BLVD, BLDG# D3
SACRAMENTO, CA 95824-1614</t>
  </si>
  <si>
    <t>450 FIRST STREET UNIT 203</t>
  </si>
  <si>
    <t>425 FIRST STREET UNIT 26</t>
  </si>
  <si>
    <t>588-291-114</t>
  </si>
  <si>
    <t>Tract 17759, Lot 10</t>
  </si>
  <si>
    <t>2720 W Avenue K-12, Bldg 4, Lancaster, CA 93536</t>
  </si>
  <si>
    <t>1703 E Avenue J-4, Lancaster, CA 93535</t>
  </si>
  <si>
    <t>2321 RED OAK CT Unit: BLDG M</t>
  </si>
  <si>
    <t>2448 WILLOW WAY Unit: BLDG K</t>
  </si>
  <si>
    <t>570 LEWIS RD</t>
  </si>
  <si>
    <t>2815 E PLEASANT VALLEY RD</t>
  </si>
  <si>
    <t>3401 STOCKTON ,SACRAMENTO,CA</t>
  </si>
  <si>
    <t>213-133-078-5</t>
  </si>
  <si>
    <t>2527-2545 Camino Ramon</t>
  </si>
  <si>
    <t>10100 Encanto</t>
  </si>
  <si>
    <t>213-0-090-205</t>
  </si>
  <si>
    <t>2001 OUTLET CENTER DR PRIV ST</t>
  </si>
  <si>
    <t>590 W RICHMAR AVE</t>
  </si>
  <si>
    <t>0 SAN MARCOS CA</t>
  </si>
  <si>
    <t>031-052-020</t>
  </si>
  <si>
    <t>7205 MORRO RD</t>
  </si>
  <si>
    <t>525-0339-003-02</t>
  </si>
  <si>
    <t>42021 Osgood Rd</t>
  </si>
  <si>
    <t>243-190-003</t>
  </si>
  <si>
    <t>950 Hough Ave</t>
  </si>
  <si>
    <t>0.17999999999999999</t>
  </si>
  <si>
    <t>2775 SOMIS RD, SOMIS, CA  93066</t>
  </si>
  <si>
    <t>425 El Pindao Rd</t>
  </si>
  <si>
    <t>847 Woodside Rd</t>
  </si>
  <si>
    <t>3825 SYDNEY WAY</t>
  </si>
  <si>
    <t>3835 SYDNEY WAY</t>
  </si>
  <si>
    <t>HESPERIA</t>
  </si>
  <si>
    <t>LIVE OAK STREET</t>
  </si>
  <si>
    <t>HALF MOON BAY</t>
  </si>
  <si>
    <t>056-150-200, 056-150-220</t>
  </si>
  <si>
    <t>555 Kelly Avenue</t>
  </si>
  <si>
    <t>903 001400400</t>
  </si>
  <si>
    <t>Tranquility Circle</t>
  </si>
  <si>
    <t>CARSON</t>
  </si>
  <si>
    <t>7337-003-012, -13, -14</t>
  </si>
  <si>
    <t>21140, 21212, 21126 Avalon Blvd</t>
  </si>
  <si>
    <t>4264 Whittier St, San Diego, CA</t>
  </si>
  <si>
    <t>14493 PENASQUITOS DR</t>
  </si>
  <si>
    <t>4456 30th St, San Diego, CA</t>
  </si>
  <si>
    <t>2502 Soaptree Dr, San Diego, CA 92154</t>
  </si>
  <si>
    <t>2371 Brushholly Dr, San Diego, CA 92154</t>
  </si>
  <si>
    <t>2412 Mason Dr, San Diego, CA 92154</t>
  </si>
  <si>
    <t>2165 Reed Dr, San Diego, CA 92154</t>
  </si>
  <si>
    <t>1111 Torrey Pines Rd, San Diego, CA</t>
  </si>
  <si>
    <t>34 E SANTA CLARA ST</t>
  </si>
  <si>
    <t>2000 UNIVERSITY Ave</t>
  </si>
  <si>
    <t>057 203000800</t>
  </si>
  <si>
    <t>2115 Kittredge St</t>
  </si>
  <si>
    <t>056 192802200</t>
  </si>
  <si>
    <t>2427 SAN PABLO Ave</t>
  </si>
  <si>
    <t>055 187802000</t>
  </si>
  <si>
    <t>2462 Bancroft Way</t>
  </si>
  <si>
    <t>3030 TELEGRAPH Ave</t>
  </si>
  <si>
    <t>DOWNEY</t>
  </si>
  <si>
    <t>7360 Foster Bridge BL</t>
  </si>
  <si>
    <t>4341 El Cajon Bl, San Diego, CA</t>
  </si>
  <si>
    <t>0.78000000000000003</t>
  </si>
  <si>
    <t>1265 MONTECITO AV</t>
  </si>
  <si>
    <t>3.2400000000000002</t>
  </si>
  <si>
    <t>426 PIEDMONT AVENUE</t>
  </si>
  <si>
    <t>276-282-14</t>
  </si>
  <si>
    <t>7692 9TH ST, Unit BLDG A, BUENA PARK, CA 90621</t>
  </si>
  <si>
    <t>132-06-039</t>
  </si>
  <si>
    <t>525 E CHARLESTON RD</t>
  </si>
  <si>
    <t>137-090-045</t>
  </si>
  <si>
    <t>332 &amp; 334 Valley Vineyard Circle</t>
  </si>
  <si>
    <t>5330 Seacliff Pl, San Diego, CA 92154</t>
  </si>
  <si>
    <t>5355 Seacliff Pl, San Diego, CA 92154</t>
  </si>
  <si>
    <t>5717 OWENS DR</t>
  </si>
  <si>
    <t>031-272-006</t>
  </si>
  <si>
    <t>425 GARDEN ST</t>
  </si>
  <si>
    <t>006-181-001</t>
  </si>
  <si>
    <t>1310 MYRTLE, EUREKA, Ca 95503</t>
  </si>
  <si>
    <t>077-011-010</t>
  </si>
  <si>
    <t>700 Oak Park Blvd.</t>
  </si>
  <si>
    <t>0.46999999999999997</t>
  </si>
  <si>
    <t>040313280</t>
  </si>
  <si>
    <t>678 Ralston Ave</t>
  </si>
  <si>
    <t>104-04-123</t>
  </si>
  <si>
    <t>4590 PATRICK HENRY DR, SANTA CLARA, CA 95054</t>
  </si>
  <si>
    <t>592 W RICHMAR AVE</t>
  </si>
  <si>
    <t>602 W RICHMAR AVE</t>
  </si>
  <si>
    <t>056-511-029</t>
  </si>
  <si>
    <t>171 Siesta Way 1
Sonoma, CA 95476</t>
  </si>
  <si>
    <t>1950 N. Coast Highway 101</t>
  </si>
  <si>
    <t>2592312800 2592313100 2592313000</t>
  </si>
  <si>
    <t>2220, 2228, 2230 Encinitas Blvd</t>
  </si>
  <si>
    <t>450 FIRST STREET UNIT 104</t>
  </si>
  <si>
    <t>513-0610-039-00</t>
  </si>
  <si>
    <t>43512 Ellsworth St</t>
  </si>
  <si>
    <t>2469 WILLOW WAY Unit: BLDG H</t>
  </si>
  <si>
    <t>2517 SAGE ST Unit: BLDG L</t>
  </si>
  <si>
    <t>5162 VERDUGO WY</t>
  </si>
  <si>
    <t>945 CARLSBAD VILLAGE DR</t>
  </si>
  <si>
    <t>985-0051-006-00</t>
  </si>
  <si>
    <t>4441 Tassajara Road</t>
  </si>
  <si>
    <t>243-030-033</t>
  </si>
  <si>
    <t>1001 Oak Hill Rd</t>
  </si>
  <si>
    <t>0.23999999999999999</t>
  </si>
  <si>
    <t>005-060-025-000</t>
  </si>
  <si>
    <t>1021 Beamer Street</t>
  </si>
  <si>
    <t>7408 S FIGUEROA ST 1-157</t>
  </si>
  <si>
    <t>5725-002-911</t>
  </si>
  <si>
    <t>710 N FAIR OAKS AVE MIXED USE - BLDG C
PASADENA, CA 91103</t>
  </si>
  <si>
    <t>039 327203600</t>
  </si>
  <si>
    <t>2511 CHURCH ST, Oakland, CA 94605</t>
  </si>
  <si>
    <t>001 020302000</t>
  </si>
  <si>
    <t>707 WASHINGTON ST, OAKLAND, CA 94607</t>
  </si>
  <si>
    <t>88 N OAKLAND AVE APARTMENT
PASADENA, CA 91101</t>
  </si>
  <si>
    <t>029A130205100</t>
  </si>
  <si>
    <t>2114 MACARTHUR BLVD, Oakland, CA 94602</t>
  </si>
  <si>
    <t>037 255200100</t>
  </si>
  <si>
    <t>4655 STEELE ST, Oakland, CA 94619</t>
  </si>
  <si>
    <t>012 096400700</t>
  </si>
  <si>
    <t>3829 M L King Jr WY, OAKLAND, CA</t>
  </si>
  <si>
    <t>018 046501200</t>
  </si>
  <si>
    <t>389 9TH AVE, OAKLAND, CA 94606</t>
  </si>
  <si>
    <t>1001 N COAST HWY</t>
  </si>
  <si>
    <t>712 Seagaze</t>
  </si>
  <si>
    <t>11250 W LA GRANGE AVE</t>
  </si>
  <si>
    <t>4624 S NORMANDIE AVE</t>
  </si>
  <si>
    <t>2601 E MICHIGAN AVE</t>
  </si>
  <si>
    <t>816 N NORMANDIE AVE</t>
  </si>
  <si>
    <t>1023 N BERENDO ST</t>
  </si>
  <si>
    <t>6401 S BROADWAY</t>
  </si>
  <si>
    <t>7320 S BROADWAY</t>
  </si>
  <si>
    <t>7403 N TOPANGA CANYON BLVD</t>
  </si>
  <si>
    <t>8016 N FAIR AVE</t>
  </si>
  <si>
    <t>6645 N LEMP AVE</t>
  </si>
  <si>
    <t>10629 W LANDALE ST 1-11</t>
  </si>
  <si>
    <t>12323 W OSBORNE PL</t>
  </si>
  <si>
    <t>12747 W MITCHELL AVE 1-4</t>
  </si>
  <si>
    <t>11903 W WILSHIRE BLVD</t>
  </si>
  <si>
    <t>10605 W EASTBORNE AVE 1-12</t>
  </si>
  <si>
    <t>4917 S FIGUEROA ST</t>
  </si>
  <si>
    <t>1408 W JEFFERSON BLVD</t>
  </si>
  <si>
    <t>3442 S HILLCREST DR</t>
  </si>
  <si>
    <t>3550 S CHESAPEAKE AVE</t>
  </si>
  <si>
    <t>1540 W COURT ST</t>
  </si>
  <si>
    <t>801 N WATERLOO ST</t>
  </si>
  <si>
    <t>4869 W MELROSE AVE</t>
  </si>
  <si>
    <t>1845 N TAFT AVE</t>
  </si>
  <si>
    <t>1405 W 228TH ST</t>
  </si>
  <si>
    <t>11608 W ARCHWOOD ST 1-17</t>
  </si>
  <si>
    <t>022-050-06, 14, 24, 25</t>
  </si>
  <si>
    <t>1000 Drakes Landing Road</t>
  </si>
  <si>
    <t>8543-009-053</t>
  </si>
  <si>
    <t>4428 STEWART AVE
BALDWIN PARK CA, 91706--246</t>
  </si>
  <si>
    <t>4283-021-017</t>
  </si>
  <si>
    <t>901 Pico Blvd</t>
  </si>
  <si>
    <t>4576-013-020</t>
  </si>
  <si>
    <t>7521 N CHESTNUT AVE BLDG 114+</t>
  </si>
  <si>
    <t>7521 N CHESTNUT AVE BLDG 120+</t>
  </si>
  <si>
    <t>159-281-05</t>
  </si>
  <si>
    <t>19071 Main St</t>
  </si>
  <si>
    <t>246 N JACKSON STREET</t>
  </si>
  <si>
    <t>5625009019 5625009020</t>
  </si>
  <si>
    <t>413 IRVING AVENUE &amp; 417 IRVING AVE,</t>
  </si>
  <si>
    <t>1301-1303 N PACIFIC AVENUE (501 GLENWOOD RD)</t>
  </si>
  <si>
    <t>12000 DRESDEN DRIVE, LINCOLN, CA 95648</t>
  </si>
  <si>
    <t>1600 DRESDEN DRIVE, LINCOLN, CA 95648</t>
  </si>
  <si>
    <t>1700 DRESDEN DRIVE, LINCOLN, CA 95648</t>
  </si>
  <si>
    <t>21140, 21212,  21126 Avalon Blvd</t>
  </si>
  <si>
    <t>1111 Kettner Bl, San Diego, CA</t>
  </si>
  <si>
    <t>018-074-16</t>
  </si>
  <si>
    <t>Albion St, California Park</t>
  </si>
  <si>
    <t>082-0-110-340</t>
  </si>
  <si>
    <t>Day Road Apartmetns</t>
  </si>
  <si>
    <t>120-27-074</t>
  </si>
  <si>
    <t>3980 EL CAMINO REAL</t>
  </si>
  <si>
    <t>501 Upas St, San Diego, CA</t>
  </si>
  <si>
    <t>BELVEDERE</t>
  </si>
  <si>
    <t>060-072-27, 28 and 18</t>
  </si>
  <si>
    <t>1 Mallard Road</t>
  </si>
  <si>
    <t>300 ALAMITOS AVE</t>
  </si>
  <si>
    <t>5721 OWENS DR</t>
  </si>
  <si>
    <t>2720 W Avenue K-12, Bldg 6, Lancaster, CA 93536</t>
  </si>
  <si>
    <t>43445 Sahuayo St 93534</t>
  </si>
  <si>
    <t>1745 E Avenue J-4, Lancaster, CA 93535</t>
  </si>
  <si>
    <t>1729 E Avenue J-4, Lancaster, CA 93535</t>
  </si>
  <si>
    <t>208-260-036</t>
  </si>
  <si>
    <t>2233 San Ramon Valley Blvd</t>
  </si>
  <si>
    <t>214-010-173</t>
  </si>
  <si>
    <t>3110 Seashell Terrace</t>
  </si>
  <si>
    <t>7243 POWER INN RD, BLDG# 6
SACRAMENTO, CA 95828</t>
  </si>
  <si>
    <t>1206 W GRAND AVE</t>
  </si>
  <si>
    <t>0.70999999999999996</t>
  </si>
  <si>
    <t>7251 NAVAL WY</t>
  </si>
  <si>
    <t>2261 IRONWOOD CR</t>
  </si>
  <si>
    <t>5700 STOCKTON BLVD, BLDG# D1
SACRAMENTO, CA 95824-1614</t>
  </si>
  <si>
    <t>5475 S INGLEWOOD BLVD #1-11</t>
  </si>
  <si>
    <t>117-361-017-000</t>
  </si>
  <si>
    <t>124 GONDA ST, ROYAL OAKS, CA 95076</t>
  </si>
  <si>
    <t>2211 IRONWOOD CR</t>
  </si>
  <si>
    <t>2572 Soaptree Dr, San Diego, CA 92154</t>
  </si>
  <si>
    <t>2840 L St, San Diego, CA</t>
  </si>
  <si>
    <t>5700 STOCKTON BLVD, BLDG# F
SACRAMENTO, CA 95824-1614</t>
  </si>
  <si>
    <t>15322 Junipers Dr, San Diego, CA 92129</t>
  </si>
  <si>
    <t>80 Dovetail Lane</t>
  </si>
  <si>
    <t>15305 Junipers Dr, San Diego, CA 92129</t>
  </si>
  <si>
    <t>5259 Mount Etna Dr, San Diego, CA</t>
  </si>
  <si>
    <t>258-163-06, 258-163-07</t>
  </si>
  <si>
    <t>777, 779, and 793 Second Street</t>
  </si>
  <si>
    <t>427 332  04</t>
  </si>
  <si>
    <t>1401 Quail St</t>
  </si>
  <si>
    <t>2720 W Avenue K-12, Bldg 5 93536</t>
  </si>
  <si>
    <t>1753 E Avenue J-4 93535</t>
  </si>
  <si>
    <t>3142-013-021</t>
  </si>
  <si>
    <t>240 E Lancaster Blvd</t>
  </si>
  <si>
    <t>3201 W OLIVE AVE</t>
  </si>
  <si>
    <t>528 W FIGUEROA ST</t>
  </si>
  <si>
    <t>2019 Chicago St, San Diego, CA 92110</t>
  </si>
  <si>
    <t>1515 4th</t>
  </si>
  <si>
    <t>692-30-14-3</t>
  </si>
  <si>
    <t>THORNTON AVENUE &amp; OLIVE STREET</t>
  </si>
  <si>
    <t>214-010-240</t>
  </si>
  <si>
    <t>1016 Amethyst  Court</t>
  </si>
  <si>
    <t>214-010-288</t>
  </si>
  <si>
    <t>5307 Lava  Court</t>
  </si>
  <si>
    <t>627 Hill St</t>
  </si>
  <si>
    <t>3801 Richmond St, San Diego, CA 92103</t>
  </si>
  <si>
    <t>5345 Seacliff Pl, San Diego, CA 92154</t>
  </si>
  <si>
    <t>3451 S MOTOR AVE #1-30</t>
  </si>
  <si>
    <t>092-579-008</t>
  </si>
  <si>
    <t>0 HILL STREET, NIPOMO CA 93444</t>
  </si>
  <si>
    <t>428-0056-057-00</t>
  </si>
  <si>
    <t>966 B Street</t>
  </si>
  <si>
    <t>415-0230-078-00</t>
  </si>
  <si>
    <t>22422 Rockaway Lane</t>
  </si>
  <si>
    <t>1525   DEVONWOOD DR</t>
  </si>
  <si>
    <t>1565   DEVONWOOD DR</t>
  </si>
  <si>
    <t>535 S GLENROCK AVE</t>
  </si>
  <si>
    <t>0.55000000000000004</t>
  </si>
  <si>
    <t>4283-013-024</t>
  </si>
  <si>
    <t>22500 Grand ST
HAYWARD, CA 94541</t>
  </si>
  <si>
    <t>23036 W VENTURA BLVD</t>
  </si>
  <si>
    <t>1.1699999999999999</t>
  </si>
  <si>
    <t>1227 TEXAS ST</t>
  </si>
  <si>
    <t>24997 Oneil Ave
Hayward, CA 94544</t>
  </si>
  <si>
    <t>044-172-190 and 044-172-200</t>
  </si>
  <si>
    <t>803 Belmont Ave</t>
  </si>
  <si>
    <t>0.89000000000000001</t>
  </si>
  <si>
    <t>068-323-050</t>
  </si>
  <si>
    <t>405 Atascadero Rd</t>
  </si>
  <si>
    <t>11606 W ARCHWOOD ST</t>
  </si>
  <si>
    <t>2.3999999999999999</t>
  </si>
  <si>
    <t>11806 W BURBANK BLVD</t>
  </si>
  <si>
    <t>13568 W RYE ST 1-6</t>
  </si>
  <si>
    <t>3.4300000000000002</t>
  </si>
  <si>
    <t>0.59999999999999998</t>
  </si>
  <si>
    <t>203-311-13</t>
  </si>
  <si>
    <t>13800 MILTON AVE
WESTMINSTER, CA 92683</t>
  </si>
  <si>
    <t>1334 Gertrude St, San Diego, CA</t>
  </si>
  <si>
    <t>180-310-15-00</t>
  </si>
  <si>
    <t>1070 S Santa Fe Ave</t>
  </si>
  <si>
    <t>179-130-31-00</t>
  </si>
  <si>
    <t>952 Postal Way</t>
  </si>
  <si>
    <t>60 Woodbury Highlands Pl</t>
  </si>
  <si>
    <t>2135 Garnet Ave, San Diego, CA</t>
  </si>
  <si>
    <t>0.56000000000000005</t>
  </si>
  <si>
    <t>10942 W PICO BLVD</t>
  </si>
  <si>
    <t>1854 S PANDORA AVE</t>
  </si>
  <si>
    <t>926 S KINGSLEY DR</t>
  </si>
  <si>
    <t>1.6100000000000001</t>
  </si>
  <si>
    <t>1725 S LA CIENEGA BLVD 1-26</t>
  </si>
  <si>
    <t>11151 S BROADWAY</t>
  </si>
  <si>
    <t>0.60999999999999999</t>
  </si>
  <si>
    <t>139 S OAK KNOLL AVE APARTMENT
PASADENA, CA 91101</t>
  </si>
  <si>
    <t>41209026, 41209032, 41209036</t>
  </si>
  <si>
    <t>57- 101 GILMAN AVE &amp; 60 DILLON AVE</t>
  </si>
  <si>
    <t>2201 IRONWOOD CR</t>
  </si>
  <si>
    <t>2221 IRONWOOD CR</t>
  </si>
  <si>
    <t>3927 08th Av, San Diego, CA</t>
  </si>
  <si>
    <t>2.6000000000000001</t>
  </si>
  <si>
    <t>1625 N. Waterman Ave #4</t>
  </si>
  <si>
    <t>5700 Stockton Blvd, Bldg# D2 Sacramento, CA 95814</t>
  </si>
  <si>
    <t>5700 STOCKTON BLVD, BLDG# E3
SACRAMENTO, CA 95824-1614</t>
  </si>
  <si>
    <t>PLACENTIA</t>
  </si>
  <si>
    <t>339-391-14, 339-391-15, 339-392-14, 339-392-15</t>
  </si>
  <si>
    <t>300,307,312,314 Baker St</t>
  </si>
  <si>
    <t>820 S LAKE ST</t>
  </si>
  <si>
    <t>2528 E 1ST ST</t>
  </si>
  <si>
    <t>5860 S LOS ANGELES ST</t>
  </si>
  <si>
    <t>6.7800000000000002</t>
  </si>
  <si>
    <t>7823 S BROADWAY</t>
  </si>
  <si>
    <t>7971 W SUNSET; 7979 W SUNSET</t>
  </si>
  <si>
    <t>412 N OAKHURST</t>
  </si>
  <si>
    <t>11201 W VENTURA; 4260 N ARCH</t>
  </si>
  <si>
    <t>1722 W ADAMS; 1724 W ADAMS; 1726 W ADAMS; 1728 W ADAMS; 1730 W ADAMS; 1732 W ADAMS; 1734 W ADAMS</t>
  </si>
  <si>
    <t>1300 DRESDEN DRIVE, LINCOLN, CA 95648</t>
  </si>
  <si>
    <t>1800 E LA VETA AVE BLDG. A</t>
  </si>
  <si>
    <t>SOLVANG</t>
  </si>
  <si>
    <t>139-143-004</t>
  </si>
  <si>
    <t>539 Alisal</t>
  </si>
  <si>
    <t>1830 Boxheart Drive</t>
  </si>
  <si>
    <t>6754 N VALJEAN AVE 1-99</t>
  </si>
  <si>
    <t>UPLAND</t>
  </si>
  <si>
    <t>1046-605-03</t>
  </si>
  <si>
    <t>120 S Euclid AVE</t>
  </si>
  <si>
    <t>5700 HANNUM AVE</t>
  </si>
  <si>
    <t>12012 W HART ST 1-22</t>
  </si>
  <si>
    <t>7572 N WOODLAKE AVE</t>
  </si>
  <si>
    <t>10860 W CAMARILLO ST</t>
  </si>
  <si>
    <t>12335 W OSBORNE PL</t>
  </si>
  <si>
    <t>9033 S RAMSGATE AVE</t>
  </si>
  <si>
    <t>4360 S MCLAUGHLIN AVE</t>
  </si>
  <si>
    <t>3981 S MEIER ST</t>
  </si>
  <si>
    <t>1755 E Avenue J-4, Lancaster, CA 93535</t>
  </si>
  <si>
    <t>4269 S HOOVER ST</t>
  </si>
  <si>
    <t>1600 CANYON TERRACE LN</t>
  </si>
  <si>
    <t>3546 S CHESAPEAKE AVE</t>
  </si>
  <si>
    <t>1323 S ARAPAHOE ST</t>
  </si>
  <si>
    <t>APN 001211022</t>
  </si>
  <si>
    <t>213-133-102</t>
  </si>
  <si>
    <t>6200 Bollinger Canyon Rd.</t>
  </si>
  <si>
    <t>214-010-185</t>
  </si>
  <si>
    <t>3205 Ivory Terrace</t>
  </si>
  <si>
    <t>1058 S NORTON AVE</t>
  </si>
  <si>
    <t>800 S LORRAINE BLVD</t>
  </si>
  <si>
    <t>1132 S ALVARADO ST</t>
  </si>
  <si>
    <t>120 S CARONDELET ST</t>
  </si>
  <si>
    <t>1931 N WORKMAN ST</t>
  </si>
  <si>
    <t>4002 N VERDUGO ROAD</t>
  </si>
  <si>
    <t>4319 N TOLAND WAY 1-4</t>
  </si>
  <si>
    <t>8915 S BROADWAY</t>
  </si>
  <si>
    <t>7243 POWER INN RD, BLDG# 4
SACRAMENTO, CA 95828</t>
  </si>
  <si>
    <t>3001 Clairemont Dr</t>
  </si>
  <si>
    <t>2828 HOWARD AV</t>
  </si>
  <si>
    <t>4061 FAIRMOUNT AV</t>
  </si>
  <si>
    <t>2512 Soaptree Dr, San Diego, CA 92154</t>
  </si>
  <si>
    <t>4551 Misty Pl, San Diego, CA 92117</t>
  </si>
  <si>
    <t>2301 Brushholly Dr, San Diego, CA 92154</t>
  </si>
  <si>
    <t>2031 Vela Ln, San Diego, CA 92154</t>
  </si>
  <si>
    <t>2135 Reed Dr, San Diego, CA 92154</t>
  </si>
  <si>
    <t>025169380</t>
  </si>
  <si>
    <t>1 ADRIAN CT</t>
  </si>
  <si>
    <t>501 W A St, San Diego, CA</t>
  </si>
  <si>
    <t>711 Turquoise St, San Diego, CA</t>
  </si>
  <si>
    <t>5340 Seacliff Pl, San Diego, CA 92154</t>
  </si>
  <si>
    <t>1515   DEVONWOOD DR</t>
  </si>
  <si>
    <t>1545   DEVONWOOD DR</t>
  </si>
  <si>
    <t>427-0016-050-04</t>
  </si>
  <si>
    <t>22648 2nd                            ST
HAYWARD, CA 94541</t>
  </si>
  <si>
    <t>405-101-37</t>
  </si>
  <si>
    <t>1921 W Washington Avenue</t>
  </si>
  <si>
    <t>401NMainSt</t>
  </si>
  <si>
    <t>004-291-019</t>
  </si>
  <si>
    <t>7621 Healdsburg Ave</t>
  </si>
  <si>
    <t>060-261-026; 060-261-028</t>
  </si>
  <si>
    <t>1009-1011 Gravenstein Highway North</t>
  </si>
  <si>
    <t>967 MISSION ST</t>
  </si>
  <si>
    <t>135-192-50</t>
  </si>
  <si>
    <t>LOS ALAMITOS</t>
  </si>
  <si>
    <t>130-012-35</t>
  </si>
  <si>
    <t>4665 Lampson</t>
  </si>
  <si>
    <t>2696 Mission Village Dr, San Diego, CA</t>
  </si>
  <si>
    <t>4353 PARK BL</t>
  </si>
  <si>
    <t>5310 ADOBE FALLS RD</t>
  </si>
  <si>
    <t>2601 ULRIC ST</t>
  </si>
  <si>
    <t>2231 IRONWOOD CR</t>
  </si>
  <si>
    <t>2250 SENECIO LN</t>
  </si>
  <si>
    <t>COSTA MESA</t>
  </si>
  <si>
    <t>422-163-31</t>
  </si>
  <si>
    <t>2277 Harbor Blvd</t>
  </si>
  <si>
    <t>15332 Junipers Dr, San Diego, CA 92129</t>
  </si>
  <si>
    <t>15316 Junipers Dr, San Diego, CA 92129</t>
  </si>
  <si>
    <t>2844 Lytton St, San Diego, CA 92110</t>
  </si>
  <si>
    <t>926 S KINGSLEY DR 1-136</t>
  </si>
  <si>
    <t>513-0363-015-03</t>
  </si>
  <si>
    <t>830 Witherly Ln</t>
  </si>
  <si>
    <t>6908 N BAIRD AVE</t>
  </si>
  <si>
    <t>14243 W SYLVAN ST 1-5</t>
  </si>
  <si>
    <t>5302 N SATSUMA AVE</t>
  </si>
  <si>
    <t>6320 S CRENSHAW BLVD</t>
  </si>
  <si>
    <t>2245 S AMHERST AVE</t>
  </si>
  <si>
    <t>2859 W FRANCIS AVE</t>
  </si>
  <si>
    <t>3416 E 1ST ST</t>
  </si>
  <si>
    <t>316 S CATALINA ST</t>
  </si>
  <si>
    <t>6200 S BROADWAY</t>
  </si>
  <si>
    <t>4276-029-010</t>
  </si>
  <si>
    <t>1819 Santa Monica Blvd</t>
  </si>
  <si>
    <t>12001 W VICTORY BLVD</t>
  </si>
  <si>
    <t>1462 S REEVES ST 1-4</t>
  </si>
  <si>
    <t>1140 S SHENANDOAH ST</t>
  </si>
  <si>
    <t>4827 S CRENSHAW BLVD</t>
  </si>
  <si>
    <t>1078 W 39TH ST</t>
  </si>
  <si>
    <t>964 E JEFFERSON BLVD</t>
  </si>
  <si>
    <t>2219 W VALLEY ST</t>
  </si>
  <si>
    <t>2009 E 2ND ST</t>
  </si>
  <si>
    <t>1108 N MANZANITA ST</t>
  </si>
  <si>
    <t>7770 W HOLLYWOOD BLVD</t>
  </si>
  <si>
    <t>1346 N FAIRFAX AVE</t>
  </si>
  <si>
    <t>9305 S MAIN ST</t>
  </si>
  <si>
    <t>4291-021-027</t>
  </si>
  <si>
    <t>700 Santa Monica Blvd</t>
  </si>
  <si>
    <t>2600 Wilshire Blvd</t>
  </si>
  <si>
    <t>815 Old County Rd</t>
  </si>
  <si>
    <t>143 S WETHERLY DR #1 - #40</t>
  </si>
  <si>
    <t>175-116-13-00</t>
  </si>
  <si>
    <t>414 N Santa Fe Ave</t>
  </si>
  <si>
    <t>1509 N GORDON ST 1-109</t>
  </si>
  <si>
    <t>791 HARRINGTON WAY</t>
  </si>
  <si>
    <t>126-132-005</t>
  </si>
  <si>
    <t>1650 Ashbury Drive</t>
  </si>
  <si>
    <t>0.32500000000000001</t>
  </si>
  <si>
    <t>1127 N LAS PALMAS AVE 1-98</t>
  </si>
  <si>
    <t>3355 S OVERLAND AVE 1-41</t>
  </si>
  <si>
    <t>0.32000000000000001</t>
  </si>
  <si>
    <t>BRENTWOOD</t>
  </si>
  <si>
    <t>018070017</t>
  </si>
  <si>
    <t>7460 Lone Tree</t>
  </si>
  <si>
    <t>21300 W OXNARD ST 1-173</t>
  </si>
  <si>
    <t>16136 W DEVONSHIRE ST 1-15</t>
  </si>
  <si>
    <t>7521 N CHESTNUT AVE BLDG 107+</t>
  </si>
  <si>
    <t>2420 S WINCHESTER BLVD, CAMPBELL, CA 95008</t>
  </si>
  <si>
    <t>1875 Pacific Avenue</t>
  </si>
  <si>
    <t>941 E PACIFIC COAST HWY</t>
  </si>
  <si>
    <t>3705 S MCLAUGHLIN AVE 1 - 26; 3705 S MCLAUGHLIN AVE 1-21</t>
  </si>
  <si>
    <t>937-957 Pine Ave and 120 W. 10th St.</t>
  </si>
  <si>
    <t>1400   LONG BEACH BLVD</t>
  </si>
  <si>
    <t>127-35-200</t>
  </si>
  <si>
    <t>739 SUTTER AVE*</t>
  </si>
  <si>
    <t>1625 N. Waterman Ave #3</t>
  </si>
  <si>
    <t>13126 S WESTERN AVE</t>
  </si>
  <si>
    <t>1625 N Wateman Ave #5</t>
  </si>
  <si>
    <t>927 S KINGSLEY DR</t>
  </si>
  <si>
    <t>1.6599999999999999</t>
  </si>
  <si>
    <t>125 N BAILEY ST</t>
  </si>
  <si>
    <t>5537 W SANTA MONICA BLVD</t>
  </si>
  <si>
    <t>7501 S WESTERN AVE</t>
  </si>
  <si>
    <t>2.0600000000000001</t>
  </si>
  <si>
    <t>1156 W FLORENCE AVE</t>
  </si>
  <si>
    <t>921 RIVERSIDE DR</t>
  </si>
  <si>
    <t>1500 Centre Point</t>
  </si>
  <si>
    <t>SUSANVILLE</t>
  </si>
  <si>
    <t>107-260-053-000</t>
  </si>
  <si>
    <t>560 Hosptial Ln.</t>
  </si>
  <si>
    <t>2 Rovina</t>
  </si>
  <si>
    <t>1800 E LA VETA AVE BLDG. C</t>
  </si>
  <si>
    <t>088-170-003</t>
  </si>
  <si>
    <t>3 Healdsburg Avenue</t>
  </si>
  <si>
    <t>0.68999999999999995</t>
  </si>
  <si>
    <t>37660 TIMBER ST</t>
  </si>
  <si>
    <t>4279-029-026</t>
  </si>
  <si>
    <t>1801 Santa Monica Blvd</t>
  </si>
  <si>
    <t>4267-028-017</t>
  </si>
  <si>
    <t>1541  FRANKLIN ST</t>
  </si>
  <si>
    <t>320 E Tamarack Ave</t>
  </si>
  <si>
    <t>060-261-030</t>
  </si>
  <si>
    <t>845 Gravenstein Highway North</t>
  </si>
  <si>
    <t>12674 Monte Vista Road
Poway, CA 92064</t>
  </si>
  <si>
    <t>208 CRESCENT N</t>
  </si>
  <si>
    <t>0.46250000000000002</t>
  </si>
  <si>
    <t>2530WWestminsterAve</t>
  </si>
  <si>
    <t>SANTA CLARITA</t>
  </si>
  <si>
    <t>24747 Railroad Avenue</t>
  </si>
  <si>
    <t>4283-032-008</t>
  </si>
  <si>
    <t>1420 20th St</t>
  </si>
  <si>
    <t>7415 S MAIN ST 1-17</t>
  </si>
  <si>
    <t>3780 S CARDIFF; 9431 W VENICE; 9439 W VENICE; 9443 W VENICE</t>
  </si>
  <si>
    <t>003-052-08</t>
  </si>
  <si>
    <t>850 ALMAR AVE</t>
  </si>
  <si>
    <t>8832 N LANGDON AVE</t>
  </si>
  <si>
    <t>2.5499999999999998</t>
  </si>
  <si>
    <t>14658 W GILMORE ST</t>
  </si>
  <si>
    <t>6058 N CRANER AVE</t>
  </si>
  <si>
    <t>8911 S RAMSGATE AVE</t>
  </si>
  <si>
    <t>1432 S BEVERLY DR</t>
  </si>
  <si>
    <t>1234 W MARTIN LUTHER KING, JR BLVD</t>
  </si>
  <si>
    <t>4129 S AVALON BLVD</t>
  </si>
  <si>
    <t>343 S AVENUE 20</t>
  </si>
  <si>
    <t>1412 N MARIPOSA AVE</t>
  </si>
  <si>
    <t>327 N HARBOR BLVD</t>
  </si>
  <si>
    <t>15834 W VANOWEN ST</t>
  </si>
  <si>
    <t>14658 W CALVERT ST</t>
  </si>
  <si>
    <t>002-331-002</t>
  </si>
  <si>
    <t>1239 Monterey St</t>
  </si>
  <si>
    <t>2908-2910 N ALLESANDRO ST #1-#36</t>
  </si>
  <si>
    <t>2140 S BUTLER AVE</t>
  </si>
  <si>
    <t>667-671 N WILTON PL (1-34)</t>
  </si>
  <si>
    <t>068-0-122-040</t>
  </si>
  <si>
    <t>Olive Block Apartment</t>
  </si>
  <si>
    <t>6010 N KLUMP AVE</t>
  </si>
  <si>
    <t>11218 W CALIFA ST</t>
  </si>
  <si>
    <t>4639 N TUJUNGA AVE</t>
  </si>
  <si>
    <t>10974 W RATNER ST</t>
  </si>
  <si>
    <t>8615 N SEPULVEDA BLVD</t>
  </si>
  <si>
    <t>251 LLEWELLYN AVE, CAMPBELL, CA 95008</t>
  </si>
  <si>
    <t>802 W 42ND PL</t>
  </si>
  <si>
    <t>5112 W WASHINGTON BLVD</t>
  </si>
  <si>
    <t>2625 S CULLEN ST</t>
  </si>
  <si>
    <t>075-0-013-100</t>
  </si>
  <si>
    <t>44 Coronado St</t>
  </si>
  <si>
    <t>242 N ROSEMONT AVE 1-4</t>
  </si>
  <si>
    <t>1057 N HYPERION AVE</t>
  </si>
  <si>
    <t>236 N BERENDO ST</t>
  </si>
  <si>
    <t>1332 N FAIRFAX AVE</t>
  </si>
  <si>
    <t>1726 N ALEXANDRIA AVE</t>
  </si>
  <si>
    <t>4604 W 1 ST ST 1-18</t>
  </si>
  <si>
    <t>624 W IMPERIAL HWY</t>
  </si>
  <si>
    <t>7005 N WOODLEY AVE</t>
  </si>
  <si>
    <t>6545 N WOODLEY AVE</t>
  </si>
  <si>
    <t>5119 N COLFAX AVE</t>
  </si>
  <si>
    <t>10243 N TOPANGA CANYON BLVD</t>
  </si>
  <si>
    <t>13022 N DRONFIELD AVE</t>
  </si>
  <si>
    <t>1383 S MIDVALE AVE</t>
  </si>
  <si>
    <t>2900 S ORANGE DR</t>
  </si>
  <si>
    <t>615 E Ocean Blvd</t>
  </si>
  <si>
    <t>14535 W WEDDINGTON ST 1-23</t>
  </si>
  <si>
    <t>2534WWestminsterAve</t>
  </si>
  <si>
    <t>5066 W SANTA MONICA BLVD</t>
  </si>
  <si>
    <t>1734 N HUDSON AVE</t>
  </si>
  <si>
    <t>5879 S CROCKER ST</t>
  </si>
  <si>
    <t>2229 W VENICE BLVD</t>
  </si>
  <si>
    <t>8304 S BROADWAY</t>
  </si>
  <si>
    <t>5315001070; 5315001072; 5315002061; 5315002062</t>
  </si>
  <si>
    <t>601-625 Fair Oaks Ave; 704-712 Mound Ave</t>
  </si>
  <si>
    <t>6545 N WOODLEY AVE 1-37</t>
  </si>
  <si>
    <t>5436 S BROADWAY</t>
  </si>
  <si>
    <t>0.57999999999999996</t>
  </si>
  <si>
    <t>2838 E WABASH AVE</t>
  </si>
  <si>
    <t>0.68000000000000005</t>
  </si>
  <si>
    <t>8301 S HOOVER ST 1-70</t>
  </si>
  <si>
    <t>15931 W VICTORY BLVD</t>
  </si>
  <si>
    <t>3716 S BENTLEY AVE</t>
  </si>
  <si>
    <t>6046 W COMEY AVE</t>
  </si>
  <si>
    <t>1532 S HI POINT ST</t>
  </si>
  <si>
    <t>142 S MOUNTAIN VIEW AVE</t>
  </si>
  <si>
    <t>162 N DOUGLAS ST</t>
  </si>
  <si>
    <t>5814 W LEXINGTON AVE</t>
  </si>
  <si>
    <t>827 W 94TH ST</t>
  </si>
  <si>
    <t>10715 S WESTERN AVE</t>
  </si>
  <si>
    <t>18325 W HART ST</t>
  </si>
  <si>
    <t>12801 W BARBARA ANN ST</t>
  </si>
  <si>
    <t>17184 W CHATSWORTH ST</t>
  </si>
  <si>
    <t>1943 S MANNING AVE</t>
  </si>
  <si>
    <t>1885 W SLAUSON AVE</t>
  </si>
  <si>
    <t>3455 W SLAUSON AVE</t>
  </si>
  <si>
    <t>5109 S VERMONT AVE</t>
  </si>
  <si>
    <t>3412 S VICTORIA AVE</t>
  </si>
  <si>
    <t>2075 W JEFFERSON BLVD</t>
  </si>
  <si>
    <t>443 S SOTO ST</t>
  </si>
  <si>
    <t>224 S AVENUE 55</t>
  </si>
  <si>
    <t>209 S SERRANO AVE</t>
  </si>
  <si>
    <t>4136 W ROSEWOOD AVE</t>
  </si>
  <si>
    <t>5814 W VIRGINIA AVE</t>
  </si>
  <si>
    <t>5645 W FERNWOOD AVE</t>
  </si>
  <si>
    <t>8201 S BROADWAY</t>
  </si>
  <si>
    <t>9002 S CENTRAL AVE</t>
  </si>
  <si>
    <t>9438 S WESTERN AVE</t>
  </si>
  <si>
    <t>700 W 120TH ST</t>
  </si>
  <si>
    <t>684 W 18TH ST</t>
  </si>
  <si>
    <t>100 W 55TH ST 1-56</t>
  </si>
  <si>
    <t>12342 W OSBORNE PL 1-100</t>
  </si>
  <si>
    <t>1317 W JEFFERSON BLVD</t>
  </si>
  <si>
    <t>13208 N BROMONT AVE 1-92</t>
  </si>
  <si>
    <t>1350 N GARDNER ST</t>
  </si>
  <si>
    <t>910 S MARIPOSA ST</t>
  </si>
  <si>
    <t>318 W Lime St</t>
  </si>
  <si>
    <t>400 Centinela Ave</t>
  </si>
  <si>
    <t>1231 TEXAS ST</t>
  </si>
  <si>
    <t>1219 TEXAS ST</t>
  </si>
  <si>
    <t>145 N EDINBURGH AVE</t>
  </si>
  <si>
    <t>1800 E 7TH ST</t>
  </si>
  <si>
    <t>4424 S SLAUSON;  4428 S SLAUSON; 4434 S SLAUSON;  4438 S SLAUSON</t>
  </si>
  <si>
    <t>9900 S FIGUEROA; 9906 S FIGUEROA; 9910 S FIGUEROA; 9916 S FIGUEROA; 9922 S FIGUEROA; 9924 S FIGUEROA</t>
  </si>
  <si>
    <t>10705 S AVALON BLVD</t>
  </si>
  <si>
    <t>2330 E 3RD ST 1-53</t>
  </si>
  <si>
    <t>Harrier and Lynx</t>
  </si>
  <si>
    <t>425 E BIDWELL ST</t>
  </si>
  <si>
    <t>5440 W FRANKLIN AVE 1-87</t>
  </si>
  <si>
    <t>5506 S DUARTE ST</t>
  </si>
  <si>
    <t>1046-605-01</t>
  </si>
  <si>
    <t>255 E Stowell ST</t>
  </si>
  <si>
    <t>5119 N COLFAX AVE #1-15</t>
  </si>
  <si>
    <t>6219 W BANNER AVE 1-64</t>
  </si>
  <si>
    <t>400 WINSTON DR</t>
  </si>
  <si>
    <t>1515 SOUTH VAN NESS AVE</t>
  </si>
  <si>
    <t>3300 MISSION ST</t>
  </si>
  <si>
    <t>1146EWashingtonAve</t>
  </si>
  <si>
    <t>Flying Tiger Drive</t>
  </si>
  <si>
    <t>24605 Railroad Avenue</t>
  </si>
  <si>
    <t>6501 S BROADWAY 1-51</t>
  </si>
  <si>
    <t>1633 VALENCIA ST</t>
  </si>
  <si>
    <t>3637 SACRAMENTO ST</t>
  </si>
  <si>
    <t>258-130-97, 258-130-98</t>
  </si>
  <si>
    <t>155 Quail Gardens Drive, 628 &amp; 630 Encinitas Boulevard</t>
  </si>
  <si>
    <t>611 S HOBART BLVD 1-80</t>
  </si>
  <si>
    <t>5147 DALAI LAMA</t>
  </si>
  <si>
    <t>4331-013-011</t>
  </si>
  <si>
    <t>149 - 159 MAPLE DR S</t>
  </si>
  <si>
    <t>4055 W OAKWOOD AVE 1-68</t>
  </si>
  <si>
    <t>0.77000000000000002</t>
  </si>
  <si>
    <t>1750 N GLENDALE BLVD</t>
  </si>
  <si>
    <t>3550 S OVERLAND AVE</t>
  </si>
  <si>
    <t>11418 W MISSOURI AVE 1-44</t>
  </si>
  <si>
    <t>14716 W FRIAR ST</t>
  </si>
  <si>
    <t>5625 N CASE AVE</t>
  </si>
  <si>
    <t>3901 S NORMANDIE AVE</t>
  </si>
  <si>
    <t>843 W 82ND ST</t>
  </si>
  <si>
    <t>6401 N WHITMAN AVE 1-15</t>
  </si>
  <si>
    <t>14118 W GILMORE ST</t>
  </si>
  <si>
    <t>14744 W MAGNOLIA BLVD</t>
  </si>
  <si>
    <t>5444 N CAMELLIA AVE</t>
  </si>
  <si>
    <t>2712 W SLAUSON AVE</t>
  </si>
  <si>
    <t>1723 S COLBY AVE</t>
  </si>
  <si>
    <t>1901 S HOLT AVE</t>
  </si>
  <si>
    <t>10756 W WILKINS AVE</t>
  </si>
  <si>
    <t>412 S ROBERTSON BLVD</t>
  </si>
  <si>
    <t>5753 S BRYNHURST AVE</t>
  </si>
  <si>
    <t>1436 W JEFFERSON BLVD</t>
  </si>
  <si>
    <t>2657 S BUDLONG AVE</t>
  </si>
  <si>
    <t>1614 S GRAMERCY PL</t>
  </si>
  <si>
    <t>851 S MANHATTAN PL</t>
  </si>
  <si>
    <t>4923 S CENTRAL AVE</t>
  </si>
  <si>
    <t>3951 S BROADWAY</t>
  </si>
  <si>
    <t>3000 S FIGUEROA ST</t>
  </si>
  <si>
    <t>2141 E CESAR E CHAVEZ AVE</t>
  </si>
  <si>
    <t>1340 N GLENDALE BLVD</t>
  </si>
  <si>
    <t>138 S MADISON AVE</t>
  </si>
  <si>
    <t>1246 N CHEROKEE AVE</t>
  </si>
  <si>
    <t>1740 N WILTON PL</t>
  </si>
  <si>
    <t>6820 S WESTERN AVE</t>
  </si>
  <si>
    <t>8860 S VERMONT AVE</t>
  </si>
  <si>
    <t>628 W 92ND ST</t>
  </si>
  <si>
    <t>9214 S BROADWAY</t>
  </si>
  <si>
    <t>644 W 8TH ST</t>
  </si>
  <si>
    <t>240 S. Hickory</t>
  </si>
  <si>
    <t>2500 MARIPOSA ST</t>
  </si>
  <si>
    <t>400 DIVISADERO ST</t>
  </si>
  <si>
    <t>0.42499999999999999</t>
  </si>
  <si>
    <t>842 CALIFORNIA ST</t>
  </si>
  <si>
    <t>405 N WESTLAKE AVE</t>
  </si>
  <si>
    <t>12188 N SAN FERNANDO ROAD</t>
  </si>
  <si>
    <t>1339 N TAMARIND AVE</t>
  </si>
  <si>
    <t>2211 S WESTERN AVE</t>
  </si>
  <si>
    <t>1454 W FLORENCE AVE</t>
  </si>
  <si>
    <t>1141 S CRENSHAW BLVD</t>
  </si>
  <si>
    <t>9701 N VESPER AVE</t>
  </si>
  <si>
    <t>6018 S BRYNHURST AVE</t>
  </si>
  <si>
    <t>12461 W LOUISE AVE</t>
  </si>
  <si>
    <t>1322 W MARYLAND ST</t>
  </si>
  <si>
    <t>121 N MATHEWS ST</t>
  </si>
  <si>
    <t>5326 N FIGUEROA ST</t>
  </si>
  <si>
    <t>14041 W SHERMAN WAY</t>
  </si>
  <si>
    <t>6408 N VAN NUYS BLVD 1-51</t>
  </si>
  <si>
    <t>14701 W DELANO ST 1-40</t>
  </si>
  <si>
    <t>14707 W BURBANK BLVD</t>
  </si>
  <si>
    <t>5435 N BALBOA BLVD</t>
  </si>
  <si>
    <t>11035 W AQUA VISTA ST 1-23</t>
  </si>
  <si>
    <t>6524 S BRYNHURST AVE</t>
  </si>
  <si>
    <t>12120 W WAGNER ST</t>
  </si>
  <si>
    <t>1540 S BEDFORD ST</t>
  </si>
  <si>
    <t>1250 W JEFFERSON BLVD</t>
  </si>
  <si>
    <t>3812 W ADAMS BLVD</t>
  </si>
  <si>
    <t>2654 S MAGNOLIA AVE</t>
  </si>
  <si>
    <t>2232 S LA BREA AVE</t>
  </si>
  <si>
    <t>2600 W SAN MARINO ST</t>
  </si>
  <si>
    <t>3655 W PICO BLVD</t>
  </si>
  <si>
    <t>5750 W SAN VICENTE BLVD 1-8</t>
  </si>
  <si>
    <t>708 S GRAMERCY DR</t>
  </si>
  <si>
    <t>1563 E 22ND ST</t>
  </si>
  <si>
    <t>1015 W 21ST ST</t>
  </si>
  <si>
    <t>643 E ADAMS BLVD</t>
  </si>
  <si>
    <t>425 N LAKE ST</t>
  </si>
  <si>
    <t>1431 N VISTA ST</t>
  </si>
  <si>
    <t>800 W 92ND ST</t>
  </si>
  <si>
    <t>8630 S WALL ST</t>
  </si>
  <si>
    <t>10711 S WESTERN AVE</t>
  </si>
  <si>
    <t>817 N AVALON BLVD</t>
  </si>
  <si>
    <t>5801 W CAMERFORD AVE</t>
  </si>
  <si>
    <t>3727 S SAN PEDRO ST 1-17</t>
  </si>
  <si>
    <t>7524 S HOOVER ST</t>
  </si>
  <si>
    <t>3.3900000000000001</t>
  </si>
  <si>
    <t>627 N JUANITA AVE 1-17</t>
  </si>
  <si>
    <t>7050 W HAWTHORN AVE</t>
  </si>
  <si>
    <t>11201 S MAIN ST 1-19</t>
  </si>
  <si>
    <t>1002 N ALFRED ST</t>
  </si>
  <si>
    <t>2722 S FIGUEROA ST 1-157</t>
  </si>
  <si>
    <t>1540 N WILCOX; 1544 N WILCOX; 1546 N WILCOX; 1548 N WILCOX; 1550 N WILCOX; 1552 N WILCOX; 6422 W SELMA</t>
  </si>
  <si>
    <t>4112 S DEL REY; 4120 S DEL REY; 4130 S DEL REY; 4132 S DEL REY; 4134 S DEL REY; 4136 S DEL REY</t>
  </si>
  <si>
    <t>2840 E WABASH AVE 1-52</t>
  </si>
  <si>
    <t>2900 S ORANGE DR 1-34</t>
  </si>
  <si>
    <t>300 W 73RD ST 1-45</t>
  </si>
  <si>
    <t>11039 W STRATHERN ST</t>
  </si>
  <si>
    <t>5511 N ETHEL AVE</t>
  </si>
  <si>
    <t>9.9900000000000002</t>
  </si>
  <si>
    <t>951 N LA CIENEGA BLVD</t>
  </si>
  <si>
    <t>1112 W MARTIN LUTHER KING, JR BLVD</t>
  </si>
  <si>
    <t>0.91000000000000003</t>
  </si>
  <si>
    <t>1604 W 11TH ST</t>
  </si>
  <si>
    <t>2.8799999999999999</t>
  </si>
  <si>
    <t>11301 S ATHENS WAY</t>
  </si>
  <si>
    <t>0.85999999999999999</t>
  </si>
  <si>
    <t>481-19-003</t>
  </si>
  <si>
    <t>1928 Alum Rock</t>
  </si>
  <si>
    <t>684-02-003</t>
  </si>
  <si>
    <t>4300 Monterey Rd Building 1</t>
  </si>
  <si>
    <t>261-02-062</t>
  </si>
  <si>
    <t>950 W. Julian St</t>
  </si>
  <si>
    <t>215 N TOLUCA ST</t>
  </si>
  <si>
    <t>07202701570000</t>
  </si>
  <si>
    <t>75 SCHOLAR WAY 1000</t>
  </si>
  <si>
    <t>141-261-29</t>
  </si>
  <si>
    <t>1316-1320 Grant Ave</t>
  </si>
  <si>
    <t>8.0899999999999999</t>
  </si>
  <si>
    <t>143-011-05 143-011-08</t>
  </si>
  <si>
    <t>7530 Redwood Blvd</t>
  </si>
  <si>
    <t>097-017-046</t>
  </si>
  <si>
    <t>210 Baypointe Pkwy</t>
  </si>
  <si>
    <t>4300 Monterey Rd Building 2</t>
  </si>
  <si>
    <t>078C-0438-015-03</t>
  </si>
  <si>
    <t>29505 Mission Blvd
Hayward, CA 94544</t>
  </si>
  <si>
    <t>1299 MARKET ST REDDING, CA 96001</t>
  </si>
  <si>
    <t>107-240-040</t>
  </si>
  <si>
    <t>1331 E FOSTER RD, SANTA MARIA, CA 93455</t>
  </si>
  <si>
    <t>2800 N ROKEBY ST 1-39</t>
  </si>
  <si>
    <t>812 N EDINBURGH AVE</t>
  </si>
  <si>
    <t>7311 S FIGUEROA ST</t>
  </si>
  <si>
    <t>3.5299999999999998</t>
  </si>
  <si>
    <t>12118 W PACIFIC; 12124 W PACIFIC; 12134 W PACIFIC</t>
  </si>
  <si>
    <t>0.71999999999999997</t>
  </si>
  <si>
    <t>141-380-045</t>
  </si>
  <si>
    <t>890 REFUGIO, BLDG# 1, SANTA YNEZ, CA 93460</t>
  </si>
  <si>
    <t>524 HOWARD ST</t>
  </si>
  <si>
    <t>5425 MISSION ST</t>
  </si>
  <si>
    <t>75 SCHOLAR WAY 2000</t>
  </si>
  <si>
    <t>2362603600, 2362603700, 2362603500, 2362603400</t>
  </si>
  <si>
    <t>1860 S Escondido Blvd</t>
  </si>
  <si>
    <t>730 Stanyan St</t>
  </si>
  <si>
    <t>1401 FOLSOM ST</t>
  </si>
  <si>
    <t>2100 - 2112 MISSION ST</t>
  </si>
  <si>
    <t>150 09TH ST</t>
  </si>
  <si>
    <t>4186 S WESTERN AVE 1-118</t>
  </si>
  <si>
    <t>061-040-048</t>
  </si>
  <si>
    <t>4540 S HOLLISTER AVE, SANTA BARBARA, CA 93110</t>
  </si>
  <si>
    <t>0.10299999999999999</t>
  </si>
  <si>
    <t>125-630-32</t>
  </si>
  <si>
    <t>842 Verandah Ct</t>
  </si>
  <si>
    <t>101 Landing Court</t>
  </si>
  <si>
    <t>2.9199999999999999</t>
  </si>
  <si>
    <t>141-262-12</t>
  </si>
  <si>
    <t>1212-1214 Grant Ave</t>
  </si>
  <si>
    <t>249-66-010</t>
  </si>
  <si>
    <t>1271 E Julian St</t>
  </si>
  <si>
    <t>284-03-016</t>
  </si>
  <si>
    <t>969 Meridian Ave</t>
  </si>
  <si>
    <t>125-630-26</t>
  </si>
  <si>
    <t>725 Verandah Ave</t>
  </si>
  <si>
    <t>277-19-023</t>
  </si>
  <si>
    <t>427 Page St</t>
  </si>
  <si>
    <t>097-52-027</t>
  </si>
  <si>
    <t>71 Vista Montana</t>
  </si>
  <si>
    <t>2884 Alum Rock Avenue Bulding 1</t>
  </si>
  <si>
    <t>467-14-090</t>
  </si>
  <si>
    <t>124 N. 15th Street</t>
  </si>
  <si>
    <t>0.033000000000000002</t>
  </si>
  <si>
    <t>472-25-098</t>
  </si>
  <si>
    <t>255 E Virginia St</t>
  </si>
  <si>
    <t>097-15-033</t>
  </si>
  <si>
    <t>0 Seely Ave</t>
  </si>
  <si>
    <t>078C-0626-003-09</t>
  </si>
  <si>
    <t>722 &amp; 728 Tennyson Rd
Hayward, CA 94544</t>
  </si>
  <si>
    <t>3170 W OLYMPIC BLVD</t>
  </si>
  <si>
    <t>10555 W BLOOMFIELD ST 1-57</t>
  </si>
  <si>
    <t>1568 W VERNON AVE</t>
  </si>
  <si>
    <t>5639 E HUNTINGTON DR NORTH 1-13</t>
  </si>
  <si>
    <t>124 S CROFT AVE 1-13</t>
  </si>
  <si>
    <t>1101 S BEDFORD DR UNIT 1-10</t>
  </si>
  <si>
    <t>1568 S ORANGE GROVE AVE 1-14</t>
  </si>
  <si>
    <t>330 N ROBINSON ST 1-20</t>
  </si>
  <si>
    <t>216-052-01</t>
  </si>
  <si>
    <t>1967 N. Vulcan Avenue</t>
  </si>
  <si>
    <t>254-612-12</t>
  </si>
  <si>
    <t>1150 Quail Gardens Drive</t>
  </si>
  <si>
    <t>1657 N WESTERN AVE 1-200</t>
  </si>
  <si>
    <t>5365 S CRENSHAW BLVD</t>
  </si>
  <si>
    <t>12342 W OSBORNE PL</t>
  </si>
  <si>
    <t>4301 S VERMONT AVE</t>
  </si>
  <si>
    <t>0.92000000000000004</t>
  </si>
  <si>
    <t>4345 S CRENSHAW BLVD</t>
  </si>
  <si>
    <t>1228 S NORMANDIE AVE</t>
  </si>
  <si>
    <t>5001 S BROADWAY</t>
  </si>
  <si>
    <t>008-311-07</t>
  </si>
  <si>
    <t>136 RIVER ST</t>
  </si>
  <si>
    <t>4221 E HUNTINGTON DR N</t>
  </si>
  <si>
    <t>0.92500000000000004</t>
  </si>
  <si>
    <t>061-070-002</t>
  </si>
  <si>
    <t>4555 HOLLISTER AVE, SANTA BARBARA 93110</t>
  </si>
  <si>
    <t>232 S DOHENY DR</t>
  </si>
  <si>
    <t>105 ROBERTSON BLVD N; 8811 WILSHIRE BLVD</t>
  </si>
  <si>
    <t>900 HIGH ST</t>
  </si>
  <si>
    <t>CARMEL</t>
  </si>
  <si>
    <t>010-138-003</t>
  </si>
  <si>
    <t>Dolores Street 2 SW of 5th Avenue</t>
  </si>
  <si>
    <t>AGOURA HILLS</t>
  </si>
  <si>
    <t>2061-006-044</t>
  </si>
  <si>
    <t>29045 Agoura Road</t>
  </si>
  <si>
    <t>730 S VERMONT AVE</t>
  </si>
  <si>
    <t>539 N HOBART BLVD</t>
  </si>
  <si>
    <t>6406 S HOOVER ST 1-16</t>
  </si>
  <si>
    <t>5975 S CRENSHAW BLVD</t>
  </si>
  <si>
    <t>0.96999999999999997</t>
  </si>
  <si>
    <t>3.0699999999999998</t>
  </si>
  <si>
    <t>5516 S CENTRAL AVE</t>
  </si>
  <si>
    <t>3452 W SLAUSON AVE</t>
  </si>
  <si>
    <t>3676 S KELTON AVE</t>
  </si>
  <si>
    <t>2.0099999999999998</t>
  </si>
  <si>
    <t>4186 S WESTERN AVE</t>
  </si>
  <si>
    <t>1627 S OAK ST</t>
  </si>
  <si>
    <t>427 E 7TH ST</t>
  </si>
  <si>
    <t>4.8300000000000001</t>
  </si>
  <si>
    <t>5530 W VIRGINIA AVE</t>
  </si>
  <si>
    <t>227 TOWER DRIVE</t>
  </si>
  <si>
    <t>031935102</t>
  </si>
  <si>
    <t>12301 3RD ST
CA</t>
  </si>
  <si>
    <t>006-203-25</t>
  </si>
  <si>
    <t>1130 MISSION ST</t>
  </si>
  <si>
    <t>1528 1/2 E VERNON AVE</t>
  </si>
  <si>
    <t>8301 S HOOVER ST</t>
  </si>
  <si>
    <t>8111 S WESTERN AVE</t>
  </si>
  <si>
    <t>1735 N HUDSON; 1743 N HUDSON; 1747 N HUDSON; 1749 N HUDSON</t>
  </si>
  <si>
    <t>12805 W VENTURA; 12805 W VENTURA; 12815 W VENTURA; 12825 W VENTURA; 12833 W VENTURA; 12835 W VENTURA; 4218 N COLDWATER CANYON; 4220 N COLDWATER CANYON</t>
  </si>
  <si>
    <t>10211 N WILSEY; 10213 N WILSEY; 10217 N WILSEY; 10222 N PLAINVIEW; 10224 N PLAINVIEW; 10226 N PLAINVIEW; 10230 N PLAINVIEW; 7569 W FOOTHILL; 7573 W FOOTHILL; 7575 W FOOTHILL; 7577 W FOOTHILL; 7579 W FOOTHILL; 7581 W FOOTHILL; 7583 W FOOTHILL</t>
  </si>
  <si>
    <t>412 NORTH OAKHURST DRIVE</t>
  </si>
  <si>
    <t>0.88749999999999996</t>
  </si>
  <si>
    <t>332 DOHENY DR S</t>
  </si>
  <si>
    <t>0.16600000000000001</t>
  </si>
  <si>
    <t>007270007000</t>
  </si>
  <si>
    <t>682  Northstar  DR Unit: Bldg 2
Hanford, CA 93230</t>
  </si>
  <si>
    <t>005-152-31</t>
  </si>
  <si>
    <t>902-920 PACIFIC AVE</t>
  </si>
  <si>
    <t>1.0600000000000001</t>
  </si>
  <si>
    <t>1305 N SYCAMORE AVE</t>
  </si>
  <si>
    <t>7408 S FIGUEROA ST</t>
  </si>
  <si>
    <t>4.4100000000000001</t>
  </si>
  <si>
    <t>14535 W WEDDINGTON</t>
  </si>
  <si>
    <t>5814 W LEXINGTON; 5814 W LEXINGTON; 5816 W LEXINGTON; 5822 W LEXINGTON</t>
  </si>
  <si>
    <t>1848 S GRAMERCY</t>
  </si>
  <si>
    <t>12740 W ZANJA; 12750 W ZANJA; 3984 S MEIER; 3988 S MEIER</t>
  </si>
  <si>
    <t>003-351-37</t>
  </si>
  <si>
    <t>400 INGALLS ALLEY</t>
  </si>
  <si>
    <t>56 WELSH ST</t>
  </si>
  <si>
    <t>785 MARKET ST</t>
  </si>
  <si>
    <t>1.3700000000000001</t>
  </si>
  <si>
    <t>141-201-48</t>
  </si>
  <si>
    <t>1787 Grant Ave</t>
  </si>
  <si>
    <t>279-25-014</t>
  </si>
  <si>
    <t>1390 S Winchester Blvd</t>
  </si>
  <si>
    <t>249-66-051</t>
  </si>
  <si>
    <t>1319 Tripp Avenue</t>
  </si>
  <si>
    <t>296-40-009</t>
  </si>
  <si>
    <t>4300 Stevens Creek Blvd</t>
  </si>
  <si>
    <t>2051 MARKET ST</t>
  </si>
  <si>
    <t>0.047100000000000003</t>
  </si>
  <si>
    <t>1526 POWELL ST</t>
  </si>
  <si>
    <t>5174 BLOSSOM CIR</t>
  </si>
  <si>
    <t>143-040-139</t>
  </si>
  <si>
    <t>591 Carlson Avenue</t>
  </si>
  <si>
    <t>30 SUFFOLK AVE</t>
  </si>
  <si>
    <t>664  Northstar DR Unit: Bldg 1
Hanford , CA 93230</t>
  </si>
  <si>
    <t>004-709-028</t>
  </si>
  <si>
    <t>3802 Ranchhouse Rd
San Luis Obispo, CA 93401</t>
  </si>
  <si>
    <t>277-21-049</t>
  </si>
  <si>
    <t>426 Page St</t>
  </si>
  <si>
    <t>690-25-021</t>
  </si>
  <si>
    <t>397 Blossom Hill Road</t>
  </si>
  <si>
    <t>259-20-066</t>
  </si>
  <si>
    <t>457 N 1st St</t>
  </si>
  <si>
    <t>2595 Depot Rd
Hayward, CA 94545</t>
  </si>
  <si>
    <t>115-0180-013</t>
  </si>
  <si>
    <t>8484 Elk Grove Florin Road</t>
  </si>
  <si>
    <t>CRESCENT CITY</t>
  </si>
  <si>
    <t>118-440-023</t>
  </si>
  <si>
    <t>1000-3000 David Street</t>
  </si>
  <si>
    <t>1800 E. La Veta Ave.</t>
  </si>
  <si>
    <t>RANCHO CORDOVA</t>
  </si>
  <si>
    <t>3390 Zinfandel Drive</t>
  </si>
  <si>
    <t>538-181-035-6</t>
  </si>
  <si>
    <t>100 Macdonald Ave</t>
  </si>
  <si>
    <t>031919119, 031919127, 031919128, 031919129, 031919134</t>
  </si>
  <si>
    <t>34567 Wildwood Canyon Rd</t>
  </si>
  <si>
    <t>020-121-360</t>
  </si>
  <si>
    <t>111 SAN BRUNO AVE</t>
  </si>
  <si>
    <t>250 CRESCENT DR N</t>
  </si>
  <si>
    <t>514-050-010-8</t>
  </si>
  <si>
    <t>NEVIN AVE</t>
  </si>
  <si>
    <t>1243-1329 FRED JACKSON WAY</t>
  </si>
  <si>
    <t>(All)</t>
  </si>
  <si>
    <t>Column Labels</t>
  </si>
  <si>
    <t>Grand Total</t>
  </si>
  <si>
    <t>Values</t>
  </si>
  <si>
    <t>Sum of VLOW_INCOME_DR</t>
  </si>
  <si>
    <t>Sum of LOW_INCOME_DR</t>
  </si>
  <si>
    <t>Sum of MOD_INCOME_DR</t>
  </si>
  <si>
    <t>For-Sale %</t>
  </si>
  <si>
    <t>Sum of VLOW_INCOME_NDR</t>
  </si>
  <si>
    <t>Sum of LOW_INCOME_NDR</t>
  </si>
  <si>
    <t>Sum of MOD_INCOME_NDR</t>
  </si>
  <si>
    <t>Sum of BP_VLOW_INCOME_DR</t>
  </si>
  <si>
    <t>Sum of BP_LOW_INCOME_DR</t>
  </si>
  <si>
    <t>Sum of BP_MOD_INCOME_DR</t>
  </si>
  <si>
    <t>% For-Sale</t>
  </si>
  <si>
    <t>Sum of BP_VLOW_INCOME_NDR</t>
  </si>
  <si>
    <t>Sum of BP_LOW_INCOME_NDR</t>
  </si>
  <si>
    <t>Sum of BP_MOD_INCOME_NDR</t>
  </si>
  <si>
    <t>% For Sale</t>
  </si>
  <si>
    <t>Sum of CO_VLOW_INCOME_DR</t>
  </si>
  <si>
    <t>Sum of CO_LOW_INCOME_DR</t>
  </si>
  <si>
    <t>Sum of CO_MOD_INCOME_DR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</si>
</sst>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14" fontId="0" fillId="0" borderId="0" xfId="0" applyNumberFormat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64" fontId="0" fillId="0" borderId="0" xfId="42" applyNumberFormat="1" applyFont="1"/>
    <xf numFmtId="0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[tablea2_filtered-tables.xlsm]Entitled - Deed Restricted!PivotTable4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'Entitled - Deed Restricted'!$B$5:$B$6</c:f>
              <c:strCache>
                <c:ptCount val="1"/>
                <c:pt idx="0">
                  <c:v>Owner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'Entitled - Deed Restricted'!$A$7:$A$9</c:f>
              <c:strCache>
                <c:ptCount val="3"/>
                <c:pt idx="0">
                  <c:v>Sum of VLOW_INCOME_DR</c:v>
                </c:pt>
                <c:pt idx="1">
                  <c:v>Sum of LOW_INCOME_DR</c:v>
                </c:pt>
                <c:pt idx="2">
                  <c:v>Sum of MOD_INCOME_DR</c:v>
                </c:pt>
              </c:strCache>
            </c:strRef>
          </c:cat>
          <c:val>
            <c:numRef>
              <c:f>'Entitled - Deed Restricted'!$B$7:$B$9</c:f>
              <c:numCache>
                <c:formatCode>General</c:formatCode>
                <c:ptCount val="3"/>
                <c:pt idx="0">
                  <c:v>87</c:v>
                </c:pt>
                <c:pt idx="1">
                  <c:v>462</c:v>
                </c:pt>
                <c:pt idx="2">
                  <c:v>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A8-9A4E-9A64-64BDCE6491EF}"/>
            </c:ext>
          </c:extLst>
        </c:ser>
        <c:ser>
          <c:idx val="1"/>
          <c:order val="1"/>
          <c:tx>
            <c:strRef>
              <c:f>'Entitled - Deed Restricted'!$C$5:$C$6</c:f>
              <c:strCache>
                <c:ptCount val="1"/>
                <c:pt idx="0">
                  <c:v>Renter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'Entitled - Deed Restricted'!$A$7:$A$9</c:f>
              <c:strCache>
                <c:ptCount val="3"/>
                <c:pt idx="0">
                  <c:v>Sum of VLOW_INCOME_DR</c:v>
                </c:pt>
                <c:pt idx="1">
                  <c:v>Sum of LOW_INCOME_DR</c:v>
                </c:pt>
                <c:pt idx="2">
                  <c:v>Sum of MOD_INCOME_DR</c:v>
                </c:pt>
              </c:strCache>
            </c:strRef>
          </c:cat>
          <c:val>
            <c:numRef>
              <c:f>'Entitled - Deed Restricted'!$C$7:$C$9</c:f>
              <c:numCache>
                <c:formatCode>General</c:formatCode>
                <c:ptCount val="3"/>
                <c:pt idx="0">
                  <c:v>5152</c:v>
                </c:pt>
                <c:pt idx="1">
                  <c:v>5753</c:v>
                </c:pt>
                <c:pt idx="2">
                  <c:v>2928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59-7649-BE0B-0EB4E36E2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8568592"/>
        <c:axId val="558084048"/>
      </c:barChart>
      <c:catAx>
        <c:axId val="55856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084048"/>
        <c:crosses val="autoZero"/>
        <c:auto val="1"/>
        <c:lblAlgn val="ctr"/>
        <c:lblOffset val="100"/>
        <c:noMultiLvlLbl val="0"/>
      </c:catAx>
      <c:valAx>
        <c:axId val="55808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6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[tablea2_filtered-tables.xlsm]Sheet5!PivotTable4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Sheet5!$B$4:$B$5</c:f>
              <c:strCache>
                <c:ptCount val="1"/>
                <c:pt idx="0">
                  <c:v>DB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Sheet5!$A$6:$A$8</c:f>
              <c:strCache>
                <c:ptCount val="3"/>
                <c:pt idx="0">
                  <c:v>Sum of CO_VLOW_INCOME_DR</c:v>
                </c:pt>
                <c:pt idx="1">
                  <c:v>Sum of CO_LOW_INCOME_DR</c:v>
                </c:pt>
                <c:pt idx="2">
                  <c:v>Sum of CO_MOD_INCOME_DR</c:v>
                </c:pt>
              </c:strCache>
            </c:strRef>
          </c:cat>
          <c:val>
            <c:numRef>
              <c:f>Sheet5!$B$6:$B$8</c:f>
              <c:numCache>
                <c:formatCode>General</c:formatCode>
                <c:ptCount val="3"/>
                <c:pt idx="0">
                  <c:v>8302</c:v>
                </c:pt>
                <c:pt idx="1">
                  <c:v>7632</c:v>
                </c:pt>
                <c:pt idx="2">
                  <c:v>1337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C4-6A42-896E-7EDB274E4514}"/>
            </c:ext>
          </c:extLst>
        </c:ser>
        <c:ser>
          <c:idx val="1"/>
          <c:order val="1"/>
          <c:tx>
            <c:strRef>
              <c:f>Sheet5!$C$4:$C$5</c:f>
              <c:strCache>
                <c:ptCount val="1"/>
                <c:pt idx="0">
                  <c:v>INC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Sheet5!$A$6:$A$8</c:f>
              <c:strCache>
                <c:ptCount val="3"/>
                <c:pt idx="0">
                  <c:v>Sum of CO_VLOW_INCOME_DR</c:v>
                </c:pt>
                <c:pt idx="1">
                  <c:v>Sum of CO_LOW_INCOME_DR</c:v>
                </c:pt>
                <c:pt idx="2">
                  <c:v>Sum of CO_MOD_INCOME_DR</c:v>
                </c:pt>
              </c:strCache>
            </c:strRef>
          </c:cat>
          <c:val>
            <c:numRef>
              <c:f>Sheet5!$C$6:$C$8</c:f>
              <c:numCache>
                <c:formatCode>General</c:formatCode>
                <c:ptCount val="3"/>
                <c:pt idx="0">
                  <c:v>3883</c:v>
                </c:pt>
                <c:pt idx="1">
                  <c:v>5300</c:v>
                </c:pt>
                <c:pt idx="2">
                  <c:v>1752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C4-6A42-896E-7EDB274E4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5648719"/>
        <c:axId val="695650431"/>
      </c:barChart>
      <c:catAx>
        <c:axId val="69564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650431"/>
        <c:crosses val="autoZero"/>
        <c:auto val="1"/>
        <c:lblAlgn val="ctr"/>
        <c:lblOffset val="100"/>
        <c:noMultiLvlLbl val="0"/>
      </c:catAx>
      <c:valAx>
        <c:axId val="69565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648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[tablea2_filtered-tables.xlsm]Entitled - NDR!PivotTable1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'Entitled - NDR'!$B$5:$B$6</c:f>
              <c:strCache>
                <c:ptCount val="1"/>
                <c:pt idx="0">
                  <c:v>Owner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'Entitled - NDR'!$A$7:$A$9</c:f>
              <c:strCache>
                <c:ptCount val="3"/>
                <c:pt idx="0">
                  <c:v>Sum of VLOW_INCOME_NDR</c:v>
                </c:pt>
                <c:pt idx="1">
                  <c:v>Sum of LOW_INCOME_NDR</c:v>
                </c:pt>
                <c:pt idx="2">
                  <c:v>Sum of MOD_INCOME_NDR</c:v>
                </c:pt>
              </c:strCache>
            </c:strRef>
          </c:cat>
          <c:val>
            <c:numRef>
              <c:f>'Entitled - NDR'!$B$7:$B$9</c:f>
              <c:numCache>
                <c:formatCode>General</c:formatCode>
                <c:ptCount val="3"/>
                <c:pt idx="0">
                  <c:v>8</c:v>
                </c:pt>
                <c:pt idx="1">
                  <c:v>11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6-9B4D-B1E8-AFE17AD50389}"/>
            </c:ext>
          </c:extLst>
        </c:ser>
        <c:ser>
          <c:idx val="1"/>
          <c:order val="1"/>
          <c:tx>
            <c:strRef>
              <c:f>'Entitled - NDR'!$C$5:$C$6</c:f>
              <c:strCache>
                <c:ptCount val="1"/>
                <c:pt idx="0">
                  <c:v>Renter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'Entitled - NDR'!$A$7:$A$9</c:f>
              <c:strCache>
                <c:ptCount val="3"/>
                <c:pt idx="0">
                  <c:v>Sum of VLOW_INCOME_NDR</c:v>
                </c:pt>
                <c:pt idx="1">
                  <c:v>Sum of LOW_INCOME_NDR</c:v>
                </c:pt>
                <c:pt idx="2">
                  <c:v>Sum of MOD_INCOME_NDR</c:v>
                </c:pt>
              </c:strCache>
            </c:strRef>
          </c:cat>
          <c:val>
            <c:numRef>
              <c:f>'Entitled - NDR'!$C$7:$C$9</c:f>
              <c:numCache>
                <c:formatCode>General</c:formatCode>
                <c:ptCount val="3"/>
                <c:pt idx="0">
                  <c:v>613</c:v>
                </c:pt>
                <c:pt idx="1">
                  <c:v>1355</c:v>
                </c:pt>
                <c:pt idx="2">
                  <c:v>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76-9B4D-B1E8-AFE17AD50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5519280"/>
        <c:axId val="696685247"/>
      </c:barChart>
      <c:catAx>
        <c:axId val="188551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685247"/>
        <c:crosses val="autoZero"/>
        <c:auto val="1"/>
        <c:lblAlgn val="ctr"/>
        <c:lblOffset val="100"/>
        <c:noMultiLvlLbl val="0"/>
      </c:catAx>
      <c:valAx>
        <c:axId val="696685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51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[tablea2_filtered-tables.xlsm]BP - DR!PivotTable2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'BP - DR'!$B$5:$B$6</c:f>
              <c:strCache>
                <c:ptCount val="1"/>
                <c:pt idx="0">
                  <c:v>Owner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'BP - DR'!$A$7:$A$9</c:f>
              <c:strCache>
                <c:ptCount val="3"/>
                <c:pt idx="0">
                  <c:v>Sum of BP_VLOW_INCOME_DR</c:v>
                </c:pt>
                <c:pt idx="1">
                  <c:v>Sum of BP_LOW_INCOME_DR</c:v>
                </c:pt>
                <c:pt idx="2">
                  <c:v>Sum of BP_MOD_INCOME_DR</c:v>
                </c:pt>
              </c:strCache>
            </c:strRef>
          </c:cat>
          <c:val>
            <c:numRef>
              <c:f>'BP - DR'!$B$7:$B$9</c:f>
              <c:numCache>
                <c:formatCode>General</c:formatCode>
                <c:ptCount val="3"/>
                <c:pt idx="0">
                  <c:v>265</c:v>
                </c:pt>
                <c:pt idx="1">
                  <c:v>173</c:v>
                </c:pt>
                <c:pt idx="2">
                  <c:v>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C-E945-939D-259B9BF809F4}"/>
            </c:ext>
          </c:extLst>
        </c:ser>
        <c:ser>
          <c:idx val="1"/>
          <c:order val="1"/>
          <c:tx>
            <c:strRef>
              <c:f>'BP - DR'!$C$5:$C$6</c:f>
              <c:strCache>
                <c:ptCount val="1"/>
                <c:pt idx="0">
                  <c:v>Renter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'BP - DR'!$A$7:$A$9</c:f>
              <c:strCache>
                <c:ptCount val="3"/>
                <c:pt idx="0">
                  <c:v>Sum of BP_VLOW_INCOME_DR</c:v>
                </c:pt>
                <c:pt idx="1">
                  <c:v>Sum of BP_LOW_INCOME_DR</c:v>
                </c:pt>
                <c:pt idx="2">
                  <c:v>Sum of BP_MOD_INCOME_DR</c:v>
                </c:pt>
              </c:strCache>
            </c:strRef>
          </c:cat>
          <c:val>
            <c:numRef>
              <c:f>'BP - DR'!$C$7:$C$9</c:f>
              <c:numCache>
                <c:formatCode>General</c:formatCode>
                <c:ptCount val="3"/>
                <c:pt idx="0">
                  <c:v>20678</c:v>
                </c:pt>
                <c:pt idx="1">
                  <c:v>20935</c:v>
                </c:pt>
                <c:pt idx="2">
                  <c:v>2997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C-E945-939D-259B9BF80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4762256"/>
        <c:axId val="684763968"/>
      </c:barChart>
      <c:catAx>
        <c:axId val="68476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763968"/>
        <c:crosses val="autoZero"/>
        <c:auto val="1"/>
        <c:lblAlgn val="ctr"/>
        <c:lblOffset val="100"/>
        <c:noMultiLvlLbl val="0"/>
      </c:catAx>
      <c:valAx>
        <c:axId val="68476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76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[tablea2_filtered-tables.xlsm]BP - NDR!PivotTable3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'BP - NDR'!$B$5:$B$6</c:f>
              <c:strCache>
                <c:ptCount val="1"/>
                <c:pt idx="0">
                  <c:v>Owner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'BP - NDR'!$A$7:$A$9</c:f>
              <c:strCache>
                <c:ptCount val="3"/>
                <c:pt idx="0">
                  <c:v>Sum of BP_VLOW_INCOME_NDR</c:v>
                </c:pt>
                <c:pt idx="1">
                  <c:v>Sum of BP_LOW_INCOME_NDR</c:v>
                </c:pt>
                <c:pt idx="2">
                  <c:v>Sum of BP_MOD_INCOME_NDR</c:v>
                </c:pt>
              </c:strCache>
            </c:strRef>
          </c:cat>
          <c:val>
            <c:numRef>
              <c:f>'BP - NDR'!$B$7:$B$9</c:f>
              <c:numCache>
                <c:formatCode>General</c:formatCode>
                <c:ptCount val="3"/>
                <c:pt idx="0">
                  <c:v>0</c:v>
                </c:pt>
                <c:pt idx="1">
                  <c:v>8</c:v>
                </c:pt>
                <c:pt idx="2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06-A74E-AA83-30ABBCDAA7C2}"/>
            </c:ext>
          </c:extLst>
        </c:ser>
        <c:ser>
          <c:idx val="1"/>
          <c:order val="1"/>
          <c:tx>
            <c:strRef>
              <c:f>'BP - NDR'!$C$5:$C$6</c:f>
              <c:strCache>
                <c:ptCount val="1"/>
                <c:pt idx="0">
                  <c:v>Renter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'BP - NDR'!$A$7:$A$9</c:f>
              <c:strCache>
                <c:ptCount val="3"/>
                <c:pt idx="0">
                  <c:v>Sum of BP_VLOW_INCOME_NDR</c:v>
                </c:pt>
                <c:pt idx="1">
                  <c:v>Sum of BP_LOW_INCOME_NDR</c:v>
                </c:pt>
                <c:pt idx="2">
                  <c:v>Sum of BP_MOD_INCOME_NDR</c:v>
                </c:pt>
              </c:strCache>
            </c:strRef>
          </c:cat>
          <c:val>
            <c:numRef>
              <c:f>'BP - NDR'!$C$7:$C$9</c:f>
              <c:numCache>
                <c:formatCode>General</c:formatCode>
                <c:ptCount val="3"/>
                <c:pt idx="0">
                  <c:v>492</c:v>
                </c:pt>
                <c:pt idx="1">
                  <c:v>528</c:v>
                </c:pt>
                <c:pt idx="2">
                  <c:v>1535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06-A74E-AA83-30ABBCDAA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879840"/>
        <c:axId val="358881552"/>
      </c:barChart>
      <c:catAx>
        <c:axId val="35887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881552"/>
        <c:crosses val="autoZero"/>
        <c:auto val="1"/>
        <c:lblAlgn val="ctr"/>
        <c:lblOffset val="100"/>
        <c:noMultiLvlLbl val="0"/>
      </c:catAx>
      <c:valAx>
        <c:axId val="35888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87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10</xdr:row>
      <xdr:rowOff>88900</xdr:rowOff>
    </xdr:from>
    <xdr:to>
      <xdr:col>7</xdr:col>
      <xdr:colOff>88900</xdr:colOff>
      <xdr:row>27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A1D492-4662-34A8-E137-991C8A2DF9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165100</xdr:colOff>
      <xdr:row>8</xdr:row>
      <xdr:rowOff>158750</xdr:rowOff>
    </xdr:from>
    <xdr:to>
      <xdr:col>5</xdr:col>
      <xdr:colOff>1549400</xdr:colOff>
      <xdr:row>30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4F3993-8468-01FA-9557-146016A174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133350</xdr:rowOff>
    </xdr:from>
    <xdr:to>
      <xdr:col>5</xdr:col>
      <xdr:colOff>406400</xdr:colOff>
      <xdr:row>33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242462-4C24-B17A-1918-B4DD3F027F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12</xdr:row>
      <xdr:rowOff>19050</xdr:rowOff>
    </xdr:from>
    <xdr:to>
      <xdr:col>4</xdr:col>
      <xdr:colOff>812800</xdr:colOff>
      <xdr:row>29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F6F71-C7B5-8348-FC3B-B681F9B457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14</xdr:row>
      <xdr:rowOff>95250</xdr:rowOff>
    </xdr:from>
    <xdr:to>
      <xdr:col>4</xdr:col>
      <xdr:colOff>203200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AFEABC-7A97-A8B4-6357-047B14508D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6044.681940972223" createdVersion="8" refreshedVersion="8" minRefreshableVersion="3" recordCount="5414" xr:uid="{1D9DAC04-AF34-2D44-8323-99E928767853}">
  <cacheSource type="worksheet">
    <worksheetSource ref="A1:AA5415" sheet="tablea2_filtered"/>
  </cacheSource>
  <cacheFields count="27">
    <cacheField name="JURIS_NAME" numFmtId="0">
      <sharedItems count="285">
        <s v="LONG BEACH"/>
        <s v="SACRAMENTO COUNTY"/>
        <s v="GLENDALE"/>
        <s v="WEST HOLLYWOOD"/>
        <s v="SAN LUIS OBISPO"/>
        <s v="MORENO VALLEY"/>
        <s v="VENTURA"/>
        <s v="REEDLEY"/>
        <s v="SAN DIEGO"/>
        <s v="MONTEBELLO"/>
        <s v="SANTA CLARA"/>
        <s v="SIERRA MADRE"/>
        <s v="REDDING"/>
        <s v="LA MESA"/>
        <s v="LAGUNA NIGUEL"/>
        <s v="OAKLAND"/>
        <s v="TWENTYNINE PALMS"/>
        <s v="SANTA ANA"/>
        <s v="LAFAYETTE"/>
        <s v="MODESTO"/>
        <s v="PORTERVILLE"/>
        <s v="CHICO"/>
        <s v="EL MONTE"/>
        <s v="TRUCKEE"/>
        <s v="BURBANK"/>
        <s v="MILPITAS"/>
        <s v="MOUNTAIN VIEW"/>
        <s v="PLEASANTON"/>
        <s v="MILLBRAE"/>
        <s v="CUDAHY"/>
        <s v="PALMDALE"/>
        <s v="SUNNYVALE"/>
        <s v="SANTA MONICA"/>
        <s v="BURLINGAME"/>
        <s v="CAPITOLA"/>
        <s v="CARLSBAD"/>
        <s v="NEWARK"/>
        <s v="WINDSOR"/>
        <s v="SANTA CRUZ"/>
        <s v="TUSTIN"/>
        <s v="LIVERMORE"/>
        <s v="SALINAS"/>
        <s v="SONOMA"/>
        <s v="PALM SPRINGS"/>
        <s v="SAN JOSE"/>
        <s v="CONTRA COSTA COUNTY"/>
        <s v="LOS ALTOS"/>
        <s v="ROCKLIN"/>
        <s v="YUCAIPA"/>
        <s v="SANTA MARIA"/>
        <s v="ROSEMEAD"/>
        <s v="MORRO BAY"/>
        <s v="FOLSOM"/>
        <s v="MERCED"/>
        <s v="MENLO PARK"/>
        <s v="MARIN COUNTY"/>
        <s v="ALAMEDA"/>
        <s v="LOS ANGELES"/>
        <s v="FULLERTON"/>
        <s v="UNION CITY"/>
        <s v="SAN RAFAEL"/>
        <s v="PACIFICA"/>
        <s v="SAN FRANCISCO"/>
        <s v="DALY CITY"/>
        <s v="ROSEVILLE"/>
        <s v="LANCASTER"/>
        <s v="INGLEWOOD"/>
        <s v="CORNING"/>
        <s v="ARROYO GRANDE"/>
        <s v="SAN LUIS OBISPO COUNTY"/>
        <s v="DUBLIN"/>
        <s v="CULVER CITY"/>
        <s v="CHULA VISTA"/>
        <s v="SAN CLEMENTE"/>
        <s v="ORANGE"/>
        <s v="SOUTH SAN FRANCISCO"/>
        <s v="FAIRFIELD"/>
        <s v="HANFORD"/>
        <s v="CAMPBELL"/>
        <s v="SAN MATEO"/>
        <s v="PINOLE"/>
        <s v="EAST PALO ALTO"/>
        <s v="SANTA CRUZ COUNTY"/>
        <s v="ATASCADERO"/>
        <s v="LAKEPORT"/>
        <s v="SAN RAMON"/>
        <s v="GARDENA"/>
        <s v="AMERICAN CANYON"/>
        <s v="NORWALK"/>
        <s v="PLEASANT HILL"/>
        <s v="BAKERSFIELD"/>
        <s v="VISTA"/>
        <s v="SACRAMENTO"/>
        <s v="CITRUS HEIGHTS"/>
        <s v="ELK GROVE"/>
        <s v="MORGAN HILL"/>
        <s v="FRESNO"/>
        <s v="ESCONDIDO"/>
        <s v="PASO ROBLES"/>
        <s v="MONTEREY"/>
        <s v="SANTEE"/>
        <s v="PORT HUENEME"/>
        <s v="PALO ALTO"/>
        <s v="SAN JUAN CAPISTRANO"/>
        <s v="GILROY"/>
        <s v="SAN BRUNO"/>
        <s v="THOUSAND OAKS"/>
        <s v="ANAHEIM"/>
        <s v="COTATI"/>
        <s v="RICHMOND"/>
        <s v="PALM DESERT"/>
        <s v="RIVERSIDE"/>
        <s v="SANTA ROSA"/>
        <s v="ANTIOCH"/>
        <s v="LOS GATOS"/>
        <s v="COLUSA"/>
        <s v="SAN MARCOS"/>
        <s v="SAINT HELENA"/>
        <s v="COALINGA"/>
        <s v="EMERYVILLE"/>
        <s v="IRVINE"/>
        <s v="LEMON GROVE"/>
        <s v="HAWTHORNE"/>
        <s v="CUPERTINO"/>
        <s v="SANTA BARBARA"/>
        <s v="POMONA"/>
        <s v="BELL GARDENS"/>
        <s v="OXNARD"/>
        <s v="ALAMEDA COUNTY"/>
        <s v="MANHATTAN BEACH"/>
        <s v="MONROVIA"/>
        <s v="BERKELEY"/>
        <s v="ORANGE COUNTY"/>
        <s v="LOS ANGELES COUNTY"/>
        <s v="VENTURA COUNTY"/>
        <s v="CAMARILLO"/>
        <s v="CLOVIS"/>
        <s v="VISALIA"/>
        <s v="FIREBAUGH"/>
        <s v="SONOMA COUNTY"/>
        <s v="WOODLAND"/>
        <s v="MISSION VIEJO"/>
        <s v="EL CAJON"/>
        <s v="OCEANSIDE"/>
        <s v="MARTINEZ"/>
        <s v="SOUTH PASADENA"/>
        <s v="FORT BRAGG"/>
        <s v="WATSONVILLE"/>
        <s v="SANTA FE SPRINGS"/>
        <s v="FREMONT"/>
        <s v="MILL VALLEY"/>
        <s v="PETALUMA"/>
        <s v="NOVATO"/>
        <s v="CONCORD"/>
        <s v="REDWOOD CITY"/>
        <s v="DANVILLE"/>
        <s v="CLEARLAKE"/>
        <s v="NEWPORT BEACH"/>
        <s v="SANTA PAULA"/>
        <s v="PASADENA"/>
        <s v="CLAREMONT"/>
        <s v="CALISTOGA"/>
        <s v="SAN LEANDRO"/>
        <s v="HUMBOLDT COUNTY"/>
        <s v="ROHNERT PARK"/>
        <s v="LAGUNA BEACH"/>
        <s v="DAVIS"/>
        <s v="BUELLTON"/>
        <s v="YUBA COUNTY"/>
        <s v="NAPA"/>
        <s v="SEBASTOPOL"/>
        <s v="IMPERIAL BEACH"/>
        <s v="BUENA PARK"/>
        <s v="EUREKA"/>
        <s v="CYPRESS"/>
        <s v="WALNUT CREEK"/>
        <s v="ALBANY"/>
        <s v="LODI"/>
        <s v="DEL NORTE COUNTY"/>
        <s v="PORTOLA VALLEY"/>
        <s v="SAN CARLOS"/>
        <s v="FOSTER CITY"/>
        <s v="SARATOGA"/>
        <s v="CALEXICO"/>
        <s v="WESTMINSTER"/>
        <s v="MONTEREY COUNTY"/>
        <s v="HAYWARD"/>
        <s v="ALHAMBRA"/>
        <s v="GROVER BEACH"/>
        <s v="HUNTINGTON BEACH"/>
        <s v="SIMI VALLEY"/>
        <s v="SAN PABLO"/>
        <s v="SOUTH EL MONTE"/>
        <s v="BALDWIN PARK"/>
        <s v="EL CERRITO"/>
        <s v="CATHEDRAL"/>
        <s v="DEL MAR"/>
        <s v="POWAY"/>
        <s v="CALABASAS"/>
        <s v="HEALDSBURG"/>
        <s v="LAKE COUNTY"/>
        <s v="ENCINITAS"/>
        <s v="NATIONAL CITY"/>
        <s v="OAKLEY"/>
        <s v="TULARE"/>
        <s v="TEMECULA"/>
        <s v="BREA"/>
        <s v="WEST SACRAMENTO"/>
        <s v="ARCATA"/>
        <s v="HOLLISTER"/>
        <s v="BRISBANE"/>
        <s v="GARDEN GROVE"/>
        <s v="GOLETA"/>
        <s v="SHASTA LAKE"/>
        <s v="VACAVILLE"/>
        <s v="BELMONT"/>
        <s v="YORBA LINDA"/>
        <s v="CLOVERDALE"/>
        <s v="RIDGECREST"/>
        <s v="LA QUINTA"/>
        <s v="AVENAL"/>
        <s v="LA VERNE"/>
        <s v="FILLMORE"/>
        <s v="WILDOMAR"/>
        <s v="LA HABRA"/>
        <s v="SCOTTS VALLEY"/>
        <s v="TORRANCE"/>
        <s v="OROVILLE"/>
        <s v="VALLEJO"/>
        <s v="LEMOORE"/>
        <s v="ARCADIA"/>
        <s v="CHINO"/>
        <s v="SAN GABRIEL"/>
        <s v="BEVERLY HILLS"/>
        <s v="LINCOLN"/>
        <s v="SAN DIEGO COUNTY"/>
        <s v="LOMITA"/>
        <s v="UKIAH"/>
        <s v="REDLANDS"/>
        <s v="EL CENTRO"/>
        <s v="COLMA"/>
        <s v="MANTECA"/>
        <s v="SUTTER CREEK"/>
        <s v="SAN ANSELMO"/>
        <s v="SANTA BARBARA COUNTY"/>
        <s v="NEVADA CITY"/>
        <s v="BENICIA"/>
        <s v="LAKE FOREST"/>
        <s v="SOLANA BEACH"/>
        <s v="HIGHLAND"/>
        <s v="MURRIETA"/>
        <s v="BRAWLEY"/>
        <s v="LIVE OAK"/>
        <s v="SAN MATEO COUNTY"/>
        <s v="LOMPOC"/>
        <s v="RIALTO"/>
        <s v="STOCKTON"/>
        <s v="SEASIDE"/>
        <s v="CLAYTON"/>
        <s v="CORONA"/>
        <s v="BARSTOW"/>
        <s v="RANCHO CUCAMONGA"/>
        <s v="AZUSA"/>
        <s v="LARKSPUR"/>
        <s v="MARINA"/>
        <s v="ROLLING HILLS ESTATES"/>
        <s v="NEVADA COUNTY"/>
        <s v="CARPINTERIA"/>
        <s v="HESPERIA"/>
        <s v="HALF MOON BAY"/>
        <s v="CARSON"/>
        <s v="DOWNEY"/>
        <s v="BELVEDERE"/>
        <s v="PLACENTIA"/>
        <s v="SOLVANG"/>
        <s v="UPLAND"/>
        <s v="LOS ALAMITOS"/>
        <s v="COSTA MESA"/>
        <s v="BRENTWOOD"/>
        <s v="SUSANVILLE"/>
        <s v="SANTA CLARITA"/>
        <s v="CARMEL"/>
        <s v="AGOURA HILLS"/>
        <s v="CRESCENT CITY"/>
        <s v="RANCHO CORDOVA"/>
      </sharedItems>
    </cacheField>
    <cacheField name="YEAR" numFmtId="0">
      <sharedItems containsSemiMixedTypes="0" containsString="0" containsNumber="1" containsInteger="1" minValue="2018" maxValue="2024" count="7">
        <n v="2021"/>
        <n v="2023"/>
        <n v="2020"/>
        <n v="2022"/>
        <n v="2019"/>
        <n v="2018"/>
        <n v="2024"/>
      </sharedItems>
    </cacheField>
    <cacheField name="APN" numFmtId="0">
      <sharedItems containsDate="1" containsBlank="1" containsMixedTypes="1" minDate="1900-01-07T10:01:12" maxDate="5595-05-04T04:02:06"/>
    </cacheField>
    <cacheField name="STREET_ADDRESS" numFmtId="0">
      <sharedItems containsBlank="1" containsMixedTypes="1" containsNumber="1" containsInteger="1" minValue="1055" maxValue="1055"/>
    </cacheField>
    <cacheField name="UNIT_CAT" numFmtId="0">
      <sharedItems/>
    </cacheField>
    <cacheField name="TENURE" numFmtId="0">
      <sharedItems count="2">
        <s v="Renter"/>
        <s v="Owner"/>
      </sharedItems>
    </cacheField>
    <cacheField name="VLOW_INCOME_DR" numFmtId="0">
      <sharedItems containsSemiMixedTypes="0" containsString="0" containsNumber="1" containsInteger="1" minValue="0" maxValue="334"/>
    </cacheField>
    <cacheField name="VLOW_INCOME_NDR" numFmtId="0">
      <sharedItems containsSemiMixedTypes="0" containsString="0" containsNumber="1" containsInteger="1" minValue="0" maxValue="99"/>
    </cacheField>
    <cacheField name="LOW_INCOME_DR" numFmtId="0">
      <sharedItems containsSemiMixedTypes="0" containsString="0" containsNumber="1" containsInteger="1" minValue="0" maxValue="1073"/>
    </cacheField>
    <cacheField name="LOW_INCOME_NDR" numFmtId="0">
      <sharedItems containsSemiMixedTypes="0" containsString="0" containsNumber="1" containsInteger="1" minValue="0" maxValue="237"/>
    </cacheField>
    <cacheField name="MOD_INCOME_DR" numFmtId="0">
      <sharedItems containsSemiMixedTypes="0" containsString="0" containsNumber="1" containsInteger="1" minValue="0" maxValue="698"/>
    </cacheField>
    <cacheField name="MOD_INCOME_NDR" numFmtId="0">
      <sharedItems containsSemiMixedTypes="0" containsString="0" containsNumber="1" containsInteger="1" minValue="0" maxValue="845"/>
    </cacheField>
    <cacheField name="BP_VLOW_INCOME_DR" numFmtId="0">
      <sharedItems containsSemiMixedTypes="0" containsString="0" containsNumber="1" containsInteger="1" minValue="0" maxValue="363" count="113">
        <n v="0"/>
        <n v="75"/>
        <n v="3"/>
        <n v="1"/>
        <n v="26"/>
        <n v="4"/>
        <n v="6"/>
        <n v="10"/>
        <n v="27"/>
        <n v="270"/>
        <n v="22"/>
        <n v="15"/>
        <n v="5"/>
        <n v="19"/>
        <n v="7"/>
        <n v="20"/>
        <n v="87"/>
        <n v="2"/>
        <n v="59"/>
        <n v="138"/>
        <n v="47"/>
        <n v="13"/>
        <n v="49"/>
        <n v="100"/>
        <n v="43"/>
        <n v="9"/>
        <n v="28"/>
        <n v="99"/>
        <n v="12"/>
        <n v="18"/>
        <n v="31"/>
        <n v="32"/>
        <n v="63"/>
        <n v="38"/>
        <n v="54"/>
        <n v="24"/>
        <n v="25"/>
        <n v="37"/>
        <n v="91"/>
        <n v="82"/>
        <n v="78"/>
        <n v="104"/>
        <n v="8"/>
        <n v="23"/>
        <n v="55"/>
        <n v="16"/>
        <n v="30"/>
        <n v="131"/>
        <n v="46"/>
        <n v="41"/>
        <n v="21"/>
        <n v="53"/>
        <n v="39"/>
        <n v="50"/>
        <n v="94"/>
        <n v="71"/>
        <n v="110"/>
        <n v="48"/>
        <n v="11"/>
        <n v="34"/>
        <n v="69"/>
        <n v="60"/>
        <n v="122"/>
        <n v="68"/>
        <n v="67"/>
        <n v="57"/>
        <n v="35"/>
        <n v="42"/>
        <n v="84"/>
        <n v="36"/>
        <n v="29"/>
        <n v="83"/>
        <n v="81"/>
        <n v="73"/>
        <n v="64"/>
        <n v="56"/>
        <n v="44"/>
        <n v="143"/>
        <n v="363"/>
        <n v="132"/>
        <n v="51"/>
        <n v="61"/>
        <n v="89"/>
        <n v="72"/>
        <n v="17"/>
        <n v="74"/>
        <n v="33"/>
        <n v="66"/>
        <n v="120"/>
        <n v="14"/>
        <n v="58"/>
        <n v="45"/>
        <n v="121"/>
        <n v="97"/>
        <n v="76"/>
        <n v="149"/>
        <n v="86"/>
        <n v="116"/>
        <n v="40"/>
        <n v="103"/>
        <n v="98"/>
        <n v="70"/>
        <n v="256"/>
        <n v="145"/>
        <n v="85"/>
        <n v="130"/>
        <n v="65"/>
        <n v="92"/>
        <n v="119"/>
        <n v="79"/>
        <n v="62"/>
        <n v="101"/>
        <n v="90"/>
      </sharedItems>
    </cacheField>
    <cacheField name="BP_VLOW_INCOME_NDR" numFmtId="0">
      <sharedItems containsSemiMixedTypes="0" containsString="0" containsNumber="1" containsInteger="1" minValue="0" maxValue="67"/>
    </cacheField>
    <cacheField name="BP_LOW_INCOME_DR" numFmtId="0">
      <sharedItems containsSemiMixedTypes="0" containsString="0" containsNumber="1" containsInteger="1" minValue="0" maxValue="315"/>
    </cacheField>
    <cacheField name="BP_LOW_INCOME_NDR" numFmtId="0">
      <sharedItems containsSemiMixedTypes="0" containsString="0" containsNumber="1" containsInteger="1" minValue="0" maxValue="102"/>
    </cacheField>
    <cacheField name="BP_MOD_INCOME_DR" numFmtId="0">
      <sharedItems containsSemiMixedTypes="0" containsString="0" containsNumber="1" containsInteger="1" minValue="0" maxValue="312"/>
    </cacheField>
    <cacheField name="BP_MOD_INCOME_NDR" numFmtId="0">
      <sharedItems containsSemiMixedTypes="0" containsString="0" containsNumber="1" containsInteger="1" minValue="0" maxValue="190"/>
    </cacheField>
    <cacheField name="CO_VLOW_INCOME_DR" numFmtId="0">
      <sharedItems containsSemiMixedTypes="0" containsString="0" containsNumber="1" containsInteger="1" minValue="0" maxValue="256"/>
    </cacheField>
    <cacheField name="CO_VLOW_INCOME_NDR" numFmtId="0">
      <sharedItems containsSemiMixedTypes="0" containsString="0" containsNumber="1" containsInteger="1" minValue="0" maxValue="109"/>
    </cacheField>
    <cacheField name="CO_LOW_INCOME_DR" numFmtId="0">
      <sharedItems containsSemiMixedTypes="0" containsString="0" containsNumber="1" containsInteger="1" minValue="0" maxValue="491"/>
    </cacheField>
    <cacheField name="CO_LOW_INCOME_NDR" numFmtId="0">
      <sharedItems containsSemiMixedTypes="0" containsString="0" containsNumber="1" containsInteger="1" minValue="0" maxValue="109"/>
    </cacheField>
    <cacheField name="CO_MOD_INCOME_DR" numFmtId="0">
      <sharedItems containsSemiMixedTypes="0" containsString="0" containsNumber="1" containsInteger="1" minValue="0" maxValue="312"/>
    </cacheField>
    <cacheField name="CO_MOD_INCOME_NDR" numFmtId="0">
      <sharedItems containsSemiMixedTypes="0" containsString="0" containsNumber="1" containsInteger="1" minValue="0" maxValue="426"/>
    </cacheField>
    <cacheField name="DR_TYPE" numFmtId="0">
      <sharedItems count="2">
        <s v="DB"/>
        <s v="INC"/>
      </sharedItems>
    </cacheField>
    <cacheField name="TERM_AFF_DR" numFmtId="0">
      <sharedItems containsString="0" containsBlank="1" containsNumber="1" containsInteger="1" minValue="0" maxValue="1000"/>
    </cacheField>
    <cacheField name="DENSITY_BONUS_TOTAL" numFmtId="0">
      <sharedItems containsMixedTypes="1" containsNumber="1" minValue="0" maxValue="12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14">
  <r>
    <x v="0"/>
    <x v="0"/>
    <n v="7274019900"/>
    <s v="854 E. 7th Street"/>
    <s v="5+"/>
    <x v="0"/>
    <n v="14"/>
    <n v="0"/>
    <n v="49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"/>
    <x v="0"/>
    <s v="051-0640-047-0000"/>
    <s v="7351 STOCKTON BL, _x000a_SACRAMENTO, CA 95823"/>
    <s v="5+"/>
    <x v="0"/>
    <n v="0"/>
    <n v="0"/>
    <n v="0"/>
    <n v="0"/>
    <n v="0"/>
    <n v="0"/>
    <x v="1"/>
    <n v="0"/>
    <n v="0"/>
    <n v="0"/>
    <n v="0"/>
    <n v="0"/>
    <n v="0"/>
    <n v="0"/>
    <n v="0"/>
    <n v="0"/>
    <n v="0"/>
    <n v="0"/>
    <x v="0"/>
    <m/>
    <n v="0"/>
  </r>
  <r>
    <x v="1"/>
    <x v="0"/>
    <s v="051-0030-001-0000"/>
    <s v="7243 Power Inn Rd, Sacramento, CA 95828"/>
    <s v="5+"/>
    <x v="0"/>
    <n v="0"/>
    <n v="0"/>
    <n v="194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1"/>
    <x v="0"/>
    <s v="051-0640-047-0000"/>
    <s v="7351 STOCKTON BL, _x000a_SACRAMENTO, CA 95823"/>
    <s v="5+"/>
    <x v="0"/>
    <n v="0"/>
    <n v="0"/>
    <n v="0"/>
    <n v="0"/>
    <n v="0"/>
    <n v="0"/>
    <x v="0"/>
    <n v="0"/>
    <n v="50"/>
    <n v="0"/>
    <n v="0"/>
    <n v="0"/>
    <n v="0"/>
    <n v="0"/>
    <n v="0"/>
    <n v="0"/>
    <n v="0"/>
    <n v="0"/>
    <x v="0"/>
    <m/>
    <n v="0"/>
  </r>
  <r>
    <x v="0"/>
    <x v="0"/>
    <n v="7115007037"/>
    <s v="1115 East Artesia Boulevard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2"/>
    <x v="0"/>
    <s v="5675-025-006"/>
    <s v="518 E Windsor Rd"/>
    <s v="5+"/>
    <x v="1"/>
    <n v="0"/>
    <n v="0"/>
    <n v="0"/>
    <n v="0"/>
    <n v="9"/>
    <n v="0"/>
    <x v="0"/>
    <n v="0"/>
    <n v="0"/>
    <n v="0"/>
    <n v="9"/>
    <n v="0"/>
    <n v="0"/>
    <n v="0"/>
    <n v="0"/>
    <n v="0"/>
    <n v="9"/>
    <n v="0"/>
    <x v="0"/>
    <n v="55"/>
    <s v="78.900000000000006"/>
  </r>
  <r>
    <x v="3"/>
    <x v="0"/>
    <s v="5531-022-003"/>
    <s v="7424 Santa Monica Blvd"/>
    <s v="5+"/>
    <x v="0"/>
    <n v="0"/>
    <n v="0"/>
    <n v="0"/>
    <n v="0"/>
    <n v="0"/>
    <n v="0"/>
    <x v="2"/>
    <n v="0"/>
    <n v="0"/>
    <n v="0"/>
    <n v="2"/>
    <n v="0"/>
    <n v="0"/>
    <n v="0"/>
    <n v="0"/>
    <n v="0"/>
    <n v="0"/>
    <n v="0"/>
    <x v="0"/>
    <n v="1000"/>
    <n v="35"/>
  </r>
  <r>
    <x v="3"/>
    <x v="0"/>
    <s v="5531-008-010"/>
    <s v="1257 Detroit St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0"/>
    <n v="1000"/>
    <n v="30.5"/>
  </r>
  <r>
    <x v="4"/>
    <x v="0"/>
    <s v="053-202-026"/>
    <s v="830 Orcutt Rd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m/>
    <n v="0"/>
  </r>
  <r>
    <x v="3"/>
    <x v="0"/>
    <s v="5530-014-015"/>
    <s v="1020 Ogden Dr"/>
    <s v="5+"/>
    <x v="0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0"/>
    <n v="1000"/>
    <n v="35"/>
  </r>
  <r>
    <x v="4"/>
    <x v="0"/>
    <s v="053-231-048"/>
    <s v="3722 Broad St"/>
    <s v="5+"/>
    <x v="0"/>
    <n v="0"/>
    <n v="0"/>
    <n v="0"/>
    <n v="0"/>
    <n v="0"/>
    <n v="0"/>
    <x v="4"/>
    <n v="0"/>
    <n v="10"/>
    <n v="0"/>
    <n v="0"/>
    <n v="0"/>
    <n v="0"/>
    <n v="0"/>
    <n v="0"/>
    <n v="0"/>
    <n v="0"/>
    <n v="0"/>
    <x v="0"/>
    <n v="45"/>
    <n v="0"/>
  </r>
  <r>
    <x v="2"/>
    <x v="0"/>
    <s v="5637-004-028"/>
    <s v="352 W. Milford St."/>
    <s v="5+"/>
    <x v="0"/>
    <n v="4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s v="33.299999999999997"/>
  </r>
  <r>
    <x v="3"/>
    <x v="0"/>
    <s v="5530-011-037"/>
    <s v="7617 Santa Monica Blvd"/>
    <s v="5+"/>
    <x v="0"/>
    <n v="0"/>
    <n v="0"/>
    <n v="0"/>
    <n v="0"/>
    <n v="0"/>
    <n v="0"/>
    <x v="6"/>
    <n v="0"/>
    <n v="0"/>
    <n v="0"/>
    <n v="5"/>
    <n v="0"/>
    <n v="0"/>
    <n v="0"/>
    <n v="0"/>
    <n v="0"/>
    <n v="0"/>
    <n v="0"/>
    <x v="0"/>
    <n v="1000"/>
    <n v="35"/>
  </r>
  <r>
    <x v="4"/>
    <x v="0"/>
    <s v="053-411-002"/>
    <s v="835 El Capitan Way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4"/>
    <x v="0"/>
    <s v="003-721-039"/>
    <s v="207 Higuera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m/>
    <n v="0"/>
  </r>
  <r>
    <x v="4"/>
    <x v="0"/>
    <s v="053-203-002"/>
    <s v="3110 Duncan Rd"/>
    <s v="5+"/>
    <x v="0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m/>
    <n v="0"/>
  </r>
  <r>
    <x v="5"/>
    <x v="0"/>
    <n v="482161028"/>
    <s v="24580 COTTONWOOD AVE"/>
    <s v="5+"/>
    <x v="0"/>
    <n v="10"/>
    <n v="0"/>
    <n v="10"/>
    <n v="0"/>
    <n v="0"/>
    <n v="0"/>
    <x v="7"/>
    <n v="0"/>
    <n v="10"/>
    <n v="0"/>
    <n v="0"/>
    <n v="0"/>
    <n v="0"/>
    <n v="0"/>
    <n v="0"/>
    <n v="0"/>
    <n v="0"/>
    <n v="0"/>
    <x v="0"/>
    <n v="56"/>
    <n v="25"/>
  </r>
  <r>
    <x v="6"/>
    <x v="1"/>
    <s v="073-0-144-130"/>
    <s v="935 E Front St"/>
    <s v="5+"/>
    <x v="0"/>
    <n v="0"/>
    <n v="0"/>
    <n v="14"/>
    <n v="0"/>
    <n v="0"/>
    <n v="0"/>
    <x v="0"/>
    <n v="0"/>
    <n v="14"/>
    <n v="0"/>
    <n v="0"/>
    <n v="0"/>
    <n v="0"/>
    <n v="0"/>
    <n v="0"/>
    <n v="0"/>
    <n v="0"/>
    <n v="0"/>
    <x v="1"/>
    <n v="55"/>
    <n v="0"/>
  </r>
  <r>
    <x v="7"/>
    <x v="1"/>
    <s v="363-070-49"/>
    <s v="TBD"/>
    <s v="5+"/>
    <x v="0"/>
    <n v="0"/>
    <n v="0"/>
    <n v="0"/>
    <n v="71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1"/>
    <n v="4240620900"/>
    <s v="2175 Balboa Av, San Diego, CA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13"/>
  </r>
  <r>
    <x v="8"/>
    <x v="1"/>
    <n v="4210501200"/>
    <s v="8555 Aero Dr, San Diego, CA"/>
    <s v="5+"/>
    <x v="0"/>
    <n v="0"/>
    <n v="0"/>
    <n v="0"/>
    <n v="0"/>
    <n v="0"/>
    <n v="0"/>
    <x v="8"/>
    <n v="0"/>
    <n v="0"/>
    <n v="0"/>
    <n v="0"/>
    <n v="0"/>
    <n v="0"/>
    <n v="0"/>
    <n v="0"/>
    <n v="0"/>
    <n v="0"/>
    <n v="0"/>
    <x v="0"/>
    <n v="55"/>
    <n v="39"/>
  </r>
  <r>
    <x v="8"/>
    <x v="1"/>
    <n v="4463611200"/>
    <s v="4015 IDAHO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5"/>
    <n v="0"/>
  </r>
  <r>
    <x v="8"/>
    <x v="1"/>
    <n v="4365810400"/>
    <s v="5727 Lauretta St, San Diego, CA 92110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0"/>
    <n v="55"/>
    <n v="60"/>
  </r>
  <r>
    <x v="8"/>
    <x v="1"/>
    <n v="4461211400"/>
    <s v="3086 Meade Av, San Diego, CA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17"/>
  </r>
  <r>
    <x v="8"/>
    <x v="1"/>
    <n v="5334332800"/>
    <s v="1222 01ST AV [Pending]"/>
    <s v="5+"/>
    <x v="0"/>
    <n v="0"/>
    <n v="0"/>
    <n v="52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8"/>
    <x v="1"/>
    <n v="5342050800"/>
    <s v="1320 Broadway, San Diego, CA"/>
    <s v="5+"/>
    <x v="0"/>
    <n v="0"/>
    <n v="0"/>
    <n v="0"/>
    <n v="0"/>
    <n v="0"/>
    <n v="0"/>
    <x v="9"/>
    <n v="0"/>
    <n v="0"/>
    <n v="0"/>
    <n v="0"/>
    <n v="0"/>
    <n v="0"/>
    <n v="0"/>
    <n v="0"/>
    <n v="0"/>
    <n v="0"/>
    <n v="0"/>
    <x v="0"/>
    <n v="55"/>
    <n v="0"/>
  </r>
  <r>
    <x v="8"/>
    <x v="1"/>
    <n v="5481500700"/>
    <s v="101 50th St, San Diego, CA"/>
    <s v="5+"/>
    <x v="0"/>
    <n v="0"/>
    <n v="0"/>
    <n v="0"/>
    <n v="0"/>
    <n v="0"/>
    <n v="0"/>
    <x v="10"/>
    <n v="0"/>
    <n v="77"/>
    <n v="0"/>
    <n v="0"/>
    <n v="0"/>
    <n v="0"/>
    <n v="0"/>
    <n v="0"/>
    <n v="0"/>
    <n v="0"/>
    <n v="0"/>
    <x v="0"/>
    <n v="55"/>
    <n v="163"/>
  </r>
  <r>
    <x v="8"/>
    <x v="1"/>
    <n v="5303711000"/>
    <s v="3027 KEATS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40"/>
  </r>
  <r>
    <x v="9"/>
    <x v="0"/>
    <s v="6349-005-901"/>
    <s v="112-132 S 6th St"/>
    <s v="5+"/>
    <x v="0"/>
    <n v="63"/>
    <n v="0"/>
    <n v="60"/>
    <n v="0"/>
    <n v="0"/>
    <n v="0"/>
    <x v="0"/>
    <n v="0"/>
    <n v="0"/>
    <n v="0"/>
    <n v="0"/>
    <n v="0"/>
    <n v="0"/>
    <n v="0"/>
    <n v="0"/>
    <n v="0"/>
    <n v="0"/>
    <n v="0"/>
    <x v="0"/>
    <n v="55"/>
    <n v="193"/>
  </r>
  <r>
    <x v="10"/>
    <x v="2"/>
    <s v="097-46-024"/>
    <s v="2302/2310 Calle Del Mundo"/>
    <s v="5+"/>
    <x v="0"/>
    <n v="72"/>
    <n v="0"/>
    <n v="77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4"/>
    <x v="0"/>
    <s v="004-705-009, 053-061-056"/>
    <s v="3580 Bullock"/>
    <s v="5+"/>
    <x v="1"/>
    <n v="0"/>
    <n v="0"/>
    <n v="2"/>
    <n v="0"/>
    <n v="5"/>
    <n v="0"/>
    <x v="0"/>
    <n v="0"/>
    <n v="0"/>
    <n v="0"/>
    <n v="0"/>
    <n v="0"/>
    <n v="0"/>
    <n v="0"/>
    <n v="0"/>
    <n v="0"/>
    <n v="0"/>
    <n v="0"/>
    <x v="1"/>
    <m/>
    <n v="0"/>
  </r>
  <r>
    <x v="3"/>
    <x v="0"/>
    <s v="5530-001-004"/>
    <s v="1250 Fairfax Ave"/>
    <s v="5+"/>
    <x v="0"/>
    <n v="0"/>
    <n v="0"/>
    <n v="0"/>
    <n v="0"/>
    <n v="0"/>
    <n v="0"/>
    <x v="0"/>
    <n v="0"/>
    <n v="0"/>
    <n v="0"/>
    <n v="0"/>
    <n v="0"/>
    <n v="0"/>
    <n v="0"/>
    <n v="4"/>
    <n v="0"/>
    <n v="8"/>
    <n v="0"/>
    <x v="0"/>
    <n v="1000"/>
    <n v="35"/>
  </r>
  <r>
    <x v="3"/>
    <x v="0"/>
    <s v="5530-015-029"/>
    <s v="1041 Spaulding Ave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1000"/>
    <n v="35"/>
  </r>
  <r>
    <x v="5"/>
    <x v="0"/>
    <n v="482161028"/>
    <s v="24580 COTTONWOOD AVE"/>
    <s v="5+"/>
    <x v="0"/>
    <n v="15"/>
    <n v="0"/>
    <n v="15"/>
    <n v="0"/>
    <n v="0"/>
    <n v="0"/>
    <x v="11"/>
    <n v="0"/>
    <n v="15"/>
    <n v="0"/>
    <n v="0"/>
    <n v="0"/>
    <n v="0"/>
    <n v="0"/>
    <n v="0"/>
    <n v="0"/>
    <n v="0"/>
    <n v="0"/>
    <x v="0"/>
    <n v="56"/>
    <n v="25"/>
  </r>
  <r>
    <x v="2"/>
    <x v="0"/>
    <n v="5623005038"/>
    <s v="1407 W. Glenoaks"/>
    <s v="5+"/>
    <x v="0"/>
    <n v="5"/>
    <n v="0"/>
    <n v="0"/>
    <n v="0"/>
    <n v="0"/>
    <n v="0"/>
    <x v="12"/>
    <n v="0"/>
    <n v="0"/>
    <n v="0"/>
    <n v="0"/>
    <n v="0"/>
    <n v="5"/>
    <n v="0"/>
    <n v="0"/>
    <n v="0"/>
    <n v="0"/>
    <n v="0"/>
    <x v="0"/>
    <n v="55"/>
    <n v="35"/>
  </r>
  <r>
    <x v="2"/>
    <x v="0"/>
    <s v="5637-023-806"/>
    <s v="515 PIONEER DR"/>
    <s v="5+"/>
    <x v="0"/>
    <n v="138"/>
    <n v="0"/>
    <n v="199"/>
    <n v="0"/>
    <n v="0"/>
    <n v="0"/>
    <x v="0"/>
    <n v="0"/>
    <n v="0"/>
    <n v="0"/>
    <n v="0"/>
    <n v="0"/>
    <n v="0"/>
    <n v="0"/>
    <n v="0"/>
    <n v="0"/>
    <n v="0"/>
    <n v="0"/>
    <x v="0"/>
    <n v="75"/>
    <n v="750"/>
  </r>
  <r>
    <x v="3"/>
    <x v="0"/>
    <s v="5554-021-001"/>
    <s v="1216 Flores St"/>
    <s v="5+"/>
    <x v="0"/>
    <n v="0"/>
    <n v="0"/>
    <n v="0"/>
    <n v="0"/>
    <n v="0"/>
    <n v="0"/>
    <x v="0"/>
    <n v="0"/>
    <n v="2"/>
    <n v="0"/>
    <n v="3"/>
    <n v="0"/>
    <n v="0"/>
    <n v="0"/>
    <n v="0"/>
    <n v="0"/>
    <n v="0"/>
    <n v="0"/>
    <x v="0"/>
    <n v="1000"/>
    <n v="55"/>
  </r>
  <r>
    <x v="4"/>
    <x v="0"/>
    <s v="053-421-006"/>
    <s v="600 Tank Farm Road"/>
    <s v="5+"/>
    <x v="0"/>
    <n v="0"/>
    <n v="0"/>
    <n v="0"/>
    <n v="0"/>
    <n v="11"/>
    <n v="0"/>
    <x v="0"/>
    <n v="0"/>
    <n v="0"/>
    <n v="0"/>
    <n v="0"/>
    <n v="0"/>
    <n v="0"/>
    <n v="0"/>
    <n v="0"/>
    <n v="0"/>
    <n v="0"/>
    <n v="0"/>
    <x v="1"/>
    <m/>
    <n v="0"/>
  </r>
  <r>
    <x v="4"/>
    <x v="0"/>
    <s v="004-712-080"/>
    <s v="3540 Ranch House Rd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2"/>
    <n v="0"/>
    <x v="1"/>
    <m/>
    <n v="0"/>
  </r>
  <r>
    <x v="5"/>
    <x v="0"/>
    <n v="482161028"/>
    <s v="24580 COTTONWOOD AVE"/>
    <s v="5+"/>
    <x v="0"/>
    <n v="0"/>
    <n v="0"/>
    <n v="1"/>
    <n v="0"/>
    <n v="0"/>
    <n v="0"/>
    <x v="0"/>
    <n v="0"/>
    <n v="1"/>
    <n v="0"/>
    <n v="0"/>
    <n v="0"/>
    <n v="0"/>
    <n v="0"/>
    <n v="0"/>
    <n v="0"/>
    <n v="0"/>
    <n v="0"/>
    <x v="0"/>
    <n v="56"/>
    <n v="25"/>
  </r>
  <r>
    <x v="11"/>
    <x v="0"/>
    <s v="5767-026-008, 5767-026-036"/>
    <s v="30 Suffolk"/>
    <s v="5+"/>
    <x v="0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0"/>
    <n v="55"/>
    <n v="15"/>
  </r>
  <r>
    <x v="3"/>
    <x v="0"/>
    <s v="5530-002-015"/>
    <s v="1150 Orange Grove Ave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1000"/>
    <n v="35"/>
  </r>
  <r>
    <x v="5"/>
    <x v="0"/>
    <n v="482161028"/>
    <s v="24580 COTTONWOOD AVE"/>
    <s v="5+"/>
    <x v="0"/>
    <n v="15"/>
    <n v="0"/>
    <n v="15"/>
    <n v="0"/>
    <n v="0"/>
    <n v="0"/>
    <x v="11"/>
    <n v="0"/>
    <n v="15"/>
    <n v="0"/>
    <n v="0"/>
    <n v="0"/>
    <n v="0"/>
    <n v="0"/>
    <n v="0"/>
    <n v="0"/>
    <n v="0"/>
    <n v="0"/>
    <x v="0"/>
    <n v="56"/>
    <n v="25"/>
  </r>
  <r>
    <x v="2"/>
    <x v="0"/>
    <s v="5674-010-900"/>
    <s v="900 E BROADWAY"/>
    <s v="5+"/>
    <x v="0"/>
    <n v="26"/>
    <n v="0"/>
    <n v="100"/>
    <n v="0"/>
    <n v="0"/>
    <n v="0"/>
    <x v="0"/>
    <n v="0"/>
    <n v="0"/>
    <n v="0"/>
    <n v="0"/>
    <n v="0"/>
    <n v="0"/>
    <n v="0"/>
    <n v="0"/>
    <n v="0"/>
    <n v="0"/>
    <n v="0"/>
    <x v="0"/>
    <n v="75"/>
    <n v="324"/>
  </r>
  <r>
    <x v="2"/>
    <x v="0"/>
    <s v="5674-010-024"/>
    <s v="920 E BROADWAY"/>
    <s v="5+"/>
    <x v="0"/>
    <n v="31"/>
    <n v="0"/>
    <n v="8"/>
    <n v="0"/>
    <n v="0"/>
    <n v="0"/>
    <x v="0"/>
    <n v="0"/>
    <n v="0"/>
    <n v="0"/>
    <n v="0"/>
    <n v="0"/>
    <n v="0"/>
    <n v="0"/>
    <n v="0"/>
    <n v="0"/>
    <n v="0"/>
    <n v="0"/>
    <x v="0"/>
    <n v="75"/>
    <n v="17"/>
  </r>
  <r>
    <x v="3"/>
    <x v="0"/>
    <s v="5554-006-008"/>
    <s v="1300 Crescent Heights Blvd"/>
    <s v="5+"/>
    <x v="0"/>
    <n v="3"/>
    <n v="0"/>
    <n v="0"/>
    <n v="0"/>
    <n v="3"/>
    <n v="0"/>
    <x v="0"/>
    <n v="0"/>
    <n v="0"/>
    <n v="0"/>
    <n v="0"/>
    <n v="0"/>
    <n v="0"/>
    <n v="0"/>
    <n v="0"/>
    <n v="0"/>
    <n v="0"/>
    <n v="0"/>
    <x v="0"/>
    <n v="1000"/>
    <n v="35"/>
  </r>
  <r>
    <x v="4"/>
    <x v="0"/>
    <s v="001-114-038"/>
    <s v="1121 Montalban St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1"/>
    <m/>
    <n v="0"/>
  </r>
  <r>
    <x v="8"/>
    <x v="1"/>
    <n v="3150205500"/>
    <s v="10198 1/3 PASEO MONTRIL"/>
    <s v="5+"/>
    <x v="0"/>
    <n v="0"/>
    <n v="0"/>
    <n v="6"/>
    <n v="0"/>
    <n v="49"/>
    <n v="0"/>
    <x v="0"/>
    <n v="0"/>
    <n v="0"/>
    <n v="0"/>
    <n v="0"/>
    <n v="0"/>
    <n v="0"/>
    <n v="0"/>
    <n v="0"/>
    <n v="0"/>
    <n v="0"/>
    <n v="0"/>
    <x v="1"/>
    <n v="55"/>
    <n v="0"/>
  </r>
  <r>
    <x v="8"/>
    <x v="1"/>
    <n v="4152411000"/>
    <s v="891 Turquoise St, San Diego, CA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8"/>
    <x v="1"/>
    <n v="5334140800"/>
    <s v="1249 Union St, San Diego, CA"/>
    <s v="5+"/>
    <x v="0"/>
    <n v="0"/>
    <n v="0"/>
    <n v="0"/>
    <n v="0"/>
    <n v="0"/>
    <n v="0"/>
    <x v="13"/>
    <n v="0"/>
    <n v="0"/>
    <n v="0"/>
    <n v="0"/>
    <n v="0"/>
    <n v="0"/>
    <n v="0"/>
    <n v="0"/>
    <n v="0"/>
    <n v="0"/>
    <n v="0"/>
    <x v="0"/>
    <n v="55"/>
    <n v="20"/>
  </r>
  <r>
    <x v="8"/>
    <x v="1"/>
    <n v="5333630400"/>
    <s v="110 Beech St, San Diego, CA"/>
    <s v="5+"/>
    <x v="0"/>
    <n v="0"/>
    <n v="0"/>
    <n v="0"/>
    <n v="0"/>
    <n v="0"/>
    <n v="0"/>
    <x v="14"/>
    <n v="0"/>
    <n v="13"/>
    <n v="0"/>
    <n v="0"/>
    <n v="0"/>
    <n v="0"/>
    <n v="0"/>
    <n v="0"/>
    <n v="0"/>
    <n v="0"/>
    <n v="0"/>
    <x v="0"/>
    <n v="55"/>
    <n v="69"/>
  </r>
  <r>
    <x v="8"/>
    <x v="1"/>
    <n v="6380200400"/>
    <s v="3501 Vista (Sb) Ln, San Diego, CA 92173"/>
    <s v="5+"/>
    <x v="0"/>
    <n v="0"/>
    <n v="0"/>
    <n v="0"/>
    <n v="0"/>
    <n v="0"/>
    <n v="0"/>
    <x v="0"/>
    <n v="0"/>
    <n v="167"/>
    <n v="0"/>
    <n v="0"/>
    <n v="0"/>
    <n v="0"/>
    <n v="0"/>
    <n v="0"/>
    <n v="0"/>
    <n v="0"/>
    <n v="0"/>
    <x v="0"/>
    <n v="55"/>
    <n v="157"/>
  </r>
  <r>
    <x v="8"/>
    <x v="1"/>
    <n v="6380200500"/>
    <s v="3509 Vista (Sb) Ln, San Diego, CA 92173"/>
    <s v="5+"/>
    <x v="0"/>
    <n v="0"/>
    <n v="0"/>
    <n v="0"/>
    <n v="0"/>
    <n v="0"/>
    <n v="0"/>
    <x v="15"/>
    <n v="0"/>
    <n v="79"/>
    <n v="0"/>
    <n v="0"/>
    <n v="0"/>
    <n v="0"/>
    <n v="0"/>
    <n v="0"/>
    <n v="0"/>
    <n v="0"/>
    <n v="0"/>
    <x v="0"/>
    <n v="55"/>
    <n v="318"/>
  </r>
  <r>
    <x v="8"/>
    <x v="1"/>
    <n v="5340421100"/>
    <s v="901 Beech St, San Diego, CA 92101"/>
    <s v="5+"/>
    <x v="0"/>
    <n v="0"/>
    <n v="0"/>
    <n v="0"/>
    <n v="0"/>
    <n v="0"/>
    <n v="0"/>
    <x v="16"/>
    <n v="0"/>
    <n v="0"/>
    <n v="0"/>
    <n v="0"/>
    <n v="0"/>
    <n v="0"/>
    <n v="0"/>
    <n v="0"/>
    <n v="0"/>
    <n v="0"/>
    <n v="0"/>
    <x v="0"/>
    <n v="55"/>
    <n v="0"/>
  </r>
  <r>
    <x v="8"/>
    <x v="1"/>
    <n v="3130600600"/>
    <s v="15051 Junipers Dr, San Diego, CA 92129"/>
    <s v="5+"/>
    <x v="0"/>
    <n v="0"/>
    <n v="0"/>
    <n v="0"/>
    <n v="0"/>
    <n v="0"/>
    <n v="0"/>
    <x v="0"/>
    <n v="0"/>
    <n v="81"/>
    <n v="0"/>
    <n v="0"/>
    <n v="0"/>
    <n v="0"/>
    <n v="0"/>
    <n v="0"/>
    <n v="0"/>
    <n v="0"/>
    <n v="0"/>
    <x v="0"/>
    <n v="55"/>
    <n v="0"/>
  </r>
  <r>
    <x v="8"/>
    <x v="1"/>
    <n v="4454210200"/>
    <s v="2519 El Cajon Bl, San Diego, CA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42.5"/>
  </r>
  <r>
    <x v="8"/>
    <x v="1"/>
    <n v="4456911100"/>
    <s v="3919 LOUISIANA S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100"/>
  </r>
  <r>
    <x v="8"/>
    <x v="1"/>
    <n v="4445110900"/>
    <s v="220 MONTECITO WY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90"/>
  </r>
  <r>
    <x v="8"/>
    <x v="1"/>
    <n v="6454100100"/>
    <s v="5305 Seacliff Pl, San Diego, CA 92154"/>
    <s v="5+"/>
    <x v="1"/>
    <n v="0"/>
    <n v="0"/>
    <n v="0"/>
    <n v="0"/>
    <n v="0"/>
    <n v="0"/>
    <x v="0"/>
    <n v="0"/>
    <n v="8"/>
    <n v="0"/>
    <n v="0"/>
    <n v="0"/>
    <n v="0"/>
    <n v="0"/>
    <n v="0"/>
    <n v="0"/>
    <n v="0"/>
    <n v="0"/>
    <x v="1"/>
    <n v="55"/>
    <n v="0"/>
  </r>
  <r>
    <x v="8"/>
    <x v="1"/>
    <n v="6454100100"/>
    <s v="5202 Sunset Wave Dr, San Diego, CA 92154"/>
    <s v="5+"/>
    <x v="1"/>
    <n v="0"/>
    <n v="0"/>
    <n v="0"/>
    <n v="0"/>
    <n v="0"/>
    <n v="0"/>
    <x v="0"/>
    <n v="0"/>
    <n v="0"/>
    <n v="0"/>
    <n v="6"/>
    <n v="0"/>
    <n v="0"/>
    <n v="0"/>
    <n v="0"/>
    <n v="0"/>
    <n v="6"/>
    <n v="0"/>
    <x v="1"/>
    <n v="55"/>
    <n v="0"/>
  </r>
  <r>
    <x v="8"/>
    <x v="1"/>
    <n v="5354810400"/>
    <s v="421 25TH ST"/>
    <s v="5+"/>
    <x v="0"/>
    <n v="0"/>
    <n v="0"/>
    <n v="0"/>
    <n v="0"/>
    <n v="0"/>
    <n v="0"/>
    <x v="0"/>
    <n v="0"/>
    <n v="0"/>
    <n v="0"/>
    <n v="0"/>
    <n v="0"/>
    <n v="1"/>
    <n v="0"/>
    <n v="1"/>
    <n v="0"/>
    <n v="0"/>
    <n v="0"/>
    <x v="0"/>
    <n v="55"/>
    <n v="75"/>
  </r>
  <r>
    <x v="8"/>
    <x v="1"/>
    <n v="4454011000"/>
    <s v="4234 MISSISSIPPI ST"/>
    <s v="5+"/>
    <x v="0"/>
    <n v="0"/>
    <n v="0"/>
    <n v="0"/>
    <n v="0"/>
    <n v="0"/>
    <n v="0"/>
    <x v="0"/>
    <n v="0"/>
    <n v="0"/>
    <n v="0"/>
    <n v="0"/>
    <n v="0"/>
    <n v="6"/>
    <n v="0"/>
    <n v="0"/>
    <n v="0"/>
    <n v="0"/>
    <n v="0"/>
    <x v="0"/>
    <n v="55"/>
    <n v="60.5"/>
  </r>
  <r>
    <x v="2"/>
    <x v="0"/>
    <n v="5675030006"/>
    <s v="913 S ADAMS ST"/>
    <s v="5+"/>
    <x v="0"/>
    <n v="2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35"/>
  </r>
  <r>
    <x v="8"/>
    <x v="1"/>
    <n v="4152411000"/>
    <s v="891 TURQUOISE ST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53"/>
  </r>
  <r>
    <x v="8"/>
    <x v="1"/>
    <n v="5387512200"/>
    <s v="2642 Newton Av, San Diego, CA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0"/>
  </r>
  <r>
    <x v="12"/>
    <x v="1"/>
    <s v="104-680-031"/>
    <s v="3294 Piper Way_x000a_REDDING, CA 96003"/>
    <s v="5+"/>
    <x v="0"/>
    <n v="0"/>
    <n v="0"/>
    <n v="0"/>
    <n v="0"/>
    <n v="0"/>
    <n v="0"/>
    <x v="18"/>
    <n v="0"/>
    <n v="0"/>
    <n v="0"/>
    <n v="0"/>
    <n v="0"/>
    <n v="0"/>
    <n v="0"/>
    <n v="0"/>
    <n v="0"/>
    <n v="0"/>
    <n v="0"/>
    <x v="0"/>
    <n v="59"/>
    <n v="200"/>
  </r>
  <r>
    <x v="8"/>
    <x v="1"/>
    <n v="6782511300"/>
    <s v="11520 WEST BERNARDO CT Unit Bldg. C"/>
    <s v="5+"/>
    <x v="0"/>
    <n v="0"/>
    <n v="0"/>
    <n v="0"/>
    <n v="0"/>
    <n v="0"/>
    <n v="0"/>
    <x v="0"/>
    <n v="0"/>
    <n v="0"/>
    <n v="0"/>
    <n v="0"/>
    <n v="0"/>
    <n v="0"/>
    <n v="0"/>
    <n v="13"/>
    <n v="0"/>
    <n v="0"/>
    <n v="0"/>
    <x v="0"/>
    <n v="55"/>
    <n v="0"/>
  </r>
  <r>
    <x v="8"/>
    <x v="1"/>
    <n v="6782511300"/>
    <s v="11520 WEST BERNARDO CT Unit Bldg. B"/>
    <s v="5+"/>
    <x v="0"/>
    <n v="0"/>
    <n v="0"/>
    <n v="0"/>
    <n v="0"/>
    <n v="0"/>
    <n v="0"/>
    <x v="0"/>
    <n v="0"/>
    <n v="0"/>
    <n v="0"/>
    <n v="0"/>
    <n v="0"/>
    <n v="0"/>
    <n v="0"/>
    <n v="57"/>
    <n v="0"/>
    <n v="0"/>
    <n v="0"/>
    <x v="0"/>
    <n v="55"/>
    <n v="0"/>
  </r>
  <r>
    <x v="3"/>
    <x v="0"/>
    <s v="5531-008-016"/>
    <s v="1238 Formosa Ave"/>
    <s v="5+"/>
    <x v="0"/>
    <n v="2"/>
    <n v="0"/>
    <n v="0"/>
    <n v="0"/>
    <n v="1"/>
    <n v="0"/>
    <x v="0"/>
    <n v="0"/>
    <n v="0"/>
    <n v="0"/>
    <n v="0"/>
    <n v="0"/>
    <n v="0"/>
    <n v="0"/>
    <n v="0"/>
    <n v="0"/>
    <n v="0"/>
    <n v="0"/>
    <x v="0"/>
    <n v="1000"/>
    <n v="50"/>
  </r>
  <r>
    <x v="3"/>
    <x v="0"/>
    <s v="5530-001-001"/>
    <s v="1282 Fairfax Ave"/>
    <s v="5+"/>
    <x v="0"/>
    <n v="2"/>
    <n v="0"/>
    <n v="0"/>
    <n v="0"/>
    <n v="5"/>
    <n v="0"/>
    <x v="0"/>
    <n v="0"/>
    <n v="0"/>
    <n v="0"/>
    <n v="0"/>
    <n v="0"/>
    <n v="0"/>
    <n v="0"/>
    <n v="0"/>
    <n v="0"/>
    <n v="0"/>
    <n v="0"/>
    <x v="0"/>
    <n v="1000"/>
    <n v="42.5"/>
  </r>
  <r>
    <x v="3"/>
    <x v="0"/>
    <s v="5530-024-020"/>
    <s v="939 - 949 Spaulding Ave"/>
    <s v="5+"/>
    <x v="0"/>
    <n v="0"/>
    <n v="0"/>
    <n v="0"/>
    <n v="0"/>
    <n v="0"/>
    <n v="0"/>
    <x v="17"/>
    <n v="0"/>
    <n v="2"/>
    <n v="0"/>
    <n v="0"/>
    <n v="0"/>
    <n v="0"/>
    <n v="0"/>
    <n v="0"/>
    <n v="0"/>
    <n v="0"/>
    <n v="0"/>
    <x v="0"/>
    <n v="1000"/>
    <n v="35"/>
  </r>
  <r>
    <x v="4"/>
    <x v="0"/>
    <s v="004-847-031"/>
    <s v="2355 Victoria Ave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m/>
    <n v="0"/>
  </r>
  <r>
    <x v="8"/>
    <x v="1"/>
    <n v="4317200200"/>
    <s v="2645 ULRIC ST"/>
    <s v="5+"/>
    <x v="0"/>
    <n v="0"/>
    <n v="0"/>
    <n v="0"/>
    <n v="0"/>
    <n v="0"/>
    <n v="0"/>
    <x v="0"/>
    <n v="0"/>
    <n v="0"/>
    <n v="0"/>
    <n v="0"/>
    <n v="0"/>
    <n v="10"/>
    <n v="0"/>
    <n v="0"/>
    <n v="0"/>
    <n v="0"/>
    <n v="0"/>
    <x v="0"/>
    <n v="55"/>
    <n v="50"/>
  </r>
  <r>
    <x v="8"/>
    <x v="1"/>
    <n v="6380912800"/>
    <s v="429 W SAN YSIDRO BL"/>
    <s v="5+"/>
    <x v="0"/>
    <n v="0"/>
    <n v="0"/>
    <n v="0"/>
    <n v="0"/>
    <n v="0"/>
    <n v="0"/>
    <x v="0"/>
    <n v="0"/>
    <n v="0"/>
    <n v="0"/>
    <n v="0"/>
    <n v="0"/>
    <n v="8"/>
    <n v="0"/>
    <n v="0"/>
    <n v="0"/>
    <n v="0"/>
    <n v="0"/>
    <x v="1"/>
    <n v="55"/>
    <n v="0"/>
  </r>
  <r>
    <x v="4"/>
    <x v="0"/>
    <s v="004-712-080"/>
    <s v="3530 Ranch House Rd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m/>
    <n v="0"/>
  </r>
  <r>
    <x v="8"/>
    <x v="1"/>
    <n v="4456500800"/>
    <s v="1661 HARVEY MILK ST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100"/>
  </r>
  <r>
    <x v="2"/>
    <x v="1"/>
    <n v="5637023806"/>
    <s v="515 PIONEER DR"/>
    <s v="5+"/>
    <x v="0"/>
    <n v="138"/>
    <n v="0"/>
    <n v="199"/>
    <n v="0"/>
    <n v="0"/>
    <n v="0"/>
    <x v="19"/>
    <n v="0"/>
    <n v="199"/>
    <n v="0"/>
    <n v="0"/>
    <n v="0"/>
    <n v="0"/>
    <n v="0"/>
    <n v="0"/>
    <n v="0"/>
    <n v="0"/>
    <n v="0"/>
    <x v="0"/>
    <n v="78"/>
    <n v="750"/>
  </r>
  <r>
    <x v="7"/>
    <x v="1"/>
    <s v="370-122-03T"/>
    <s v="601 E 11th St"/>
    <s v="5+"/>
    <x v="0"/>
    <n v="0"/>
    <n v="0"/>
    <n v="0"/>
    <n v="0"/>
    <n v="0"/>
    <n v="0"/>
    <x v="20"/>
    <n v="0"/>
    <n v="0"/>
    <n v="0"/>
    <n v="0"/>
    <n v="0"/>
    <n v="0"/>
    <n v="0"/>
    <n v="0"/>
    <n v="0"/>
    <n v="0"/>
    <n v="0"/>
    <x v="0"/>
    <n v="55"/>
    <n v="0"/>
  </r>
  <r>
    <x v="8"/>
    <x v="1"/>
    <n v="3561106100"/>
    <s v="4888 Convoy St, San Diego, CA"/>
    <s v="5+"/>
    <x v="0"/>
    <n v="0"/>
    <n v="0"/>
    <n v="0"/>
    <n v="0"/>
    <n v="0"/>
    <n v="0"/>
    <x v="0"/>
    <n v="0"/>
    <n v="22"/>
    <n v="0"/>
    <n v="0"/>
    <n v="0"/>
    <n v="0"/>
    <n v="0"/>
    <n v="0"/>
    <n v="0"/>
    <n v="0"/>
    <n v="0"/>
    <x v="1"/>
    <n v="55"/>
    <n v="0"/>
  </r>
  <r>
    <x v="8"/>
    <x v="1"/>
    <n v="4373501100"/>
    <s v="1908 HOTEL CIRCLE NORTH, SAN DIEGO, CA 92108"/>
    <s v="5+"/>
    <x v="0"/>
    <n v="0"/>
    <n v="0"/>
    <n v="0"/>
    <n v="0"/>
    <n v="0"/>
    <n v="0"/>
    <x v="21"/>
    <n v="0"/>
    <n v="0"/>
    <n v="0"/>
    <n v="0"/>
    <n v="0"/>
    <n v="0"/>
    <n v="0"/>
    <n v="0"/>
    <n v="0"/>
    <n v="0"/>
    <n v="0"/>
    <x v="1"/>
    <n v="55"/>
    <n v="0"/>
  </r>
  <r>
    <x v="8"/>
    <x v="1"/>
    <n v="6786904900"/>
    <s v="16610 Templeton St, San Diego, CA"/>
    <s v="5+"/>
    <x v="0"/>
    <n v="0"/>
    <n v="0"/>
    <n v="0"/>
    <n v="0"/>
    <n v="0"/>
    <n v="0"/>
    <x v="0"/>
    <n v="0"/>
    <n v="95"/>
    <n v="0"/>
    <n v="74"/>
    <n v="0"/>
    <n v="0"/>
    <n v="0"/>
    <n v="0"/>
    <n v="0"/>
    <n v="0"/>
    <n v="0"/>
    <x v="0"/>
    <n v="55"/>
    <n v="80"/>
  </r>
  <r>
    <x v="8"/>
    <x v="1"/>
    <n v="4666920400"/>
    <s v="5472 El Cajon Bl, San Diego, CA 92115"/>
    <s v="5+"/>
    <x v="0"/>
    <n v="0"/>
    <n v="0"/>
    <n v="0"/>
    <n v="0"/>
    <n v="0"/>
    <n v="0"/>
    <x v="0"/>
    <n v="0"/>
    <n v="131"/>
    <n v="0"/>
    <n v="0"/>
    <n v="0"/>
    <n v="0"/>
    <n v="0"/>
    <n v="0"/>
    <n v="0"/>
    <n v="0"/>
    <n v="0"/>
    <x v="0"/>
    <n v="55"/>
    <n v="100"/>
  </r>
  <r>
    <x v="8"/>
    <x v="1"/>
    <n v="3616611200"/>
    <s v="5257 Mount Etna Dr, San Diego, CA"/>
    <s v="5+"/>
    <x v="0"/>
    <n v="0"/>
    <n v="0"/>
    <n v="0"/>
    <n v="0"/>
    <n v="0"/>
    <n v="0"/>
    <x v="22"/>
    <n v="0"/>
    <n v="29"/>
    <n v="0"/>
    <n v="0"/>
    <n v="0"/>
    <n v="0"/>
    <n v="0"/>
    <n v="0"/>
    <n v="0"/>
    <n v="0"/>
    <n v="0"/>
    <x v="0"/>
    <n v="55"/>
    <n v="13"/>
  </r>
  <r>
    <x v="8"/>
    <x v="1"/>
    <n v="4364030100"/>
    <s v="1351 BRUNNER ST"/>
    <s v="5+"/>
    <x v="0"/>
    <n v="0"/>
    <n v="0"/>
    <n v="0"/>
    <n v="0"/>
    <n v="0"/>
    <n v="0"/>
    <x v="14"/>
    <n v="0"/>
    <n v="0"/>
    <n v="0"/>
    <n v="0"/>
    <n v="0"/>
    <n v="0"/>
    <n v="0"/>
    <n v="0"/>
    <n v="0"/>
    <n v="0"/>
    <n v="0"/>
    <x v="0"/>
    <n v="55"/>
    <n v="47"/>
  </r>
  <r>
    <x v="8"/>
    <x v="1"/>
    <n v="5481301800"/>
    <s v="327 Willie James Jones Av, San Diego, CA 92102"/>
    <s v="5+"/>
    <x v="0"/>
    <n v="0"/>
    <n v="0"/>
    <n v="0"/>
    <n v="0"/>
    <n v="0"/>
    <n v="0"/>
    <x v="11"/>
    <n v="0"/>
    <n v="3"/>
    <n v="0"/>
    <n v="0"/>
    <n v="0"/>
    <n v="0"/>
    <n v="0"/>
    <n v="0"/>
    <n v="0"/>
    <n v="0"/>
    <n v="0"/>
    <x v="0"/>
    <n v="55"/>
    <n v="0"/>
  </r>
  <r>
    <x v="13"/>
    <x v="1"/>
    <n v="4692301900"/>
    <s v="7475 EL CAJON Blvd"/>
    <s v="5+"/>
    <x v="0"/>
    <n v="1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20"/>
  </r>
  <r>
    <x v="13"/>
    <x v="1"/>
    <n v="4691300300"/>
    <s v="7365 COLONY DR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s v="17.199999999999999"/>
  </r>
  <r>
    <x v="8"/>
    <x v="1"/>
    <n v="4613201200"/>
    <s v="4520 ALVARADO CANYON RD"/>
    <s v="5+"/>
    <x v="0"/>
    <n v="0"/>
    <n v="0"/>
    <n v="0"/>
    <n v="0"/>
    <n v="0"/>
    <n v="0"/>
    <x v="0"/>
    <n v="0"/>
    <n v="0"/>
    <n v="0"/>
    <n v="0"/>
    <n v="0"/>
    <n v="5"/>
    <n v="0"/>
    <n v="0"/>
    <n v="0"/>
    <n v="0"/>
    <n v="0"/>
    <x v="1"/>
    <n v="55"/>
    <n v="0"/>
  </r>
  <r>
    <x v="8"/>
    <x v="1"/>
    <n v="4413700100"/>
    <s v="3910 CHAPMAN ST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55"/>
    <n v="100"/>
  </r>
  <r>
    <x v="8"/>
    <x v="1"/>
    <n v="3194601700"/>
    <s v="10380 SPRING CANYON RD"/>
    <s v="5+"/>
    <x v="0"/>
    <n v="0"/>
    <n v="0"/>
    <n v="0"/>
    <n v="0"/>
    <n v="0"/>
    <n v="0"/>
    <x v="0"/>
    <n v="0"/>
    <n v="0"/>
    <n v="0"/>
    <n v="0"/>
    <n v="0"/>
    <n v="26"/>
    <n v="0"/>
    <n v="0"/>
    <n v="0"/>
    <n v="0"/>
    <n v="0"/>
    <x v="0"/>
    <n v="55"/>
    <n v="35"/>
  </r>
  <r>
    <x v="14"/>
    <x v="1"/>
    <n v="63604313"/>
    <s v="25887 Crown Valley Pkwy"/>
    <s v="5+"/>
    <x v="0"/>
    <n v="0"/>
    <n v="0"/>
    <n v="0"/>
    <n v="0"/>
    <n v="0"/>
    <n v="0"/>
    <x v="0"/>
    <n v="0"/>
    <n v="0"/>
    <n v="0"/>
    <n v="0"/>
    <n v="0"/>
    <n v="12"/>
    <n v="0"/>
    <n v="0"/>
    <n v="0"/>
    <n v="0"/>
    <n v="0"/>
    <x v="0"/>
    <n v="30"/>
    <n v="144"/>
  </r>
  <r>
    <x v="15"/>
    <x v="1"/>
    <s v="009 068904001"/>
    <s v="550 27TH ST, Oakland, CA 94612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15"/>
    <x v="1"/>
    <s v="005 043301805"/>
    <s v="2400 FILBERT ST, Oakland, CA 94607"/>
    <s v="5+"/>
    <x v="0"/>
    <n v="0"/>
    <n v="0"/>
    <n v="14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15"/>
    <x v="1"/>
    <s v="006 004700101"/>
    <s v="821 PINE ST, Oakland, CA 94607"/>
    <s v="5+"/>
    <x v="0"/>
    <n v="0"/>
    <n v="0"/>
    <n v="0"/>
    <n v="0"/>
    <n v="0"/>
    <n v="0"/>
    <x v="22"/>
    <n v="0"/>
    <n v="51"/>
    <n v="0"/>
    <n v="0"/>
    <n v="0"/>
    <n v="0"/>
    <n v="0"/>
    <n v="0"/>
    <n v="0"/>
    <n v="0"/>
    <n v="0"/>
    <x v="0"/>
    <n v="55"/>
    <n v="50"/>
  </r>
  <r>
    <x v="8"/>
    <x v="1"/>
    <n v="4456413200"/>
    <s v="3935 NORMAL ST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0"/>
    <n v="55"/>
    <n v="100"/>
  </r>
  <r>
    <x v="8"/>
    <x v="1"/>
    <n v="4530420100"/>
    <s v="2441 UNIVERSITY AV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0"/>
    <n v="55"/>
    <n v="50"/>
  </r>
  <r>
    <x v="15"/>
    <x v="1"/>
    <s v="012 095900903"/>
    <s v="820 W MACARTHUR BLVD, Oakland, CA 94608"/>
    <s v="5+"/>
    <x v="0"/>
    <n v="0"/>
    <n v="0"/>
    <n v="0"/>
    <n v="0"/>
    <n v="24"/>
    <n v="0"/>
    <x v="0"/>
    <n v="0"/>
    <n v="0"/>
    <n v="0"/>
    <n v="0"/>
    <n v="0"/>
    <n v="0"/>
    <n v="0"/>
    <n v="0"/>
    <n v="0"/>
    <n v="0"/>
    <n v="0"/>
    <x v="0"/>
    <n v="55"/>
    <n v="42.5"/>
  </r>
  <r>
    <x v="15"/>
    <x v="1"/>
    <s v="005 040603000"/>
    <s v="1904 ADELINE ST, Oakland, CA 94607"/>
    <s v="5+"/>
    <x v="0"/>
    <n v="0"/>
    <n v="0"/>
    <n v="0"/>
    <n v="0"/>
    <n v="0"/>
    <n v="0"/>
    <x v="22"/>
    <n v="0"/>
    <n v="0"/>
    <n v="0"/>
    <n v="1"/>
    <n v="0"/>
    <n v="0"/>
    <n v="0"/>
    <n v="0"/>
    <n v="0"/>
    <n v="0"/>
    <n v="0"/>
    <x v="0"/>
    <n v="55"/>
    <n v="75"/>
  </r>
  <r>
    <x v="6"/>
    <x v="1"/>
    <s v="073-0-111-010"/>
    <s v="102 S Garden St"/>
    <s v="5+"/>
    <x v="0"/>
    <n v="1"/>
    <n v="0"/>
    <n v="1"/>
    <n v="0"/>
    <n v="0"/>
    <n v="0"/>
    <x v="3"/>
    <n v="0"/>
    <n v="1"/>
    <n v="0"/>
    <n v="0"/>
    <n v="0"/>
    <n v="1"/>
    <n v="0"/>
    <n v="1"/>
    <n v="0"/>
    <n v="0"/>
    <n v="0"/>
    <x v="1"/>
    <n v="55"/>
    <n v="0"/>
  </r>
  <r>
    <x v="8"/>
    <x v="1"/>
    <n v="6381902700"/>
    <s v="4120 Beyer Bl, San Diego, CA"/>
    <s v="5+"/>
    <x v="0"/>
    <n v="0"/>
    <n v="0"/>
    <n v="0"/>
    <n v="0"/>
    <n v="0"/>
    <n v="0"/>
    <x v="23"/>
    <n v="0"/>
    <n v="0"/>
    <n v="0"/>
    <n v="1"/>
    <n v="0"/>
    <n v="0"/>
    <n v="0"/>
    <n v="0"/>
    <n v="0"/>
    <n v="0"/>
    <n v="0"/>
    <x v="0"/>
    <n v="55"/>
    <n v="91"/>
  </r>
  <r>
    <x v="8"/>
    <x v="1"/>
    <n v="5333221300"/>
    <s v="1548 Kettner Bl, San Diego, CA"/>
    <s v="5+"/>
    <x v="0"/>
    <n v="0"/>
    <n v="0"/>
    <n v="0"/>
    <n v="0"/>
    <n v="0"/>
    <n v="0"/>
    <x v="24"/>
    <n v="0"/>
    <n v="20"/>
    <n v="0"/>
    <n v="0"/>
    <n v="0"/>
    <n v="0"/>
    <n v="0"/>
    <n v="0"/>
    <n v="0"/>
    <n v="0"/>
    <n v="0"/>
    <x v="0"/>
    <n v="55"/>
    <n v="15"/>
  </r>
  <r>
    <x v="8"/>
    <x v="1"/>
    <n v="6461007100"/>
    <s v="2440 CACTUS RD Unit Bldg. B"/>
    <s v="5+"/>
    <x v="0"/>
    <n v="0"/>
    <n v="0"/>
    <n v="0"/>
    <n v="0"/>
    <n v="0"/>
    <n v="0"/>
    <x v="0"/>
    <n v="0"/>
    <n v="60"/>
    <n v="0"/>
    <n v="0"/>
    <n v="0"/>
    <n v="0"/>
    <n v="0"/>
    <n v="0"/>
    <n v="0"/>
    <n v="0"/>
    <n v="0"/>
    <x v="0"/>
    <n v="55"/>
    <n v="0"/>
  </r>
  <r>
    <x v="8"/>
    <x v="1"/>
    <n v="6461008400"/>
    <s v="2250 SISAL LN"/>
    <s v="5+"/>
    <x v="0"/>
    <n v="0"/>
    <n v="0"/>
    <n v="0"/>
    <n v="0"/>
    <n v="0"/>
    <n v="0"/>
    <x v="0"/>
    <n v="0"/>
    <n v="59"/>
    <n v="0"/>
    <n v="0"/>
    <n v="0"/>
    <n v="0"/>
    <n v="0"/>
    <n v="0"/>
    <n v="0"/>
    <n v="0"/>
    <n v="0"/>
    <x v="0"/>
    <n v="55"/>
    <n v="0"/>
  </r>
  <r>
    <x v="8"/>
    <x v="1"/>
    <n v="3136801800"/>
    <s v="10211 Rancho Carmel Dr, San Diego, CA"/>
    <s v="5+"/>
    <x v="0"/>
    <n v="0"/>
    <n v="0"/>
    <n v="0"/>
    <n v="0"/>
    <n v="0"/>
    <n v="0"/>
    <x v="0"/>
    <n v="0"/>
    <n v="10"/>
    <n v="0"/>
    <n v="5"/>
    <n v="0"/>
    <n v="0"/>
    <n v="0"/>
    <n v="0"/>
    <n v="0"/>
    <n v="0"/>
    <n v="0"/>
    <x v="0"/>
    <n v="55"/>
    <n v="0"/>
  </r>
  <r>
    <x v="8"/>
    <x v="1"/>
    <n v="4666920400"/>
    <s v="5472 EL CAJON BL"/>
    <s v="5+"/>
    <x v="0"/>
    <n v="0"/>
    <n v="0"/>
    <n v="0"/>
    <n v="0"/>
    <n v="0"/>
    <n v="0"/>
    <x v="0"/>
    <n v="0"/>
    <n v="41"/>
    <n v="0"/>
    <n v="0"/>
    <n v="0"/>
    <n v="0"/>
    <n v="0"/>
    <n v="0"/>
    <n v="0"/>
    <n v="0"/>
    <n v="0"/>
    <x v="0"/>
    <n v="55"/>
    <n v="100"/>
  </r>
  <r>
    <x v="8"/>
    <x v="1"/>
    <n v="4671712800"/>
    <s v="6213 Montezuma Rd, San Diego, CA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48"/>
  </r>
  <r>
    <x v="8"/>
    <x v="1"/>
    <n v="5481301800"/>
    <s v="331 Willie James Jones Av, San Diego, CA 92102"/>
    <s v="5+"/>
    <x v="0"/>
    <n v="0"/>
    <n v="0"/>
    <n v="0"/>
    <n v="0"/>
    <n v="0"/>
    <n v="0"/>
    <x v="0"/>
    <n v="0"/>
    <n v="14"/>
    <n v="0"/>
    <n v="0"/>
    <n v="0"/>
    <n v="0"/>
    <n v="0"/>
    <n v="0"/>
    <n v="0"/>
    <n v="0"/>
    <n v="0"/>
    <x v="0"/>
    <n v="55"/>
    <n v="0"/>
  </r>
  <r>
    <x v="8"/>
    <x v="1"/>
    <n v="4455512100"/>
    <s v="4070 Georgia St, San Diego, CA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5"/>
    <n v="0"/>
  </r>
  <r>
    <x v="6"/>
    <x v="1"/>
    <s v="083-0-050-490"/>
    <s v="915 Goodman Ave"/>
    <s v="5+"/>
    <x v="0"/>
    <n v="0"/>
    <n v="0"/>
    <n v="0"/>
    <n v="0"/>
    <n v="4"/>
    <n v="0"/>
    <x v="0"/>
    <n v="0"/>
    <n v="0"/>
    <n v="0"/>
    <n v="0"/>
    <n v="0"/>
    <n v="0"/>
    <n v="0"/>
    <n v="0"/>
    <n v="0"/>
    <n v="0"/>
    <n v="0"/>
    <x v="1"/>
    <n v="55"/>
    <n v="0"/>
  </r>
  <r>
    <x v="8"/>
    <x v="1"/>
    <n v="5313420300"/>
    <s v="1357 ROSECRANS ST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8"/>
    <x v="1"/>
    <n v="4521031000"/>
    <s v="3775 06th Av, San Diego, CA"/>
    <s v="5+"/>
    <x v="0"/>
    <n v="0"/>
    <n v="0"/>
    <n v="0"/>
    <n v="0"/>
    <n v="0"/>
    <n v="0"/>
    <x v="25"/>
    <n v="0"/>
    <n v="0"/>
    <n v="0"/>
    <n v="0"/>
    <n v="0"/>
    <n v="0"/>
    <n v="0"/>
    <n v="0"/>
    <n v="0"/>
    <n v="0"/>
    <n v="0"/>
    <x v="0"/>
    <n v="55"/>
    <n v="20"/>
  </r>
  <r>
    <x v="8"/>
    <x v="1"/>
    <n v="5480511000"/>
    <s v="5256 Naranja St, San Diego, CA"/>
    <s v="5+"/>
    <x v="0"/>
    <n v="0"/>
    <n v="0"/>
    <n v="0"/>
    <n v="0"/>
    <n v="0"/>
    <n v="0"/>
    <x v="26"/>
    <n v="0"/>
    <n v="109"/>
    <n v="0"/>
    <n v="0"/>
    <n v="0"/>
    <n v="0"/>
    <n v="0"/>
    <n v="0"/>
    <n v="0"/>
    <n v="0"/>
    <n v="0"/>
    <x v="0"/>
    <n v="55"/>
    <n v="500"/>
  </r>
  <r>
    <x v="8"/>
    <x v="1"/>
    <n v="6370211700"/>
    <s v="1663 Dairy Mart Rd, San Diego, CA 92173"/>
    <s v="5+"/>
    <x v="0"/>
    <n v="0"/>
    <n v="0"/>
    <n v="0"/>
    <n v="0"/>
    <n v="0"/>
    <n v="0"/>
    <x v="27"/>
    <n v="0"/>
    <n v="0"/>
    <n v="0"/>
    <n v="0"/>
    <n v="0"/>
    <n v="0"/>
    <n v="0"/>
    <n v="0"/>
    <n v="0"/>
    <n v="0"/>
    <n v="0"/>
    <x v="0"/>
    <n v="55"/>
    <n v="104"/>
  </r>
  <r>
    <x v="8"/>
    <x v="1"/>
    <n v="4671713300"/>
    <s v="6251 MONTEZUMA RD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19"/>
  </r>
  <r>
    <x v="8"/>
    <x v="1"/>
    <n v="4365711100"/>
    <s v="5650 GAINES ST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0"/>
    <n v="55"/>
    <n v="100"/>
  </r>
  <r>
    <x v="8"/>
    <x v="0"/>
    <n v="4531540100"/>
    <s v="3793 RAY ST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0"/>
  </r>
  <r>
    <x v="16"/>
    <x v="1"/>
    <s v="0618-322-04"/>
    <s v="73449 Desert Trail Drive"/>
    <s v="5+"/>
    <x v="0"/>
    <n v="0"/>
    <n v="0"/>
    <n v="0"/>
    <n v="6"/>
    <n v="0"/>
    <n v="0"/>
    <x v="0"/>
    <n v="0"/>
    <n v="0"/>
    <n v="6"/>
    <n v="0"/>
    <n v="0"/>
    <n v="0"/>
    <n v="0"/>
    <n v="0"/>
    <n v="0"/>
    <n v="0"/>
    <n v="0"/>
    <x v="0"/>
    <m/>
    <n v="6"/>
  </r>
  <r>
    <x v="8"/>
    <x v="1"/>
    <n v="4520561300"/>
    <s v="3774 05th Av, San Diego, CA 92103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8"/>
    <x v="1"/>
    <n v="4635903200"/>
    <s v="6635 Alvarado Rd, San Diego, CA"/>
    <s v="5+"/>
    <x v="0"/>
    <n v="0"/>
    <n v="0"/>
    <n v="0"/>
    <n v="0"/>
    <n v="0"/>
    <n v="0"/>
    <x v="0"/>
    <n v="0"/>
    <n v="34"/>
    <n v="0"/>
    <n v="0"/>
    <n v="0"/>
    <n v="0"/>
    <n v="0"/>
    <n v="0"/>
    <n v="0"/>
    <n v="0"/>
    <n v="0"/>
    <x v="1"/>
    <n v="55"/>
    <n v="0"/>
  </r>
  <r>
    <x v="8"/>
    <x v="1"/>
    <n v="4373500500"/>
    <s v="1908 HOTEL CIRCLE N- WEST BLDG, SAN DIEGO, CA 92108"/>
    <s v="5+"/>
    <x v="0"/>
    <n v="0"/>
    <n v="0"/>
    <n v="0"/>
    <n v="0"/>
    <n v="0"/>
    <n v="0"/>
    <x v="28"/>
    <n v="0"/>
    <n v="0"/>
    <n v="0"/>
    <n v="0"/>
    <n v="0"/>
    <n v="0"/>
    <n v="0"/>
    <n v="0"/>
    <n v="0"/>
    <n v="0"/>
    <n v="0"/>
    <x v="1"/>
    <n v="55"/>
    <n v="0"/>
  </r>
  <r>
    <x v="8"/>
    <x v="1"/>
    <n v="3616611200"/>
    <s v="5255 Mount Etna Dr, San Diego, CA"/>
    <s v="5+"/>
    <x v="0"/>
    <n v="0"/>
    <n v="0"/>
    <n v="0"/>
    <n v="0"/>
    <n v="0"/>
    <n v="0"/>
    <x v="0"/>
    <n v="0"/>
    <n v="230"/>
    <n v="0"/>
    <n v="0"/>
    <n v="0"/>
    <n v="0"/>
    <n v="0"/>
    <n v="0"/>
    <n v="0"/>
    <n v="0"/>
    <n v="0"/>
    <x v="0"/>
    <n v="55"/>
    <n v="49"/>
  </r>
  <r>
    <x v="8"/>
    <x v="1"/>
    <n v="6782511300"/>
    <s v="11520 WEST BERNARDO CT Unit Bldg. D"/>
    <s v="5+"/>
    <x v="0"/>
    <n v="0"/>
    <n v="0"/>
    <n v="0"/>
    <n v="0"/>
    <n v="0"/>
    <n v="0"/>
    <x v="0"/>
    <n v="0"/>
    <n v="0"/>
    <n v="0"/>
    <n v="0"/>
    <n v="0"/>
    <n v="0"/>
    <n v="0"/>
    <n v="57"/>
    <n v="0"/>
    <n v="0"/>
    <n v="0"/>
    <x v="0"/>
    <n v="55"/>
    <n v="0"/>
  </r>
  <r>
    <x v="8"/>
    <x v="1"/>
    <n v="6782521500"/>
    <s v="16785 West Bernardo Dr, San Diego, CA"/>
    <s v="5+"/>
    <x v="0"/>
    <n v="0"/>
    <n v="0"/>
    <n v="0"/>
    <n v="0"/>
    <n v="0"/>
    <n v="0"/>
    <x v="0"/>
    <n v="0"/>
    <n v="99"/>
    <n v="0"/>
    <n v="0"/>
    <n v="0"/>
    <n v="0"/>
    <n v="0"/>
    <n v="0"/>
    <n v="0"/>
    <n v="0"/>
    <n v="0"/>
    <x v="0"/>
    <n v="55"/>
    <n v="178"/>
  </r>
  <r>
    <x v="8"/>
    <x v="1"/>
    <n v="5481301800"/>
    <s v="323 Willie James Jones Av, San Diego, CA 92102"/>
    <s v="5+"/>
    <x v="0"/>
    <n v="0"/>
    <n v="0"/>
    <n v="0"/>
    <n v="0"/>
    <n v="0"/>
    <n v="0"/>
    <x v="29"/>
    <n v="0"/>
    <n v="0"/>
    <n v="0"/>
    <n v="0"/>
    <n v="0"/>
    <n v="0"/>
    <n v="0"/>
    <n v="0"/>
    <n v="0"/>
    <n v="0"/>
    <n v="0"/>
    <x v="0"/>
    <n v="55"/>
    <n v="0"/>
  </r>
  <r>
    <x v="8"/>
    <x v="1"/>
    <n v="5481301800"/>
    <s v="333 Willie James Jones Av, San Diego, CA"/>
    <s v="5+"/>
    <x v="0"/>
    <n v="0"/>
    <n v="0"/>
    <n v="0"/>
    <n v="0"/>
    <n v="0"/>
    <n v="0"/>
    <x v="11"/>
    <n v="0"/>
    <n v="0"/>
    <n v="0"/>
    <n v="0"/>
    <n v="0"/>
    <n v="0"/>
    <n v="0"/>
    <n v="0"/>
    <n v="0"/>
    <n v="0"/>
    <n v="0"/>
    <x v="0"/>
    <n v="55"/>
    <n v="0"/>
  </r>
  <r>
    <x v="8"/>
    <x v="1"/>
    <n v="5481301800"/>
    <s v="337 Willie James Jones Av, San Diego, CA"/>
    <s v="5+"/>
    <x v="0"/>
    <n v="0"/>
    <n v="0"/>
    <n v="0"/>
    <n v="0"/>
    <n v="0"/>
    <n v="0"/>
    <x v="11"/>
    <n v="0"/>
    <n v="0"/>
    <n v="0"/>
    <n v="0"/>
    <n v="0"/>
    <n v="0"/>
    <n v="0"/>
    <n v="0"/>
    <n v="0"/>
    <n v="0"/>
    <n v="0"/>
    <x v="0"/>
    <n v="55"/>
    <n v="0"/>
  </r>
  <r>
    <x v="8"/>
    <x v="1"/>
    <n v="4320600700"/>
    <s v="2238 WEST DUNLOP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43"/>
  </r>
  <r>
    <x v="2"/>
    <x v="1"/>
    <n v="5674010023"/>
    <s v="900 E BROADWAY"/>
    <s v="5+"/>
    <x v="0"/>
    <n v="26"/>
    <n v="0"/>
    <n v="100"/>
    <n v="0"/>
    <n v="0"/>
    <n v="0"/>
    <x v="4"/>
    <n v="0"/>
    <n v="100"/>
    <n v="0"/>
    <n v="0"/>
    <n v="0"/>
    <n v="0"/>
    <n v="0"/>
    <n v="0"/>
    <n v="0"/>
    <n v="0"/>
    <n v="0"/>
    <x v="0"/>
    <n v="72"/>
    <n v="324"/>
  </r>
  <r>
    <x v="2"/>
    <x v="1"/>
    <n v="5695015030"/>
    <s v="423 OAK ST"/>
    <s v="5+"/>
    <x v="0"/>
    <n v="0"/>
    <n v="0"/>
    <n v="2"/>
    <n v="0"/>
    <n v="0"/>
    <n v="0"/>
    <x v="0"/>
    <n v="0"/>
    <n v="2"/>
    <n v="0"/>
    <n v="0"/>
    <n v="0"/>
    <n v="0"/>
    <n v="0"/>
    <n v="0"/>
    <n v="0"/>
    <n v="0"/>
    <n v="0"/>
    <x v="0"/>
    <m/>
    <n v="35"/>
  </r>
  <r>
    <x v="17"/>
    <x v="1"/>
    <s v="398-303-04"/>
    <s v="801 E Santa Ana Blvd"/>
    <s v="5+"/>
    <x v="0"/>
    <n v="0"/>
    <n v="0"/>
    <n v="0"/>
    <n v="0"/>
    <n v="0"/>
    <n v="0"/>
    <x v="0"/>
    <n v="0"/>
    <n v="16"/>
    <n v="0"/>
    <n v="0"/>
    <n v="0"/>
    <n v="0"/>
    <n v="0"/>
    <n v="0"/>
    <n v="0"/>
    <n v="0"/>
    <n v="0"/>
    <x v="0"/>
    <n v="55"/>
    <n v="70"/>
  </r>
  <r>
    <x v="17"/>
    <x v="1"/>
    <s v="402-191-14"/>
    <s v="2112 E First St"/>
    <s v="5+"/>
    <x v="0"/>
    <n v="0"/>
    <n v="0"/>
    <n v="0"/>
    <n v="0"/>
    <n v="0"/>
    <n v="0"/>
    <x v="0"/>
    <n v="0"/>
    <n v="0"/>
    <n v="0"/>
    <n v="0"/>
    <n v="0"/>
    <n v="56"/>
    <n v="0"/>
    <n v="491"/>
    <n v="0"/>
    <n v="0"/>
    <n v="0"/>
    <x v="0"/>
    <n v="55"/>
    <n v="55"/>
  </r>
  <r>
    <x v="8"/>
    <x v="1"/>
    <n v="4521032700"/>
    <s v="701 ROBINSON AV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55"/>
    <n v="100"/>
  </r>
  <r>
    <x v="8"/>
    <x v="1"/>
    <n v="4413700100"/>
    <s v="3910 CHAPMAN ST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55"/>
    <n v="100"/>
  </r>
  <r>
    <x v="8"/>
    <x v="1"/>
    <n v="5334220100"/>
    <s v="191 W BEECH ST"/>
    <s v="5+"/>
    <x v="0"/>
    <n v="0"/>
    <n v="0"/>
    <n v="0"/>
    <n v="0"/>
    <n v="0"/>
    <n v="0"/>
    <x v="0"/>
    <n v="0"/>
    <n v="0"/>
    <n v="0"/>
    <n v="0"/>
    <n v="0"/>
    <n v="0"/>
    <n v="0"/>
    <n v="77"/>
    <n v="0"/>
    <n v="0"/>
    <n v="0"/>
    <x v="1"/>
    <n v="55"/>
    <n v="0"/>
  </r>
  <r>
    <x v="8"/>
    <x v="1"/>
    <n v="6782511300"/>
    <s v="11520 WEST BERNARDO CT Unit Bldg. A"/>
    <s v="5+"/>
    <x v="0"/>
    <n v="0"/>
    <n v="0"/>
    <n v="0"/>
    <n v="0"/>
    <n v="0"/>
    <n v="0"/>
    <x v="0"/>
    <n v="0"/>
    <n v="0"/>
    <n v="0"/>
    <n v="0"/>
    <n v="0"/>
    <n v="0"/>
    <n v="0"/>
    <n v="48"/>
    <n v="0"/>
    <n v="0"/>
    <n v="0"/>
    <x v="0"/>
    <n v="55"/>
    <n v="0"/>
  </r>
  <r>
    <x v="18"/>
    <x v="1"/>
    <s v="241-020-033"/>
    <s v="60 Woodbury Highlands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3"/>
    <x v="1"/>
    <n v="4692301500"/>
    <s v="7475 EL CAJON Blvd"/>
    <s v="5+"/>
    <x v="0"/>
    <n v="1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20"/>
  </r>
  <r>
    <x v="13"/>
    <x v="1"/>
    <n v="4691304700"/>
    <s v="7385 COLONY DR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s v="17.199999999999999"/>
  </r>
  <r>
    <x v="13"/>
    <x v="1"/>
    <n v="4691300300"/>
    <s v="7375 COLONY DR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s v="17.199999999999999"/>
  </r>
  <r>
    <x v="13"/>
    <x v="1"/>
    <n v="4990306700"/>
    <s v="4210 SPRING ST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0"/>
    <n v="55"/>
    <n v="35"/>
  </r>
  <r>
    <x v="19"/>
    <x v="1"/>
    <s v="111-005-073"/>
    <s v="Intersection of Foy and Morris"/>
    <s v="5+"/>
    <x v="0"/>
    <n v="30"/>
    <n v="0"/>
    <n v="14"/>
    <n v="0"/>
    <n v="0"/>
    <n v="0"/>
    <x v="0"/>
    <n v="0"/>
    <n v="0"/>
    <n v="0"/>
    <n v="0"/>
    <n v="0"/>
    <n v="0"/>
    <n v="0"/>
    <n v="0"/>
    <n v="0"/>
    <n v="0"/>
    <n v="0"/>
    <x v="0"/>
    <m/>
    <n v="56"/>
  </r>
  <r>
    <x v="13"/>
    <x v="2"/>
    <n v="4943001100"/>
    <s v="8585 La Mesa Blvd"/>
    <s v="5+"/>
    <x v="0"/>
    <n v="0"/>
    <n v="0"/>
    <n v="0"/>
    <n v="0"/>
    <n v="0"/>
    <n v="0"/>
    <x v="0"/>
    <n v="0"/>
    <n v="0"/>
    <n v="0"/>
    <n v="0"/>
    <n v="0"/>
    <n v="0"/>
    <n v="0"/>
    <n v="10"/>
    <n v="0"/>
    <n v="0"/>
    <n v="0"/>
    <x v="0"/>
    <n v="55"/>
    <n v="0"/>
  </r>
  <r>
    <x v="2"/>
    <x v="1"/>
    <s v="5637-004-030"/>
    <s v="352 W. Milford St."/>
    <s v="5+"/>
    <x v="0"/>
    <n v="4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s v="33.299999999999997"/>
  </r>
  <r>
    <x v="2"/>
    <x v="1"/>
    <n v="5674010024"/>
    <s v="920 E BROADWAY"/>
    <s v="5+"/>
    <x v="0"/>
    <n v="31"/>
    <n v="0"/>
    <n v="8"/>
    <n v="0"/>
    <n v="0"/>
    <n v="0"/>
    <x v="30"/>
    <n v="0"/>
    <n v="8"/>
    <n v="0"/>
    <n v="0"/>
    <n v="0"/>
    <n v="0"/>
    <n v="0"/>
    <n v="0"/>
    <n v="0"/>
    <n v="0"/>
    <n v="0"/>
    <x v="0"/>
    <n v="75"/>
    <n v="17"/>
  </r>
  <r>
    <x v="8"/>
    <x v="0"/>
    <n v="3576130100"/>
    <s v="5385 LA JOLLA BL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0"/>
    <n v="55"/>
    <n v="0"/>
  </r>
  <r>
    <x v="8"/>
    <x v="0"/>
    <n v="5334220100"/>
    <s v="1475 Front Street"/>
    <s v="5+"/>
    <x v="0"/>
    <n v="0"/>
    <n v="0"/>
    <n v="0"/>
    <n v="0"/>
    <n v="0"/>
    <n v="0"/>
    <x v="31"/>
    <n v="0"/>
    <n v="45"/>
    <n v="0"/>
    <n v="0"/>
    <n v="0"/>
    <n v="0"/>
    <n v="0"/>
    <n v="0"/>
    <n v="0"/>
    <n v="0"/>
    <n v="0"/>
    <x v="1"/>
    <n v="55"/>
    <n v="0"/>
  </r>
  <r>
    <x v="8"/>
    <x v="0"/>
    <n v="4612201200"/>
    <s v="4354 TWAIN AV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0"/>
    <n v="55"/>
    <n v="0"/>
  </r>
  <r>
    <x v="8"/>
    <x v="0"/>
    <n v="5331061300"/>
    <s v="2426 4th Avenue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17"/>
    <x v="1"/>
    <s v="398-236-05"/>
    <s v="301 E Santa Ana Blvd"/>
    <s v="5+"/>
    <x v="0"/>
    <n v="0"/>
    <n v="0"/>
    <n v="0"/>
    <n v="0"/>
    <n v="0"/>
    <n v="0"/>
    <x v="0"/>
    <n v="0"/>
    <n v="0"/>
    <n v="0"/>
    <n v="0"/>
    <n v="0"/>
    <n v="0"/>
    <n v="0"/>
    <n v="92"/>
    <n v="0"/>
    <n v="0"/>
    <n v="0"/>
    <x v="1"/>
    <n v="55"/>
    <n v="0"/>
  </r>
  <r>
    <x v="20"/>
    <x v="0"/>
    <s v="260-242-012"/>
    <s v="358 S E ST"/>
    <s v="5+"/>
    <x v="0"/>
    <n v="0"/>
    <n v="0"/>
    <n v="0"/>
    <n v="0"/>
    <n v="0"/>
    <n v="0"/>
    <x v="32"/>
    <n v="0"/>
    <n v="15"/>
    <n v="0"/>
    <n v="2"/>
    <n v="0"/>
    <n v="0"/>
    <n v="0"/>
    <n v="0"/>
    <n v="0"/>
    <n v="0"/>
    <n v="0"/>
    <x v="0"/>
    <n v="30"/>
    <n v="0"/>
  </r>
  <r>
    <x v="8"/>
    <x v="0"/>
    <n v="5332050300"/>
    <s v="2001 04TH AV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0"/>
  </r>
  <r>
    <x v="8"/>
    <x v="0"/>
    <n v="5395312900"/>
    <s v="1144 30TH ST"/>
    <s v="5+"/>
    <x v="0"/>
    <n v="0"/>
    <n v="0"/>
    <n v="0"/>
    <n v="0"/>
    <n v="0"/>
    <n v="0"/>
    <x v="0"/>
    <n v="0"/>
    <n v="0"/>
    <n v="0"/>
    <n v="0"/>
    <n v="0"/>
    <n v="0"/>
    <n v="0"/>
    <n v="2"/>
    <n v="0"/>
    <n v="0"/>
    <n v="0"/>
    <x v="0"/>
    <n v="55"/>
    <n v="0"/>
  </r>
  <r>
    <x v="15"/>
    <x v="1"/>
    <s v="001 013900100"/>
    <s v="430 BROADWAY, Oakland, CA 94607"/>
    <s v="5+"/>
    <x v="0"/>
    <n v="0"/>
    <n v="0"/>
    <n v="70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21"/>
    <x v="1"/>
    <s v="006-220-015-000"/>
    <s v="184 TONEA WAY, Bldg 3"/>
    <s v="5+"/>
    <x v="0"/>
    <n v="0"/>
    <n v="0"/>
    <n v="0"/>
    <n v="0"/>
    <n v="0"/>
    <n v="0"/>
    <x v="0"/>
    <n v="0"/>
    <n v="0"/>
    <n v="0"/>
    <n v="0"/>
    <n v="0"/>
    <n v="6"/>
    <n v="0"/>
    <n v="10"/>
    <n v="0"/>
    <n v="0"/>
    <n v="0"/>
    <x v="0"/>
    <n v="55"/>
    <n v="20"/>
  </r>
  <r>
    <x v="22"/>
    <x v="1"/>
    <s v="8567-010-015"/>
    <s v="11730 Ramona"/>
    <s v="5+"/>
    <x v="0"/>
    <n v="0"/>
    <n v="0"/>
    <n v="0"/>
    <n v="0"/>
    <n v="0"/>
    <n v="0"/>
    <x v="33"/>
    <n v="0"/>
    <n v="0"/>
    <n v="0"/>
    <n v="0"/>
    <n v="0"/>
    <n v="0"/>
    <n v="0"/>
    <n v="0"/>
    <n v="0"/>
    <n v="0"/>
    <n v="0"/>
    <x v="0"/>
    <m/>
    <n v="144"/>
  </r>
  <r>
    <x v="13"/>
    <x v="2"/>
    <n v="4702301600"/>
    <s v="4999 Baltimore Dr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0"/>
    <n v="55"/>
    <n v="20"/>
  </r>
  <r>
    <x v="8"/>
    <x v="0"/>
    <n v="4363621400"/>
    <s v="5526 LAURETTA ST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3"/>
    <x v="1"/>
    <n v="19410046000"/>
    <s v="11200 RUE IVY, TRUCKEE, CA 96161"/>
    <s v="5+"/>
    <x v="0"/>
    <n v="0"/>
    <n v="0"/>
    <n v="0"/>
    <n v="0"/>
    <n v="0"/>
    <n v="0"/>
    <x v="0"/>
    <n v="0"/>
    <n v="0"/>
    <n v="0"/>
    <n v="0"/>
    <n v="0"/>
    <n v="33"/>
    <n v="0"/>
    <n v="34"/>
    <n v="0"/>
    <n v="0"/>
    <n v="0"/>
    <x v="0"/>
    <n v="1000"/>
    <n v="40"/>
  </r>
  <r>
    <x v="16"/>
    <x v="1"/>
    <s v="0618-282-14"/>
    <s v="73476 El Paseo Drive"/>
    <s v="5+"/>
    <x v="0"/>
    <n v="0"/>
    <n v="0"/>
    <n v="0"/>
    <n v="6"/>
    <n v="0"/>
    <n v="0"/>
    <x v="0"/>
    <n v="0"/>
    <n v="0"/>
    <n v="6"/>
    <n v="0"/>
    <n v="0"/>
    <n v="0"/>
    <n v="0"/>
    <n v="0"/>
    <n v="0"/>
    <n v="0"/>
    <n v="0"/>
    <x v="0"/>
    <m/>
    <n v="6"/>
  </r>
  <r>
    <x v="8"/>
    <x v="0"/>
    <n v="4453232700"/>
    <s v="4364 ALABAMA ST"/>
    <s v="5+"/>
    <x v="0"/>
    <n v="0"/>
    <n v="0"/>
    <n v="0"/>
    <n v="0"/>
    <n v="0"/>
    <n v="0"/>
    <x v="0"/>
    <n v="0"/>
    <n v="2"/>
    <n v="0"/>
    <n v="0"/>
    <n v="0"/>
    <n v="0"/>
    <n v="0"/>
    <n v="0"/>
    <n v="0"/>
    <n v="0"/>
    <n v="0"/>
    <x v="0"/>
    <n v="55"/>
    <n v="0"/>
  </r>
  <r>
    <x v="8"/>
    <x v="0"/>
    <n v="4456500800"/>
    <s v="1661 HARVEY MILK S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8"/>
    <x v="0"/>
    <n v="4454011000"/>
    <s v="4234 MISSISSIPPI ST"/>
    <s v="5+"/>
    <x v="0"/>
    <n v="0"/>
    <n v="0"/>
    <n v="0"/>
    <n v="0"/>
    <n v="0"/>
    <n v="0"/>
    <x v="34"/>
    <n v="0"/>
    <n v="6"/>
    <n v="0"/>
    <n v="0"/>
    <n v="0"/>
    <n v="0"/>
    <n v="0"/>
    <n v="0"/>
    <n v="0"/>
    <n v="0"/>
    <n v="0"/>
    <x v="0"/>
    <n v="55"/>
    <n v="0"/>
  </r>
  <r>
    <x v="8"/>
    <x v="0"/>
    <n v="4613201200"/>
    <s v="4520 ALVARADO CANYON RD"/>
    <s v="5+"/>
    <x v="0"/>
    <n v="0"/>
    <n v="0"/>
    <n v="0"/>
    <n v="0"/>
    <n v="0"/>
    <n v="0"/>
    <x v="0"/>
    <n v="0"/>
    <n v="5"/>
    <n v="0"/>
    <n v="0"/>
    <n v="0"/>
    <n v="0"/>
    <n v="0"/>
    <n v="0"/>
    <n v="0"/>
    <n v="0"/>
    <n v="0"/>
    <x v="1"/>
    <n v="55"/>
    <n v="0"/>
  </r>
  <r>
    <x v="8"/>
    <x v="0"/>
    <n v="6461021600"/>
    <s v="7217 COLCHESTER CT"/>
    <s v="5+"/>
    <x v="0"/>
    <n v="0"/>
    <n v="0"/>
    <n v="0"/>
    <n v="0"/>
    <n v="0"/>
    <n v="0"/>
    <x v="0"/>
    <n v="0"/>
    <n v="10"/>
    <n v="0"/>
    <n v="0"/>
    <n v="0"/>
    <n v="0"/>
    <n v="0"/>
    <n v="0"/>
    <n v="0"/>
    <n v="0"/>
    <n v="0"/>
    <x v="1"/>
    <n v="55"/>
    <n v="0"/>
  </r>
  <r>
    <x v="21"/>
    <x v="1"/>
    <s v="006-220-015-000"/>
    <s v="184 TONEA WAY, Bldg 1"/>
    <s v="5+"/>
    <x v="0"/>
    <n v="0"/>
    <n v="0"/>
    <n v="0"/>
    <n v="0"/>
    <n v="0"/>
    <n v="0"/>
    <x v="0"/>
    <n v="0"/>
    <n v="0"/>
    <n v="0"/>
    <n v="0"/>
    <n v="0"/>
    <n v="0"/>
    <n v="0"/>
    <n v="15"/>
    <n v="0"/>
    <n v="0"/>
    <n v="1"/>
    <x v="0"/>
    <n v="55"/>
    <n v="20"/>
  </r>
  <r>
    <x v="24"/>
    <x v="0"/>
    <d v="1963-01-19T00:00:00"/>
    <s v="2311 N. HOLLYWOOD WAY"/>
    <s v="5+"/>
    <x v="0"/>
    <n v="8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1"/>
    <s v="040 339600400"/>
    <s v="7521 MACARTHUR BLVD, Oakland, CA 94605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0"/>
  </r>
  <r>
    <x v="25"/>
    <x v="1"/>
    <n v="8636013"/>
    <s v="355 Sango Ct"/>
    <s v="5+"/>
    <x v="0"/>
    <n v="0"/>
    <n v="0"/>
    <n v="0"/>
    <n v="0"/>
    <n v="0"/>
    <n v="0"/>
    <x v="0"/>
    <n v="0"/>
    <n v="0"/>
    <n v="0"/>
    <n v="0"/>
    <n v="0"/>
    <n v="93"/>
    <n v="0"/>
    <n v="8"/>
    <n v="0"/>
    <n v="0"/>
    <n v="0"/>
    <x v="0"/>
    <n v="55"/>
    <n v="36"/>
  </r>
  <r>
    <x v="8"/>
    <x v="0"/>
    <n v="5341622500"/>
    <s v="2654 B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23 PENASQUITOS DR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03 PENASQUITOS DR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8"/>
    <x v="0"/>
    <n v="4456921800"/>
    <s v="3918 ARIZONA ST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8"/>
    <x v="0"/>
    <n v="4413700100"/>
    <s v="3910 CHAPMAN S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21"/>
    <x v="1"/>
    <s v="006-220-015-000"/>
    <s v="184 TONEA WAY, Bldg 7"/>
    <s v="5+"/>
    <x v="0"/>
    <n v="0"/>
    <n v="0"/>
    <n v="0"/>
    <n v="0"/>
    <n v="0"/>
    <n v="0"/>
    <x v="0"/>
    <n v="0"/>
    <n v="0"/>
    <n v="0"/>
    <n v="0"/>
    <n v="0"/>
    <n v="16"/>
    <n v="0"/>
    <n v="0"/>
    <n v="0"/>
    <n v="0"/>
    <n v="0"/>
    <x v="0"/>
    <n v="55"/>
    <n v="20"/>
  </r>
  <r>
    <x v="26"/>
    <x v="1"/>
    <s v="147-40-056"/>
    <s v="2580  CALIFORNIA ST"/>
    <s v="5+"/>
    <x v="0"/>
    <n v="0"/>
    <n v="0"/>
    <n v="0"/>
    <n v="0"/>
    <n v="0"/>
    <n v="0"/>
    <x v="0"/>
    <n v="0"/>
    <n v="0"/>
    <n v="0"/>
    <n v="0"/>
    <n v="0"/>
    <n v="0"/>
    <n v="0"/>
    <n v="3"/>
    <n v="0"/>
    <n v="6"/>
    <n v="0"/>
    <x v="1"/>
    <m/>
    <n v="0"/>
  </r>
  <r>
    <x v="26"/>
    <x v="1"/>
    <s v="153-15-032"/>
    <s v="1001 N SHORELINE BLVD"/>
    <s v="5+"/>
    <x v="0"/>
    <n v="0"/>
    <n v="0"/>
    <n v="0"/>
    <n v="0"/>
    <n v="0"/>
    <n v="0"/>
    <x v="7"/>
    <n v="0"/>
    <n v="10"/>
    <n v="0"/>
    <n v="10"/>
    <n v="0"/>
    <n v="0"/>
    <n v="0"/>
    <n v="0"/>
    <n v="0"/>
    <n v="0"/>
    <n v="0"/>
    <x v="1"/>
    <n v="1000"/>
    <n v="0"/>
  </r>
  <r>
    <x v="27"/>
    <x v="1"/>
    <s v="941 120109403"/>
    <s v="1008 Stoneridge Mall Road"/>
    <s v="5+"/>
    <x v="0"/>
    <n v="0"/>
    <n v="0"/>
    <n v="58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2"/>
    <x v="3"/>
    <s v="5675-025-006"/>
    <s v="518 E Windsor Rd"/>
    <s v="5+"/>
    <x v="1"/>
    <n v="0"/>
    <n v="0"/>
    <n v="0"/>
    <n v="0"/>
    <n v="9"/>
    <n v="0"/>
    <x v="0"/>
    <n v="0"/>
    <n v="0"/>
    <n v="0"/>
    <n v="9"/>
    <n v="0"/>
    <n v="0"/>
    <n v="0"/>
    <n v="0"/>
    <n v="0"/>
    <n v="9"/>
    <n v="0"/>
    <x v="0"/>
    <n v="55"/>
    <s v="78.900000000000006"/>
  </r>
  <r>
    <x v="2"/>
    <x v="3"/>
    <n v="5623005038"/>
    <s v="1407 W. Glenoaks"/>
    <s v="5+"/>
    <x v="0"/>
    <n v="5"/>
    <n v="0"/>
    <n v="0"/>
    <n v="0"/>
    <n v="0"/>
    <n v="0"/>
    <x v="12"/>
    <n v="0"/>
    <n v="0"/>
    <n v="0"/>
    <n v="0"/>
    <n v="0"/>
    <n v="5"/>
    <n v="0"/>
    <n v="0"/>
    <n v="0"/>
    <n v="0"/>
    <n v="0"/>
    <x v="0"/>
    <n v="55"/>
    <n v="35"/>
  </r>
  <r>
    <x v="2"/>
    <x v="1"/>
    <n v="5643006012"/>
    <s v="503 N KENWOOD ST"/>
    <s v="5+"/>
    <x v="0"/>
    <n v="3"/>
    <n v="0"/>
    <n v="0"/>
    <n v="0"/>
    <n v="0"/>
    <n v="0"/>
    <x v="2"/>
    <n v="0"/>
    <n v="0"/>
    <n v="0"/>
    <n v="0"/>
    <n v="0"/>
    <n v="0"/>
    <n v="0"/>
    <n v="0"/>
    <n v="0"/>
    <n v="0"/>
    <n v="0"/>
    <x v="0"/>
    <m/>
    <n v="35"/>
  </r>
  <r>
    <x v="2"/>
    <x v="1"/>
    <n v="5637020013"/>
    <s v="424 W MILFORD STREET_x000a_GLENDALE, CA 91203"/>
    <s v="5+"/>
    <x v="0"/>
    <n v="0"/>
    <n v="0"/>
    <n v="8"/>
    <n v="0"/>
    <n v="0"/>
    <n v="0"/>
    <x v="0"/>
    <n v="0"/>
    <n v="0"/>
    <n v="0"/>
    <n v="0"/>
    <n v="0"/>
    <n v="0"/>
    <n v="0"/>
    <n v="0"/>
    <n v="0"/>
    <n v="0"/>
    <n v="0"/>
    <x v="0"/>
    <m/>
    <n v="153"/>
  </r>
  <r>
    <x v="17"/>
    <x v="1"/>
    <s v="398-523-04"/>
    <s v="1411 N Broadway"/>
    <s v="5+"/>
    <x v="0"/>
    <n v="0"/>
    <n v="0"/>
    <n v="0"/>
    <n v="0"/>
    <n v="0"/>
    <n v="0"/>
    <x v="20"/>
    <n v="0"/>
    <n v="0"/>
    <n v="0"/>
    <n v="0"/>
    <n v="0"/>
    <n v="0"/>
    <n v="0"/>
    <n v="0"/>
    <n v="0"/>
    <n v="0"/>
    <n v="0"/>
    <x v="1"/>
    <n v="55"/>
    <n v="0"/>
  </r>
  <r>
    <x v="13"/>
    <x v="1"/>
    <n v="4948400900"/>
    <s v="8940 DAILEY Rd"/>
    <s v="5+"/>
    <x v="0"/>
    <n v="0"/>
    <n v="0"/>
    <n v="1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8"/>
    <x v="1"/>
    <n v="21276330"/>
    <s v="1301 Broadway"/>
    <s v="5+"/>
    <x v="0"/>
    <n v="14"/>
    <n v="0"/>
    <n v="5"/>
    <n v="0"/>
    <n v="0"/>
    <n v="0"/>
    <x v="0"/>
    <n v="0"/>
    <n v="0"/>
    <n v="0"/>
    <n v="0"/>
    <n v="0"/>
    <n v="0"/>
    <n v="0"/>
    <n v="0"/>
    <n v="0"/>
    <n v="0"/>
    <n v="0"/>
    <x v="0"/>
    <m/>
    <n v="46"/>
  </r>
  <r>
    <x v="2"/>
    <x v="3"/>
    <n v="5695015030"/>
    <s v="423 OAK ST_x000a_GLENDALE, CA 91204"/>
    <s v="5+"/>
    <x v="0"/>
    <n v="0"/>
    <n v="0"/>
    <n v="2"/>
    <n v="0"/>
    <n v="0"/>
    <n v="0"/>
    <x v="0"/>
    <n v="0"/>
    <n v="2"/>
    <n v="0"/>
    <n v="0"/>
    <n v="0"/>
    <n v="0"/>
    <n v="0"/>
    <n v="0"/>
    <n v="0"/>
    <n v="0"/>
    <n v="0"/>
    <x v="0"/>
    <m/>
    <n v="35"/>
  </r>
  <r>
    <x v="2"/>
    <x v="3"/>
    <n v="5640041029"/>
    <s v="1838 S BRAND BLVD_x000a_GLENDALE, CA 91204"/>
    <s v="5+"/>
    <x v="0"/>
    <n v="5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m/>
    <n v="0"/>
  </r>
  <r>
    <x v="18"/>
    <x v="1"/>
    <s v="241-020-024"/>
    <s v="100 Woodbury Highlands Pl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3"/>
    <n v="0"/>
    <x v="1"/>
    <m/>
    <n v="0"/>
  </r>
  <r>
    <x v="13"/>
    <x v="2"/>
    <n v="4946410900"/>
    <s v="4400 Palm Ave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1"/>
    <s v="012 099400300"/>
    <s v="4185 PIEDMONT AVE, Oakland, CA 94611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26"/>
    <x v="1"/>
    <s v="189-33-028"/>
    <s v="918 Rich Ave"/>
    <s v="5+"/>
    <x v="1"/>
    <n v="2"/>
    <n v="0"/>
    <n v="0"/>
    <n v="0"/>
    <n v="2"/>
    <n v="0"/>
    <x v="0"/>
    <n v="0"/>
    <n v="0"/>
    <n v="0"/>
    <n v="0"/>
    <n v="0"/>
    <n v="0"/>
    <n v="0"/>
    <n v="0"/>
    <n v="0"/>
    <n v="0"/>
    <n v="0"/>
    <x v="0"/>
    <n v="1000"/>
    <n v="27.5"/>
  </r>
  <r>
    <x v="29"/>
    <x v="1"/>
    <s v="6226-014-015"/>
    <s v="4936 Live Oak"/>
    <s v="5+"/>
    <x v="0"/>
    <n v="7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50"/>
  </r>
  <r>
    <x v="2"/>
    <x v="3"/>
    <n v="5637003054"/>
    <s v="314 W DORAN ST_x000a_GLENDALE, CA 91203"/>
    <s v="5+"/>
    <x v="0"/>
    <n v="0"/>
    <n v="0"/>
    <n v="3"/>
    <n v="0"/>
    <n v="0"/>
    <n v="0"/>
    <x v="0"/>
    <n v="0"/>
    <n v="3"/>
    <n v="0"/>
    <n v="0"/>
    <n v="0"/>
    <n v="0"/>
    <n v="0"/>
    <n v="0"/>
    <n v="0"/>
    <n v="0"/>
    <n v="0"/>
    <x v="0"/>
    <m/>
    <n v="35"/>
  </r>
  <r>
    <x v="2"/>
    <x v="1"/>
    <n v="5675030006"/>
    <s v="913 S ADAMS ST"/>
    <s v="5+"/>
    <x v="0"/>
    <n v="2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35"/>
  </r>
  <r>
    <x v="2"/>
    <x v="1"/>
    <n v="5640041029"/>
    <s v="1838 S BRAND BLVD"/>
    <s v="5+"/>
    <x v="0"/>
    <n v="5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m/>
    <n v="0"/>
  </r>
  <r>
    <x v="4"/>
    <x v="2"/>
    <s v="004-961-087"/>
    <s v="1241 Laurel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4"/>
    <x v="2"/>
    <s v="004-705-021"/>
    <s v="3550 Ranch House"/>
    <s v="5+"/>
    <x v="0"/>
    <n v="0"/>
    <n v="0"/>
    <n v="0"/>
    <n v="0"/>
    <n v="0"/>
    <n v="0"/>
    <x v="0"/>
    <n v="0"/>
    <n v="0"/>
    <n v="0"/>
    <n v="0"/>
    <n v="0"/>
    <n v="0"/>
    <n v="0"/>
    <n v="2"/>
    <n v="0"/>
    <n v="0"/>
    <n v="0"/>
    <x v="1"/>
    <n v="55"/>
    <n v="0"/>
  </r>
  <r>
    <x v="4"/>
    <x v="2"/>
    <s v="052-162-007"/>
    <s v="53 Palomar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0"/>
    <n v="55"/>
    <n v="0"/>
  </r>
  <r>
    <x v="30"/>
    <x v="1"/>
    <s v="3018-014-074"/>
    <s v="38533 25th Street East"/>
    <s v="5+"/>
    <x v="0"/>
    <n v="0"/>
    <n v="0"/>
    <n v="0"/>
    <n v="0"/>
    <n v="0"/>
    <n v="0"/>
    <x v="0"/>
    <n v="0"/>
    <n v="149"/>
    <n v="0"/>
    <n v="0"/>
    <n v="0"/>
    <n v="0"/>
    <n v="0"/>
    <n v="0"/>
    <n v="0"/>
    <n v="0"/>
    <n v="0"/>
    <x v="0"/>
    <n v="55"/>
    <n v="0"/>
  </r>
  <r>
    <x v="30"/>
    <x v="1"/>
    <s v="3008-040-012"/>
    <s v="38732 9th Street East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"/>
  </r>
  <r>
    <x v="31"/>
    <x v="1"/>
    <n v="20522040"/>
    <s v="1040 INDIAN WELLS AV Unit: 100"/>
    <s v="5+"/>
    <x v="0"/>
    <n v="0"/>
    <n v="0"/>
    <n v="0"/>
    <n v="0"/>
    <n v="0"/>
    <n v="0"/>
    <x v="0"/>
    <n v="0"/>
    <n v="0"/>
    <n v="0"/>
    <n v="0"/>
    <n v="0"/>
    <n v="13"/>
    <n v="0"/>
    <n v="0"/>
    <n v="0"/>
    <n v="0"/>
    <n v="134"/>
    <x v="1"/>
    <n v="55"/>
    <n v="0"/>
  </r>
  <r>
    <x v="2"/>
    <x v="1"/>
    <n v="5640029014"/>
    <s v="1642 S CENTRAL AVENUE_x000a_GLENDALE, CA 91204"/>
    <s v="5+"/>
    <x v="0"/>
    <n v="0"/>
    <n v="0"/>
    <n v="3"/>
    <n v="0"/>
    <n v="0"/>
    <n v="0"/>
    <x v="0"/>
    <n v="0"/>
    <n v="0"/>
    <n v="0"/>
    <n v="0"/>
    <n v="0"/>
    <n v="0"/>
    <n v="0"/>
    <n v="0"/>
    <n v="0"/>
    <n v="0"/>
    <n v="0"/>
    <x v="0"/>
    <m/>
    <n v="35"/>
  </r>
  <r>
    <x v="32"/>
    <x v="2"/>
    <n v="4291005014"/>
    <s v="1235  5TH ST"/>
    <s v="5+"/>
    <x v="0"/>
    <n v="0"/>
    <n v="0"/>
    <n v="0"/>
    <n v="0"/>
    <n v="0"/>
    <n v="0"/>
    <x v="0"/>
    <n v="0"/>
    <n v="3"/>
    <n v="0"/>
    <n v="2"/>
    <n v="0"/>
    <n v="0"/>
    <n v="0"/>
    <n v="0"/>
    <n v="0"/>
    <n v="0"/>
    <n v="0"/>
    <x v="1"/>
    <n v="55"/>
    <n v="0"/>
  </r>
  <r>
    <x v="32"/>
    <x v="2"/>
    <n v="4291019027"/>
    <s v="501 Broadway"/>
    <s v="5+"/>
    <x v="0"/>
    <n v="19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33"/>
    <x v="2"/>
    <n v="29231210"/>
    <s v="128 Lorton_x000a_Avenue"/>
    <s v="5+"/>
    <x v="1"/>
    <n v="0"/>
    <n v="0"/>
    <n v="0"/>
    <n v="0"/>
    <n v="2"/>
    <n v="0"/>
    <x v="0"/>
    <n v="0"/>
    <n v="0"/>
    <n v="0"/>
    <n v="0"/>
    <n v="0"/>
    <n v="0"/>
    <n v="0"/>
    <n v="0"/>
    <n v="0"/>
    <n v="0"/>
    <n v="0"/>
    <x v="0"/>
    <n v="55"/>
    <n v="0"/>
  </r>
  <r>
    <x v="8"/>
    <x v="0"/>
    <n v="4455212200"/>
    <s v="4130 LOUISIANA ST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55"/>
    <n v="0"/>
  </r>
  <r>
    <x v="22"/>
    <x v="1"/>
    <s v="8575-019-030"/>
    <s v="3643 Tyler Ave"/>
    <s v="5+"/>
    <x v="0"/>
    <n v="0"/>
    <n v="0"/>
    <n v="0"/>
    <n v="0"/>
    <n v="0"/>
    <n v="0"/>
    <x v="29"/>
    <n v="0"/>
    <n v="35"/>
    <n v="0"/>
    <n v="0"/>
    <n v="0"/>
    <n v="0"/>
    <n v="0"/>
    <n v="0"/>
    <n v="0"/>
    <n v="0"/>
    <n v="0"/>
    <x v="0"/>
    <m/>
    <n v="35"/>
  </r>
  <r>
    <x v="18"/>
    <x v="1"/>
    <s v="241-020-025"/>
    <s v="110 Woodbury Highlands Pl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2"/>
    <n v="0"/>
    <x v="1"/>
    <m/>
    <n v="0"/>
  </r>
  <r>
    <x v="18"/>
    <x v="1"/>
    <s v="233-260-014"/>
    <s v="3410 Mt Diablo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8"/>
  </r>
  <r>
    <x v="18"/>
    <x v="1"/>
    <s v="241-020-032"/>
    <s v="70 Woodbury Highlands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0"/>
    <n v="5502210800"/>
    <s v="3843 NATIONAL AV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55"/>
    <n v="0"/>
  </r>
  <r>
    <x v="4"/>
    <x v="2"/>
    <s v="052-041-084"/>
    <s v="790 Foothill"/>
    <s v="5+"/>
    <x v="0"/>
    <n v="0"/>
    <n v="0"/>
    <n v="0"/>
    <n v="0"/>
    <n v="0"/>
    <n v="0"/>
    <x v="28"/>
    <n v="0"/>
    <n v="0"/>
    <n v="0"/>
    <n v="0"/>
    <n v="0"/>
    <n v="0"/>
    <n v="0"/>
    <n v="0"/>
    <n v="0"/>
    <n v="0"/>
    <n v="0"/>
    <x v="0"/>
    <n v="55"/>
    <n v="0"/>
  </r>
  <r>
    <x v="4"/>
    <x v="2"/>
    <s v="004-705-002"/>
    <s v="3570 Ranch Hous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8"/>
    <x v="0"/>
    <n v="5331630500"/>
    <s v="2015 ALBATROSS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8"/>
    <x v="0"/>
    <n v="4453512400"/>
    <s v="4384 HAMILTON S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8"/>
    <x v="0"/>
    <n v="4312820100"/>
    <s v="2341 ULRIC ST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8"/>
    <x v="0"/>
    <n v="4530420100"/>
    <s v="2441 University Avenue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53 PENASQUITOS DR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8"/>
    <x v="0"/>
    <n v="4624401700"/>
    <s v="5230 Adobe Falls Road"/>
    <s v="5+"/>
    <x v="0"/>
    <n v="0"/>
    <n v="0"/>
    <n v="0"/>
    <n v="0"/>
    <n v="0"/>
    <n v="0"/>
    <x v="25"/>
    <n v="0"/>
    <n v="0"/>
    <n v="0"/>
    <n v="0"/>
    <n v="0"/>
    <n v="0"/>
    <n v="0"/>
    <n v="0"/>
    <n v="0"/>
    <n v="0"/>
    <n v="0"/>
    <x v="0"/>
    <n v="55"/>
    <n v="0"/>
  </r>
  <r>
    <x v="21"/>
    <x v="1"/>
    <s v="006-220-015-000"/>
    <s v="184 TONEA WAY, Bldg 4"/>
    <s v="5+"/>
    <x v="0"/>
    <n v="0"/>
    <n v="0"/>
    <n v="0"/>
    <n v="0"/>
    <n v="0"/>
    <n v="0"/>
    <x v="0"/>
    <n v="0"/>
    <n v="0"/>
    <n v="0"/>
    <n v="0"/>
    <n v="0"/>
    <n v="16"/>
    <n v="0"/>
    <n v="0"/>
    <n v="0"/>
    <n v="0"/>
    <n v="0"/>
    <x v="0"/>
    <n v="55"/>
    <n v="20"/>
  </r>
  <r>
    <x v="21"/>
    <x v="1"/>
    <s v="006-220-015-000"/>
    <s v="184 TONEA WAY, Bldg 6"/>
    <s v="5+"/>
    <x v="0"/>
    <n v="0"/>
    <n v="0"/>
    <n v="0"/>
    <n v="0"/>
    <n v="0"/>
    <n v="0"/>
    <x v="0"/>
    <n v="0"/>
    <n v="0"/>
    <n v="0"/>
    <n v="0"/>
    <n v="0"/>
    <n v="16"/>
    <n v="0"/>
    <n v="0"/>
    <n v="0"/>
    <n v="0"/>
    <n v="0"/>
    <x v="0"/>
    <n v="55"/>
    <n v="20"/>
  </r>
  <r>
    <x v="32"/>
    <x v="2"/>
    <n v="4282025017"/>
    <s v="1445  10TH ST"/>
    <s v="5+"/>
    <x v="0"/>
    <n v="0"/>
    <n v="0"/>
    <n v="0"/>
    <n v="0"/>
    <n v="0"/>
    <n v="0"/>
    <x v="35"/>
    <n v="0"/>
    <n v="15"/>
    <n v="0"/>
    <n v="0"/>
    <n v="0"/>
    <n v="0"/>
    <n v="0"/>
    <n v="0"/>
    <n v="0"/>
    <n v="0"/>
    <n v="0"/>
    <x v="1"/>
    <n v="55"/>
    <n v="0"/>
  </r>
  <r>
    <x v="34"/>
    <x v="1"/>
    <s v="034-123-05"/>
    <s v="4401 Capitola Rd"/>
    <s v="5+"/>
    <x v="0"/>
    <n v="25"/>
    <n v="0"/>
    <n v="10"/>
    <n v="0"/>
    <n v="0"/>
    <n v="1"/>
    <x v="36"/>
    <n v="0"/>
    <n v="10"/>
    <n v="0"/>
    <n v="0"/>
    <n v="1"/>
    <n v="0"/>
    <n v="0"/>
    <n v="0"/>
    <n v="0"/>
    <n v="0"/>
    <n v="0"/>
    <x v="1"/>
    <m/>
    <n v="0"/>
  </r>
  <r>
    <x v="32"/>
    <x v="2"/>
    <n v="4282025010"/>
    <s v="1444  11TH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2"/>
    <n v="0"/>
    <x v="1"/>
    <m/>
    <n v="0"/>
  </r>
  <r>
    <x v="35"/>
    <x v="2"/>
    <n v="2161701400"/>
    <s v="VIEJO CASTILLA WY"/>
    <s v="5+"/>
    <x v="0"/>
    <n v="0"/>
    <n v="0"/>
    <n v="4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35"/>
    <x v="2"/>
    <n v="2120405600"/>
    <s v="1205 AVIARA PKWY"/>
    <s v="5+"/>
    <x v="0"/>
    <n v="7"/>
    <n v="0"/>
    <n v="62"/>
    <n v="0"/>
    <n v="12"/>
    <n v="0"/>
    <x v="0"/>
    <n v="0"/>
    <n v="0"/>
    <n v="0"/>
    <n v="0"/>
    <n v="0"/>
    <n v="0"/>
    <n v="0"/>
    <n v="0"/>
    <n v="0"/>
    <n v="0"/>
    <n v="0"/>
    <x v="1"/>
    <m/>
    <n v="0"/>
  </r>
  <r>
    <x v="15"/>
    <x v="1"/>
    <s v="040A340802203"/>
    <s v="7300 MACARTHUR BLVD, Oakland, CA 94605"/>
    <s v="5+"/>
    <x v="0"/>
    <n v="18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s v="38.799999999999997"/>
  </r>
  <r>
    <x v="13"/>
    <x v="1"/>
    <n v="4948402500"/>
    <s v="8875 LA MESA Blvd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"/>
    <x v="1"/>
    <n v="4946410900"/>
    <s v="4400 PALM Ave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4"/>
    <x v="0"/>
    <m/>
    <s v="650  S SIXTH ST"/>
    <s v="5+"/>
    <x v="0"/>
    <n v="0"/>
    <n v="0"/>
    <n v="0"/>
    <n v="0"/>
    <n v="0"/>
    <n v="0"/>
    <x v="2"/>
    <n v="0"/>
    <n v="5"/>
    <n v="0"/>
    <n v="0"/>
    <n v="0"/>
    <n v="3"/>
    <n v="0"/>
    <n v="5"/>
    <n v="0"/>
    <n v="0"/>
    <n v="0"/>
    <x v="0"/>
    <n v="55"/>
    <n v="0"/>
  </r>
  <r>
    <x v="26"/>
    <x v="1"/>
    <s v="158-01-038"/>
    <s v="96 W El Camino Real"/>
    <s v="5+"/>
    <x v="0"/>
    <n v="40"/>
    <n v="0"/>
    <n v="38"/>
    <n v="0"/>
    <n v="1"/>
    <n v="0"/>
    <x v="0"/>
    <n v="0"/>
    <n v="0"/>
    <n v="0"/>
    <n v="0"/>
    <n v="0"/>
    <n v="0"/>
    <n v="0"/>
    <n v="0"/>
    <n v="0"/>
    <n v="0"/>
    <n v="0"/>
    <x v="0"/>
    <n v="55"/>
    <n v="18"/>
  </r>
  <r>
    <x v="26"/>
    <x v="1"/>
    <s v="158-07-019"/>
    <s v="950 W EL CAMINO REAL"/>
    <s v="5+"/>
    <x v="0"/>
    <n v="0"/>
    <n v="0"/>
    <n v="0"/>
    <n v="0"/>
    <n v="0"/>
    <n v="0"/>
    <x v="0"/>
    <n v="0"/>
    <n v="0"/>
    <n v="0"/>
    <n v="0"/>
    <n v="0"/>
    <n v="42"/>
    <n v="0"/>
    <n v="28"/>
    <n v="0"/>
    <n v="0"/>
    <n v="0"/>
    <x v="0"/>
    <n v="55"/>
    <n v="5"/>
  </r>
  <r>
    <x v="8"/>
    <x v="0"/>
    <n v="4523612400"/>
    <s v="3634 INDIANA S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8"/>
    <x v="0"/>
    <n v="5395921100"/>
    <s v="2915 E Street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8"/>
    <x v="0"/>
    <n v="4456413200"/>
    <s v="3935 NORMAL ST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43 PENASQUITOS DR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21"/>
    <x v="1"/>
    <s v="006-100-049-000"/>
    <s v="2324 ESPLANADE"/>
    <s v="5+"/>
    <x v="0"/>
    <n v="37"/>
    <n v="0"/>
    <n v="0"/>
    <n v="0"/>
    <n v="0"/>
    <n v="1"/>
    <x v="37"/>
    <n v="0"/>
    <n v="0"/>
    <n v="0"/>
    <n v="0"/>
    <n v="1"/>
    <n v="0"/>
    <n v="0"/>
    <n v="0"/>
    <n v="0"/>
    <n v="0"/>
    <n v="0"/>
    <x v="0"/>
    <n v="55"/>
    <n v="35"/>
  </r>
  <r>
    <x v="21"/>
    <x v="1"/>
    <s v="006-220-015-000"/>
    <s v="184 TONEA WAY, Bldg 5"/>
    <s v="5+"/>
    <x v="0"/>
    <n v="0"/>
    <n v="0"/>
    <n v="0"/>
    <n v="0"/>
    <n v="0"/>
    <n v="0"/>
    <x v="0"/>
    <n v="0"/>
    <n v="0"/>
    <n v="0"/>
    <n v="0"/>
    <n v="0"/>
    <n v="8"/>
    <n v="0"/>
    <n v="0"/>
    <n v="0"/>
    <n v="0"/>
    <n v="0"/>
    <x v="0"/>
    <n v="55"/>
    <n v="20"/>
  </r>
  <r>
    <x v="15"/>
    <x v="1"/>
    <s v="008 062503200"/>
    <s v="1510 WEBSTER ST, Oakland, CA 94612"/>
    <s v="5+"/>
    <x v="0"/>
    <n v="13"/>
    <n v="0"/>
    <n v="0"/>
    <n v="0"/>
    <n v="43"/>
    <n v="0"/>
    <x v="21"/>
    <n v="0"/>
    <n v="0"/>
    <n v="0"/>
    <n v="43"/>
    <n v="0"/>
    <n v="0"/>
    <n v="0"/>
    <n v="0"/>
    <n v="0"/>
    <n v="0"/>
    <n v="0"/>
    <x v="0"/>
    <n v="55"/>
    <n v="49.5"/>
  </r>
  <r>
    <x v="15"/>
    <x v="1"/>
    <s v="016 144205000"/>
    <s v="1031 62ND ST, Oakland, CA 94608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46.299999999999997"/>
  </r>
  <r>
    <x v="36"/>
    <x v="0"/>
    <s v="901-111-19"/>
    <s v="2086 NewPark Mall Road"/>
    <s v="5+"/>
    <x v="0"/>
    <n v="4"/>
    <n v="0"/>
    <n v="9"/>
    <n v="0"/>
    <n v="16"/>
    <n v="0"/>
    <x v="0"/>
    <n v="0"/>
    <n v="0"/>
    <n v="0"/>
    <n v="0"/>
    <n v="0"/>
    <n v="0"/>
    <n v="0"/>
    <n v="0"/>
    <n v="0"/>
    <n v="0"/>
    <n v="0"/>
    <x v="1"/>
    <n v="55"/>
    <n v="0"/>
  </r>
  <r>
    <x v="25"/>
    <x v="0"/>
    <n v="8636013"/>
    <s v="355 Sango Ct"/>
    <s v="5+"/>
    <x v="0"/>
    <n v="0"/>
    <n v="0"/>
    <n v="0"/>
    <n v="0"/>
    <n v="0"/>
    <n v="0"/>
    <x v="38"/>
    <n v="0"/>
    <n v="10"/>
    <n v="0"/>
    <n v="0"/>
    <n v="0"/>
    <n v="0"/>
    <n v="0"/>
    <n v="0"/>
    <n v="0"/>
    <n v="0"/>
    <n v="0"/>
    <x v="0"/>
    <n v="55"/>
    <n v="36"/>
  </r>
  <r>
    <x v="37"/>
    <x v="0"/>
    <s v="163-171-037; 163-171-031, 163-171-032"/>
    <s v="Shiloh Road/Old Redwood Hwy"/>
    <s v="5+"/>
    <x v="0"/>
    <n v="0"/>
    <n v="0"/>
    <n v="133"/>
    <n v="0"/>
    <n v="1"/>
    <n v="0"/>
    <x v="0"/>
    <n v="0"/>
    <n v="0"/>
    <n v="0"/>
    <n v="0"/>
    <n v="0"/>
    <n v="0"/>
    <n v="0"/>
    <n v="0"/>
    <n v="0"/>
    <n v="0"/>
    <n v="0"/>
    <x v="0"/>
    <n v="55"/>
    <n v="13"/>
  </r>
  <r>
    <x v="37"/>
    <x v="0"/>
    <s v="164-050-046"/>
    <s v="8490 Old Redwood Hwy"/>
    <s v="5+"/>
    <x v="0"/>
    <n v="24"/>
    <n v="0"/>
    <n v="27"/>
    <n v="0"/>
    <n v="1"/>
    <n v="0"/>
    <x v="35"/>
    <n v="0"/>
    <n v="27"/>
    <n v="0"/>
    <n v="1"/>
    <n v="0"/>
    <n v="0"/>
    <n v="0"/>
    <n v="0"/>
    <n v="0"/>
    <n v="0"/>
    <n v="0"/>
    <x v="1"/>
    <n v="55"/>
    <n v="0"/>
  </r>
  <r>
    <x v="33"/>
    <x v="2"/>
    <s v="25150160, 25150190"/>
    <s v="1870-1876 El Camino Real"/>
    <s v="5+"/>
    <x v="0"/>
    <n v="0"/>
    <n v="0"/>
    <n v="0"/>
    <n v="0"/>
    <n v="17"/>
    <n v="0"/>
    <x v="0"/>
    <n v="0"/>
    <n v="0"/>
    <n v="0"/>
    <n v="0"/>
    <n v="0"/>
    <n v="0"/>
    <n v="0"/>
    <n v="0"/>
    <n v="0"/>
    <n v="0"/>
    <n v="0"/>
    <x v="0"/>
    <n v="55"/>
    <n v="0"/>
  </r>
  <r>
    <x v="33"/>
    <x v="2"/>
    <n v="29224270"/>
    <s v="150 Park Road"/>
    <s v="5+"/>
    <x v="0"/>
    <n v="0"/>
    <n v="0"/>
    <n v="0"/>
    <n v="0"/>
    <n v="0"/>
    <n v="0"/>
    <x v="39"/>
    <n v="0"/>
    <n v="35"/>
    <n v="0"/>
    <n v="15"/>
    <n v="0"/>
    <n v="0"/>
    <n v="0"/>
    <n v="0"/>
    <n v="0"/>
    <n v="0"/>
    <n v="0"/>
    <x v="0"/>
    <n v="55"/>
    <n v="0"/>
  </r>
  <r>
    <x v="38"/>
    <x v="4"/>
    <s v="008-162-19"/>
    <s v="801 RIVER ST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38"/>
    <x v="4"/>
    <s v="004-081-12"/>
    <s v="190 West Cliff Dr"/>
    <s v="5+"/>
    <x v="1"/>
    <n v="8"/>
    <n v="0"/>
    <n v="2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2"/>
    <x v="1"/>
    <n v="5637003054"/>
    <s v="314 W DORAN ST"/>
    <s v="5+"/>
    <x v="0"/>
    <n v="0"/>
    <n v="0"/>
    <n v="3"/>
    <n v="0"/>
    <n v="0"/>
    <n v="0"/>
    <x v="0"/>
    <n v="0"/>
    <n v="3"/>
    <n v="0"/>
    <n v="0"/>
    <n v="0"/>
    <n v="0"/>
    <n v="0"/>
    <n v="0"/>
    <n v="0"/>
    <n v="0"/>
    <n v="0"/>
    <x v="0"/>
    <m/>
    <n v="35"/>
  </r>
  <r>
    <x v="13"/>
    <x v="1"/>
    <n v="4948402500"/>
    <s v="8875 LA MESA Blvd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5"/>
    <x v="0"/>
    <n v="8636036"/>
    <s v="308 Sango Ct"/>
    <s v="5+"/>
    <x v="0"/>
    <n v="0"/>
    <n v="0"/>
    <n v="51"/>
    <n v="0"/>
    <n v="34"/>
    <n v="0"/>
    <x v="0"/>
    <n v="0"/>
    <n v="0"/>
    <n v="0"/>
    <n v="0"/>
    <n v="0"/>
    <n v="0"/>
    <n v="0"/>
    <n v="0"/>
    <n v="0"/>
    <n v="0"/>
    <n v="0"/>
    <x v="0"/>
    <n v="55"/>
    <n v="27"/>
  </r>
  <r>
    <x v="15"/>
    <x v="1"/>
    <s v="040A342202100"/>
    <s v="7954 MACARTHUR BLVD, Oakland, CA 94605"/>
    <s v="5+"/>
    <x v="0"/>
    <n v="3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10.5"/>
  </r>
  <r>
    <x v="15"/>
    <x v="1"/>
    <s v="002 005500100"/>
    <s v="385 14TH ST, Oakland, CA 94612"/>
    <s v="5+"/>
    <x v="0"/>
    <n v="0"/>
    <n v="0"/>
    <n v="0"/>
    <n v="0"/>
    <n v="0"/>
    <n v="0"/>
    <x v="0"/>
    <n v="0"/>
    <n v="0"/>
    <n v="0"/>
    <n v="0"/>
    <n v="0"/>
    <n v="27"/>
    <n v="0"/>
    <n v="0"/>
    <n v="0"/>
    <n v="0"/>
    <n v="0"/>
    <x v="0"/>
    <n v="55"/>
    <n v="20"/>
  </r>
  <r>
    <x v="26"/>
    <x v="0"/>
    <s v="148-09-009"/>
    <s v="2700 W EL CAMINO REAL"/>
    <s v="5+"/>
    <x v="0"/>
    <n v="0"/>
    <n v="0"/>
    <n v="0"/>
    <n v="0"/>
    <n v="0"/>
    <n v="0"/>
    <x v="0"/>
    <n v="0"/>
    <n v="0"/>
    <n v="0"/>
    <n v="0"/>
    <n v="0"/>
    <n v="11"/>
    <n v="0"/>
    <n v="0"/>
    <n v="0"/>
    <n v="0"/>
    <n v="0"/>
    <x v="0"/>
    <n v="55"/>
    <n v="22.5"/>
  </r>
  <r>
    <x v="26"/>
    <x v="0"/>
    <s v="154-21-013, 154-21-007, 154-21-008, 154-21-009, 154-21-010, 154-21-011, 154-21-012"/>
    <s v="1919-1933 GAMEL WAY &amp; 574 ESCUELA AVE &amp;1970 Latham"/>
    <s v="5+"/>
    <x v="1"/>
    <n v="9"/>
    <n v="0"/>
    <n v="20"/>
    <n v="0"/>
    <n v="0"/>
    <n v="0"/>
    <x v="0"/>
    <n v="0"/>
    <n v="0"/>
    <n v="0"/>
    <n v="0"/>
    <n v="0"/>
    <n v="0"/>
    <n v="0"/>
    <n v="0"/>
    <n v="0"/>
    <n v="0"/>
    <n v="0"/>
    <x v="0"/>
    <n v="1000"/>
    <n v="50"/>
  </r>
  <r>
    <x v="39"/>
    <x v="0"/>
    <s v="500-141-10 and 500-141-09"/>
    <s v="13751 and 13841 Red Hill Avenue"/>
    <s v="5+"/>
    <x v="0"/>
    <n v="0"/>
    <n v="6"/>
    <n v="0"/>
    <n v="0"/>
    <n v="0"/>
    <n v="0"/>
    <x v="0"/>
    <n v="0"/>
    <n v="0"/>
    <n v="0"/>
    <n v="0"/>
    <n v="0"/>
    <n v="0"/>
    <n v="0"/>
    <n v="0"/>
    <n v="0"/>
    <n v="0"/>
    <n v="0"/>
    <x v="0"/>
    <m/>
    <n v="20"/>
  </r>
  <r>
    <x v="26"/>
    <x v="1"/>
    <s v="147-40-056"/>
    <s v="111 Lena Way"/>
    <s v="5+"/>
    <x v="0"/>
    <n v="0"/>
    <n v="0"/>
    <n v="0"/>
    <n v="0"/>
    <n v="0"/>
    <n v="0"/>
    <x v="0"/>
    <n v="0"/>
    <n v="14"/>
    <n v="0"/>
    <n v="18"/>
    <n v="0"/>
    <n v="0"/>
    <n v="0"/>
    <n v="14"/>
    <n v="0"/>
    <n v="18"/>
    <n v="0"/>
    <x v="1"/>
    <n v="1000"/>
    <n v="0"/>
  </r>
  <r>
    <x v="40"/>
    <x v="0"/>
    <s v="099 139000600"/>
    <s v="116 APRICOT ST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m/>
    <n v="0"/>
  </r>
  <r>
    <x v="41"/>
    <x v="0"/>
    <s v="003773057000"/>
    <s v="1112 PARKSIDE ST C/A"/>
    <s v="5+"/>
    <x v="0"/>
    <n v="0"/>
    <n v="0"/>
    <n v="0"/>
    <n v="0"/>
    <n v="0"/>
    <n v="0"/>
    <x v="40"/>
    <n v="0"/>
    <n v="1"/>
    <n v="0"/>
    <n v="0"/>
    <n v="0"/>
    <n v="0"/>
    <n v="0"/>
    <n v="0"/>
    <n v="0"/>
    <n v="0"/>
    <n v="0"/>
    <x v="0"/>
    <n v="55"/>
    <n v="65"/>
  </r>
  <r>
    <x v="42"/>
    <x v="0"/>
    <s v="128-181-001"/>
    <s v="1269 Broadway"/>
    <s v="5+"/>
    <x v="0"/>
    <n v="7"/>
    <n v="0"/>
    <n v="1"/>
    <n v="0"/>
    <n v="0"/>
    <n v="0"/>
    <x v="14"/>
    <n v="0"/>
    <n v="1"/>
    <n v="0"/>
    <n v="0"/>
    <n v="0"/>
    <n v="7"/>
    <n v="0"/>
    <n v="1"/>
    <n v="0"/>
    <n v="0"/>
    <n v="0"/>
    <x v="0"/>
    <m/>
    <n v="120"/>
  </r>
  <r>
    <x v="42"/>
    <x v="0"/>
    <s v="128-181-001"/>
    <s v="1269 Broadway"/>
    <s v="5+"/>
    <x v="0"/>
    <n v="7"/>
    <n v="0"/>
    <n v="1"/>
    <n v="0"/>
    <n v="0"/>
    <n v="0"/>
    <x v="14"/>
    <n v="0"/>
    <n v="1"/>
    <n v="0"/>
    <n v="0"/>
    <n v="0"/>
    <n v="7"/>
    <n v="0"/>
    <n v="1"/>
    <n v="0"/>
    <n v="0"/>
    <n v="0"/>
    <x v="0"/>
    <m/>
    <n v="120"/>
  </r>
  <r>
    <x v="43"/>
    <x v="0"/>
    <s v="505-182-010, 505-182-004"/>
    <s v="1479 N. Palm Canyon Dr"/>
    <s v="5+"/>
    <x v="0"/>
    <n v="32"/>
    <n v="0"/>
    <n v="37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44"/>
    <x v="0"/>
    <s v="46717044; 46717045; 46717046"/>
    <s v="484 E ST JOHN ST SAN JOSE, CA 95112-3415; 488 E ST JOHN ST SAN JOSE, CA 95112-3426; 95 N 11TH ST SAN JOSE, CA"/>
    <s v="5+"/>
    <x v="0"/>
    <n v="0"/>
    <n v="0"/>
    <n v="14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44"/>
    <x v="0"/>
    <s v="26420079; 26420108; 26420109; 26420110; 26420128"/>
    <s v="486 W SAN CARLOS ST SAN JOSE, CA 95110-2627; 490 W SAN CARLOS ST SAN JOSE, CA 95110-2627; 346 JOSEFA ST SAN JOSE, CA 95126-3637; 338 JOSEFA ST SAN JOSE, CA 95126-3637; 332 JOSEFA ST SAN JOSE, CA 95126-3637; 498 W SAN CARLOS ST SAN JOSE, CA 95110-2627"/>
    <s v="5+"/>
    <x v="0"/>
    <n v="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44"/>
    <x v="0"/>
    <n v="47212086"/>
    <s v="551 KEYES ST"/>
    <s v="5+"/>
    <x v="0"/>
    <n v="0"/>
    <n v="0"/>
    <n v="21"/>
    <n v="0"/>
    <n v="0"/>
    <n v="0"/>
    <x v="0"/>
    <n v="0"/>
    <n v="0"/>
    <n v="0"/>
    <n v="0"/>
    <n v="0"/>
    <n v="0"/>
    <n v="0"/>
    <n v="0"/>
    <n v="0"/>
    <n v="0"/>
    <n v="0"/>
    <x v="0"/>
    <n v="55"/>
    <n v="80"/>
  </r>
  <r>
    <x v="45"/>
    <x v="3"/>
    <n v="148170001"/>
    <s v="3010 DEL HOMBRE WALNUT CREEK, CA"/>
    <s v="5+"/>
    <x v="0"/>
    <n v="0"/>
    <n v="0"/>
    <n v="0"/>
    <n v="0"/>
    <n v="0"/>
    <n v="0"/>
    <x v="28"/>
    <n v="0"/>
    <n v="0"/>
    <n v="0"/>
    <n v="24"/>
    <n v="0"/>
    <n v="0"/>
    <n v="0"/>
    <n v="0"/>
    <n v="0"/>
    <n v="0"/>
    <n v="0"/>
    <x v="0"/>
    <n v="55"/>
    <n v="20"/>
  </r>
  <r>
    <x v="22"/>
    <x v="1"/>
    <s v="8549-004-900, 8549-005-900 (lots 5,6,7,8,9)"/>
    <s v="4024 Durfee"/>
    <s v="5+"/>
    <x v="0"/>
    <n v="188"/>
    <n v="0"/>
    <n v="148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8"/>
    <x v="1"/>
    <s v="241-020-031"/>
    <s v="95 Woodbury Highlands Pl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0"/>
    <m/>
    <s v="5548 RILEY ST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55"/>
    <n v="0"/>
  </r>
  <r>
    <x v="22"/>
    <x v="1"/>
    <d v="1967-10-15T00:00:00"/>
    <s v="11730 Ramona"/>
    <s v="5+"/>
    <x v="0"/>
    <n v="3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144"/>
  </r>
  <r>
    <x v="2"/>
    <x v="3"/>
    <n v="5637023806"/>
    <s v="515 PIONEER DR_x000a_GLENDALE, CA 91203"/>
    <s v="5+"/>
    <x v="0"/>
    <n v="138"/>
    <n v="0"/>
    <n v="199"/>
    <n v="0"/>
    <n v="0"/>
    <n v="0"/>
    <x v="19"/>
    <n v="0"/>
    <n v="199"/>
    <n v="0"/>
    <n v="0"/>
    <n v="0"/>
    <n v="0"/>
    <n v="0"/>
    <n v="0"/>
    <n v="0"/>
    <n v="0"/>
    <n v="0"/>
    <x v="0"/>
    <n v="78"/>
    <n v="750"/>
  </r>
  <r>
    <x v="31"/>
    <x v="1"/>
    <n v="20550016"/>
    <s v="1154 SONORA CT"/>
    <s v="5+"/>
    <x v="0"/>
    <n v="6"/>
    <n v="0"/>
    <n v="22"/>
    <n v="0"/>
    <n v="0"/>
    <n v="72"/>
    <x v="0"/>
    <n v="0"/>
    <n v="0"/>
    <n v="0"/>
    <n v="0"/>
    <n v="0"/>
    <n v="0"/>
    <n v="0"/>
    <n v="0"/>
    <n v="0"/>
    <n v="0"/>
    <n v="0"/>
    <x v="0"/>
    <n v="55"/>
    <n v="50"/>
  </r>
  <r>
    <x v="46"/>
    <x v="3"/>
    <n v="16741052"/>
    <s v="376 1St ST"/>
    <s v="5+"/>
    <x v="1"/>
    <n v="0"/>
    <n v="0"/>
    <n v="0"/>
    <n v="0"/>
    <n v="3"/>
    <n v="0"/>
    <x v="0"/>
    <n v="0"/>
    <n v="0"/>
    <n v="0"/>
    <n v="0"/>
    <n v="0"/>
    <n v="0"/>
    <n v="0"/>
    <n v="0"/>
    <n v="0"/>
    <n v="0"/>
    <n v="0"/>
    <x v="0"/>
    <n v="55"/>
    <n v="20"/>
  </r>
  <r>
    <x v="46"/>
    <x v="3"/>
    <n v="17004066"/>
    <s v="5150 EL CAMINO REAL"/>
    <s v="5+"/>
    <x v="0"/>
    <n v="0"/>
    <n v="0"/>
    <n v="29"/>
    <n v="0"/>
    <n v="0"/>
    <n v="0"/>
    <x v="0"/>
    <n v="0"/>
    <n v="0"/>
    <n v="0"/>
    <n v="0"/>
    <n v="0"/>
    <n v="0"/>
    <n v="0"/>
    <n v="0"/>
    <n v="0"/>
    <n v="0"/>
    <n v="0"/>
    <x v="0"/>
    <n v="99"/>
    <n v="35"/>
  </r>
  <r>
    <x v="47"/>
    <x v="3"/>
    <s v="017-172-014-000"/>
    <s v="816 UNIVERSITY AVE"/>
    <s v="5+"/>
    <x v="0"/>
    <n v="0"/>
    <n v="0"/>
    <n v="0"/>
    <n v="0"/>
    <n v="0"/>
    <n v="0"/>
    <x v="21"/>
    <n v="0"/>
    <n v="11"/>
    <n v="0"/>
    <n v="0"/>
    <n v="0"/>
    <n v="0"/>
    <n v="0"/>
    <n v="0"/>
    <n v="0"/>
    <n v="0"/>
    <n v="0"/>
    <x v="0"/>
    <n v="55"/>
    <n v="23"/>
  </r>
  <r>
    <x v="47"/>
    <x v="3"/>
    <s v="017-172-014-000"/>
    <s v="807 UNIVERSITY AVE"/>
    <s v="5+"/>
    <x v="0"/>
    <n v="0"/>
    <n v="0"/>
    <n v="0"/>
    <n v="0"/>
    <n v="0"/>
    <n v="0"/>
    <x v="6"/>
    <n v="0"/>
    <n v="18"/>
    <n v="0"/>
    <n v="0"/>
    <n v="0"/>
    <n v="0"/>
    <n v="0"/>
    <n v="0"/>
    <n v="0"/>
    <n v="0"/>
    <n v="0"/>
    <x v="0"/>
    <n v="55"/>
    <n v="23"/>
  </r>
  <r>
    <x v="31"/>
    <x v="1"/>
    <n v="20550014"/>
    <s v="1170 SONORA CT"/>
    <s v="5+"/>
    <x v="0"/>
    <n v="4"/>
    <n v="0"/>
    <n v="14"/>
    <n v="0"/>
    <n v="0"/>
    <n v="44"/>
    <x v="0"/>
    <n v="0"/>
    <n v="0"/>
    <n v="0"/>
    <n v="0"/>
    <n v="0"/>
    <n v="0"/>
    <n v="0"/>
    <n v="0"/>
    <n v="0"/>
    <n v="0"/>
    <n v="0"/>
    <x v="0"/>
    <n v="55"/>
    <n v="51"/>
  </r>
  <r>
    <x v="32"/>
    <x v="2"/>
    <n v="4291011019"/>
    <s v="1338 5th Street"/>
    <s v="5+"/>
    <x v="0"/>
    <n v="2"/>
    <n v="0"/>
    <n v="15"/>
    <n v="0"/>
    <n v="3"/>
    <n v="0"/>
    <x v="0"/>
    <n v="0"/>
    <n v="0"/>
    <n v="0"/>
    <n v="0"/>
    <n v="0"/>
    <n v="0"/>
    <n v="0"/>
    <n v="0"/>
    <n v="0"/>
    <n v="0"/>
    <n v="0"/>
    <x v="1"/>
    <m/>
    <n v="0"/>
  </r>
  <r>
    <x v="33"/>
    <x v="2"/>
    <s v="26231250, 26231260"/>
    <s v="1095 Rollins Road"/>
    <s v="5+"/>
    <x v="0"/>
    <n v="0"/>
    <n v="0"/>
    <n v="0"/>
    <n v="0"/>
    <n v="15"/>
    <n v="0"/>
    <x v="0"/>
    <n v="0"/>
    <n v="0"/>
    <n v="0"/>
    <n v="0"/>
    <n v="0"/>
    <n v="0"/>
    <n v="0"/>
    <n v="0"/>
    <n v="0"/>
    <n v="0"/>
    <n v="0"/>
    <x v="0"/>
    <n v="55"/>
    <n v="0"/>
  </r>
  <r>
    <x v="25"/>
    <x v="1"/>
    <n v="2238007"/>
    <s v="1355 California Cl"/>
    <s v="5+"/>
    <x v="1"/>
    <n v="0"/>
    <n v="0"/>
    <n v="31"/>
    <n v="0"/>
    <n v="44"/>
    <n v="0"/>
    <x v="0"/>
    <n v="0"/>
    <n v="0"/>
    <n v="0"/>
    <n v="0"/>
    <n v="0"/>
    <n v="0"/>
    <n v="0"/>
    <n v="0"/>
    <n v="0"/>
    <n v="0"/>
    <n v="0"/>
    <x v="1"/>
    <m/>
    <n v="0"/>
  </r>
  <r>
    <x v="26"/>
    <x v="1"/>
    <s v="116-14-111"/>
    <s v="1188 Armand Dr"/>
    <s v="5+"/>
    <x v="0"/>
    <n v="75"/>
    <n v="0"/>
    <n v="23"/>
    <n v="0"/>
    <n v="2"/>
    <n v="0"/>
    <x v="1"/>
    <n v="0"/>
    <n v="23"/>
    <n v="0"/>
    <n v="2"/>
    <n v="0"/>
    <n v="0"/>
    <n v="0"/>
    <n v="0"/>
    <n v="0"/>
    <n v="0"/>
    <n v="0"/>
    <x v="0"/>
    <n v="1000"/>
    <n v="96"/>
  </r>
  <r>
    <x v="35"/>
    <x v="2"/>
    <n v="2163001300"/>
    <s v="ROMERIA ST"/>
    <s v="5+"/>
    <x v="0"/>
    <n v="0"/>
    <n v="0"/>
    <n v="3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0"/>
    <n v="3130601000"/>
    <s v="14413 PENASQUITOS DR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8"/>
    <x v="0"/>
    <n v="5382901800"/>
    <s v="1932 KEARNY AV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8"/>
    <x v="0"/>
    <n v="4463631200"/>
    <s v="4015 Kansas Stree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8"/>
    <x v="0"/>
    <n v="4531521000"/>
    <s v="3066 NORTH PARK WY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83 PENASQUITOS DR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0"/>
  </r>
  <r>
    <x v="21"/>
    <x v="1"/>
    <s v="006-220-015-000"/>
    <s v="184 TONEA WAY, Bldg 2"/>
    <s v="5+"/>
    <x v="0"/>
    <n v="0"/>
    <n v="0"/>
    <n v="0"/>
    <n v="0"/>
    <n v="0"/>
    <n v="0"/>
    <x v="0"/>
    <n v="0"/>
    <n v="0"/>
    <n v="0"/>
    <n v="0"/>
    <n v="0"/>
    <n v="0"/>
    <n v="0"/>
    <n v="16"/>
    <n v="0"/>
    <n v="0"/>
    <n v="0"/>
    <x v="0"/>
    <n v="55"/>
    <n v="20"/>
  </r>
  <r>
    <x v="8"/>
    <x v="0"/>
    <n v="4152411000"/>
    <s v="891 TURQUOISE ST"/>
    <s v="5+"/>
    <x v="0"/>
    <n v="2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2"/>
    <x v="3"/>
    <n v="5674010023"/>
    <s v="900 E BROADWAY_x000a_GLENDALE, CA 91205"/>
    <s v="5+"/>
    <x v="0"/>
    <n v="26"/>
    <n v="0"/>
    <n v="100"/>
    <n v="0"/>
    <n v="0"/>
    <n v="0"/>
    <x v="4"/>
    <n v="0"/>
    <n v="100"/>
    <n v="0"/>
    <n v="0"/>
    <n v="0"/>
    <n v="0"/>
    <n v="0"/>
    <n v="0"/>
    <n v="0"/>
    <n v="0"/>
    <n v="0"/>
    <x v="0"/>
    <n v="72"/>
    <n v="324"/>
  </r>
  <r>
    <x v="2"/>
    <x v="3"/>
    <n v="5643006012"/>
    <s v="503 N KENWOOD ST_x000a_GLENDALE, CA 91206"/>
    <s v="5+"/>
    <x v="0"/>
    <n v="3"/>
    <n v="0"/>
    <n v="0"/>
    <n v="0"/>
    <n v="0"/>
    <n v="0"/>
    <x v="2"/>
    <n v="0"/>
    <n v="0"/>
    <n v="0"/>
    <n v="0"/>
    <n v="0"/>
    <n v="0"/>
    <n v="0"/>
    <n v="0"/>
    <n v="0"/>
    <n v="0"/>
    <n v="0"/>
    <x v="0"/>
    <m/>
    <n v="35"/>
  </r>
  <r>
    <x v="8"/>
    <x v="0"/>
    <n v="5381902200"/>
    <s v="2187 EVERETT AV"/>
    <s v="5+"/>
    <x v="0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0"/>
    <n v="55"/>
    <n v="0"/>
  </r>
  <r>
    <x v="48"/>
    <x v="3"/>
    <s v="0303-133-04"/>
    <s v="34384 Yucaaipa Blvd."/>
    <s v="5+"/>
    <x v="0"/>
    <n v="0"/>
    <n v="0"/>
    <n v="0"/>
    <n v="0"/>
    <n v="0"/>
    <n v="12"/>
    <x v="0"/>
    <n v="0"/>
    <n v="0"/>
    <n v="0"/>
    <n v="0"/>
    <n v="12"/>
    <n v="0"/>
    <n v="0"/>
    <n v="0"/>
    <n v="0"/>
    <n v="0"/>
    <n v="0"/>
    <x v="0"/>
    <n v="55"/>
    <n v="100"/>
  </r>
  <r>
    <x v="49"/>
    <x v="3"/>
    <s v="118-010-058"/>
    <s v="880 W BATTLES RD"/>
    <s v="5+"/>
    <x v="0"/>
    <n v="0"/>
    <n v="0"/>
    <n v="0"/>
    <n v="0"/>
    <n v="0"/>
    <n v="0"/>
    <x v="12"/>
    <n v="0"/>
    <n v="19"/>
    <n v="0"/>
    <n v="0"/>
    <n v="0"/>
    <n v="0"/>
    <n v="0"/>
    <n v="0"/>
    <n v="0"/>
    <n v="0"/>
    <n v="0"/>
    <x v="0"/>
    <n v="55"/>
    <n v="21"/>
  </r>
  <r>
    <x v="49"/>
    <x v="3"/>
    <s v="128-090-011"/>
    <s v="2660 SANTA MARIA WAY #101-123,201- 234,"/>
    <s v="5+"/>
    <x v="0"/>
    <n v="0"/>
    <n v="0"/>
    <n v="0"/>
    <n v="0"/>
    <n v="0"/>
    <n v="0"/>
    <x v="41"/>
    <n v="0"/>
    <n v="55"/>
    <n v="0"/>
    <n v="1"/>
    <n v="0"/>
    <n v="0"/>
    <n v="0"/>
    <n v="0"/>
    <n v="0"/>
    <n v="0"/>
    <n v="0"/>
    <x v="0"/>
    <n v="55"/>
    <n v="50"/>
  </r>
  <r>
    <x v="49"/>
    <x v="3"/>
    <s v="128-066-003"/>
    <s v="342 E PLAZA DR# 101-108,201-208,301 308"/>
    <s v="5+"/>
    <x v="0"/>
    <n v="0"/>
    <n v="0"/>
    <n v="0"/>
    <n v="0"/>
    <n v="0"/>
    <n v="0"/>
    <x v="0"/>
    <n v="0"/>
    <n v="24"/>
    <n v="0"/>
    <n v="0"/>
    <n v="0"/>
    <n v="0"/>
    <n v="0"/>
    <n v="0"/>
    <n v="0"/>
    <n v="0"/>
    <n v="0"/>
    <x v="0"/>
    <n v="55"/>
    <n v="33"/>
  </r>
  <r>
    <x v="50"/>
    <x v="0"/>
    <s v="5288-001-040"/>
    <s v="3001 Walnut Grove Ave"/>
    <s v="5+"/>
    <x v="0"/>
    <n v="0"/>
    <n v="0"/>
    <n v="7"/>
    <n v="0"/>
    <n v="0"/>
    <n v="0"/>
    <x v="0"/>
    <n v="0"/>
    <n v="0"/>
    <n v="0"/>
    <n v="0"/>
    <n v="0"/>
    <n v="0"/>
    <n v="0"/>
    <n v="0"/>
    <n v="0"/>
    <n v="0"/>
    <n v="0"/>
    <x v="0"/>
    <n v="50"/>
    <n v="35"/>
  </r>
  <r>
    <x v="15"/>
    <x v="1"/>
    <s v="009 073200502"/>
    <s v="3403 PIEDMONT AVE, Oakland, CA 94611"/>
    <s v="5+"/>
    <x v="0"/>
    <n v="3"/>
    <n v="0"/>
    <n v="0"/>
    <n v="0"/>
    <n v="21"/>
    <n v="0"/>
    <x v="0"/>
    <n v="0"/>
    <n v="0"/>
    <n v="0"/>
    <n v="0"/>
    <n v="0"/>
    <n v="0"/>
    <n v="0"/>
    <n v="0"/>
    <n v="0"/>
    <n v="0"/>
    <n v="0"/>
    <x v="0"/>
    <n v="55"/>
    <n v="48"/>
  </r>
  <r>
    <x v="15"/>
    <x v="1"/>
    <s v="004 006900202"/>
    <s v="533 KIRKHAM"/>
    <s v="5+"/>
    <x v="0"/>
    <n v="1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16.100000000000001"/>
  </r>
  <r>
    <x v="15"/>
    <x v="1"/>
    <s v="046 549000300"/>
    <s v="9809 MacArthur BLVD, OAKLAND, CA 94605"/>
    <s v="5+"/>
    <x v="0"/>
    <n v="48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80"/>
  </r>
  <r>
    <x v="15"/>
    <x v="1"/>
    <s v="001 021704800"/>
    <s v="685 9TH ST, Oakland, CA 94607"/>
    <s v="5+"/>
    <x v="0"/>
    <n v="0"/>
    <n v="0"/>
    <n v="0"/>
    <n v="0"/>
    <n v="0"/>
    <n v="0"/>
    <x v="0"/>
    <n v="0"/>
    <n v="0"/>
    <n v="0"/>
    <n v="35"/>
    <n v="0"/>
    <n v="0"/>
    <n v="0"/>
    <n v="0"/>
    <n v="0"/>
    <n v="0"/>
    <n v="0"/>
    <x v="0"/>
    <n v="55"/>
    <n v="50"/>
  </r>
  <r>
    <x v="32"/>
    <x v="2"/>
    <n v="4291020016"/>
    <s v="1437 6th Street"/>
    <s v="5+"/>
    <x v="0"/>
    <n v="0"/>
    <n v="0"/>
    <n v="6"/>
    <n v="0"/>
    <n v="3"/>
    <n v="0"/>
    <x v="0"/>
    <n v="0"/>
    <n v="0"/>
    <n v="0"/>
    <n v="0"/>
    <n v="0"/>
    <n v="0"/>
    <n v="0"/>
    <n v="0"/>
    <n v="0"/>
    <n v="0"/>
    <n v="0"/>
    <x v="1"/>
    <m/>
    <n v="0"/>
  </r>
  <r>
    <x v="32"/>
    <x v="2"/>
    <n v="4291019018"/>
    <s v="1437 5th Street"/>
    <s v="5+"/>
    <x v="0"/>
    <n v="0"/>
    <n v="0"/>
    <n v="8"/>
    <n v="0"/>
    <n v="3"/>
    <n v="0"/>
    <x v="0"/>
    <n v="0"/>
    <n v="0"/>
    <n v="0"/>
    <n v="0"/>
    <n v="0"/>
    <n v="0"/>
    <n v="0"/>
    <n v="0"/>
    <n v="0"/>
    <n v="0"/>
    <n v="0"/>
    <x v="1"/>
    <m/>
    <n v="0"/>
  </r>
  <r>
    <x v="32"/>
    <x v="2"/>
    <n v="4292028001"/>
    <s v="1133 Ocean Av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37"/>
    <x v="0"/>
    <s v="066-060-068"/>
    <s v="9500-9550 Oak Park Street"/>
    <s v="5+"/>
    <x v="0"/>
    <n v="0"/>
    <n v="0"/>
    <n v="0"/>
    <n v="0"/>
    <n v="0"/>
    <n v="0"/>
    <x v="0"/>
    <n v="0"/>
    <n v="0"/>
    <n v="0"/>
    <n v="0"/>
    <n v="0"/>
    <n v="30"/>
    <n v="0"/>
    <n v="29"/>
    <n v="0"/>
    <n v="1"/>
    <n v="0"/>
    <x v="1"/>
    <n v="55"/>
    <n v="0"/>
  </r>
  <r>
    <x v="8"/>
    <x v="0"/>
    <n v="4521035600"/>
    <s v="3732 10TH AV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8"/>
    <x v="0"/>
    <n v="3130600700"/>
    <s v="14473 PENASQUITOS DR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8"/>
    <x v="0"/>
    <n v="4453611500"/>
    <s v="2724 EL CAJON BL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0"/>
  </r>
  <r>
    <x v="8"/>
    <x v="0"/>
    <n v="4413700100"/>
    <s v="3910 Chapman Stree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8"/>
    <x v="0"/>
    <n v="4714612400"/>
    <s v="4020 44TH ST"/>
    <s v="5+"/>
    <x v="0"/>
    <n v="0"/>
    <n v="0"/>
    <n v="0"/>
    <n v="0"/>
    <n v="0"/>
    <n v="0"/>
    <x v="0"/>
    <n v="0"/>
    <n v="47"/>
    <n v="0"/>
    <n v="12"/>
    <n v="0"/>
    <n v="0"/>
    <n v="0"/>
    <n v="0"/>
    <n v="0"/>
    <n v="0"/>
    <n v="0"/>
    <x v="0"/>
    <n v="55"/>
    <n v="0"/>
  </r>
  <r>
    <x v="8"/>
    <x v="0"/>
    <n v="4456421200"/>
    <s v="3922 PARK BL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n v="0"/>
  </r>
  <r>
    <x v="8"/>
    <x v="0"/>
    <n v="4454220300"/>
    <s v="2629 EL CAJON BL"/>
    <s v="5+"/>
    <x v="0"/>
    <n v="0"/>
    <n v="0"/>
    <n v="0"/>
    <n v="0"/>
    <n v="0"/>
    <n v="0"/>
    <x v="0"/>
    <n v="0"/>
    <n v="5"/>
    <n v="0"/>
    <n v="0"/>
    <n v="0"/>
    <n v="0"/>
    <n v="0"/>
    <n v="0"/>
    <n v="0"/>
    <n v="0"/>
    <n v="0"/>
    <x v="0"/>
    <n v="55"/>
    <n v="0"/>
  </r>
  <r>
    <x v="21"/>
    <x v="3"/>
    <s v="006-220-015-000"/>
    <s v="184 TONEA WAY, Bldg 5"/>
    <s v="5+"/>
    <x v="0"/>
    <n v="8"/>
    <n v="0"/>
    <n v="0"/>
    <n v="0"/>
    <n v="0"/>
    <n v="0"/>
    <x v="42"/>
    <n v="0"/>
    <n v="0"/>
    <n v="0"/>
    <n v="0"/>
    <n v="0"/>
    <n v="0"/>
    <n v="0"/>
    <n v="0"/>
    <n v="0"/>
    <n v="0"/>
    <n v="0"/>
    <x v="0"/>
    <n v="55"/>
    <n v="20"/>
  </r>
  <r>
    <x v="26"/>
    <x v="1"/>
    <s v="153-15-021, 153-15-002"/>
    <s v="1020 Terra Bella Ave"/>
    <s v="5+"/>
    <x v="0"/>
    <n v="40"/>
    <n v="0"/>
    <n v="66"/>
    <n v="0"/>
    <n v="2"/>
    <n v="0"/>
    <x v="0"/>
    <n v="0"/>
    <n v="0"/>
    <n v="0"/>
    <n v="0"/>
    <n v="0"/>
    <n v="0"/>
    <n v="0"/>
    <n v="0"/>
    <n v="0"/>
    <n v="0"/>
    <n v="0"/>
    <x v="0"/>
    <n v="55"/>
    <n v="80"/>
  </r>
  <r>
    <x v="26"/>
    <x v="1"/>
    <s v="154-02-001; 154-02-002; 154-03-019;154-03-020; 154-03-021; 154-03-022"/>
    <s v="1720 Villa St"/>
    <s v="5+"/>
    <x v="0"/>
    <n v="0"/>
    <n v="0"/>
    <n v="0"/>
    <n v="0"/>
    <n v="0"/>
    <n v="0"/>
    <x v="0"/>
    <n v="0"/>
    <n v="3"/>
    <n v="0"/>
    <n v="0"/>
    <n v="0"/>
    <n v="0"/>
    <n v="0"/>
    <n v="3"/>
    <n v="0"/>
    <n v="0"/>
    <n v="0"/>
    <x v="1"/>
    <n v="1000"/>
    <n v="0"/>
  </r>
  <r>
    <x v="26"/>
    <x v="1"/>
    <s v="147-40-057"/>
    <s v="2590  CALIFORNIA ST"/>
    <s v="5+"/>
    <x v="0"/>
    <n v="0"/>
    <n v="0"/>
    <n v="0"/>
    <n v="0"/>
    <n v="0"/>
    <n v="0"/>
    <x v="0"/>
    <n v="0"/>
    <n v="0"/>
    <n v="0"/>
    <n v="0"/>
    <n v="0"/>
    <n v="0"/>
    <n v="0"/>
    <n v="4"/>
    <n v="0"/>
    <n v="6"/>
    <n v="0"/>
    <x v="1"/>
    <m/>
    <n v="0"/>
  </r>
  <r>
    <x v="26"/>
    <x v="1"/>
    <s v="153-24-005"/>
    <s v="777 W MIDDLEFIELD RD"/>
    <s v="5+"/>
    <x v="0"/>
    <n v="0"/>
    <n v="0"/>
    <n v="0"/>
    <n v="0"/>
    <n v="0"/>
    <n v="0"/>
    <x v="0"/>
    <n v="0"/>
    <n v="36"/>
    <n v="0"/>
    <n v="108"/>
    <n v="0"/>
    <n v="0"/>
    <n v="0"/>
    <n v="0"/>
    <n v="0"/>
    <n v="0"/>
    <n v="0"/>
    <x v="1"/>
    <n v="1000"/>
    <n v="0"/>
  </r>
  <r>
    <x v="2"/>
    <x v="3"/>
    <d v="2037-04-30T00:00:00"/>
    <s v="352 W. Milford St."/>
    <s v="5+"/>
    <x v="0"/>
    <n v="4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s v="33.299999999999997"/>
  </r>
  <r>
    <x v="31"/>
    <x v="1"/>
    <n v="21627018"/>
    <s v="1202 KIFER RD"/>
    <s v="5+"/>
    <x v="0"/>
    <n v="1"/>
    <n v="0"/>
    <n v="3"/>
    <n v="0"/>
    <n v="0"/>
    <n v="12"/>
    <x v="0"/>
    <n v="0"/>
    <n v="0"/>
    <n v="0"/>
    <n v="0"/>
    <n v="0"/>
    <n v="0"/>
    <n v="0"/>
    <n v="0"/>
    <n v="0"/>
    <n v="0"/>
    <n v="0"/>
    <x v="0"/>
    <n v="55"/>
    <n v="12"/>
  </r>
  <r>
    <x v="35"/>
    <x v="2"/>
    <n v="2032970600"/>
    <s v="3088  STATE ST  200"/>
    <s v="5+"/>
    <x v="1"/>
    <n v="0"/>
    <n v="0"/>
    <n v="0"/>
    <n v="0"/>
    <n v="0"/>
    <n v="0"/>
    <x v="0"/>
    <n v="0"/>
    <n v="0"/>
    <n v="0"/>
    <n v="0"/>
    <n v="0"/>
    <n v="0"/>
    <n v="0"/>
    <n v="2"/>
    <n v="0"/>
    <n v="0"/>
    <n v="0"/>
    <x v="1"/>
    <m/>
    <n v="0"/>
  </r>
  <r>
    <x v="40"/>
    <x v="0"/>
    <s v="099 139000700"/>
    <s v="242 PLUM TREE ST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m/>
    <n v="0"/>
  </r>
  <r>
    <x v="51"/>
    <x v="3"/>
    <s v="068-323-034"/>
    <s v="405 Atascadero Road"/>
    <s v="5+"/>
    <x v="0"/>
    <n v="26"/>
    <n v="0"/>
    <n v="8"/>
    <n v="0"/>
    <n v="1"/>
    <n v="0"/>
    <x v="4"/>
    <n v="0"/>
    <n v="8"/>
    <n v="0"/>
    <n v="1"/>
    <n v="0"/>
    <n v="0"/>
    <n v="0"/>
    <n v="0"/>
    <n v="0"/>
    <n v="0"/>
    <n v="0"/>
    <x v="0"/>
    <n v="55"/>
    <n v="60"/>
  </r>
  <r>
    <x v="51"/>
    <x v="3"/>
    <s v="065-386-015"/>
    <s v="2783 Coral Ave"/>
    <s v="5+"/>
    <x v="1"/>
    <n v="0"/>
    <n v="0"/>
    <n v="0"/>
    <n v="0"/>
    <n v="1"/>
    <n v="0"/>
    <x v="0"/>
    <n v="0"/>
    <n v="0"/>
    <n v="0"/>
    <n v="0"/>
    <n v="0"/>
    <n v="0"/>
    <n v="0"/>
    <n v="0"/>
    <n v="0"/>
    <n v="0"/>
    <n v="0"/>
    <x v="0"/>
    <m/>
    <n v="0"/>
  </r>
  <r>
    <x v="13"/>
    <x v="2"/>
    <n v="4990306700"/>
    <s v="4210 Spring St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4"/>
    <x v="2"/>
    <s v="004-705-002"/>
    <s v="3510 Ranch House"/>
    <s v="5+"/>
    <x v="0"/>
    <n v="0"/>
    <n v="0"/>
    <n v="0"/>
    <n v="0"/>
    <n v="0"/>
    <n v="0"/>
    <x v="0"/>
    <n v="0"/>
    <n v="0"/>
    <n v="0"/>
    <n v="0"/>
    <n v="0"/>
    <n v="0"/>
    <n v="0"/>
    <n v="1"/>
    <n v="0"/>
    <n v="1"/>
    <n v="0"/>
    <x v="1"/>
    <n v="55"/>
    <n v="0"/>
  </r>
  <r>
    <x v="32"/>
    <x v="2"/>
    <n v="4289002006"/>
    <s v="2120  LINCOLN BLVD"/>
    <s v="5+"/>
    <x v="0"/>
    <n v="0"/>
    <n v="0"/>
    <n v="0"/>
    <n v="0"/>
    <n v="0"/>
    <n v="0"/>
    <x v="36"/>
    <n v="0"/>
    <n v="12"/>
    <n v="0"/>
    <n v="0"/>
    <n v="0"/>
    <n v="0"/>
    <n v="0"/>
    <n v="0"/>
    <n v="0"/>
    <n v="0"/>
    <n v="0"/>
    <x v="1"/>
    <n v="55"/>
    <n v="0"/>
  </r>
  <r>
    <x v="32"/>
    <x v="2"/>
    <n v="4283001001"/>
    <s v="800  COLORADO AVE"/>
    <s v="5+"/>
    <x v="1"/>
    <n v="0"/>
    <n v="0"/>
    <n v="0"/>
    <n v="0"/>
    <n v="0"/>
    <n v="0"/>
    <x v="0"/>
    <n v="0"/>
    <n v="0"/>
    <n v="0"/>
    <n v="0"/>
    <n v="0"/>
    <n v="14"/>
    <n v="0"/>
    <n v="5"/>
    <n v="0"/>
    <n v="0"/>
    <n v="0"/>
    <x v="1"/>
    <n v="55"/>
    <n v="0"/>
  </r>
  <r>
    <x v="37"/>
    <x v="0"/>
    <s v="161-040-008"/>
    <s v="10221 Old Redwood Hwy"/>
    <s v="5+"/>
    <x v="0"/>
    <n v="48"/>
    <n v="0"/>
    <n v="5"/>
    <n v="0"/>
    <n v="1"/>
    <n v="0"/>
    <x v="0"/>
    <n v="0"/>
    <n v="0"/>
    <n v="0"/>
    <n v="0"/>
    <n v="0"/>
    <n v="0"/>
    <n v="0"/>
    <n v="0"/>
    <n v="0"/>
    <n v="0"/>
    <n v="0"/>
    <x v="1"/>
    <n v="55"/>
    <n v="0"/>
  </r>
  <r>
    <x v="52"/>
    <x v="0"/>
    <s v="07101900610000"/>
    <s v="403 BIDWELL PLACE"/>
    <s v="5+"/>
    <x v="1"/>
    <n v="0"/>
    <n v="0"/>
    <n v="0"/>
    <n v="0"/>
    <n v="0"/>
    <n v="0"/>
    <x v="0"/>
    <n v="0"/>
    <n v="25"/>
    <n v="0"/>
    <n v="0"/>
    <n v="0"/>
    <n v="0"/>
    <n v="0"/>
    <n v="0"/>
    <n v="0"/>
    <n v="0"/>
    <n v="0"/>
    <x v="0"/>
    <n v="55"/>
    <n v="19"/>
  </r>
  <r>
    <x v="52"/>
    <x v="0"/>
    <s v="07101900610000"/>
    <s v="403 BIDWELL PLACE"/>
    <s v="5+"/>
    <x v="1"/>
    <n v="0"/>
    <n v="0"/>
    <n v="0"/>
    <n v="0"/>
    <n v="0"/>
    <n v="0"/>
    <x v="43"/>
    <n v="0"/>
    <n v="1"/>
    <n v="0"/>
    <n v="1"/>
    <n v="0"/>
    <n v="0"/>
    <n v="0"/>
    <n v="0"/>
    <n v="0"/>
    <n v="0"/>
    <n v="0"/>
    <x v="0"/>
    <n v="55"/>
    <n v="19"/>
  </r>
  <r>
    <x v="26"/>
    <x v="3"/>
    <s v="158-07-019"/>
    <s v="950 W EL CAMINO REAL"/>
    <s v="5+"/>
    <x v="0"/>
    <n v="0"/>
    <n v="0"/>
    <n v="0"/>
    <n v="0"/>
    <n v="0"/>
    <n v="0"/>
    <x v="0"/>
    <n v="0"/>
    <n v="0"/>
    <n v="0"/>
    <n v="0"/>
    <n v="0"/>
    <n v="42"/>
    <n v="0"/>
    <n v="28"/>
    <n v="0"/>
    <n v="0"/>
    <n v="0"/>
    <x v="0"/>
    <n v="55"/>
    <n v="5"/>
  </r>
  <r>
    <x v="53"/>
    <x v="0"/>
    <s v="007-350-018"/>
    <s v="3015 Park Ave"/>
    <s v="5+"/>
    <x v="0"/>
    <n v="32"/>
    <n v="0"/>
    <n v="33"/>
    <n v="0"/>
    <n v="0"/>
    <n v="0"/>
    <x v="0"/>
    <n v="0"/>
    <n v="0"/>
    <n v="0"/>
    <n v="0"/>
    <n v="0"/>
    <n v="0"/>
    <n v="0"/>
    <n v="0"/>
    <n v="0"/>
    <n v="0"/>
    <n v="0"/>
    <x v="0"/>
    <n v="50"/>
    <n v="100"/>
  </r>
  <r>
    <x v="31"/>
    <x v="4"/>
    <s v="205-22-032"/>
    <s v="959  STEWART DR 411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31"/>
    <x v="4"/>
    <s v="209-34-019"/>
    <s v="333 W IOWA AV"/>
    <s v="5+"/>
    <x v="0"/>
    <n v="0"/>
    <n v="0"/>
    <n v="0"/>
    <n v="0"/>
    <n v="0"/>
    <n v="0"/>
    <x v="0"/>
    <n v="0"/>
    <n v="0"/>
    <n v="0"/>
    <n v="9"/>
    <n v="0"/>
    <n v="0"/>
    <n v="0"/>
    <n v="0"/>
    <n v="0"/>
    <n v="0"/>
    <n v="0"/>
    <x v="0"/>
    <n v="55"/>
    <n v="0"/>
  </r>
  <r>
    <x v="54"/>
    <x v="3"/>
    <s v="055-242-090"/>
    <s v="165 Jefferson Drive"/>
    <s v="5+"/>
    <x v="1"/>
    <n v="4"/>
    <n v="0"/>
    <n v="12"/>
    <n v="0"/>
    <n v="5"/>
    <n v="0"/>
    <x v="0"/>
    <n v="0"/>
    <n v="0"/>
    <n v="0"/>
    <n v="0"/>
    <n v="0"/>
    <n v="0"/>
    <n v="0"/>
    <n v="0"/>
    <n v="0"/>
    <n v="0"/>
    <n v="0"/>
    <x v="1"/>
    <n v="55"/>
    <n v="0"/>
  </r>
  <r>
    <x v="32"/>
    <x v="2"/>
    <n v="4291023002"/>
    <s v="1514 7th Street"/>
    <s v="5+"/>
    <x v="0"/>
    <n v="20"/>
    <n v="0"/>
    <n v="14"/>
    <n v="0"/>
    <n v="14"/>
    <n v="0"/>
    <x v="0"/>
    <n v="0"/>
    <n v="0"/>
    <n v="0"/>
    <n v="0"/>
    <n v="0"/>
    <n v="0"/>
    <n v="0"/>
    <n v="0"/>
    <n v="0"/>
    <n v="0"/>
    <n v="0"/>
    <x v="1"/>
    <m/>
    <n v="0"/>
  </r>
  <r>
    <x v="32"/>
    <x v="2"/>
    <n v="4291010029"/>
    <s v="1323 5th Street"/>
    <s v="5+"/>
    <x v="0"/>
    <n v="0"/>
    <n v="0"/>
    <n v="6"/>
    <n v="0"/>
    <n v="3"/>
    <n v="0"/>
    <x v="0"/>
    <n v="0"/>
    <n v="0"/>
    <n v="0"/>
    <n v="0"/>
    <n v="0"/>
    <n v="0"/>
    <n v="0"/>
    <n v="0"/>
    <n v="0"/>
    <n v="0"/>
    <n v="0"/>
    <x v="1"/>
    <m/>
    <n v="0"/>
  </r>
  <r>
    <x v="33"/>
    <x v="2"/>
    <n v="29235290"/>
    <s v="920 Bayswater Avenue"/>
    <s v="5+"/>
    <x v="0"/>
    <n v="0"/>
    <n v="0"/>
    <n v="0"/>
    <n v="0"/>
    <n v="0"/>
    <n v="0"/>
    <x v="0"/>
    <n v="0"/>
    <n v="0"/>
    <n v="0"/>
    <n v="13"/>
    <n v="0"/>
    <n v="0"/>
    <n v="0"/>
    <n v="0"/>
    <n v="0"/>
    <n v="0"/>
    <n v="0"/>
    <x v="0"/>
    <n v="30"/>
    <n v="0"/>
  </r>
  <r>
    <x v="8"/>
    <x v="0"/>
    <n v="5332050300"/>
    <s v="2001 04TH AV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0"/>
    <n v="55"/>
    <n v="0"/>
  </r>
  <r>
    <x v="55"/>
    <x v="1"/>
    <s v="052-112-03"/>
    <s v="825 Drake Ave"/>
    <s v="5+"/>
    <x v="0"/>
    <n v="0"/>
    <n v="24"/>
    <n v="0"/>
    <n v="49"/>
    <n v="0"/>
    <n v="0"/>
    <x v="0"/>
    <n v="24"/>
    <n v="0"/>
    <n v="49"/>
    <n v="0"/>
    <n v="0"/>
    <n v="0"/>
    <n v="0"/>
    <n v="0"/>
    <n v="0"/>
    <n v="0"/>
    <n v="0"/>
    <x v="0"/>
    <n v="99"/>
    <n v="90"/>
  </r>
  <r>
    <x v="2"/>
    <x v="3"/>
    <n v="5675030006"/>
    <s v="913 S ADAMS ST"/>
    <s v="5+"/>
    <x v="0"/>
    <n v="2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35"/>
  </r>
  <r>
    <x v="56"/>
    <x v="0"/>
    <s v="74-1373-16-9"/>
    <s v="2871 TRADEWIND DR"/>
    <s v="5+"/>
    <x v="1"/>
    <n v="1"/>
    <n v="0"/>
    <n v="0"/>
    <n v="0"/>
    <n v="1"/>
    <n v="0"/>
    <x v="3"/>
    <n v="0"/>
    <n v="0"/>
    <n v="0"/>
    <n v="1"/>
    <n v="0"/>
    <n v="0"/>
    <n v="0"/>
    <n v="0"/>
    <n v="0"/>
    <n v="0"/>
    <n v="0"/>
    <x v="0"/>
    <n v="59"/>
    <n v="20"/>
  </r>
  <r>
    <x v="56"/>
    <x v="0"/>
    <s v="74-1373-16-7"/>
    <s v="2831 FIFTH ST"/>
    <s v="5+"/>
    <x v="1"/>
    <n v="1"/>
    <n v="0"/>
    <n v="1"/>
    <n v="0"/>
    <n v="0"/>
    <n v="0"/>
    <x v="3"/>
    <n v="0"/>
    <n v="1"/>
    <n v="0"/>
    <n v="0"/>
    <n v="0"/>
    <n v="0"/>
    <n v="0"/>
    <n v="0"/>
    <n v="0"/>
    <n v="0"/>
    <n v="0"/>
    <x v="0"/>
    <n v="59"/>
    <n v="20"/>
  </r>
  <r>
    <x v="56"/>
    <x v="0"/>
    <s v="74-1373-16-8"/>
    <s v="2830 TRADEWIND DR"/>
    <s v="5+"/>
    <x v="1"/>
    <n v="1"/>
    <n v="0"/>
    <n v="0"/>
    <n v="0"/>
    <n v="1"/>
    <n v="0"/>
    <x v="3"/>
    <n v="0"/>
    <n v="0"/>
    <n v="0"/>
    <n v="1"/>
    <n v="0"/>
    <n v="0"/>
    <n v="0"/>
    <n v="0"/>
    <n v="0"/>
    <n v="0"/>
    <n v="0"/>
    <x v="0"/>
    <n v="59"/>
    <n v="20"/>
  </r>
  <r>
    <x v="35"/>
    <x v="2"/>
    <n v="2031011200"/>
    <s v="2777 ROOSEVELT ST"/>
    <s v="5+"/>
    <x v="1"/>
    <n v="0"/>
    <n v="0"/>
    <n v="12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35"/>
    <x v="2"/>
    <n v="2033204900"/>
    <s v="1040 CARLSBAD VILLAGE DR"/>
    <s v="5+"/>
    <x v="0"/>
    <n v="0"/>
    <n v="0"/>
    <n v="0"/>
    <n v="0"/>
    <n v="0"/>
    <n v="0"/>
    <x v="0"/>
    <n v="0"/>
    <n v="16"/>
    <n v="0"/>
    <n v="0"/>
    <n v="0"/>
    <n v="0"/>
    <n v="0"/>
    <n v="0"/>
    <n v="0"/>
    <n v="0"/>
    <n v="0"/>
    <x v="1"/>
    <m/>
    <n v="0"/>
  </r>
  <r>
    <x v="52"/>
    <x v="0"/>
    <s v="07101900610000"/>
    <s v="403 BIDWELL PLACE"/>
    <s v="5+"/>
    <x v="1"/>
    <n v="0"/>
    <n v="0"/>
    <n v="0"/>
    <n v="0"/>
    <n v="0"/>
    <n v="0"/>
    <x v="0"/>
    <n v="0"/>
    <n v="25"/>
    <n v="0"/>
    <n v="0"/>
    <n v="0"/>
    <n v="0"/>
    <n v="0"/>
    <n v="0"/>
    <n v="0"/>
    <n v="0"/>
    <n v="0"/>
    <x v="0"/>
    <n v="55"/>
    <n v="19"/>
  </r>
  <r>
    <x v="4"/>
    <x v="2"/>
    <s v="004-583-052"/>
    <s v="3049 Broad"/>
    <s v="5+"/>
    <x v="0"/>
    <n v="0"/>
    <n v="0"/>
    <n v="0"/>
    <n v="0"/>
    <n v="1"/>
    <n v="0"/>
    <x v="0"/>
    <n v="0"/>
    <n v="0"/>
    <n v="0"/>
    <n v="0"/>
    <n v="0"/>
    <n v="0"/>
    <n v="0"/>
    <n v="0"/>
    <n v="0"/>
    <n v="0"/>
    <n v="0"/>
    <x v="1"/>
    <n v="55"/>
    <n v="0"/>
  </r>
  <r>
    <x v="8"/>
    <x v="0"/>
    <n v="4446040400"/>
    <s v="3968 HAWK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8"/>
    <x v="0"/>
    <n v="5313051000"/>
    <s v="3111 FENELON ST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8"/>
    <x v="0"/>
    <n v="4666920300"/>
    <s v="5472-5482 El Cajon Boulevard"/>
    <s v="5+"/>
    <x v="0"/>
    <n v="0"/>
    <n v="0"/>
    <n v="0"/>
    <n v="0"/>
    <n v="0"/>
    <n v="0"/>
    <x v="0"/>
    <n v="0"/>
    <n v="144"/>
    <n v="0"/>
    <n v="0"/>
    <n v="0"/>
    <n v="0"/>
    <n v="0"/>
    <n v="0"/>
    <n v="0"/>
    <n v="0"/>
    <n v="0"/>
    <x v="0"/>
    <n v="55"/>
    <n v="0"/>
  </r>
  <r>
    <x v="57"/>
    <x v="3"/>
    <n v="5548023105"/>
    <s v="1352 N ORANGE DR"/>
    <s v="5+"/>
    <x v="0"/>
    <n v="3"/>
    <n v="0"/>
    <n v="93"/>
    <n v="0"/>
    <n v="0"/>
    <n v="0"/>
    <x v="0"/>
    <n v="0"/>
    <n v="0"/>
    <n v="0"/>
    <n v="0"/>
    <n v="0"/>
    <n v="0"/>
    <n v="0"/>
    <n v="0"/>
    <n v="0"/>
    <n v="0"/>
    <n v="0"/>
    <x v="0"/>
    <n v="55"/>
    <n v="790"/>
  </r>
  <r>
    <x v="57"/>
    <x v="3"/>
    <n v="2239006044"/>
    <s v="13716 W VICTORY BLVD 1-32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35"/>
  </r>
  <r>
    <x v="57"/>
    <x v="3"/>
    <n v="2241007006"/>
    <s v="14728 W FRIAR ST 1-12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70"/>
  </r>
  <r>
    <x v="57"/>
    <x v="3"/>
    <n v="4217007003"/>
    <s v="4367 S BERRYMAN AVE 1-21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35"/>
  </r>
  <r>
    <x v="57"/>
    <x v="3"/>
    <n v="2240013007"/>
    <s v="14222 W VICTORY BLVD #1-18"/>
    <s v="5+"/>
    <x v="0"/>
    <n v="0"/>
    <n v="0"/>
    <n v="0"/>
    <n v="0"/>
    <n v="0"/>
    <n v="0"/>
    <x v="0"/>
    <n v="0"/>
    <n v="0"/>
    <n v="0"/>
    <n v="0"/>
    <n v="0"/>
    <n v="2"/>
    <n v="0"/>
    <n v="1"/>
    <n v="0"/>
    <n v="0"/>
    <n v="0"/>
    <x v="0"/>
    <n v="55"/>
    <n v="35"/>
  </r>
  <r>
    <x v="57"/>
    <x v="3"/>
    <n v="5094017005"/>
    <s v="832 S MARIPOSA AVE"/>
    <s v="5+"/>
    <x v="0"/>
    <n v="0"/>
    <n v="0"/>
    <n v="0"/>
    <n v="0"/>
    <n v="0"/>
    <n v="0"/>
    <x v="0"/>
    <n v="0"/>
    <n v="0"/>
    <n v="0"/>
    <n v="0"/>
    <n v="0"/>
    <n v="13"/>
    <n v="0"/>
    <n v="0"/>
    <n v="0"/>
    <n v="0"/>
    <n v="0"/>
    <x v="0"/>
    <n v="55"/>
    <n v="35"/>
  </r>
  <r>
    <x v="57"/>
    <x v="3"/>
    <n v="5123020011"/>
    <s v="505 W 31ST ST #1-73"/>
    <s v="5+"/>
    <x v="0"/>
    <n v="0"/>
    <n v="0"/>
    <n v="0"/>
    <n v="0"/>
    <n v="0"/>
    <n v="0"/>
    <x v="0"/>
    <n v="0"/>
    <n v="0"/>
    <n v="0"/>
    <n v="0"/>
    <n v="0"/>
    <n v="6"/>
    <n v="0"/>
    <n v="0"/>
    <n v="0"/>
    <n v="2"/>
    <n v="0"/>
    <x v="0"/>
    <n v="55"/>
    <n v="35"/>
  </r>
  <r>
    <x v="57"/>
    <x v="3"/>
    <s v="5445031***"/>
    <s v="2581 E CHAUCER ST Bldg#1, 1-12; 2581 E CHAUCER ST Bldg #2, 1-12; 2581 E CHAUCER ST Bldg #5, 1-6; 2581 E CHAUCER ST BLDG # 4,1-6; 2581 E CHAUCER ST BLDG # 3,1-6"/>
    <s v="5+"/>
    <x v="0"/>
    <n v="0"/>
    <n v="0"/>
    <n v="0"/>
    <n v="0"/>
    <n v="0"/>
    <n v="0"/>
    <x v="0"/>
    <n v="0"/>
    <n v="0"/>
    <n v="0"/>
    <n v="0"/>
    <n v="0"/>
    <n v="0"/>
    <n v="0"/>
    <n v="42"/>
    <n v="0"/>
    <n v="0"/>
    <n v="0"/>
    <x v="0"/>
    <n v="55"/>
    <n v="35"/>
  </r>
  <r>
    <x v="57"/>
    <x v="3"/>
    <n v="5459009017"/>
    <s v="3324 N CHAPMAN ST Units 1-7"/>
    <s v="5+"/>
    <x v="0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0"/>
    <n v="55"/>
    <n v="35"/>
  </r>
  <r>
    <x v="36"/>
    <x v="0"/>
    <s v="092A212501002"/>
    <s v="37660 Timber Street"/>
    <s v="5+"/>
    <x v="0"/>
    <n v="0"/>
    <n v="0"/>
    <n v="0"/>
    <n v="0"/>
    <n v="79"/>
    <n v="0"/>
    <x v="0"/>
    <n v="0"/>
    <n v="0"/>
    <n v="0"/>
    <n v="0"/>
    <n v="0"/>
    <n v="0"/>
    <n v="0"/>
    <n v="0"/>
    <n v="0"/>
    <n v="0"/>
    <n v="0"/>
    <x v="0"/>
    <m/>
    <n v="34"/>
  </r>
  <r>
    <x v="58"/>
    <x v="5"/>
    <s v="033-092-05"/>
    <s v="336 E Santa Fe Av"/>
    <s v="5+"/>
    <x v="0"/>
    <n v="0"/>
    <n v="0"/>
    <n v="0"/>
    <n v="0"/>
    <n v="0"/>
    <n v="0"/>
    <x v="0"/>
    <n v="0"/>
    <n v="0"/>
    <n v="0"/>
    <n v="0"/>
    <n v="0"/>
    <n v="39"/>
    <n v="0"/>
    <n v="15"/>
    <n v="0"/>
    <n v="0"/>
    <n v="0"/>
    <x v="0"/>
    <n v="55"/>
    <n v="0"/>
  </r>
  <r>
    <x v="56"/>
    <x v="0"/>
    <s v="74-1373-16-6"/>
    <s v="2801 FIFTH ST"/>
    <s v="5+"/>
    <x v="1"/>
    <n v="1"/>
    <n v="0"/>
    <n v="1"/>
    <n v="0"/>
    <n v="0"/>
    <n v="0"/>
    <x v="3"/>
    <n v="0"/>
    <n v="1"/>
    <n v="0"/>
    <n v="0"/>
    <n v="0"/>
    <n v="0"/>
    <n v="0"/>
    <n v="0"/>
    <n v="0"/>
    <n v="0"/>
    <n v="0"/>
    <x v="0"/>
    <n v="59"/>
    <n v="20"/>
  </r>
  <r>
    <x v="26"/>
    <x v="0"/>
    <s v="160-58-002"/>
    <s v="400 LOGUE AVE"/>
    <s v="5+"/>
    <x v="0"/>
    <n v="8"/>
    <n v="0"/>
    <n v="16"/>
    <n v="0"/>
    <n v="38"/>
    <n v="0"/>
    <x v="0"/>
    <n v="0"/>
    <n v="0"/>
    <n v="0"/>
    <n v="0"/>
    <n v="0"/>
    <n v="0"/>
    <n v="0"/>
    <n v="0"/>
    <n v="0"/>
    <n v="0"/>
    <n v="0"/>
    <x v="1"/>
    <n v="1000"/>
    <n v="0"/>
  </r>
  <r>
    <x v="45"/>
    <x v="3"/>
    <s v="093100059 093100060"/>
    <s v="0 Alves Lane_x000a_Bay Point, CA"/>
    <s v="5+"/>
    <x v="0"/>
    <n v="3"/>
    <n v="0"/>
    <n v="96"/>
    <n v="0"/>
    <n v="0"/>
    <n v="0"/>
    <x v="0"/>
    <n v="0"/>
    <n v="0"/>
    <n v="0"/>
    <n v="0"/>
    <n v="0"/>
    <n v="0"/>
    <n v="0"/>
    <n v="0"/>
    <n v="0"/>
    <n v="0"/>
    <n v="0"/>
    <x v="0"/>
    <m/>
    <n v="20"/>
  </r>
  <r>
    <x v="56"/>
    <x v="0"/>
    <s v="74-1373-10-19"/>
    <s v="500 MARTIN MARINER AVE"/>
    <s v="5+"/>
    <x v="1"/>
    <n v="0"/>
    <n v="0"/>
    <n v="0"/>
    <n v="0"/>
    <n v="2"/>
    <n v="0"/>
    <x v="0"/>
    <n v="0"/>
    <n v="0"/>
    <n v="0"/>
    <n v="2"/>
    <n v="0"/>
    <n v="0"/>
    <n v="0"/>
    <n v="0"/>
    <n v="0"/>
    <n v="0"/>
    <n v="0"/>
    <x v="0"/>
    <n v="59"/>
    <n v="20"/>
  </r>
  <r>
    <x v="46"/>
    <x v="5"/>
    <s v="170 02 022"/>
    <s v="4880 El Camino  Real"/>
    <s v="5+"/>
    <x v="0"/>
    <n v="0"/>
    <n v="0"/>
    <n v="0"/>
    <n v="0"/>
    <n v="0"/>
    <n v="0"/>
    <x v="0"/>
    <n v="0"/>
    <n v="2"/>
    <n v="0"/>
    <n v="1"/>
    <n v="0"/>
    <n v="0"/>
    <n v="0"/>
    <n v="0"/>
    <n v="0"/>
    <n v="0"/>
    <n v="0"/>
    <x v="0"/>
    <n v="55"/>
    <n v="0"/>
  </r>
  <r>
    <x v="59"/>
    <x v="0"/>
    <s v="87-21-13-1, 87-21-13-2 (Portion), 87-21-5-2 (Portion)"/>
    <s v="700 Decoto Road, 33950 7th Street"/>
    <s v="5+"/>
    <x v="0"/>
    <n v="40"/>
    <n v="0"/>
    <n v="82"/>
    <n v="0"/>
    <n v="24"/>
    <n v="229"/>
    <x v="0"/>
    <n v="0"/>
    <n v="0"/>
    <n v="0"/>
    <n v="0"/>
    <n v="0"/>
    <n v="0"/>
    <n v="0"/>
    <n v="0"/>
    <n v="0"/>
    <n v="0"/>
    <n v="0"/>
    <x v="1"/>
    <n v="55"/>
    <n v="0"/>
  </r>
  <r>
    <x v="48"/>
    <x v="0"/>
    <s v="0319-381-12"/>
    <s v="12710 3rd Street"/>
    <s v="5+"/>
    <x v="0"/>
    <n v="0"/>
    <n v="0"/>
    <n v="0"/>
    <n v="0"/>
    <n v="0"/>
    <n v="18"/>
    <x v="0"/>
    <n v="0"/>
    <n v="0"/>
    <n v="0"/>
    <n v="0"/>
    <n v="0"/>
    <n v="0"/>
    <n v="0"/>
    <n v="0"/>
    <n v="0"/>
    <n v="0"/>
    <n v="0"/>
    <x v="0"/>
    <m/>
    <n v="100"/>
  </r>
  <r>
    <x v="48"/>
    <x v="0"/>
    <s v="APN to be assigned"/>
    <s v="NEC County Line Road and 5th Street"/>
    <s v="5+"/>
    <x v="0"/>
    <n v="0"/>
    <n v="0"/>
    <n v="6"/>
    <n v="0"/>
    <n v="0"/>
    <n v="0"/>
    <x v="0"/>
    <n v="0"/>
    <n v="0"/>
    <n v="0"/>
    <n v="0"/>
    <n v="0"/>
    <n v="0"/>
    <n v="0"/>
    <n v="0"/>
    <n v="0"/>
    <n v="0"/>
    <n v="0"/>
    <x v="0"/>
    <m/>
    <n v="100"/>
  </r>
  <r>
    <x v="40"/>
    <x v="0"/>
    <s v="099 005600901"/>
    <s v="202 PLUM TREE ST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m/>
    <n v="0"/>
  </r>
  <r>
    <x v="17"/>
    <x v="5"/>
    <s v="011-154-43"/>
    <s v="1440  E First St"/>
    <s v="5+"/>
    <x v="0"/>
    <n v="55"/>
    <n v="0"/>
    <n v="13"/>
    <n v="0"/>
    <n v="0"/>
    <n v="0"/>
    <x v="44"/>
    <n v="0"/>
    <n v="13"/>
    <n v="0"/>
    <n v="0"/>
    <n v="0"/>
    <n v="0"/>
    <n v="0"/>
    <n v="0"/>
    <n v="0"/>
    <n v="0"/>
    <n v="0"/>
    <x v="1"/>
    <n v="55"/>
    <n v="0"/>
  </r>
  <r>
    <x v="60"/>
    <x v="3"/>
    <s v="01114513"/>
    <s v="1380 Lincoln Avenue"/>
    <s v="5+"/>
    <x v="0"/>
    <n v="0"/>
    <n v="0"/>
    <n v="1"/>
    <n v="0"/>
    <n v="0"/>
    <n v="0"/>
    <x v="0"/>
    <n v="0"/>
    <n v="1"/>
    <n v="0"/>
    <n v="0"/>
    <n v="0"/>
    <n v="0"/>
    <n v="0"/>
    <n v="0"/>
    <n v="0"/>
    <n v="0"/>
    <n v="0"/>
    <x v="1"/>
    <m/>
    <n v="0"/>
  </r>
  <r>
    <x v="61"/>
    <x v="3"/>
    <s v="022-083-030"/>
    <s v="801 FASSLER"/>
    <s v="5+"/>
    <x v="1"/>
    <n v="2"/>
    <n v="0"/>
    <n v="0"/>
    <n v="0"/>
    <n v="2"/>
    <n v="0"/>
    <x v="0"/>
    <n v="0"/>
    <n v="2"/>
    <n v="0"/>
    <n v="2"/>
    <n v="0"/>
    <n v="0"/>
    <n v="0"/>
    <n v="0"/>
    <n v="0"/>
    <n v="0"/>
    <n v="0"/>
    <x v="1"/>
    <n v="45"/>
    <n v="0"/>
  </r>
  <r>
    <x v="48"/>
    <x v="0"/>
    <s v="0319-351-57"/>
    <s v="12279 3rd Street"/>
    <s v="5+"/>
    <x v="0"/>
    <n v="0"/>
    <n v="0"/>
    <n v="27"/>
    <n v="0"/>
    <n v="0"/>
    <n v="0"/>
    <x v="0"/>
    <n v="0"/>
    <n v="0"/>
    <n v="0"/>
    <n v="0"/>
    <n v="0"/>
    <n v="0"/>
    <n v="0"/>
    <n v="0"/>
    <n v="0"/>
    <n v="0"/>
    <n v="0"/>
    <x v="0"/>
    <m/>
    <n v="100"/>
  </r>
  <r>
    <x v="40"/>
    <x v="0"/>
    <s v="098 028902200"/>
    <s v="2139 RAILROAD AV"/>
    <s v="5+"/>
    <x v="0"/>
    <n v="13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42"/>
    <x v="0"/>
    <s v="128-181-001"/>
    <s v="1269 Broadway"/>
    <s v="5+"/>
    <x v="0"/>
    <n v="7"/>
    <n v="0"/>
    <n v="0"/>
    <n v="0"/>
    <n v="0"/>
    <n v="0"/>
    <x v="14"/>
    <n v="0"/>
    <n v="0"/>
    <n v="0"/>
    <n v="0"/>
    <n v="0"/>
    <n v="7"/>
    <n v="0"/>
    <n v="0"/>
    <n v="0"/>
    <n v="0"/>
    <n v="0"/>
    <x v="0"/>
    <n v="55"/>
    <n v="120"/>
  </r>
  <r>
    <x v="42"/>
    <x v="0"/>
    <s v="128-181-001"/>
    <s v="1269 Broadway"/>
    <s v="5+"/>
    <x v="0"/>
    <n v="7"/>
    <n v="0"/>
    <n v="1"/>
    <n v="0"/>
    <n v="0"/>
    <n v="0"/>
    <x v="14"/>
    <n v="0"/>
    <n v="1"/>
    <n v="0"/>
    <n v="0"/>
    <n v="0"/>
    <n v="7"/>
    <n v="0"/>
    <n v="1"/>
    <n v="0"/>
    <n v="0"/>
    <n v="0"/>
    <x v="0"/>
    <m/>
    <n v="120"/>
  </r>
  <r>
    <x v="43"/>
    <x v="0"/>
    <s v="501-031-026"/>
    <s v="SEC N. Indian Canyon Drive &amp; E. San Rafael Drive"/>
    <s v="5+"/>
    <x v="0"/>
    <n v="24"/>
    <n v="0"/>
    <n v="3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0"/>
    <n v="26139045"/>
    <s v="270 SUNOL ST SAN JOSE, CA 95126-4804"/>
    <s v="5+"/>
    <x v="0"/>
    <n v="0"/>
    <n v="0"/>
    <n v="153"/>
    <n v="0"/>
    <n v="0"/>
    <n v="0"/>
    <x v="0"/>
    <n v="0"/>
    <n v="0"/>
    <n v="0"/>
    <n v="0"/>
    <n v="0"/>
    <n v="0"/>
    <n v="0"/>
    <n v="0"/>
    <n v="0"/>
    <n v="0"/>
    <n v="0"/>
    <x v="0"/>
    <n v="55"/>
    <n v="45"/>
  </r>
  <r>
    <x v="32"/>
    <x v="2"/>
    <n v="4291006006"/>
    <s v="1238 7th Street"/>
    <s v="5+"/>
    <x v="0"/>
    <n v="14"/>
    <n v="0"/>
    <n v="10"/>
    <n v="0"/>
    <n v="11"/>
    <n v="0"/>
    <x v="0"/>
    <n v="0"/>
    <n v="0"/>
    <n v="0"/>
    <n v="0"/>
    <n v="0"/>
    <n v="0"/>
    <n v="0"/>
    <n v="0"/>
    <n v="0"/>
    <n v="0"/>
    <n v="0"/>
    <x v="1"/>
    <m/>
    <n v="0"/>
  </r>
  <r>
    <x v="44"/>
    <x v="0"/>
    <n v="48420040"/>
    <s v="2880 Alum Rock Ave"/>
    <s v="5+"/>
    <x v="0"/>
    <n v="32"/>
    <n v="0"/>
    <n v="33"/>
    <n v="0"/>
    <n v="97"/>
    <n v="0"/>
    <x v="0"/>
    <n v="0"/>
    <n v="0"/>
    <n v="0"/>
    <n v="0"/>
    <n v="0"/>
    <n v="0"/>
    <n v="0"/>
    <n v="0"/>
    <n v="0"/>
    <n v="0"/>
    <n v="0"/>
    <x v="0"/>
    <n v="55"/>
    <n v="0"/>
  </r>
  <r>
    <x v="46"/>
    <x v="3"/>
    <n v="17004051"/>
    <s v="330 DISTEL CIR"/>
    <s v="5+"/>
    <x v="0"/>
    <n v="57"/>
    <n v="0"/>
    <n v="31"/>
    <n v="0"/>
    <n v="0"/>
    <n v="0"/>
    <x v="0"/>
    <n v="0"/>
    <n v="0"/>
    <n v="0"/>
    <n v="0"/>
    <n v="0"/>
    <n v="0"/>
    <n v="0"/>
    <n v="0"/>
    <n v="0"/>
    <n v="0"/>
    <n v="0"/>
    <x v="0"/>
    <n v="99"/>
    <n v="230"/>
  </r>
  <r>
    <x v="62"/>
    <x v="5"/>
    <s v="0744002"/>
    <s v="807 FRANKLIN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702390"/>
    <s v="1169 MARKET ST"/>
    <s v="5+"/>
    <x v="0"/>
    <n v="0"/>
    <n v="0"/>
    <n v="0"/>
    <n v="0"/>
    <n v="0"/>
    <n v="0"/>
    <x v="0"/>
    <n v="0"/>
    <n v="74"/>
    <n v="0"/>
    <n v="0"/>
    <n v="0"/>
    <n v="0"/>
    <n v="0"/>
    <n v="0"/>
    <n v="0"/>
    <n v="0"/>
    <n v="0"/>
    <x v="1"/>
    <m/>
    <n v="0"/>
  </r>
  <r>
    <x v="62"/>
    <x v="5"/>
    <n v="4059009"/>
    <s v="2290 03RD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6568032"/>
    <s v="3620 CESAR CHAVEZ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548039"/>
    <s v="1801 MISSION ST"/>
    <s v="5+"/>
    <x v="1"/>
    <n v="0"/>
    <n v="0"/>
    <n v="0"/>
    <n v="0"/>
    <n v="0"/>
    <n v="0"/>
    <x v="0"/>
    <n v="0"/>
    <n v="0"/>
    <n v="0"/>
    <n v="2"/>
    <n v="0"/>
    <n v="0"/>
    <n v="0"/>
    <n v="0"/>
    <n v="0"/>
    <n v="0"/>
    <n v="0"/>
    <x v="1"/>
    <m/>
    <n v="0"/>
  </r>
  <r>
    <x v="62"/>
    <x v="5"/>
    <s v="0297009"/>
    <s v="693 SUTTER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4102026"/>
    <s v="645 TEXAS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1"/>
    <n v="0"/>
    <x v="1"/>
    <m/>
    <n v="0"/>
  </r>
  <r>
    <x v="62"/>
    <x v="5"/>
    <n v="3719011"/>
    <s v="181 FREMONT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6969019"/>
    <s v="5050 MISSION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9"/>
    <n v="0"/>
    <x v="1"/>
    <m/>
    <n v="0"/>
  </r>
  <r>
    <x v="62"/>
    <x v="5"/>
    <s v="0670011"/>
    <s v="1238 SUTTER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4"/>
    <n v="0"/>
    <x v="1"/>
    <m/>
    <n v="0"/>
  </r>
  <r>
    <x v="62"/>
    <x v="5"/>
    <s v="0101004"/>
    <s v="1731 POWELL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44"/>
    <x v="0"/>
    <n v="47212086"/>
    <s v="551 KEYES ST"/>
    <s v="5+"/>
    <x v="0"/>
    <n v="0"/>
    <n v="0"/>
    <n v="77"/>
    <n v="0"/>
    <n v="0"/>
    <n v="0"/>
    <x v="0"/>
    <n v="0"/>
    <n v="0"/>
    <n v="0"/>
    <n v="0"/>
    <n v="0"/>
    <n v="0"/>
    <n v="0"/>
    <n v="0"/>
    <n v="0"/>
    <n v="0"/>
    <n v="0"/>
    <x v="0"/>
    <n v="55"/>
    <n v="80"/>
  </r>
  <r>
    <x v="47"/>
    <x v="3"/>
    <s v="017-172-014-000"/>
    <s v="818 UNIVERSITY AVE"/>
    <s v="5+"/>
    <x v="0"/>
    <n v="0"/>
    <n v="0"/>
    <n v="0"/>
    <n v="0"/>
    <n v="0"/>
    <n v="0"/>
    <x v="45"/>
    <n v="0"/>
    <n v="5"/>
    <n v="0"/>
    <n v="0"/>
    <n v="0"/>
    <n v="0"/>
    <n v="0"/>
    <n v="0"/>
    <n v="0"/>
    <n v="0"/>
    <n v="0"/>
    <x v="0"/>
    <n v="55"/>
    <n v="23"/>
  </r>
  <r>
    <x v="58"/>
    <x v="5"/>
    <s v="267-031-17"/>
    <s v="1220 E Orangethorpe"/>
    <s v="5+"/>
    <x v="0"/>
    <n v="0"/>
    <n v="0"/>
    <n v="0"/>
    <n v="0"/>
    <n v="0"/>
    <n v="0"/>
    <x v="0"/>
    <n v="0"/>
    <n v="0"/>
    <n v="0"/>
    <n v="0"/>
    <n v="0"/>
    <n v="23"/>
    <n v="0"/>
    <n v="12"/>
    <n v="0"/>
    <n v="0"/>
    <n v="0"/>
    <x v="0"/>
    <n v="55"/>
    <n v="0"/>
  </r>
  <r>
    <x v="63"/>
    <x v="2"/>
    <s v="091-211-230"/>
    <s v="699 Serramonte Blvd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1"/>
    <n v="50"/>
    <n v="0"/>
  </r>
  <r>
    <x v="64"/>
    <x v="0"/>
    <s v="017-231-024-000"/>
    <s v="350 ROSEVILLE PW, BLDG 22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23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1"/>
    <m/>
    <n v="0"/>
  </r>
  <r>
    <x v="64"/>
    <x v="0"/>
    <s v="017-231-024-000"/>
    <s v="350 ROSEVILLE PW, BLDG 28"/>
    <s v="5+"/>
    <x v="0"/>
    <n v="0"/>
    <n v="0"/>
    <n v="0"/>
    <n v="0"/>
    <n v="0"/>
    <n v="0"/>
    <x v="0"/>
    <n v="0"/>
    <n v="0"/>
    <n v="0"/>
    <n v="0"/>
    <n v="0"/>
    <n v="10"/>
    <n v="0"/>
    <n v="0"/>
    <n v="0"/>
    <n v="0"/>
    <n v="0"/>
    <x v="1"/>
    <m/>
    <n v="0"/>
  </r>
  <r>
    <x v="56"/>
    <x v="0"/>
    <s v="74-1373-16-3"/>
    <s v="2841 TRADEWIND CT"/>
    <s v="5+"/>
    <x v="1"/>
    <n v="1"/>
    <n v="0"/>
    <n v="1"/>
    <n v="0"/>
    <n v="0"/>
    <n v="0"/>
    <x v="3"/>
    <n v="0"/>
    <n v="1"/>
    <n v="0"/>
    <n v="0"/>
    <n v="0"/>
    <n v="1"/>
    <n v="0"/>
    <n v="1"/>
    <n v="0"/>
    <n v="0"/>
    <n v="0"/>
    <x v="0"/>
    <n v="59"/>
    <n v="20"/>
  </r>
  <r>
    <x v="56"/>
    <x v="0"/>
    <s v="74-1373-16-4"/>
    <s v="2851 TRADEWIND DR"/>
    <s v="5+"/>
    <x v="1"/>
    <n v="2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9"/>
    <n v="20"/>
  </r>
  <r>
    <x v="44"/>
    <x v="0"/>
    <n v="47226070"/>
    <s v="605 S 2ND ST"/>
    <s v="5+"/>
    <x v="0"/>
    <n v="0"/>
    <n v="0"/>
    <n v="341"/>
    <n v="0"/>
    <n v="0"/>
    <n v="0"/>
    <x v="0"/>
    <n v="0"/>
    <n v="0"/>
    <n v="0"/>
    <n v="0"/>
    <n v="0"/>
    <n v="0"/>
    <n v="0"/>
    <n v="0"/>
    <n v="0"/>
    <n v="0"/>
    <n v="0"/>
    <x v="0"/>
    <n v="55"/>
    <n v="44.5"/>
  </r>
  <r>
    <x v="48"/>
    <x v="0"/>
    <s v="0319-351-02"/>
    <s v="12301 3rd Street"/>
    <s v="5+"/>
    <x v="0"/>
    <n v="0"/>
    <n v="0"/>
    <n v="0"/>
    <n v="0"/>
    <n v="0"/>
    <n v="32"/>
    <x v="0"/>
    <n v="0"/>
    <n v="0"/>
    <n v="0"/>
    <n v="0"/>
    <n v="0"/>
    <n v="0"/>
    <n v="0"/>
    <n v="0"/>
    <n v="0"/>
    <n v="0"/>
    <n v="0"/>
    <x v="0"/>
    <m/>
    <n v="100"/>
  </r>
  <r>
    <x v="60"/>
    <x v="3"/>
    <s v="01126501, 01301238 - 39, 01301250 - 55"/>
    <s v="999 3rd Street"/>
    <s v="5+"/>
    <x v="0"/>
    <n v="0"/>
    <n v="0"/>
    <n v="0"/>
    <n v="0"/>
    <n v="0"/>
    <n v="0"/>
    <x v="46"/>
    <n v="0"/>
    <n v="36"/>
    <n v="0"/>
    <n v="0"/>
    <n v="0"/>
    <n v="0"/>
    <n v="0"/>
    <n v="0"/>
    <n v="0"/>
    <n v="0"/>
    <n v="0"/>
    <x v="0"/>
    <m/>
    <n v="35"/>
  </r>
  <r>
    <x v="60"/>
    <x v="3"/>
    <s v="16522006 &amp; 07"/>
    <s v="Los Gamos Drive"/>
    <s v="5+"/>
    <x v="0"/>
    <n v="0"/>
    <n v="0"/>
    <n v="2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2"/>
    <x v="3"/>
    <n v="5674010024"/>
    <s v="920 E BROADWAY GLENDALE, CA 91205"/>
    <s v="5+"/>
    <x v="0"/>
    <n v="31"/>
    <n v="0"/>
    <n v="8"/>
    <n v="0"/>
    <n v="0"/>
    <n v="0"/>
    <x v="30"/>
    <n v="0"/>
    <n v="8"/>
    <n v="0"/>
    <n v="0"/>
    <n v="0"/>
    <n v="0"/>
    <n v="0"/>
    <n v="0"/>
    <n v="0"/>
    <n v="0"/>
    <n v="0"/>
    <x v="0"/>
    <n v="75"/>
    <n v="17"/>
  </r>
  <r>
    <x v="31"/>
    <x v="1"/>
    <n v="20550034"/>
    <s v="1150 KIFER RD"/>
    <s v="5+"/>
    <x v="0"/>
    <n v="8"/>
    <n v="0"/>
    <n v="36"/>
    <n v="0"/>
    <n v="0"/>
    <n v="90"/>
    <x v="0"/>
    <n v="0"/>
    <n v="0"/>
    <n v="0"/>
    <n v="0"/>
    <n v="0"/>
    <n v="0"/>
    <n v="0"/>
    <n v="0"/>
    <n v="0"/>
    <n v="0"/>
    <n v="0"/>
    <x v="0"/>
    <n v="55"/>
    <n v="50"/>
  </r>
  <r>
    <x v="31"/>
    <x v="1"/>
    <n v="20550013"/>
    <s v="1178 SONORA CT"/>
    <s v="5+"/>
    <x v="0"/>
    <n v="0"/>
    <n v="0"/>
    <n v="0"/>
    <n v="0"/>
    <n v="0"/>
    <n v="0"/>
    <x v="47"/>
    <n v="0"/>
    <n v="43"/>
    <n v="0"/>
    <n v="0"/>
    <n v="0"/>
    <n v="0"/>
    <n v="0"/>
    <n v="0"/>
    <n v="0"/>
    <n v="0"/>
    <n v="0"/>
    <x v="0"/>
    <n v="85"/>
    <n v="107"/>
  </r>
  <r>
    <x v="4"/>
    <x v="2"/>
    <s v="004-705-002"/>
    <s v="3520 Ranch Hous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4"/>
    <x v="2"/>
    <s v="004-705-020"/>
    <s v="3560 Ranch Hous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32"/>
    <x v="2"/>
    <n v="4266016051"/>
    <s v="2729  WILSHIRE BLVD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m/>
    <n v="0"/>
  </r>
  <r>
    <x v="32"/>
    <x v="2"/>
    <n v="4283030016"/>
    <s v="1834  14TH ST"/>
    <s v="5+"/>
    <x v="0"/>
    <n v="0"/>
    <n v="0"/>
    <n v="0"/>
    <n v="0"/>
    <n v="0"/>
    <n v="0"/>
    <x v="48"/>
    <n v="0"/>
    <n v="27"/>
    <n v="0"/>
    <n v="0"/>
    <n v="0"/>
    <n v="0"/>
    <n v="0"/>
    <n v="0"/>
    <n v="0"/>
    <n v="0"/>
    <n v="0"/>
    <x v="1"/>
    <n v="99"/>
    <n v="0"/>
  </r>
  <r>
    <x v="32"/>
    <x v="2"/>
    <n v="4291019021"/>
    <s v="1415 5th Street"/>
    <s v="5+"/>
    <x v="0"/>
    <n v="2"/>
    <n v="0"/>
    <n v="16"/>
    <n v="0"/>
    <n v="5"/>
    <n v="0"/>
    <x v="0"/>
    <n v="0"/>
    <n v="0"/>
    <n v="0"/>
    <n v="0"/>
    <n v="0"/>
    <n v="0"/>
    <n v="0"/>
    <n v="0"/>
    <n v="0"/>
    <n v="0"/>
    <n v="0"/>
    <x v="1"/>
    <m/>
    <n v="0"/>
  </r>
  <r>
    <x v="32"/>
    <x v="2"/>
    <n v="4291022021"/>
    <s v="1557 7th Street"/>
    <s v="5+"/>
    <x v="0"/>
    <n v="0"/>
    <n v="0"/>
    <n v="7"/>
    <n v="0"/>
    <n v="3"/>
    <n v="0"/>
    <x v="0"/>
    <n v="0"/>
    <n v="0"/>
    <n v="0"/>
    <n v="0"/>
    <n v="0"/>
    <n v="0"/>
    <n v="0"/>
    <n v="0"/>
    <n v="0"/>
    <n v="0"/>
    <n v="0"/>
    <x v="1"/>
    <m/>
    <n v="0"/>
  </r>
  <r>
    <x v="33"/>
    <x v="2"/>
    <n v="25280480"/>
    <s v="30 Ingold Road"/>
    <s v="5+"/>
    <x v="0"/>
    <n v="0"/>
    <n v="0"/>
    <n v="43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65"/>
    <x v="0"/>
    <s v="3148-041-001"/>
    <s v="1752 E Ave J-4"/>
    <s v="5+"/>
    <x v="0"/>
    <n v="0"/>
    <n v="0"/>
    <n v="0"/>
    <n v="0"/>
    <n v="0"/>
    <n v="0"/>
    <x v="4"/>
    <n v="0"/>
    <n v="70"/>
    <n v="0"/>
    <n v="0"/>
    <n v="0"/>
    <n v="0"/>
    <n v="0"/>
    <n v="0"/>
    <n v="0"/>
    <n v="0"/>
    <n v="0"/>
    <x v="0"/>
    <n v="55"/>
    <n v="0"/>
  </r>
  <r>
    <x v="47"/>
    <x v="3"/>
    <s v="017-172-014-000"/>
    <s v="814 UNIVERSITY AVE"/>
    <s v="5+"/>
    <x v="0"/>
    <n v="0"/>
    <n v="0"/>
    <n v="0"/>
    <n v="0"/>
    <n v="0"/>
    <n v="0"/>
    <x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8 UNIVERSITY AVE"/>
    <s v="5+"/>
    <x v="0"/>
    <n v="0"/>
    <n v="0"/>
    <n v="0"/>
    <n v="0"/>
    <n v="0"/>
    <n v="0"/>
    <x v="6"/>
    <n v="0"/>
    <n v="18"/>
    <n v="0"/>
    <n v="0"/>
    <n v="0"/>
    <n v="0"/>
    <n v="0"/>
    <n v="0"/>
    <n v="0"/>
    <n v="0"/>
    <n v="0"/>
    <x v="0"/>
    <n v="55"/>
    <n v="23"/>
  </r>
  <r>
    <x v="48"/>
    <x v="3"/>
    <s v="0303-133-04"/>
    <s v="34385 Yucaaipa Blvd."/>
    <s v="5+"/>
    <x v="0"/>
    <n v="0"/>
    <n v="0"/>
    <n v="0"/>
    <n v="0"/>
    <n v="0"/>
    <n v="8"/>
    <x v="0"/>
    <n v="0"/>
    <n v="0"/>
    <n v="0"/>
    <n v="0"/>
    <n v="8"/>
    <n v="0"/>
    <n v="0"/>
    <n v="0"/>
    <n v="0"/>
    <n v="0"/>
    <n v="0"/>
    <x v="0"/>
    <n v="55"/>
    <n v="100"/>
  </r>
  <r>
    <x v="44"/>
    <x v="0"/>
    <n v="48119003"/>
    <s v="1936 ALUM ROCK AV SAN JOSE, CA 95116"/>
    <s v="5+"/>
    <x v="0"/>
    <n v="38"/>
    <n v="0"/>
    <n v="38"/>
    <n v="0"/>
    <n v="0"/>
    <n v="116"/>
    <x v="0"/>
    <n v="0"/>
    <n v="0"/>
    <n v="0"/>
    <n v="0"/>
    <n v="0"/>
    <n v="0"/>
    <n v="0"/>
    <n v="0"/>
    <n v="0"/>
    <n v="0"/>
    <n v="0"/>
    <x v="0"/>
    <m/>
    <n v="0"/>
  </r>
  <r>
    <x v="46"/>
    <x v="3"/>
    <n v="16741029"/>
    <s v="355 1ST ST"/>
    <s v="5+"/>
    <x v="1"/>
    <n v="3"/>
    <n v="0"/>
    <n v="0"/>
    <n v="0"/>
    <n v="4"/>
    <n v="0"/>
    <x v="0"/>
    <n v="0"/>
    <n v="0"/>
    <n v="0"/>
    <n v="0"/>
    <n v="0"/>
    <n v="0"/>
    <n v="0"/>
    <n v="0"/>
    <n v="0"/>
    <n v="0"/>
    <n v="0"/>
    <x v="0"/>
    <n v="55"/>
    <n v="35"/>
  </r>
  <r>
    <x v="47"/>
    <x v="3"/>
    <s v="017-172-014-000"/>
    <s v="806 UNIVERSITY AVE"/>
    <s v="5+"/>
    <x v="0"/>
    <n v="0"/>
    <n v="0"/>
    <n v="0"/>
    <n v="0"/>
    <n v="0"/>
    <n v="0"/>
    <x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5 UNIVERSITY AVE"/>
    <s v="5+"/>
    <x v="0"/>
    <n v="0"/>
    <n v="0"/>
    <n v="0"/>
    <n v="0"/>
    <n v="0"/>
    <n v="0"/>
    <x v="6"/>
    <n v="0"/>
    <n v="18"/>
    <n v="0"/>
    <n v="0"/>
    <n v="0"/>
    <n v="0"/>
    <n v="0"/>
    <n v="0"/>
    <n v="0"/>
    <n v="0"/>
    <n v="0"/>
    <x v="0"/>
    <n v="55"/>
    <n v="23"/>
  </r>
  <r>
    <x v="49"/>
    <x v="3"/>
    <s v="128-066-003"/>
    <s v="330 E PLAZA DR #101-108,201-208, 301-308"/>
    <s v="5+"/>
    <x v="0"/>
    <n v="0"/>
    <n v="0"/>
    <n v="0"/>
    <n v="0"/>
    <n v="0"/>
    <n v="0"/>
    <x v="0"/>
    <n v="0"/>
    <n v="24"/>
    <n v="0"/>
    <n v="0"/>
    <n v="0"/>
    <n v="0"/>
    <n v="0"/>
    <n v="0"/>
    <n v="0"/>
    <n v="0"/>
    <n v="0"/>
    <x v="0"/>
    <n v="55"/>
    <n v="33"/>
  </r>
  <r>
    <x v="49"/>
    <x v="3"/>
    <s v="128-066-003"/>
    <s v="348 E PLAZA DR #101-108,201-208, 301-308"/>
    <s v="5+"/>
    <x v="0"/>
    <n v="0"/>
    <n v="0"/>
    <n v="0"/>
    <n v="0"/>
    <n v="0"/>
    <n v="0"/>
    <x v="0"/>
    <n v="0"/>
    <n v="24"/>
    <n v="0"/>
    <n v="0"/>
    <n v="0"/>
    <n v="0"/>
    <n v="0"/>
    <n v="0"/>
    <n v="0"/>
    <n v="0"/>
    <n v="0"/>
    <x v="0"/>
    <n v="55"/>
    <n v="33"/>
  </r>
  <r>
    <x v="5"/>
    <x v="3"/>
    <n v="482161024"/>
    <s v="24520 COTTONWOOD  AVE"/>
    <s v="5+"/>
    <x v="0"/>
    <n v="10"/>
    <n v="0"/>
    <n v="10"/>
    <n v="0"/>
    <n v="0"/>
    <n v="0"/>
    <x v="7"/>
    <n v="0"/>
    <n v="10"/>
    <n v="0"/>
    <n v="0"/>
    <n v="0"/>
    <n v="10"/>
    <n v="0"/>
    <n v="10"/>
    <n v="0"/>
    <n v="0"/>
    <n v="0"/>
    <x v="0"/>
    <n v="56"/>
    <n v="12"/>
  </r>
  <r>
    <x v="49"/>
    <x v="3"/>
    <s v="118-010-058"/>
    <s v="870 W BATTLES RD"/>
    <s v="5+"/>
    <x v="0"/>
    <n v="0"/>
    <n v="0"/>
    <n v="0"/>
    <n v="0"/>
    <n v="0"/>
    <n v="0"/>
    <x v="5"/>
    <n v="0"/>
    <n v="14"/>
    <n v="0"/>
    <n v="0"/>
    <n v="0"/>
    <n v="0"/>
    <n v="0"/>
    <n v="0"/>
    <n v="0"/>
    <n v="0"/>
    <n v="0"/>
    <x v="0"/>
    <n v="55"/>
    <n v="21"/>
  </r>
  <r>
    <x v="49"/>
    <x v="3"/>
    <s v="128-066-003"/>
    <s v="366 E PLAZA DR#101-108, 201-208, 301-308"/>
    <s v="5+"/>
    <x v="0"/>
    <n v="0"/>
    <n v="0"/>
    <n v="0"/>
    <n v="0"/>
    <n v="0"/>
    <n v="0"/>
    <x v="0"/>
    <n v="0"/>
    <n v="24"/>
    <n v="0"/>
    <n v="0"/>
    <n v="0"/>
    <n v="0"/>
    <n v="0"/>
    <n v="0"/>
    <n v="0"/>
    <n v="0"/>
    <n v="0"/>
    <x v="0"/>
    <n v="55"/>
    <n v="33"/>
  </r>
  <r>
    <x v="3"/>
    <x v="1"/>
    <n v="5554008015"/>
    <s v="1317 CRESCENT HEIGHTS BLVD"/>
    <s v="5+"/>
    <x v="0"/>
    <n v="7"/>
    <n v="0"/>
    <n v="0"/>
    <n v="0"/>
    <n v="7"/>
    <n v="0"/>
    <x v="0"/>
    <n v="0"/>
    <n v="0"/>
    <n v="0"/>
    <n v="0"/>
    <n v="0"/>
    <n v="0"/>
    <n v="0"/>
    <n v="0"/>
    <n v="0"/>
    <n v="0"/>
    <n v="0"/>
    <x v="0"/>
    <n v="1000"/>
    <n v="35"/>
  </r>
  <r>
    <x v="26"/>
    <x v="3"/>
    <s v="153-15-032"/>
    <s v="1001 N SHORELINE BLVD"/>
    <s v="5+"/>
    <x v="0"/>
    <n v="0"/>
    <n v="0"/>
    <n v="0"/>
    <n v="0"/>
    <n v="0"/>
    <n v="0"/>
    <x v="7"/>
    <n v="0"/>
    <n v="10"/>
    <n v="0"/>
    <n v="10"/>
    <n v="0"/>
    <n v="0"/>
    <n v="0"/>
    <n v="0"/>
    <n v="0"/>
    <n v="0"/>
    <n v="0"/>
    <x v="1"/>
    <n v="1000"/>
    <n v="0"/>
  </r>
  <r>
    <x v="26"/>
    <x v="3"/>
    <s v="158-11-033 158-11-038 158-11-066 158-11-060"/>
    <s v="Lot 12"/>
    <s v="5+"/>
    <x v="0"/>
    <n v="80"/>
    <n v="0"/>
    <n v="39"/>
    <n v="0"/>
    <n v="0"/>
    <n v="0"/>
    <x v="0"/>
    <n v="0"/>
    <n v="0"/>
    <n v="0"/>
    <n v="0"/>
    <n v="0"/>
    <n v="0"/>
    <n v="0"/>
    <n v="0"/>
    <n v="0"/>
    <n v="0"/>
    <n v="0"/>
    <x v="0"/>
    <n v="55"/>
    <n v="54"/>
  </r>
  <r>
    <x v="31"/>
    <x v="4"/>
    <n v="21301032"/>
    <s v="1155  ASTER AV"/>
    <s v="5+"/>
    <x v="0"/>
    <n v="0"/>
    <n v="0"/>
    <n v="0"/>
    <n v="0"/>
    <n v="45"/>
    <n v="0"/>
    <x v="0"/>
    <n v="0"/>
    <n v="0"/>
    <n v="0"/>
    <n v="0"/>
    <n v="0"/>
    <n v="0"/>
    <n v="0"/>
    <n v="0"/>
    <n v="0"/>
    <n v="0"/>
    <n v="0"/>
    <x v="1"/>
    <n v="55"/>
    <n v="0"/>
  </r>
  <r>
    <x v="31"/>
    <x v="4"/>
    <n v="21114034"/>
    <s v="925 S Wolfe"/>
    <s v="5+"/>
    <x v="1"/>
    <n v="0"/>
    <n v="0"/>
    <n v="0"/>
    <n v="0"/>
    <n v="16"/>
    <n v="0"/>
    <x v="0"/>
    <n v="0"/>
    <n v="0"/>
    <n v="0"/>
    <n v="0"/>
    <n v="0"/>
    <n v="0"/>
    <n v="0"/>
    <n v="0"/>
    <n v="0"/>
    <n v="0"/>
    <n v="0"/>
    <x v="1"/>
    <n v="30"/>
    <n v="0"/>
  </r>
  <r>
    <x v="31"/>
    <x v="4"/>
    <s v="205-22-032"/>
    <s v="959  STEWART DR 311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66"/>
    <x v="3"/>
    <s v="4016-002-026"/>
    <s v="921 Edgewood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66"/>
    <x v="3"/>
    <n v="4016011020"/>
    <s v="717 Edgewood St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60"/>
    <x v="3"/>
    <s v="01119306"/>
    <s v="1628 5TH AVE units 1-9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m/>
    <n v="0"/>
  </r>
  <r>
    <x v="26"/>
    <x v="3"/>
    <s v="154-35-013"/>
    <s v="601 - 649 ESCUELA AV &amp; 1873 LATHAM ST"/>
    <s v="5+"/>
    <x v="0"/>
    <n v="0"/>
    <n v="0"/>
    <n v="2"/>
    <n v="0"/>
    <n v="2"/>
    <n v="0"/>
    <x v="0"/>
    <n v="0"/>
    <n v="0"/>
    <n v="0"/>
    <n v="0"/>
    <n v="0"/>
    <n v="0"/>
    <n v="0"/>
    <n v="0"/>
    <n v="0"/>
    <n v="0"/>
    <n v="0"/>
    <x v="1"/>
    <n v="1000"/>
    <n v="0"/>
  </r>
  <r>
    <x v="26"/>
    <x v="3"/>
    <s v="147-40-057"/>
    <s v="2590  CALIFORNIA ST"/>
    <s v="5+"/>
    <x v="0"/>
    <n v="0"/>
    <n v="0"/>
    <n v="0"/>
    <n v="0"/>
    <n v="0"/>
    <n v="0"/>
    <x v="0"/>
    <n v="0"/>
    <n v="0"/>
    <n v="0"/>
    <n v="0"/>
    <n v="0"/>
    <n v="0"/>
    <n v="0"/>
    <n v="4"/>
    <n v="0"/>
    <n v="6"/>
    <n v="0"/>
    <x v="1"/>
    <m/>
    <n v="0"/>
  </r>
  <r>
    <x v="31"/>
    <x v="4"/>
    <n v="32336009"/>
    <s v="564 La Conner"/>
    <s v="5+"/>
    <x v="1"/>
    <n v="0"/>
    <n v="0"/>
    <n v="0"/>
    <n v="0"/>
    <n v="2"/>
    <n v="0"/>
    <x v="0"/>
    <n v="0"/>
    <n v="0"/>
    <n v="0"/>
    <n v="0"/>
    <n v="0"/>
    <n v="0"/>
    <n v="0"/>
    <n v="0"/>
    <n v="0"/>
    <n v="0"/>
    <n v="0"/>
    <x v="1"/>
    <n v="30"/>
    <n v="0"/>
  </r>
  <r>
    <x v="54"/>
    <x v="3"/>
    <s v="055-236-020"/>
    <s v="110 Constitution Drive"/>
    <s v="5+"/>
    <x v="0"/>
    <n v="0"/>
    <n v="0"/>
    <n v="0"/>
    <n v="0"/>
    <n v="0"/>
    <n v="0"/>
    <x v="2"/>
    <n v="0"/>
    <n v="14"/>
    <n v="0"/>
    <n v="31"/>
    <n v="0"/>
    <n v="0"/>
    <n v="0"/>
    <n v="0"/>
    <n v="0"/>
    <n v="0"/>
    <n v="0"/>
    <x v="0"/>
    <n v="55"/>
    <s v="4.7000000000000002"/>
  </r>
  <r>
    <x v="5"/>
    <x v="3"/>
    <n v="482161023"/>
    <s v="24540 COTTONWOOD AVE"/>
    <s v="5+"/>
    <x v="0"/>
    <n v="15"/>
    <n v="0"/>
    <n v="15"/>
    <n v="0"/>
    <n v="0"/>
    <n v="0"/>
    <x v="11"/>
    <n v="0"/>
    <n v="15"/>
    <n v="0"/>
    <n v="0"/>
    <n v="0"/>
    <n v="15"/>
    <n v="0"/>
    <n v="15"/>
    <n v="0"/>
    <n v="0"/>
    <n v="0"/>
    <x v="0"/>
    <n v="56"/>
    <n v="12"/>
  </r>
  <r>
    <x v="52"/>
    <x v="0"/>
    <s v="7.2337E+12"/>
    <s v="14776 MANGINI PKWY"/>
    <s v="5+"/>
    <x v="0"/>
    <n v="45"/>
    <n v="0"/>
    <n v="105"/>
    <n v="0"/>
    <n v="2"/>
    <n v="0"/>
    <x v="0"/>
    <n v="0"/>
    <n v="0"/>
    <n v="0"/>
    <n v="0"/>
    <n v="0"/>
    <n v="0"/>
    <n v="0"/>
    <n v="0"/>
    <n v="0"/>
    <n v="0"/>
    <n v="0"/>
    <x v="0"/>
    <n v="55"/>
    <n v="1.3"/>
  </r>
  <r>
    <x v="50"/>
    <x v="3"/>
    <s v="5288-001-040"/>
    <s v="3001 Walnut Grove Ave."/>
    <s v="5+"/>
    <x v="0"/>
    <n v="0"/>
    <n v="0"/>
    <n v="0"/>
    <n v="0"/>
    <n v="0"/>
    <n v="0"/>
    <x v="0"/>
    <n v="0"/>
    <n v="7"/>
    <n v="0"/>
    <n v="0"/>
    <n v="0"/>
    <n v="0"/>
    <n v="0"/>
    <n v="0"/>
    <n v="0"/>
    <n v="0"/>
    <n v="0"/>
    <x v="0"/>
    <n v="50"/>
    <n v="35"/>
  </r>
  <r>
    <x v="40"/>
    <x v="3"/>
    <s v="903 001003000"/>
    <s v="Portola Ave"/>
    <s v="5+"/>
    <x v="0"/>
    <n v="14"/>
    <n v="0"/>
    <n v="14"/>
    <n v="0"/>
    <n v="14"/>
    <n v="0"/>
    <x v="0"/>
    <n v="0"/>
    <n v="0"/>
    <n v="0"/>
    <n v="0"/>
    <n v="0"/>
    <n v="0"/>
    <n v="0"/>
    <n v="0"/>
    <n v="0"/>
    <n v="0"/>
    <n v="0"/>
    <x v="0"/>
    <m/>
    <n v="0"/>
  </r>
  <r>
    <x v="40"/>
    <x v="3"/>
    <s v="903 001003000"/>
    <s v="Portola Ave"/>
    <s v="5+"/>
    <x v="1"/>
    <n v="0"/>
    <n v="0"/>
    <n v="0"/>
    <n v="0"/>
    <n v="18"/>
    <n v="0"/>
    <x v="0"/>
    <n v="0"/>
    <n v="0"/>
    <n v="0"/>
    <n v="0"/>
    <n v="0"/>
    <n v="0"/>
    <n v="0"/>
    <n v="0"/>
    <n v="0"/>
    <n v="0"/>
    <n v="0"/>
    <x v="0"/>
    <m/>
    <n v="0"/>
  </r>
  <r>
    <x v="67"/>
    <x v="1"/>
    <s v="071-250-032"/>
    <s v="2171 Fig Lane"/>
    <s v="5+"/>
    <x v="0"/>
    <n v="15"/>
    <n v="0"/>
    <n v="16"/>
    <n v="0"/>
    <n v="1"/>
    <n v="0"/>
    <x v="11"/>
    <n v="0"/>
    <n v="16"/>
    <n v="0"/>
    <n v="1"/>
    <n v="0"/>
    <n v="15"/>
    <n v="0"/>
    <n v="16"/>
    <n v="0"/>
    <n v="1"/>
    <n v="0"/>
    <x v="0"/>
    <n v="1000"/>
    <n v="10"/>
  </r>
  <r>
    <x v="56"/>
    <x v="0"/>
    <s v="74-1373-10-20"/>
    <s v="450 PAWNEE LN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0"/>
    <n v="59"/>
    <n v="20"/>
  </r>
  <r>
    <x v="56"/>
    <x v="0"/>
    <s v="74-1373-16-10"/>
    <s v="2881 FIFTH ST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0"/>
    <n v="59"/>
    <n v="20"/>
  </r>
  <r>
    <x v="56"/>
    <x v="0"/>
    <s v="74-1373-16-5"/>
    <s v="2800 TRADEWIND CT"/>
    <s v="5+"/>
    <x v="1"/>
    <n v="1"/>
    <n v="0"/>
    <n v="0"/>
    <n v="0"/>
    <n v="1"/>
    <n v="0"/>
    <x v="3"/>
    <n v="0"/>
    <n v="0"/>
    <n v="0"/>
    <n v="1"/>
    <n v="0"/>
    <n v="0"/>
    <n v="0"/>
    <n v="0"/>
    <n v="0"/>
    <n v="0"/>
    <n v="0"/>
    <x v="0"/>
    <n v="59"/>
    <n v="20"/>
  </r>
  <r>
    <x v="56"/>
    <x v="0"/>
    <s v="71-0288-1-2"/>
    <s v="1777 CLEMENT AVE"/>
    <s v="5+"/>
    <x v="0"/>
    <n v="16"/>
    <n v="0"/>
    <n v="12"/>
    <n v="0"/>
    <n v="21"/>
    <n v="0"/>
    <x v="45"/>
    <n v="0"/>
    <n v="12"/>
    <n v="0"/>
    <n v="21"/>
    <n v="0"/>
    <n v="0"/>
    <n v="0"/>
    <n v="0"/>
    <n v="0"/>
    <n v="0"/>
    <n v="0"/>
    <x v="0"/>
    <n v="59"/>
    <n v="20"/>
  </r>
  <r>
    <x v="26"/>
    <x v="0"/>
    <s v="116-14-137"/>
    <s v="1100 LA AVENIDA"/>
    <s v="5+"/>
    <x v="1"/>
    <n v="0"/>
    <n v="0"/>
    <n v="98"/>
    <n v="0"/>
    <n v="2"/>
    <n v="0"/>
    <x v="0"/>
    <n v="0"/>
    <n v="0"/>
    <n v="0"/>
    <n v="0"/>
    <n v="0"/>
    <n v="0"/>
    <n v="0"/>
    <n v="0"/>
    <n v="0"/>
    <n v="0"/>
    <n v="0"/>
    <x v="0"/>
    <n v="1000"/>
    <n v="96"/>
  </r>
  <r>
    <x v="39"/>
    <x v="0"/>
    <s v="500-071-12"/>
    <s v="1941 El Camino Real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35"/>
  </r>
  <r>
    <x v="68"/>
    <x v="2"/>
    <s v="077-201-012"/>
    <s v="224 S. Halcyon Ave"/>
    <s v="5+"/>
    <x v="0"/>
    <n v="0"/>
    <n v="0"/>
    <n v="0"/>
    <n v="0"/>
    <n v="0"/>
    <n v="0"/>
    <x v="0"/>
    <n v="0"/>
    <n v="0"/>
    <n v="0"/>
    <n v="0"/>
    <n v="0"/>
    <n v="0"/>
    <n v="0"/>
    <n v="20"/>
    <n v="0"/>
    <n v="0"/>
    <n v="0"/>
    <x v="0"/>
    <n v="55"/>
    <n v="0"/>
  </r>
  <r>
    <x v="46"/>
    <x v="5"/>
    <s v="170 02 027 &amp; 170 02 029"/>
    <s v="4856 El Camino Real"/>
    <s v="5+"/>
    <x v="1"/>
    <n v="6"/>
    <n v="0"/>
    <n v="1"/>
    <n v="0"/>
    <n v="3"/>
    <n v="0"/>
    <x v="0"/>
    <n v="0"/>
    <n v="0"/>
    <n v="0"/>
    <n v="0"/>
    <n v="0"/>
    <n v="0"/>
    <n v="0"/>
    <n v="0"/>
    <n v="0"/>
    <n v="0"/>
    <n v="0"/>
    <x v="0"/>
    <n v="55"/>
    <n v="0"/>
  </r>
  <r>
    <x v="69"/>
    <x v="3"/>
    <s v="062-271-013"/>
    <s v="1273 BELRIDGE ST_x000a_OCEANO, CA 93445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70"/>
    <x v="3"/>
    <s v="985-0051-004, 985-0051-005, 985-0051-006, 985-0052-024, and 985-0052-025"/>
    <s v="76.9-acre site primarily bound by Tassajara Road, Interstate 580, Brannigan Street and Gleason Drive"/>
    <s v="5+"/>
    <x v="1"/>
    <n v="0"/>
    <n v="0"/>
    <n v="50"/>
    <n v="0"/>
    <n v="50"/>
    <n v="0"/>
    <x v="0"/>
    <n v="0"/>
    <n v="0"/>
    <n v="0"/>
    <n v="0"/>
    <n v="0"/>
    <n v="0"/>
    <n v="0"/>
    <n v="0"/>
    <n v="0"/>
    <n v="0"/>
    <n v="0"/>
    <x v="1"/>
    <m/>
    <n v="0"/>
  </r>
  <r>
    <x v="49"/>
    <x v="3"/>
    <s v="118-010-058"/>
    <s v="820 W BATTLES RD Bldg 2"/>
    <s v="5+"/>
    <x v="0"/>
    <n v="0"/>
    <n v="0"/>
    <n v="0"/>
    <n v="0"/>
    <n v="0"/>
    <n v="0"/>
    <x v="5"/>
    <n v="0"/>
    <n v="14"/>
    <n v="0"/>
    <n v="0"/>
    <n v="0"/>
    <n v="0"/>
    <n v="0"/>
    <n v="0"/>
    <n v="0"/>
    <n v="0"/>
    <n v="0"/>
    <x v="0"/>
    <n v="55"/>
    <n v="21"/>
  </r>
  <r>
    <x v="49"/>
    <x v="3"/>
    <s v="118-010-058"/>
    <s v="860 W BATTLES RD"/>
    <s v="5+"/>
    <x v="0"/>
    <n v="0"/>
    <n v="0"/>
    <n v="0"/>
    <n v="0"/>
    <n v="0"/>
    <n v="0"/>
    <x v="17"/>
    <n v="0"/>
    <n v="10"/>
    <n v="0"/>
    <n v="0"/>
    <n v="0"/>
    <n v="0"/>
    <n v="0"/>
    <n v="0"/>
    <n v="0"/>
    <n v="0"/>
    <n v="0"/>
    <x v="0"/>
    <n v="55"/>
    <n v="21"/>
  </r>
  <r>
    <x v="49"/>
    <x v="3"/>
    <s v="128-090-073"/>
    <s v="2770 SANTA MARIA WAY"/>
    <s v="5+"/>
    <x v="0"/>
    <n v="1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40"/>
    <x v="3"/>
    <s v="905 001000600"/>
    <s v="Triad Dr"/>
    <s v="5+"/>
    <x v="1"/>
    <n v="0"/>
    <n v="0"/>
    <n v="0"/>
    <n v="0"/>
    <n v="22"/>
    <n v="0"/>
    <x v="0"/>
    <n v="0"/>
    <n v="0"/>
    <n v="0"/>
    <n v="0"/>
    <n v="0"/>
    <n v="0"/>
    <n v="0"/>
    <n v="0"/>
    <n v="0"/>
    <n v="0"/>
    <n v="0"/>
    <x v="0"/>
    <m/>
    <n v="0"/>
  </r>
  <r>
    <x v="48"/>
    <x v="3"/>
    <s v="0319-242-01"/>
    <s v="13421 4th St."/>
    <s v="5+"/>
    <x v="0"/>
    <n v="0"/>
    <n v="0"/>
    <n v="0"/>
    <n v="0"/>
    <n v="0"/>
    <n v="24"/>
    <x v="0"/>
    <n v="0"/>
    <n v="0"/>
    <n v="0"/>
    <n v="0"/>
    <n v="0"/>
    <n v="0"/>
    <n v="0"/>
    <n v="0"/>
    <n v="0"/>
    <n v="0"/>
    <n v="0"/>
    <x v="0"/>
    <n v="55"/>
    <n v="100"/>
  </r>
  <r>
    <x v="57"/>
    <x v="3"/>
    <n v="2425002026"/>
    <s v="3902 N KENTUCKY DR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2264003039"/>
    <s v="4818 N SEPULVEDA BLVD"/>
    <s v="5+"/>
    <x v="0"/>
    <n v="0"/>
    <n v="0"/>
    <n v="0"/>
    <n v="0"/>
    <n v="0"/>
    <n v="0"/>
    <x v="2"/>
    <n v="0"/>
    <n v="1"/>
    <n v="0"/>
    <n v="0"/>
    <n v="0"/>
    <n v="0"/>
    <n v="0"/>
    <n v="0"/>
    <n v="0"/>
    <n v="0"/>
    <n v="0"/>
    <x v="0"/>
    <n v="55"/>
    <n v="35"/>
  </r>
  <r>
    <x v="57"/>
    <x v="3"/>
    <n v="4229002901"/>
    <s v="954 W PRINCETON DR 1-8; 1013 W OXFORD AVE 1-5; 3311 S THATCHER AVE 1-68"/>
    <s v="5+"/>
    <x v="0"/>
    <n v="0"/>
    <n v="0"/>
    <n v="0"/>
    <n v="0"/>
    <n v="0"/>
    <n v="0"/>
    <x v="14"/>
    <n v="0"/>
    <n v="0"/>
    <n v="0"/>
    <n v="0"/>
    <n v="0"/>
    <n v="0"/>
    <n v="0"/>
    <n v="0"/>
    <n v="0"/>
    <n v="0"/>
    <n v="0"/>
    <x v="0"/>
    <n v="55"/>
    <n v="35"/>
  </r>
  <r>
    <x v="57"/>
    <x v="3"/>
    <n v="5078002020"/>
    <s v="964 S NORMANDIE AVE 1-26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35"/>
  </r>
  <r>
    <x v="57"/>
    <x v="3"/>
    <n v="5123003022"/>
    <s v="806 W ADAMS BLVD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n v="35"/>
  </r>
  <r>
    <x v="57"/>
    <x v="3"/>
    <n v="2565013041"/>
    <s v="10140 N HILLHAVEN AVE"/>
    <s v="5+"/>
    <x v="0"/>
    <n v="0"/>
    <n v="0"/>
    <n v="0"/>
    <n v="0"/>
    <n v="0"/>
    <n v="0"/>
    <x v="0"/>
    <n v="0"/>
    <n v="0"/>
    <n v="0"/>
    <n v="0"/>
    <n v="0"/>
    <n v="4"/>
    <n v="0"/>
    <n v="4"/>
    <n v="0"/>
    <n v="0"/>
    <n v="0"/>
    <x v="0"/>
    <n v="55"/>
    <n v="35"/>
  </r>
  <r>
    <x v="57"/>
    <x v="3"/>
    <n v="5043013009"/>
    <s v="2726 S COCHRAN AVE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55"/>
    <n v="35"/>
  </r>
  <r>
    <x v="57"/>
    <x v="3"/>
    <n v="5532020013"/>
    <s v="1119 N MCCADDEN PL 1-26"/>
    <s v="5+"/>
    <x v="0"/>
    <n v="0"/>
    <n v="0"/>
    <n v="0"/>
    <n v="0"/>
    <n v="0"/>
    <n v="0"/>
    <x v="0"/>
    <n v="0"/>
    <n v="0"/>
    <n v="0"/>
    <n v="0"/>
    <n v="0"/>
    <n v="14"/>
    <n v="0"/>
    <n v="0"/>
    <n v="0"/>
    <n v="12"/>
    <n v="0"/>
    <x v="0"/>
    <n v="55"/>
    <n v="35"/>
  </r>
  <r>
    <x v="57"/>
    <x v="3"/>
    <n v="5540009010"/>
    <s v="1111 N KENMORE AVE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0"/>
    <n v="55"/>
    <n v="35"/>
  </r>
  <r>
    <x v="57"/>
    <x v="3"/>
    <n v="7418004008"/>
    <s v="221 W E ST 1-10"/>
    <s v="5+"/>
    <x v="0"/>
    <n v="0"/>
    <n v="0"/>
    <n v="0"/>
    <n v="0"/>
    <n v="0"/>
    <n v="0"/>
    <x v="0"/>
    <n v="0"/>
    <n v="0"/>
    <n v="0"/>
    <n v="0"/>
    <n v="0"/>
    <n v="0"/>
    <n v="0"/>
    <n v="10"/>
    <n v="0"/>
    <n v="0"/>
    <n v="0"/>
    <x v="0"/>
    <n v="55"/>
    <n v="35"/>
  </r>
  <r>
    <x v="21"/>
    <x v="3"/>
    <s v="006-220-015-000"/>
    <s v="184 TONEA WAY, Bldg 1"/>
    <s v="5+"/>
    <x v="0"/>
    <n v="0"/>
    <n v="0"/>
    <n v="15"/>
    <n v="0"/>
    <n v="0"/>
    <n v="1"/>
    <x v="0"/>
    <n v="0"/>
    <n v="15"/>
    <n v="0"/>
    <n v="0"/>
    <n v="1"/>
    <n v="0"/>
    <n v="0"/>
    <n v="0"/>
    <n v="0"/>
    <n v="0"/>
    <n v="0"/>
    <x v="0"/>
    <n v="55"/>
    <n v="20"/>
  </r>
  <r>
    <x v="21"/>
    <x v="3"/>
    <s v="006-220-015-000"/>
    <s v="184 TONEA WAY, Bldg 2"/>
    <s v="5+"/>
    <x v="0"/>
    <n v="0"/>
    <n v="0"/>
    <n v="16"/>
    <n v="0"/>
    <n v="0"/>
    <n v="0"/>
    <x v="0"/>
    <n v="0"/>
    <n v="16"/>
    <n v="0"/>
    <n v="0"/>
    <n v="0"/>
    <n v="0"/>
    <n v="0"/>
    <n v="0"/>
    <n v="0"/>
    <n v="0"/>
    <n v="0"/>
    <x v="0"/>
    <n v="55"/>
    <n v="20"/>
  </r>
  <r>
    <x v="21"/>
    <x v="3"/>
    <s v="006-220-015-000"/>
    <s v="184 TONEA WAY, Bldg 7"/>
    <s v="5+"/>
    <x v="0"/>
    <n v="16"/>
    <n v="0"/>
    <n v="0"/>
    <n v="0"/>
    <n v="0"/>
    <n v="0"/>
    <x v="45"/>
    <n v="0"/>
    <n v="0"/>
    <n v="0"/>
    <n v="0"/>
    <n v="0"/>
    <n v="0"/>
    <n v="0"/>
    <n v="0"/>
    <n v="0"/>
    <n v="0"/>
    <n v="0"/>
    <x v="0"/>
    <n v="55"/>
    <n v="20"/>
  </r>
  <r>
    <x v="49"/>
    <x v="3"/>
    <s v="128-066-003"/>
    <s v="378 E PLAZA DR #101-108,201-208 301-308"/>
    <s v="5+"/>
    <x v="0"/>
    <n v="0"/>
    <n v="0"/>
    <n v="0"/>
    <n v="0"/>
    <n v="0"/>
    <n v="0"/>
    <x v="0"/>
    <n v="0"/>
    <n v="24"/>
    <n v="0"/>
    <n v="0"/>
    <n v="0"/>
    <n v="0"/>
    <n v="0"/>
    <n v="0"/>
    <n v="0"/>
    <n v="0"/>
    <n v="0"/>
    <x v="0"/>
    <n v="55"/>
    <n v="33"/>
  </r>
  <r>
    <x v="49"/>
    <x v="3"/>
    <s v="128-066-003"/>
    <s v="372 E PLAZA DR #101-108,201-208, 301-308"/>
    <s v="5+"/>
    <x v="0"/>
    <n v="0"/>
    <n v="0"/>
    <n v="0"/>
    <n v="0"/>
    <n v="0"/>
    <n v="0"/>
    <x v="0"/>
    <n v="0"/>
    <n v="24"/>
    <n v="0"/>
    <n v="0"/>
    <n v="0"/>
    <n v="0"/>
    <n v="0"/>
    <n v="0"/>
    <n v="0"/>
    <n v="0"/>
    <n v="0"/>
    <x v="0"/>
    <n v="55"/>
    <n v="33"/>
  </r>
  <r>
    <x v="66"/>
    <x v="3"/>
    <s v="4011-024-024"/>
    <s v="3320 85th St"/>
    <s v="5+"/>
    <x v="0"/>
    <n v="0"/>
    <n v="0"/>
    <n v="4"/>
    <n v="0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66"/>
    <x v="3"/>
    <n v="4017025007"/>
    <s v="716  Beach Ave"/>
    <s v="5+"/>
    <x v="0"/>
    <n v="41"/>
    <n v="0"/>
    <n v="0"/>
    <n v="0"/>
    <n v="0"/>
    <n v="0"/>
    <x v="49"/>
    <n v="0"/>
    <n v="0"/>
    <n v="0"/>
    <n v="0"/>
    <n v="0"/>
    <n v="41"/>
    <n v="0"/>
    <n v="0"/>
    <n v="0"/>
    <n v="0"/>
    <n v="0"/>
    <x v="0"/>
    <n v="55"/>
    <n v="100"/>
  </r>
  <r>
    <x v="21"/>
    <x v="3"/>
    <s v="006-220-015-000"/>
    <s v="184 TONEA WAY, Bldg 6"/>
    <s v="5+"/>
    <x v="0"/>
    <n v="16"/>
    <n v="0"/>
    <n v="0"/>
    <n v="0"/>
    <n v="0"/>
    <n v="0"/>
    <x v="45"/>
    <n v="0"/>
    <n v="0"/>
    <n v="0"/>
    <n v="0"/>
    <n v="0"/>
    <n v="0"/>
    <n v="0"/>
    <n v="0"/>
    <n v="0"/>
    <n v="0"/>
    <n v="0"/>
    <x v="0"/>
    <n v="55"/>
    <n v="20"/>
  </r>
  <r>
    <x v="71"/>
    <x v="1"/>
    <s v="4215-009-106"/>
    <s v="4464 SEPULVEDA BLVD"/>
    <s v="5+"/>
    <x v="0"/>
    <n v="0"/>
    <n v="0"/>
    <n v="95"/>
    <n v="0"/>
    <n v="0"/>
    <n v="0"/>
    <x v="0"/>
    <n v="0"/>
    <n v="0"/>
    <n v="0"/>
    <n v="0"/>
    <n v="0"/>
    <n v="0"/>
    <n v="0"/>
    <n v="0"/>
    <n v="0"/>
    <n v="0"/>
    <n v="0"/>
    <x v="0"/>
    <m/>
    <n v="35"/>
  </r>
  <r>
    <x v="47"/>
    <x v="3"/>
    <s v="017-172-014-000"/>
    <s v="803 UNIVERSITY AVE"/>
    <s v="5+"/>
    <x v="0"/>
    <n v="0"/>
    <n v="0"/>
    <n v="0"/>
    <n v="0"/>
    <n v="0"/>
    <n v="0"/>
    <x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2 UNIVERSITY AVE"/>
    <s v="5+"/>
    <x v="0"/>
    <n v="0"/>
    <n v="0"/>
    <n v="0"/>
    <n v="0"/>
    <n v="0"/>
    <n v="0"/>
    <x v="6"/>
    <n v="0"/>
    <n v="18"/>
    <n v="0"/>
    <n v="0"/>
    <n v="0"/>
    <n v="0"/>
    <n v="0"/>
    <n v="0"/>
    <n v="0"/>
    <n v="0"/>
    <n v="0"/>
    <x v="0"/>
    <n v="55"/>
    <n v="23"/>
  </r>
  <r>
    <x v="57"/>
    <x v="3"/>
    <n v="5429007006"/>
    <s v="4311 W SUNSET BLVD"/>
    <s v="5+"/>
    <x v="0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25"/>
  </r>
  <r>
    <x v="57"/>
    <x v="3"/>
    <n v="5547004048"/>
    <s v="1818 N CHEROKEE AVE"/>
    <s v="5+"/>
    <x v="0"/>
    <n v="21"/>
    <n v="0"/>
    <n v="0"/>
    <n v="0"/>
    <n v="0"/>
    <n v="0"/>
    <x v="50"/>
    <n v="0"/>
    <n v="0"/>
    <n v="0"/>
    <n v="0"/>
    <n v="0"/>
    <n v="0"/>
    <n v="0"/>
    <n v="0"/>
    <n v="0"/>
    <n v="0"/>
    <n v="0"/>
    <x v="0"/>
    <n v="55"/>
    <n v="140"/>
  </r>
  <r>
    <x v="57"/>
    <x v="3"/>
    <n v="5180008905"/>
    <s v="2518 E CESAR E CHAVEZ AVE"/>
    <s v="5+"/>
    <x v="0"/>
    <n v="0"/>
    <n v="0"/>
    <n v="109"/>
    <n v="0"/>
    <n v="0"/>
    <n v="0"/>
    <x v="0"/>
    <n v="0"/>
    <n v="0"/>
    <n v="0"/>
    <n v="0"/>
    <n v="0"/>
    <n v="0"/>
    <n v="0"/>
    <n v="0"/>
    <n v="0"/>
    <n v="0"/>
    <n v="0"/>
    <x v="0"/>
    <n v="55"/>
    <n v="55"/>
  </r>
  <r>
    <x v="57"/>
    <x v="3"/>
    <n v="2416024002"/>
    <s v="5254 N RIVERTON AVE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5507030015"/>
    <s v="4780 W WILSHIRE BLVD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5108002035"/>
    <s v="736 E VERNON AVE"/>
    <s v="5+"/>
    <x v="0"/>
    <n v="1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237.5"/>
  </r>
  <r>
    <x v="57"/>
    <x v="3"/>
    <n v="2233030001"/>
    <s v="16150 W VANOWEN ST"/>
    <s v="5+"/>
    <x v="0"/>
    <n v="1"/>
    <n v="0"/>
    <n v="77"/>
    <n v="0"/>
    <n v="20"/>
    <n v="0"/>
    <x v="0"/>
    <n v="0"/>
    <n v="0"/>
    <n v="0"/>
    <n v="0"/>
    <n v="0"/>
    <n v="0"/>
    <n v="0"/>
    <n v="0"/>
    <n v="0"/>
    <n v="0"/>
    <n v="0"/>
    <x v="0"/>
    <n v="55"/>
    <n v="725"/>
  </r>
  <r>
    <x v="57"/>
    <x v="3"/>
    <n v="4303003017"/>
    <s v="8767 W AIRDROME ST"/>
    <s v="5+"/>
    <x v="0"/>
    <n v="2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2138018018"/>
    <s v="6904 N ETON AVE 1-21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35"/>
  </r>
  <r>
    <x v="57"/>
    <x v="3"/>
    <n v="2322003024"/>
    <s v="12136 W VANOWEN ST 1-9"/>
    <s v="5+"/>
    <x v="0"/>
    <n v="0"/>
    <n v="0"/>
    <n v="0"/>
    <n v="0"/>
    <n v="0"/>
    <n v="0"/>
    <x v="3"/>
    <n v="0"/>
    <n v="1"/>
    <n v="0"/>
    <n v="0"/>
    <n v="0"/>
    <n v="0"/>
    <n v="0"/>
    <n v="0"/>
    <n v="0"/>
    <n v="0"/>
    <n v="0"/>
    <x v="0"/>
    <n v="55"/>
    <n v="35"/>
  </r>
  <r>
    <x v="57"/>
    <x v="3"/>
    <n v="2334014050"/>
    <s v="11675 W OXNARD ST 1-9"/>
    <s v="5+"/>
    <x v="0"/>
    <n v="0"/>
    <n v="0"/>
    <n v="0"/>
    <n v="0"/>
    <n v="0"/>
    <n v="0"/>
    <x v="3"/>
    <n v="0"/>
    <n v="1"/>
    <n v="0"/>
    <n v="0"/>
    <n v="0"/>
    <n v="0"/>
    <n v="0"/>
    <n v="0"/>
    <n v="0"/>
    <n v="0"/>
    <n v="0"/>
    <x v="0"/>
    <n v="55"/>
    <n v="35"/>
  </r>
  <r>
    <x v="72"/>
    <x v="3"/>
    <n v="6440710300"/>
    <s v="1910 ENCELIA CI"/>
    <s v="5+"/>
    <x v="0"/>
    <n v="0"/>
    <n v="0"/>
    <n v="0"/>
    <n v="0"/>
    <n v="0"/>
    <n v="0"/>
    <x v="51"/>
    <n v="0"/>
    <n v="120"/>
    <n v="0"/>
    <n v="0"/>
    <n v="0"/>
    <n v="0"/>
    <n v="0"/>
    <n v="0"/>
    <n v="0"/>
    <n v="0"/>
    <n v="0"/>
    <x v="1"/>
    <n v="55"/>
    <n v="0"/>
  </r>
  <r>
    <x v="31"/>
    <x v="4"/>
    <d v="2013-03-13T00:00:00"/>
    <s v="1008 E EL CAMINO REAL"/>
    <s v="5+"/>
    <x v="0"/>
    <n v="0"/>
    <n v="0"/>
    <n v="0"/>
    <n v="0"/>
    <n v="0"/>
    <n v="0"/>
    <x v="10"/>
    <n v="0"/>
    <n v="0"/>
    <n v="0"/>
    <n v="0"/>
    <n v="0"/>
    <n v="0"/>
    <n v="0"/>
    <n v="0"/>
    <n v="0"/>
    <n v="0"/>
    <n v="0"/>
    <x v="0"/>
    <n v="55"/>
    <n v="0"/>
  </r>
  <r>
    <x v="57"/>
    <x v="3"/>
    <n v="4107017040"/>
    <s v="8333 S AIRPORT BLVD 1-102"/>
    <s v="5+"/>
    <x v="0"/>
    <n v="0"/>
    <n v="0"/>
    <n v="0"/>
    <n v="0"/>
    <n v="0"/>
    <n v="0"/>
    <x v="0"/>
    <n v="0"/>
    <n v="100"/>
    <n v="0"/>
    <n v="0"/>
    <n v="0"/>
    <n v="0"/>
    <n v="0"/>
    <n v="0"/>
    <n v="0"/>
    <n v="0"/>
    <n v="0"/>
    <x v="0"/>
    <n v="55"/>
    <n v="35"/>
  </r>
  <r>
    <x v="57"/>
    <x v="3"/>
    <n v="4237023018"/>
    <s v="2471 S LINCOLN BLVD 1-40"/>
    <s v="5+"/>
    <x v="0"/>
    <n v="0"/>
    <n v="0"/>
    <n v="0"/>
    <n v="0"/>
    <n v="0"/>
    <n v="0"/>
    <x v="52"/>
    <n v="0"/>
    <n v="0"/>
    <n v="0"/>
    <n v="0"/>
    <n v="0"/>
    <n v="0"/>
    <n v="0"/>
    <n v="0"/>
    <n v="0"/>
    <n v="0"/>
    <n v="0"/>
    <x v="0"/>
    <n v="55"/>
    <n v="35"/>
  </r>
  <r>
    <x v="57"/>
    <x v="3"/>
    <n v="4250008010"/>
    <s v="11600 W NATIONAL BLVD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35"/>
  </r>
  <r>
    <x v="57"/>
    <x v="3"/>
    <n v="2423004012"/>
    <s v="10657 W MOORPARK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35"/>
  </r>
  <r>
    <x v="57"/>
    <x v="3"/>
    <n v="4313003029"/>
    <s v="3672 S JASMINE AVE #1-17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35"/>
  </r>
  <r>
    <x v="57"/>
    <x v="3"/>
    <n v="5019026009"/>
    <s v="4050 S FIGUEROA ST 1-57"/>
    <s v="5+"/>
    <x v="0"/>
    <n v="0"/>
    <n v="0"/>
    <n v="0"/>
    <n v="0"/>
    <n v="0"/>
    <n v="0"/>
    <x v="0"/>
    <n v="0"/>
    <n v="0"/>
    <n v="0"/>
    <n v="0"/>
    <n v="0"/>
    <n v="14"/>
    <n v="0"/>
    <n v="0"/>
    <n v="0"/>
    <n v="0"/>
    <n v="0"/>
    <x v="0"/>
    <n v="55"/>
    <n v="35"/>
  </r>
  <r>
    <x v="57"/>
    <x v="3"/>
    <n v="5094017019"/>
    <s v="839 S FEDORA ST"/>
    <s v="5+"/>
    <x v="0"/>
    <n v="0"/>
    <n v="0"/>
    <n v="0"/>
    <n v="0"/>
    <n v="0"/>
    <n v="0"/>
    <x v="0"/>
    <n v="0"/>
    <n v="0"/>
    <n v="0"/>
    <n v="0"/>
    <n v="0"/>
    <n v="9"/>
    <n v="0"/>
    <n v="0"/>
    <n v="0"/>
    <n v="0"/>
    <n v="0"/>
    <x v="0"/>
    <n v="55"/>
    <n v="35"/>
  </r>
  <r>
    <x v="38"/>
    <x v="3"/>
    <s v="011-013-01"/>
    <s v="727 HANOVER ST"/>
    <s v="5+"/>
    <x v="0"/>
    <n v="0"/>
    <n v="0"/>
    <n v="0"/>
    <n v="0"/>
    <n v="0"/>
    <n v="0"/>
    <x v="0"/>
    <n v="0"/>
    <n v="1"/>
    <n v="1"/>
    <n v="0"/>
    <n v="0"/>
    <n v="0"/>
    <n v="0"/>
    <n v="0"/>
    <n v="0"/>
    <n v="0"/>
    <n v="0"/>
    <x v="1"/>
    <n v="1000"/>
    <n v="0"/>
  </r>
  <r>
    <x v="71"/>
    <x v="1"/>
    <s v="4206-033-057"/>
    <s v="3727 ROBERTSON BLVD"/>
    <s v="5+"/>
    <x v="0"/>
    <n v="0"/>
    <n v="0"/>
    <n v="0"/>
    <n v="0"/>
    <n v="0"/>
    <n v="0"/>
    <x v="0"/>
    <n v="0"/>
    <n v="1"/>
    <n v="0"/>
    <n v="2"/>
    <n v="0"/>
    <n v="0"/>
    <n v="0"/>
    <n v="0"/>
    <n v="0"/>
    <n v="0"/>
    <n v="0"/>
    <x v="0"/>
    <m/>
    <n v="20"/>
  </r>
  <r>
    <x v="26"/>
    <x v="3"/>
    <s v="158-45-001"/>
    <s v="730 CENTRAL AV"/>
    <s v="5+"/>
    <x v="0"/>
    <n v="2"/>
    <n v="0"/>
    <n v="0"/>
    <n v="0"/>
    <n v="1"/>
    <n v="0"/>
    <x v="0"/>
    <n v="0"/>
    <n v="0"/>
    <n v="0"/>
    <n v="0"/>
    <n v="0"/>
    <n v="0"/>
    <n v="0"/>
    <n v="0"/>
    <n v="0"/>
    <n v="0"/>
    <n v="0"/>
    <x v="0"/>
    <n v="1000"/>
    <n v="42.5"/>
  </r>
  <r>
    <x v="26"/>
    <x v="3"/>
    <s v="189-33-027"/>
    <s v="1057, 1059, 1061 EL MONTE AV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0"/>
  </r>
  <r>
    <x v="4"/>
    <x v="3"/>
    <s v="053-752-008"/>
    <s v="2120 Santa Barbara Ave_x000a_San Luis Obispo, CA 93401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4"/>
    <x v="3"/>
    <s v="053-201-014"/>
    <s v="736 Orcutt Rd_x000a_San Luis Obispo, CA 93401"/>
    <s v="5+"/>
    <x v="0"/>
    <n v="0"/>
    <n v="0"/>
    <n v="39"/>
    <n v="1"/>
    <n v="0"/>
    <n v="0"/>
    <x v="0"/>
    <n v="0"/>
    <n v="0"/>
    <n v="0"/>
    <n v="0"/>
    <n v="0"/>
    <n v="0"/>
    <n v="0"/>
    <n v="0"/>
    <n v="0"/>
    <n v="0"/>
    <n v="0"/>
    <x v="0"/>
    <n v="55"/>
    <n v="80"/>
  </r>
  <r>
    <x v="57"/>
    <x v="3"/>
    <n v="7418004009"/>
    <s v="505 N MARINE AVE 1-17"/>
    <s v="5+"/>
    <x v="0"/>
    <n v="0"/>
    <n v="0"/>
    <n v="0"/>
    <n v="0"/>
    <n v="0"/>
    <n v="0"/>
    <x v="0"/>
    <n v="0"/>
    <n v="0"/>
    <n v="0"/>
    <n v="0"/>
    <n v="0"/>
    <n v="0"/>
    <n v="0"/>
    <n v="17"/>
    <n v="0"/>
    <n v="0"/>
    <n v="0"/>
    <x v="0"/>
    <n v="55"/>
    <n v="35"/>
  </r>
  <r>
    <x v="31"/>
    <x v="4"/>
    <n v="21101031"/>
    <s v="444 Old SF"/>
    <s v="5+"/>
    <x v="0"/>
    <n v="0"/>
    <n v="0"/>
    <n v="0"/>
    <n v="0"/>
    <n v="2"/>
    <n v="0"/>
    <x v="0"/>
    <n v="0"/>
    <n v="0"/>
    <n v="0"/>
    <n v="0"/>
    <n v="0"/>
    <n v="0"/>
    <n v="0"/>
    <n v="0"/>
    <n v="0"/>
    <n v="0"/>
    <n v="0"/>
    <x v="1"/>
    <n v="55"/>
    <n v="0"/>
  </r>
  <r>
    <x v="73"/>
    <x v="3"/>
    <s v="675-072-19"/>
    <s v="654 CAMINO DE LOS MARES"/>
    <s v="5+"/>
    <x v="0"/>
    <n v="2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78"/>
  </r>
  <r>
    <x v="48"/>
    <x v="3"/>
    <s v="0319-121-42"/>
    <s v="12845 3rd St"/>
    <s v="5+"/>
    <x v="0"/>
    <n v="0"/>
    <n v="0"/>
    <n v="0"/>
    <n v="52"/>
    <n v="0"/>
    <n v="0"/>
    <x v="0"/>
    <n v="0"/>
    <n v="0"/>
    <n v="0"/>
    <n v="0"/>
    <n v="0"/>
    <n v="0"/>
    <n v="0"/>
    <n v="0"/>
    <n v="0"/>
    <n v="0"/>
    <n v="0"/>
    <x v="0"/>
    <n v="55"/>
    <n v="100"/>
  </r>
  <r>
    <x v="48"/>
    <x v="3"/>
    <s v="0319--012-40"/>
    <s v="4th Street, between Ave. E and Yucaipa Blvd."/>
    <s v="5+"/>
    <x v="0"/>
    <n v="0"/>
    <n v="0"/>
    <n v="0"/>
    <n v="0"/>
    <n v="0"/>
    <n v="32"/>
    <x v="0"/>
    <n v="0"/>
    <n v="0"/>
    <n v="0"/>
    <n v="0"/>
    <n v="0"/>
    <n v="0"/>
    <n v="0"/>
    <n v="0"/>
    <n v="0"/>
    <n v="0"/>
    <n v="0"/>
    <x v="0"/>
    <n v="55"/>
    <n v="100"/>
  </r>
  <r>
    <x v="48"/>
    <x v="3"/>
    <s v="0319-351-02"/>
    <s v="12301 3rd St Units 1-16"/>
    <s v="5+"/>
    <x v="0"/>
    <n v="0"/>
    <n v="0"/>
    <n v="0"/>
    <n v="12"/>
    <n v="0"/>
    <n v="4"/>
    <x v="0"/>
    <n v="0"/>
    <n v="0"/>
    <n v="0"/>
    <n v="0"/>
    <n v="16"/>
    <n v="0"/>
    <n v="0"/>
    <n v="0"/>
    <n v="0"/>
    <n v="0"/>
    <n v="0"/>
    <x v="0"/>
    <n v="55"/>
    <n v="100"/>
  </r>
  <r>
    <x v="56"/>
    <x v="0"/>
    <s v="74-1373-10-16"/>
    <s v="500 OAK RIDGE LN"/>
    <s v="5+"/>
    <x v="1"/>
    <n v="0"/>
    <n v="0"/>
    <n v="0"/>
    <n v="0"/>
    <n v="2"/>
    <n v="0"/>
    <x v="0"/>
    <n v="0"/>
    <n v="0"/>
    <n v="0"/>
    <n v="2"/>
    <n v="0"/>
    <n v="0"/>
    <n v="0"/>
    <n v="0"/>
    <n v="0"/>
    <n v="0"/>
    <n v="0"/>
    <x v="0"/>
    <n v="59"/>
    <n v="20"/>
  </r>
  <r>
    <x v="31"/>
    <x v="4"/>
    <s v="205-22-032"/>
    <s v="959  STEWART DR 511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44"/>
    <x v="0"/>
    <n v="45603003"/>
    <s v="1747 ALMADEN RD SAN JOSE, CA 95125-1902"/>
    <s v="5+"/>
    <x v="1"/>
    <n v="0"/>
    <n v="0"/>
    <n v="0"/>
    <n v="0"/>
    <n v="11"/>
    <n v="0"/>
    <x v="0"/>
    <n v="0"/>
    <n v="0"/>
    <n v="0"/>
    <n v="0"/>
    <n v="0"/>
    <n v="0"/>
    <n v="0"/>
    <n v="0"/>
    <n v="0"/>
    <n v="0"/>
    <n v="0"/>
    <x v="0"/>
    <m/>
    <n v="15"/>
  </r>
  <r>
    <x v="40"/>
    <x v="0"/>
    <s v="099 139000600"/>
    <s v="215 PLUM TREE ST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m/>
    <n v="0"/>
  </r>
  <r>
    <x v="41"/>
    <x v="0"/>
    <s v="002354027000"/>
    <s v="439 SOLEDAD ST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0"/>
    <n v="55"/>
    <n v="22"/>
  </r>
  <r>
    <x v="42"/>
    <x v="0"/>
    <s v="128-181-001"/>
    <s v="1269 Broadway"/>
    <s v="5+"/>
    <x v="0"/>
    <n v="6"/>
    <n v="0"/>
    <n v="2"/>
    <n v="0"/>
    <n v="0"/>
    <n v="0"/>
    <x v="6"/>
    <n v="0"/>
    <n v="2"/>
    <n v="0"/>
    <n v="0"/>
    <n v="0"/>
    <n v="6"/>
    <n v="0"/>
    <n v="2"/>
    <n v="0"/>
    <n v="0"/>
    <n v="0"/>
    <x v="0"/>
    <m/>
    <n v="120"/>
  </r>
  <r>
    <x v="74"/>
    <x v="1"/>
    <n v="37546148"/>
    <s v="1249 E KATELLA AVE"/>
    <s v="5+"/>
    <x v="0"/>
    <n v="0"/>
    <n v="0"/>
    <n v="0"/>
    <n v="0"/>
    <n v="0"/>
    <n v="0"/>
    <x v="53"/>
    <n v="0"/>
    <n v="24"/>
    <n v="0"/>
    <n v="0"/>
    <n v="0"/>
    <n v="0"/>
    <n v="0"/>
    <n v="0"/>
    <n v="0"/>
    <n v="0"/>
    <n v="0"/>
    <x v="0"/>
    <n v="55"/>
    <n v="54"/>
  </r>
  <r>
    <x v="57"/>
    <x v="3"/>
    <n v="5548012029"/>
    <s v="7054 W HAWTHORN AVE"/>
    <s v="5+"/>
    <x v="0"/>
    <n v="7"/>
    <n v="0"/>
    <n v="3"/>
    <n v="0"/>
    <n v="2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2421022004"/>
    <s v="10824 W BLIX ST 1-23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35"/>
  </r>
  <r>
    <x v="57"/>
    <x v="3"/>
    <n v="5147011024"/>
    <s v="803 E 5TH ST"/>
    <s v="5+"/>
    <x v="0"/>
    <n v="0"/>
    <n v="0"/>
    <n v="0"/>
    <n v="0"/>
    <n v="0"/>
    <n v="0"/>
    <x v="54"/>
    <n v="0"/>
    <n v="0"/>
    <n v="0"/>
    <n v="0"/>
    <n v="0"/>
    <n v="0"/>
    <n v="0"/>
    <n v="0"/>
    <n v="0"/>
    <n v="0"/>
    <n v="0"/>
    <x v="0"/>
    <n v="55"/>
    <n v="35"/>
  </r>
  <r>
    <x v="57"/>
    <x v="3"/>
    <n v="5155025012"/>
    <s v="214 S RAMPART BLVD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35"/>
  </r>
  <r>
    <x v="57"/>
    <x v="3"/>
    <n v="6022022011"/>
    <s v="410 E FLORENCE AVE"/>
    <s v="5+"/>
    <x v="0"/>
    <n v="0"/>
    <n v="0"/>
    <n v="0"/>
    <n v="0"/>
    <n v="0"/>
    <n v="0"/>
    <x v="53"/>
    <n v="0"/>
    <n v="0"/>
    <n v="0"/>
    <n v="0"/>
    <n v="0"/>
    <n v="50"/>
    <n v="0"/>
    <n v="0"/>
    <n v="0"/>
    <n v="0"/>
    <n v="0"/>
    <x v="0"/>
    <n v="55"/>
    <n v="35"/>
  </r>
  <r>
    <x v="57"/>
    <x v="3"/>
    <n v="7423016011"/>
    <s v="843 N BANNING BLVD 1-19; 841 N BANNING BLVD 1-45"/>
    <s v="5+"/>
    <x v="0"/>
    <n v="0"/>
    <n v="0"/>
    <n v="0"/>
    <n v="0"/>
    <n v="0"/>
    <n v="0"/>
    <x v="32"/>
    <n v="0"/>
    <n v="0"/>
    <n v="0"/>
    <n v="0"/>
    <n v="0"/>
    <n v="0"/>
    <n v="0"/>
    <n v="0"/>
    <n v="0"/>
    <n v="0"/>
    <n v="0"/>
    <x v="0"/>
    <n v="55"/>
    <n v="35"/>
  </r>
  <r>
    <x v="57"/>
    <x v="3"/>
    <n v="2350003059"/>
    <s v="5525 N CASE AVE 1-98"/>
    <s v="5+"/>
    <x v="0"/>
    <n v="0"/>
    <n v="0"/>
    <n v="0"/>
    <n v="0"/>
    <n v="0"/>
    <n v="0"/>
    <x v="0"/>
    <n v="0"/>
    <n v="0"/>
    <n v="0"/>
    <n v="0"/>
    <n v="0"/>
    <n v="9"/>
    <n v="0"/>
    <n v="0"/>
    <n v="0"/>
    <n v="0"/>
    <n v="0"/>
    <x v="0"/>
    <n v="55"/>
    <n v="35"/>
  </r>
  <r>
    <x v="57"/>
    <x v="3"/>
    <n v="4261003009"/>
    <s v="11401 W SANTA MONICA BLVD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0"/>
    <n v="55"/>
    <n v="32.5"/>
  </r>
  <r>
    <x v="57"/>
    <x v="3"/>
    <n v="4263023020"/>
    <s v="1301 S WESTGATE AVE 1-27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35"/>
  </r>
  <r>
    <x v="57"/>
    <x v="3"/>
    <n v="4327005019"/>
    <s v="10403 W EASTBORNE AVE 1-34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35"/>
  </r>
  <r>
    <x v="57"/>
    <x v="3"/>
    <n v="5523022013"/>
    <s v="647 N BEACHWOOD DR 1-52"/>
    <s v="5+"/>
    <x v="0"/>
    <n v="0"/>
    <n v="0"/>
    <n v="0"/>
    <n v="0"/>
    <n v="0"/>
    <n v="0"/>
    <x v="0"/>
    <n v="0"/>
    <n v="0"/>
    <n v="0"/>
    <n v="0"/>
    <n v="0"/>
    <n v="5"/>
    <n v="0"/>
    <n v="0"/>
    <n v="0"/>
    <n v="0"/>
    <n v="0"/>
    <x v="0"/>
    <n v="55"/>
    <n v="35"/>
  </r>
  <r>
    <x v="49"/>
    <x v="3"/>
    <s v="118-010-058"/>
    <s v="850 W BATTLES RD"/>
    <s v="5+"/>
    <x v="0"/>
    <n v="0"/>
    <n v="0"/>
    <n v="0"/>
    <n v="0"/>
    <n v="0"/>
    <n v="0"/>
    <x v="17"/>
    <n v="0"/>
    <n v="10"/>
    <n v="0"/>
    <n v="0"/>
    <n v="0"/>
    <n v="0"/>
    <n v="0"/>
    <n v="0"/>
    <n v="0"/>
    <n v="0"/>
    <n v="0"/>
    <x v="0"/>
    <n v="55"/>
    <n v="21"/>
  </r>
  <r>
    <x v="54"/>
    <x v="3"/>
    <s v="055-242-140"/>
    <s v="141 Jefferson Drive"/>
    <s v="5+"/>
    <x v="0"/>
    <n v="0"/>
    <n v="0"/>
    <n v="0"/>
    <n v="0"/>
    <n v="0"/>
    <n v="0"/>
    <x v="14"/>
    <n v="0"/>
    <n v="23"/>
    <n v="0"/>
    <n v="31"/>
    <n v="0"/>
    <n v="0"/>
    <n v="0"/>
    <n v="0"/>
    <n v="0"/>
    <n v="0"/>
    <n v="0"/>
    <x v="1"/>
    <n v="55"/>
    <n v="0"/>
  </r>
  <r>
    <x v="21"/>
    <x v="3"/>
    <s v="006-220-015-000"/>
    <s v="184 TONEA WAY, Bldg 3"/>
    <s v="5+"/>
    <x v="0"/>
    <n v="6"/>
    <n v="0"/>
    <n v="10"/>
    <n v="0"/>
    <n v="0"/>
    <n v="0"/>
    <x v="6"/>
    <n v="0"/>
    <n v="10"/>
    <n v="0"/>
    <n v="0"/>
    <n v="0"/>
    <n v="0"/>
    <n v="0"/>
    <n v="0"/>
    <n v="0"/>
    <n v="0"/>
    <n v="0"/>
    <x v="0"/>
    <n v="55"/>
    <n v="20"/>
  </r>
  <r>
    <x v="26"/>
    <x v="3"/>
    <s v="161-11-011"/>
    <s v="870 E EL CAMINO REAL"/>
    <s v="5+"/>
    <x v="0"/>
    <n v="33"/>
    <n v="0"/>
    <n v="0"/>
    <n v="0"/>
    <n v="9"/>
    <n v="0"/>
    <x v="0"/>
    <n v="0"/>
    <n v="0"/>
    <n v="0"/>
    <n v="0"/>
    <n v="0"/>
    <n v="0"/>
    <n v="0"/>
    <n v="0"/>
    <n v="0"/>
    <n v="0"/>
    <n v="0"/>
    <x v="0"/>
    <n v="1000"/>
    <n v="35"/>
  </r>
  <r>
    <x v="31"/>
    <x v="4"/>
    <n v="11014197"/>
    <s v="1139 Karlstad"/>
    <s v="5+"/>
    <x v="1"/>
    <n v="0"/>
    <n v="0"/>
    <n v="0"/>
    <n v="0"/>
    <n v="16"/>
    <n v="0"/>
    <x v="0"/>
    <n v="0"/>
    <n v="0"/>
    <n v="0"/>
    <n v="0"/>
    <n v="0"/>
    <n v="0"/>
    <n v="0"/>
    <n v="0"/>
    <n v="0"/>
    <n v="0"/>
    <n v="0"/>
    <x v="1"/>
    <n v="30"/>
    <n v="0"/>
  </r>
  <r>
    <x v="54"/>
    <x v="3"/>
    <s v="055-440-010"/>
    <s v="1350 Willow Road"/>
    <s v="5+"/>
    <x v="0"/>
    <n v="119"/>
    <n v="0"/>
    <n v="76"/>
    <n v="0"/>
    <n v="117"/>
    <n v="0"/>
    <x v="0"/>
    <n v="0"/>
    <n v="0"/>
    <n v="0"/>
    <n v="0"/>
    <n v="0"/>
    <n v="0"/>
    <n v="0"/>
    <n v="0"/>
    <n v="0"/>
    <n v="0"/>
    <n v="0"/>
    <x v="1"/>
    <n v="55"/>
    <n v="0"/>
  </r>
  <r>
    <x v="47"/>
    <x v="3"/>
    <s v="017-172-014-000"/>
    <s v="810 UNIVERSITY AVE"/>
    <s v="5+"/>
    <x v="0"/>
    <n v="0"/>
    <n v="0"/>
    <n v="0"/>
    <n v="0"/>
    <n v="0"/>
    <n v="0"/>
    <x v="6"/>
    <n v="0"/>
    <n v="18"/>
    <n v="0"/>
    <n v="0"/>
    <n v="0"/>
    <n v="0"/>
    <n v="0"/>
    <n v="0"/>
    <n v="0"/>
    <n v="0"/>
    <n v="0"/>
    <x v="0"/>
    <n v="55"/>
    <n v="23"/>
  </r>
  <r>
    <x v="48"/>
    <x v="3"/>
    <s v="0319-351-57"/>
    <s v="12279 3rd St."/>
    <s v="5+"/>
    <x v="0"/>
    <n v="0"/>
    <n v="0"/>
    <n v="0"/>
    <n v="0"/>
    <n v="13"/>
    <n v="0"/>
    <x v="0"/>
    <n v="0"/>
    <n v="0"/>
    <n v="0"/>
    <n v="13"/>
    <n v="0"/>
    <n v="0"/>
    <n v="0"/>
    <n v="0"/>
    <n v="0"/>
    <n v="0"/>
    <n v="0"/>
    <x v="0"/>
    <n v="55"/>
    <n v="100"/>
  </r>
  <r>
    <x v="60"/>
    <x v="3"/>
    <s v="00809202"/>
    <s v="88 Vivian Street"/>
    <s v="5+"/>
    <x v="1"/>
    <n v="0"/>
    <n v="0"/>
    <n v="6"/>
    <n v="0"/>
    <n v="0"/>
    <n v="0"/>
    <x v="0"/>
    <n v="0"/>
    <n v="0"/>
    <n v="0"/>
    <n v="0"/>
    <n v="0"/>
    <n v="0"/>
    <n v="0"/>
    <n v="0"/>
    <n v="0"/>
    <n v="0"/>
    <n v="0"/>
    <x v="0"/>
    <m/>
    <n v="20"/>
  </r>
  <r>
    <x v="60"/>
    <x v="3"/>
    <s v="01107404 &amp; 05"/>
    <s v="55 Brookdale Avenue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57"/>
    <x v="3"/>
    <n v="5429002004"/>
    <s v="4100 W SUNSET BLVD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5149007007"/>
    <s v="121 W 3RD ST"/>
    <s v="5+"/>
    <x v="0"/>
    <n v="3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5077002012"/>
    <s v="430 S WESTMORELAND AVE"/>
    <s v="5+"/>
    <x v="0"/>
    <n v="0"/>
    <n v="0"/>
    <n v="13"/>
    <n v="0"/>
    <n v="0"/>
    <n v="0"/>
    <x v="0"/>
    <n v="0"/>
    <n v="0"/>
    <n v="0"/>
    <n v="0"/>
    <n v="0"/>
    <n v="0"/>
    <n v="0"/>
    <n v="0"/>
    <n v="0"/>
    <n v="0"/>
    <n v="0"/>
    <x v="0"/>
    <n v="55"/>
    <n v="70"/>
  </r>
  <r>
    <x v="57"/>
    <x v="3"/>
    <n v="5547031001"/>
    <s v="1301 N CHEROKEE AVE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6002026025"/>
    <s v="1408 W 62ND ST"/>
    <s v="5+"/>
    <x v="0"/>
    <n v="1"/>
    <n v="0"/>
    <n v="22"/>
    <n v="0"/>
    <n v="3"/>
    <n v="0"/>
    <x v="0"/>
    <n v="0"/>
    <n v="0"/>
    <n v="0"/>
    <n v="0"/>
    <n v="0"/>
    <n v="0"/>
    <n v="0"/>
    <n v="0"/>
    <n v="0"/>
    <n v="0"/>
    <n v="0"/>
    <x v="0"/>
    <n v="55"/>
    <n v="69"/>
  </r>
  <r>
    <x v="57"/>
    <x v="3"/>
    <n v="5109003037"/>
    <s v="4800 S MAIN ST"/>
    <s v="5+"/>
    <x v="0"/>
    <n v="0"/>
    <n v="0"/>
    <n v="175"/>
    <n v="0"/>
    <n v="45"/>
    <n v="0"/>
    <x v="0"/>
    <n v="0"/>
    <n v="0"/>
    <n v="0"/>
    <n v="0"/>
    <n v="0"/>
    <n v="0"/>
    <n v="0"/>
    <n v="0"/>
    <n v="0"/>
    <n v="0"/>
    <n v="0"/>
    <x v="0"/>
    <n v="55"/>
    <s v="51.299999999999997"/>
  </r>
  <r>
    <x v="57"/>
    <x v="3"/>
    <n v="4236019026"/>
    <s v="12735 W MITCHELL AVE"/>
    <s v="5+"/>
    <x v="0"/>
    <n v="2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62.5"/>
  </r>
  <r>
    <x v="57"/>
    <x v="3"/>
    <n v="4325019003"/>
    <s v="10770 W WILKINS AVE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2654012026"/>
    <s v="8767 N PARTHENIA PL 1-73"/>
    <s v="5+"/>
    <x v="0"/>
    <n v="0"/>
    <n v="0"/>
    <n v="0"/>
    <n v="0"/>
    <n v="0"/>
    <n v="0"/>
    <x v="55"/>
    <n v="0"/>
    <n v="0"/>
    <n v="0"/>
    <n v="0"/>
    <n v="0"/>
    <n v="0"/>
    <n v="0"/>
    <n v="0"/>
    <n v="0"/>
    <n v="0"/>
    <n v="0"/>
    <x v="0"/>
    <n v="55"/>
    <n v="35"/>
  </r>
  <r>
    <x v="57"/>
    <x v="3"/>
    <n v="4261025027"/>
    <s v="1814 S FEDERAL AVE 1-11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35"/>
  </r>
  <r>
    <x v="57"/>
    <x v="3"/>
    <n v="2125015014"/>
    <s v="6650 N RESEDA BLVD 1-180"/>
    <s v="5+"/>
    <x v="0"/>
    <n v="0"/>
    <n v="0"/>
    <n v="0"/>
    <n v="0"/>
    <n v="0"/>
    <n v="0"/>
    <x v="29"/>
    <n v="0"/>
    <n v="0"/>
    <n v="0"/>
    <n v="0"/>
    <n v="0"/>
    <n v="0"/>
    <n v="0"/>
    <n v="0"/>
    <n v="0"/>
    <n v="0"/>
    <n v="0"/>
    <x v="0"/>
    <n v="55"/>
    <n v="35"/>
  </r>
  <r>
    <x v="57"/>
    <x v="3"/>
    <n v="5407007007"/>
    <s v="849-857 N BUNKER HILL AVE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35"/>
  </r>
  <r>
    <x v="57"/>
    <x v="3"/>
    <n v="5442025022"/>
    <s v="2923 N ALLESANDRO ST #101-309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35"/>
  </r>
  <r>
    <x v="47"/>
    <x v="3"/>
    <s v="017-172-014-000"/>
    <s v="812 UNIVERSITY AVE"/>
    <s v="5+"/>
    <x v="0"/>
    <n v="0"/>
    <n v="0"/>
    <n v="0"/>
    <n v="0"/>
    <n v="0"/>
    <n v="0"/>
    <x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4 UNIVERSITY AVE"/>
    <s v="5+"/>
    <x v="0"/>
    <n v="0"/>
    <n v="0"/>
    <n v="0"/>
    <n v="0"/>
    <n v="0"/>
    <n v="0"/>
    <x v="6"/>
    <n v="0"/>
    <n v="18"/>
    <n v="0"/>
    <n v="0"/>
    <n v="0"/>
    <n v="0"/>
    <n v="0"/>
    <n v="0"/>
    <n v="0"/>
    <n v="0"/>
    <n v="0"/>
    <x v="0"/>
    <n v="55"/>
    <n v="23"/>
  </r>
  <r>
    <x v="75"/>
    <x v="3"/>
    <s v="015126010"/>
    <s v="40 AIRPORT BLVD"/>
    <s v="5+"/>
    <x v="0"/>
    <n v="15"/>
    <n v="0"/>
    <n v="29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75"/>
    <x v="3"/>
    <s v="012314070 012314080 012314090"/>
    <s v="421 CYPRESS AVE, 209 &amp; 213 LUX AVE"/>
    <s v="5+"/>
    <x v="0"/>
    <n v="10"/>
    <n v="0"/>
    <n v="5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75"/>
    <x v="3"/>
    <s v="014183110"/>
    <s v="180 EL CAMINO REAL"/>
    <s v="5+"/>
    <x v="0"/>
    <n v="9"/>
    <n v="0"/>
    <n v="18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0"/>
    <x v="0"/>
    <s v="224-20-027"/>
    <s v="1790 WARBURTON AV, #1, SANTA CLARA, CA 95050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m/>
    <n v="0"/>
  </r>
  <r>
    <x v="57"/>
    <x v="3"/>
    <n v="5124012030"/>
    <s v="2323 S SCARFF ST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4110001024"/>
    <s v="6501 S SEPULVEDA BLVD"/>
    <s v="5+"/>
    <x v="0"/>
    <n v="4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57"/>
    <x v="3"/>
    <n v="2224004006"/>
    <s v="16030 W SHERMAN WAY"/>
    <s v="5+"/>
    <x v="0"/>
    <n v="0"/>
    <n v="0"/>
    <n v="0"/>
    <n v="0"/>
    <n v="0"/>
    <n v="0"/>
    <x v="14"/>
    <n v="0"/>
    <n v="0"/>
    <n v="0"/>
    <n v="0"/>
    <n v="0"/>
    <n v="7"/>
    <n v="0"/>
    <n v="0"/>
    <n v="0"/>
    <n v="0"/>
    <n v="0"/>
    <x v="0"/>
    <n v="55"/>
    <n v="35"/>
  </r>
  <r>
    <x v="57"/>
    <x v="3"/>
    <n v="2421022002"/>
    <s v="10806 W BLIX ST 1-21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35"/>
  </r>
  <r>
    <x v="57"/>
    <x v="3"/>
    <n v="5068021019"/>
    <s v="1530 S HAYWORTH AVE 1-12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35"/>
  </r>
  <r>
    <x v="57"/>
    <x v="3"/>
    <n v="5442024043"/>
    <s v="2938 N ALLESANDRO ST"/>
    <s v="5+"/>
    <x v="0"/>
    <n v="0"/>
    <n v="0"/>
    <n v="0"/>
    <n v="0"/>
    <n v="0"/>
    <n v="0"/>
    <x v="5"/>
    <n v="0"/>
    <n v="0"/>
    <n v="0"/>
    <n v="0"/>
    <n v="0"/>
    <n v="4"/>
    <n v="0"/>
    <n v="0"/>
    <n v="0"/>
    <n v="0"/>
    <n v="0"/>
    <x v="0"/>
    <n v="55"/>
    <n v="35"/>
  </r>
  <r>
    <x v="57"/>
    <x v="3"/>
    <n v="6120023033"/>
    <s v="500 W ALONDRA BLVD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35"/>
  </r>
  <r>
    <x v="57"/>
    <x v="3"/>
    <n v="2654012007"/>
    <s v="8750 N SEPULVEDA BLVD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35"/>
  </r>
  <r>
    <x v="57"/>
    <x v="3"/>
    <n v="4217018032"/>
    <s v="11612 W CULVER BLVD 1-40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0"/>
    <n v="55"/>
    <n v="35"/>
  </r>
  <r>
    <x v="57"/>
    <x v="3"/>
    <n v="4233020016"/>
    <s v="11955 W CULVER BLVD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0"/>
    <n v="55"/>
    <n v="35"/>
  </r>
  <r>
    <x v="57"/>
    <x v="3"/>
    <n v="5051006016"/>
    <s v="4220 W MONT CLAIR ST"/>
    <s v="5+"/>
    <x v="0"/>
    <n v="0"/>
    <n v="0"/>
    <n v="0"/>
    <n v="0"/>
    <n v="0"/>
    <n v="0"/>
    <x v="0"/>
    <n v="0"/>
    <n v="0"/>
    <n v="0"/>
    <n v="0"/>
    <n v="0"/>
    <n v="4"/>
    <n v="0"/>
    <n v="41"/>
    <n v="0"/>
    <n v="0"/>
    <n v="0"/>
    <x v="0"/>
    <n v="55"/>
    <n v="35"/>
  </r>
  <r>
    <x v="57"/>
    <x v="3"/>
    <n v="6070016015"/>
    <s v="11408 S CENTRAL AVE"/>
    <s v="5+"/>
    <x v="0"/>
    <n v="0"/>
    <n v="0"/>
    <n v="0"/>
    <n v="0"/>
    <n v="0"/>
    <n v="0"/>
    <x v="0"/>
    <n v="0"/>
    <n v="0"/>
    <n v="0"/>
    <n v="0"/>
    <n v="0"/>
    <n v="0"/>
    <n v="0"/>
    <n v="63"/>
    <n v="0"/>
    <n v="0"/>
    <n v="0"/>
    <x v="0"/>
    <n v="55"/>
    <n v="35"/>
  </r>
  <r>
    <x v="5"/>
    <x v="3"/>
    <n v="482161021"/>
    <s v="24560 COTTONWOOD  AVE"/>
    <s v="5+"/>
    <x v="0"/>
    <n v="15"/>
    <n v="0"/>
    <n v="15"/>
    <n v="0"/>
    <n v="0"/>
    <n v="0"/>
    <x v="11"/>
    <n v="0"/>
    <n v="15"/>
    <n v="0"/>
    <n v="0"/>
    <n v="0"/>
    <n v="15"/>
    <n v="0"/>
    <n v="15"/>
    <n v="0"/>
    <n v="0"/>
    <n v="0"/>
    <x v="0"/>
    <n v="56"/>
    <n v="12"/>
  </r>
  <r>
    <x v="49"/>
    <x v="3"/>
    <s v="118-010-058"/>
    <s v="890 W BATTLES RD"/>
    <s v="5+"/>
    <x v="0"/>
    <n v="0"/>
    <n v="0"/>
    <n v="0"/>
    <n v="0"/>
    <n v="0"/>
    <n v="0"/>
    <x v="17"/>
    <n v="0"/>
    <n v="10"/>
    <n v="0"/>
    <n v="0"/>
    <n v="0"/>
    <n v="0"/>
    <n v="0"/>
    <n v="0"/>
    <n v="0"/>
    <n v="0"/>
    <n v="0"/>
    <x v="0"/>
    <n v="55"/>
    <n v="21"/>
  </r>
  <r>
    <x v="49"/>
    <x v="3"/>
    <s v="118-010-058"/>
    <s v="830 W BATTLES RD"/>
    <s v="5+"/>
    <x v="0"/>
    <n v="0"/>
    <n v="0"/>
    <n v="0"/>
    <n v="0"/>
    <n v="0"/>
    <n v="0"/>
    <x v="12"/>
    <n v="0"/>
    <n v="19"/>
    <n v="0"/>
    <n v="0"/>
    <n v="0"/>
    <n v="0"/>
    <n v="0"/>
    <n v="0"/>
    <n v="0"/>
    <n v="0"/>
    <n v="0"/>
    <x v="0"/>
    <n v="55"/>
    <n v="21"/>
  </r>
  <r>
    <x v="76"/>
    <x v="3"/>
    <s v="0034150100"/>
    <s v="212 E TABOR AV"/>
    <s v="5+"/>
    <x v="0"/>
    <n v="58"/>
    <n v="0"/>
    <n v="9"/>
    <n v="0"/>
    <n v="0"/>
    <n v="0"/>
    <x v="0"/>
    <n v="0"/>
    <n v="0"/>
    <n v="0"/>
    <n v="0"/>
    <n v="0"/>
    <n v="0"/>
    <n v="0"/>
    <n v="0"/>
    <n v="0"/>
    <n v="0"/>
    <n v="0"/>
    <x v="0"/>
    <n v="55"/>
    <n v="31"/>
  </r>
  <r>
    <x v="62"/>
    <x v="5"/>
    <n v="3505010"/>
    <s v="30 OTIS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4058002"/>
    <s v="600 20TH ST"/>
    <s v="5+"/>
    <x v="1"/>
    <n v="0"/>
    <n v="0"/>
    <n v="0"/>
    <n v="0"/>
    <n v="3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808004"/>
    <s v="188 HOOPER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553008"/>
    <s v="490 SOUTH VAN NESS AV"/>
    <s v="5+"/>
    <x v="0"/>
    <n v="0"/>
    <n v="0"/>
    <n v="0"/>
    <n v="0"/>
    <n v="0"/>
    <n v="0"/>
    <x v="0"/>
    <n v="0"/>
    <n v="80"/>
    <n v="0"/>
    <n v="0"/>
    <n v="0"/>
    <n v="0"/>
    <n v="0"/>
    <n v="0"/>
    <n v="0"/>
    <n v="0"/>
    <n v="0"/>
    <x v="1"/>
    <m/>
    <n v="0"/>
  </r>
  <r>
    <x v="62"/>
    <x v="5"/>
    <n v="3560006"/>
    <s v="2240 MARKET ST"/>
    <s v="5+"/>
    <x v="0"/>
    <n v="0"/>
    <n v="0"/>
    <n v="0"/>
    <n v="0"/>
    <n v="0"/>
    <n v="0"/>
    <x v="0"/>
    <n v="0"/>
    <n v="0"/>
    <n v="0"/>
    <n v="5"/>
    <n v="0"/>
    <n v="0"/>
    <n v="0"/>
    <n v="0"/>
    <n v="0"/>
    <n v="0"/>
    <n v="0"/>
    <x v="1"/>
    <m/>
    <n v="0"/>
  </r>
  <r>
    <x v="62"/>
    <x v="5"/>
    <n v="1410021"/>
    <s v="2224 CLEMENT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751029"/>
    <s v="750 HARRISON ST"/>
    <s v="5+"/>
    <x v="0"/>
    <n v="0"/>
    <n v="0"/>
    <n v="0"/>
    <n v="0"/>
    <n v="0"/>
    <n v="0"/>
    <x v="0"/>
    <n v="0"/>
    <n v="0"/>
    <n v="0"/>
    <n v="0"/>
    <n v="0"/>
    <n v="0"/>
    <n v="0"/>
    <n v="9"/>
    <n v="0"/>
    <n v="0"/>
    <n v="0"/>
    <x v="1"/>
    <m/>
    <n v="0"/>
  </r>
  <r>
    <x v="62"/>
    <x v="5"/>
    <s v="4591C219"/>
    <s v="52 INNES CT"/>
    <s v="5+"/>
    <x v="0"/>
    <n v="0"/>
    <n v="0"/>
    <n v="0"/>
    <n v="0"/>
    <n v="0"/>
    <n v="0"/>
    <x v="0"/>
    <n v="0"/>
    <n v="0"/>
    <n v="0"/>
    <n v="0"/>
    <n v="0"/>
    <n v="0"/>
    <n v="0"/>
    <n v="7"/>
    <n v="0"/>
    <n v="0"/>
    <n v="0"/>
    <x v="1"/>
    <m/>
    <n v="0"/>
  </r>
  <r>
    <x v="62"/>
    <x v="5"/>
    <n v="8715004"/>
    <s v="110 CHANNEL *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77"/>
    <x v="3"/>
    <s v="007-270-007"/>
    <s v="664 NORTH STAR DR"/>
    <s v="5+"/>
    <x v="0"/>
    <n v="0"/>
    <n v="0"/>
    <n v="0"/>
    <n v="0"/>
    <n v="0"/>
    <n v="0"/>
    <x v="0"/>
    <n v="0"/>
    <n v="51"/>
    <n v="0"/>
    <n v="0"/>
    <n v="0"/>
    <n v="0"/>
    <n v="0"/>
    <n v="0"/>
    <n v="0"/>
    <n v="0"/>
    <n v="0"/>
    <x v="0"/>
    <m/>
    <n v="80"/>
  </r>
  <r>
    <x v="77"/>
    <x v="3"/>
    <s v="007-270-007"/>
    <s v="682 NORTH STAR DR"/>
    <s v="5+"/>
    <x v="0"/>
    <n v="0"/>
    <n v="0"/>
    <n v="0"/>
    <n v="0"/>
    <n v="0"/>
    <n v="0"/>
    <x v="0"/>
    <n v="0"/>
    <n v="21"/>
    <n v="0"/>
    <n v="0"/>
    <n v="0"/>
    <n v="0"/>
    <n v="0"/>
    <n v="0"/>
    <n v="0"/>
    <n v="0"/>
    <n v="0"/>
    <x v="0"/>
    <m/>
    <n v="80"/>
  </r>
  <r>
    <x v="78"/>
    <x v="1"/>
    <n v="41208065"/>
    <s v="300 RAILWAY AVE"/>
    <s v="5+"/>
    <x v="0"/>
    <n v="0"/>
    <n v="0"/>
    <n v="0"/>
    <n v="0"/>
    <n v="0"/>
    <n v="0"/>
    <x v="0"/>
    <n v="0"/>
    <n v="0"/>
    <n v="0"/>
    <n v="0"/>
    <n v="0"/>
    <n v="7"/>
    <n v="0"/>
    <n v="0"/>
    <n v="0"/>
    <n v="0"/>
    <n v="0"/>
    <x v="0"/>
    <n v="55"/>
    <n v="25"/>
  </r>
  <r>
    <x v="78"/>
    <x v="1"/>
    <n v="41208061"/>
    <s v="228 - 246 RAILWAY AVE (10 UNITS) BUILDING 4"/>
    <s v="5+"/>
    <x v="1"/>
    <n v="0"/>
    <n v="0"/>
    <n v="0"/>
    <n v="0"/>
    <n v="0"/>
    <n v="0"/>
    <x v="3"/>
    <n v="0"/>
    <n v="1"/>
    <n v="0"/>
    <n v="0"/>
    <n v="0"/>
    <n v="1"/>
    <n v="0"/>
    <n v="1"/>
    <n v="0"/>
    <n v="0"/>
    <n v="0"/>
    <x v="0"/>
    <n v="0"/>
    <n v="25"/>
  </r>
  <r>
    <x v="21"/>
    <x v="3"/>
    <s v="006-220-015-000"/>
    <s v="184 TONEA WAY, Bldg 4"/>
    <s v="5+"/>
    <x v="0"/>
    <n v="16"/>
    <n v="0"/>
    <n v="0"/>
    <n v="0"/>
    <n v="0"/>
    <n v="0"/>
    <x v="45"/>
    <n v="0"/>
    <n v="0"/>
    <n v="0"/>
    <n v="0"/>
    <n v="0"/>
    <n v="0"/>
    <n v="0"/>
    <n v="0"/>
    <n v="0"/>
    <n v="0"/>
    <n v="0"/>
    <x v="0"/>
    <n v="55"/>
    <n v="20"/>
  </r>
  <r>
    <x v="78"/>
    <x v="1"/>
    <n v="27930043"/>
    <s v="601 ALMARIDA DR, CAMPBELL, CA 95008"/>
    <s v="5+"/>
    <x v="0"/>
    <n v="2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45"/>
    <n v="35"/>
  </r>
  <r>
    <x v="48"/>
    <x v="3"/>
    <s v="0319-121-78"/>
    <s v="12269 3rd Street"/>
    <s v="5+"/>
    <x v="0"/>
    <n v="0"/>
    <n v="0"/>
    <n v="15"/>
    <n v="0"/>
    <n v="0"/>
    <n v="135"/>
    <x v="0"/>
    <n v="0"/>
    <n v="0"/>
    <n v="0"/>
    <n v="0"/>
    <n v="0"/>
    <n v="0"/>
    <n v="0"/>
    <n v="0"/>
    <n v="0"/>
    <n v="0"/>
    <n v="0"/>
    <x v="0"/>
    <n v="55"/>
    <n v="25"/>
  </r>
  <r>
    <x v="48"/>
    <x v="3"/>
    <s v="0319-351-02"/>
    <s v="12302 3rd St Units 17-32"/>
    <s v="5+"/>
    <x v="0"/>
    <n v="0"/>
    <n v="0"/>
    <n v="0"/>
    <n v="12"/>
    <n v="0"/>
    <n v="4"/>
    <x v="0"/>
    <n v="0"/>
    <n v="0"/>
    <n v="0"/>
    <n v="0"/>
    <n v="16"/>
    <n v="0"/>
    <n v="0"/>
    <n v="0"/>
    <n v="0"/>
    <n v="0"/>
    <n v="0"/>
    <x v="0"/>
    <n v="55"/>
    <n v="100"/>
  </r>
  <r>
    <x v="79"/>
    <x v="2"/>
    <s v="041522010, 041522020, 041521010, 041521020"/>
    <s v="2988 CAMPUS DR 100"/>
    <s v="5+"/>
    <x v="1"/>
    <n v="0"/>
    <n v="0"/>
    <n v="29"/>
    <n v="0"/>
    <n v="0"/>
    <n v="0"/>
    <x v="0"/>
    <n v="0"/>
    <n v="0"/>
    <n v="0"/>
    <n v="0"/>
    <n v="0"/>
    <n v="0"/>
    <n v="0"/>
    <n v="0"/>
    <n v="0"/>
    <n v="0"/>
    <n v="0"/>
    <x v="1"/>
    <n v="45"/>
    <n v="0"/>
  </r>
  <r>
    <x v="80"/>
    <x v="0"/>
    <s v="402-023-007, 402-023-003, 405-023-002"/>
    <s v="600 Roble Ave"/>
    <s v="5+"/>
    <x v="0"/>
    <n v="7"/>
    <n v="0"/>
    <n v="135"/>
    <n v="0"/>
    <n v="37"/>
    <n v="0"/>
    <x v="0"/>
    <n v="0"/>
    <n v="0"/>
    <n v="0"/>
    <n v="0"/>
    <n v="0"/>
    <n v="0"/>
    <n v="0"/>
    <n v="0"/>
    <n v="0"/>
    <n v="0"/>
    <n v="0"/>
    <x v="0"/>
    <n v="55"/>
    <s v="77.200000000000003"/>
  </r>
  <r>
    <x v="81"/>
    <x v="0"/>
    <n v="63231240"/>
    <s v="1804 BAY RD"/>
    <s v="5+"/>
    <x v="0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50"/>
  </r>
  <r>
    <x v="26"/>
    <x v="3"/>
    <s v="148-15-020"/>
    <s v="334 SAN ANTONIO RD"/>
    <s v="5+"/>
    <x v="1"/>
    <n v="0"/>
    <n v="0"/>
    <n v="10"/>
    <n v="0"/>
    <n v="0"/>
    <n v="0"/>
    <x v="0"/>
    <n v="0"/>
    <n v="0"/>
    <n v="0"/>
    <n v="0"/>
    <n v="0"/>
    <n v="0"/>
    <n v="0"/>
    <n v="0"/>
    <n v="0"/>
    <n v="0"/>
    <n v="0"/>
    <x v="0"/>
    <n v="1000"/>
    <n v="50"/>
  </r>
  <r>
    <x v="82"/>
    <x v="1"/>
    <s v="02674125"/>
    <s v="1500  CAPITOLA  RD, SANTA CRUZ  CA  95062-2912"/>
    <s v="5+"/>
    <x v="0"/>
    <n v="0"/>
    <n v="0"/>
    <n v="0"/>
    <n v="0"/>
    <n v="0"/>
    <n v="0"/>
    <x v="0"/>
    <n v="0"/>
    <n v="0"/>
    <n v="0"/>
    <n v="0"/>
    <n v="0"/>
    <n v="17"/>
    <n v="0"/>
    <n v="0"/>
    <n v="0"/>
    <n v="0"/>
    <n v="0"/>
    <x v="0"/>
    <n v="1000"/>
    <n v="20"/>
  </r>
  <r>
    <x v="82"/>
    <x v="1"/>
    <s v="02674125"/>
    <s v="1500  CAPITOLA  RD, SANTA CRUZ  CA  95062-2912"/>
    <s v="5+"/>
    <x v="0"/>
    <n v="0"/>
    <n v="0"/>
    <n v="0"/>
    <n v="0"/>
    <n v="0"/>
    <n v="0"/>
    <x v="0"/>
    <n v="0"/>
    <n v="0"/>
    <n v="0"/>
    <n v="0"/>
    <n v="0"/>
    <n v="1"/>
    <n v="0"/>
    <n v="19"/>
    <n v="0"/>
    <n v="0"/>
    <n v="0"/>
    <x v="0"/>
    <n v="1000"/>
    <n v="20"/>
  </r>
  <r>
    <x v="31"/>
    <x v="4"/>
    <n v="20429035"/>
    <s v="255 W Maude"/>
    <s v="5+"/>
    <x v="0"/>
    <n v="0"/>
    <n v="0"/>
    <n v="0"/>
    <n v="0"/>
    <n v="1"/>
    <n v="0"/>
    <x v="0"/>
    <n v="0"/>
    <n v="0"/>
    <n v="0"/>
    <n v="0"/>
    <n v="0"/>
    <n v="0"/>
    <n v="0"/>
    <n v="0"/>
    <n v="0"/>
    <n v="0"/>
    <n v="0"/>
    <x v="1"/>
    <n v="30"/>
    <n v="0"/>
  </r>
  <r>
    <x v="54"/>
    <x v="3"/>
    <s v="061-422-400"/>
    <s v="1550 El Camino Real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61"/>
    <x v="1"/>
    <s v="022-083-030"/>
    <s v="801 FASSLER"/>
    <s v="5+"/>
    <x v="1"/>
    <n v="2"/>
    <n v="0"/>
    <n v="0"/>
    <n v="0"/>
    <n v="2"/>
    <n v="0"/>
    <x v="17"/>
    <n v="0"/>
    <n v="0"/>
    <n v="0"/>
    <n v="2"/>
    <n v="0"/>
    <n v="0"/>
    <n v="0"/>
    <n v="0"/>
    <n v="0"/>
    <n v="0"/>
    <n v="0"/>
    <x v="1"/>
    <n v="45"/>
    <n v="0"/>
  </r>
  <r>
    <x v="49"/>
    <x v="3"/>
    <s v="118-010-058"/>
    <s v="810 W BATTLES RD"/>
    <s v="5+"/>
    <x v="0"/>
    <n v="0"/>
    <n v="0"/>
    <n v="0"/>
    <n v="0"/>
    <n v="0"/>
    <n v="0"/>
    <x v="2"/>
    <n v="0"/>
    <n v="13"/>
    <n v="0"/>
    <n v="0"/>
    <n v="0"/>
    <n v="0"/>
    <n v="0"/>
    <n v="0"/>
    <n v="0"/>
    <n v="0"/>
    <n v="0"/>
    <x v="0"/>
    <n v="55"/>
    <n v="21"/>
  </r>
  <r>
    <x v="49"/>
    <x v="3"/>
    <s v="118-010-058"/>
    <s v="840 W BATTLES RD"/>
    <s v="5+"/>
    <x v="0"/>
    <n v="0"/>
    <n v="0"/>
    <n v="0"/>
    <n v="0"/>
    <n v="0"/>
    <n v="0"/>
    <x v="12"/>
    <n v="0"/>
    <n v="19"/>
    <n v="0"/>
    <n v="0"/>
    <n v="0"/>
    <n v="0"/>
    <n v="0"/>
    <n v="0"/>
    <n v="0"/>
    <n v="0"/>
    <n v="0"/>
    <x v="0"/>
    <n v="55"/>
    <n v="21"/>
  </r>
  <r>
    <x v="49"/>
    <x v="3"/>
    <s v="128-066-003"/>
    <s v="336 E PLAZA DR #101-108, 201-208, 301-30"/>
    <s v="5+"/>
    <x v="0"/>
    <n v="0"/>
    <n v="0"/>
    <n v="0"/>
    <n v="0"/>
    <n v="0"/>
    <n v="0"/>
    <x v="0"/>
    <n v="0"/>
    <n v="24"/>
    <n v="0"/>
    <n v="0"/>
    <n v="0"/>
    <n v="0"/>
    <n v="0"/>
    <n v="0"/>
    <n v="0"/>
    <n v="0"/>
    <n v="0"/>
    <x v="0"/>
    <n v="55"/>
    <n v="33"/>
  </r>
  <r>
    <x v="49"/>
    <x v="3"/>
    <s v="128-066-003"/>
    <s v="354 E PLAZA DR #101-104,201-206, 301-306"/>
    <s v="5+"/>
    <x v="0"/>
    <n v="0"/>
    <n v="0"/>
    <n v="0"/>
    <n v="0"/>
    <n v="0"/>
    <n v="0"/>
    <x v="0"/>
    <n v="0"/>
    <n v="16"/>
    <n v="0"/>
    <n v="0"/>
    <n v="0"/>
    <n v="0"/>
    <n v="0"/>
    <n v="0"/>
    <n v="0"/>
    <n v="0"/>
    <n v="0"/>
    <x v="0"/>
    <n v="55"/>
    <n v="33"/>
  </r>
  <r>
    <x v="83"/>
    <x v="3"/>
    <s v="030-282-015"/>
    <s v="6855 ATASCADERO AVE"/>
    <s v="5+"/>
    <x v="0"/>
    <n v="0"/>
    <n v="0"/>
    <n v="1"/>
    <n v="0"/>
    <n v="0"/>
    <n v="7"/>
    <x v="0"/>
    <n v="0"/>
    <n v="0"/>
    <n v="0"/>
    <n v="0"/>
    <n v="0"/>
    <n v="0"/>
    <n v="0"/>
    <n v="0"/>
    <n v="0"/>
    <n v="0"/>
    <n v="0"/>
    <x v="0"/>
    <n v="55"/>
    <n v="11"/>
  </r>
  <r>
    <x v="64"/>
    <x v="0"/>
    <s v="017-231-024-000"/>
    <s v="350 ROSEVILLE PW, BLDG 33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35"/>
    <s v="5+"/>
    <x v="0"/>
    <n v="0"/>
    <n v="0"/>
    <n v="0"/>
    <n v="0"/>
    <n v="0"/>
    <n v="0"/>
    <x v="0"/>
    <n v="0"/>
    <n v="0"/>
    <n v="0"/>
    <n v="0"/>
    <n v="0"/>
    <n v="10"/>
    <n v="0"/>
    <n v="0"/>
    <n v="0"/>
    <n v="0"/>
    <n v="0"/>
    <x v="1"/>
    <m/>
    <n v="0"/>
  </r>
  <r>
    <x v="64"/>
    <x v="0"/>
    <s v="011-145-005-000"/>
    <s v="300 WASHINGTON BL"/>
    <s v="5+"/>
    <x v="0"/>
    <n v="0"/>
    <n v="0"/>
    <n v="0"/>
    <n v="0"/>
    <n v="0"/>
    <n v="0"/>
    <x v="0"/>
    <n v="0"/>
    <n v="0"/>
    <n v="0"/>
    <n v="0"/>
    <n v="0"/>
    <n v="29"/>
    <n v="0"/>
    <n v="14"/>
    <n v="0"/>
    <n v="0"/>
    <n v="0"/>
    <x v="1"/>
    <m/>
    <n v="0"/>
  </r>
  <r>
    <x v="54"/>
    <x v="2"/>
    <n v="61422370"/>
    <s v="1540 El Camino Real"/>
    <s v="5+"/>
    <x v="0"/>
    <n v="0"/>
    <n v="0"/>
    <n v="0"/>
    <n v="0"/>
    <n v="0"/>
    <n v="0"/>
    <x v="0"/>
    <n v="0"/>
    <n v="5"/>
    <n v="0"/>
    <n v="0"/>
    <n v="0"/>
    <n v="0"/>
    <n v="0"/>
    <n v="0"/>
    <n v="0"/>
    <n v="0"/>
    <n v="0"/>
    <x v="1"/>
    <m/>
    <n v="0"/>
  </r>
  <r>
    <x v="84"/>
    <x v="4"/>
    <s v="025-431-16"/>
    <s v="1255 Martin Street"/>
    <s v="5+"/>
    <x v="0"/>
    <n v="0"/>
    <n v="0"/>
    <n v="24"/>
    <n v="0"/>
    <n v="0"/>
    <n v="0"/>
    <x v="0"/>
    <n v="0"/>
    <n v="24"/>
    <n v="0"/>
    <n v="0"/>
    <n v="0"/>
    <n v="0"/>
    <n v="0"/>
    <n v="24"/>
    <n v="0"/>
    <n v="0"/>
    <n v="0"/>
    <x v="0"/>
    <n v="30"/>
    <n v="0"/>
  </r>
  <r>
    <x v="62"/>
    <x v="5"/>
    <n v="3767305"/>
    <s v="429 Beale Street and 430 Main Street"/>
    <s v="5+"/>
    <x v="0"/>
    <n v="0"/>
    <n v="0"/>
    <n v="19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753070"/>
    <s v="255 SHIPLEY ST"/>
    <s v="5+"/>
    <x v="0"/>
    <n v="0"/>
    <n v="0"/>
    <n v="3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1018012"/>
    <s v="3637-3657 SACRAMENTO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521022"/>
    <s v="333 12TH ST"/>
    <s v="5+"/>
    <x v="0"/>
    <n v="0"/>
    <n v="0"/>
    <n v="0"/>
    <n v="0"/>
    <n v="0"/>
    <n v="0"/>
    <x v="0"/>
    <n v="0"/>
    <n v="27"/>
    <n v="0"/>
    <n v="0"/>
    <n v="0"/>
    <n v="0"/>
    <n v="0"/>
    <n v="0"/>
    <n v="0"/>
    <n v="0"/>
    <n v="0"/>
    <x v="0"/>
    <m/>
    <n v="0"/>
  </r>
  <r>
    <x v="62"/>
    <x v="5"/>
    <n v="3953002"/>
    <s v="88 ARKANSAS ST"/>
    <s v="5+"/>
    <x v="0"/>
    <n v="0"/>
    <n v="0"/>
    <n v="0"/>
    <n v="0"/>
    <n v="0"/>
    <n v="0"/>
    <x v="0"/>
    <n v="0"/>
    <n v="25"/>
    <n v="0"/>
    <n v="0"/>
    <n v="0"/>
    <n v="0"/>
    <n v="0"/>
    <n v="0"/>
    <n v="0"/>
    <n v="0"/>
    <n v="0"/>
    <x v="1"/>
    <m/>
    <n v="0"/>
  </r>
  <r>
    <x v="62"/>
    <x v="5"/>
    <s v="4107001B"/>
    <s v="950 TENNESSEE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s v="0546001"/>
    <s v="2465 VAN NESS AV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615055"/>
    <s v="606 CAPP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2081001"/>
    <s v="3701 NORIEGA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509024"/>
    <s v="23 GRACE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6"/>
    <x v="3"/>
    <n v="4015029004"/>
    <s v="201 LA BREA AV"/>
    <s v="5+"/>
    <x v="0"/>
    <n v="7"/>
    <n v="0"/>
    <n v="0"/>
    <n v="0"/>
    <n v="0"/>
    <n v="0"/>
    <x v="14"/>
    <n v="0"/>
    <n v="0"/>
    <n v="0"/>
    <n v="0"/>
    <n v="0"/>
    <n v="0"/>
    <n v="0"/>
    <n v="0"/>
    <n v="0"/>
    <n v="0"/>
    <n v="0"/>
    <x v="0"/>
    <n v="55"/>
    <n v="20"/>
  </r>
  <r>
    <x v="85"/>
    <x v="0"/>
    <s v="208-860-123"/>
    <s v="69106 Via Vicenza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83"/>
    <s v="67106 Via Vicenza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75"/>
    <s v="22112 Argento Loop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47"/>
    <s v="28103 Argento Loop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0"/>
    <n v="0"/>
  </r>
  <r>
    <x v="62"/>
    <x v="5"/>
    <n v="1450008"/>
    <s v="369 18TH AV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4"/>
    <n v="0"/>
    <x v="1"/>
    <m/>
    <n v="0"/>
  </r>
  <r>
    <x v="62"/>
    <x v="5"/>
    <s v="4591C221"/>
    <s v="10 KENNEDY PL"/>
    <s v="5+"/>
    <x v="0"/>
    <n v="0"/>
    <n v="0"/>
    <n v="0"/>
    <n v="0"/>
    <n v="0"/>
    <n v="0"/>
    <x v="0"/>
    <n v="0"/>
    <n v="0"/>
    <n v="0"/>
    <n v="0"/>
    <n v="0"/>
    <n v="1"/>
    <n v="0"/>
    <n v="2"/>
    <n v="0"/>
    <n v="1"/>
    <n v="0"/>
    <x v="1"/>
    <m/>
    <n v="0"/>
  </r>
  <r>
    <x v="62"/>
    <x v="5"/>
    <s v="1070001A"/>
    <s v="2750 GEARY BL"/>
    <s v="5+"/>
    <x v="0"/>
    <n v="0"/>
    <n v="0"/>
    <n v="0"/>
    <n v="0"/>
    <n v="0"/>
    <n v="0"/>
    <x v="0"/>
    <n v="0"/>
    <n v="0"/>
    <n v="0"/>
    <n v="0"/>
    <n v="0"/>
    <n v="1"/>
    <n v="0"/>
    <n v="2"/>
    <n v="0"/>
    <n v="1"/>
    <n v="0"/>
    <x v="1"/>
    <m/>
    <n v="0"/>
  </r>
  <r>
    <x v="66"/>
    <x v="3"/>
    <n v="4013009902"/>
    <s v="923 Redondo Blvd"/>
    <s v="5+"/>
    <x v="0"/>
    <n v="100"/>
    <n v="0"/>
    <n v="0"/>
    <n v="0"/>
    <n v="0"/>
    <n v="0"/>
    <x v="23"/>
    <n v="0"/>
    <n v="0"/>
    <n v="0"/>
    <n v="0"/>
    <n v="0"/>
    <n v="100"/>
    <n v="0"/>
    <n v="0"/>
    <n v="0"/>
    <n v="0"/>
    <n v="0"/>
    <x v="0"/>
    <n v="55"/>
    <n v="100"/>
  </r>
  <r>
    <x v="26"/>
    <x v="3"/>
    <s v="153-24-005"/>
    <s v="777 W MIDDLEFIELD RD"/>
    <s v="5+"/>
    <x v="0"/>
    <n v="0"/>
    <n v="0"/>
    <n v="0"/>
    <n v="0"/>
    <n v="0"/>
    <n v="0"/>
    <x v="0"/>
    <n v="0"/>
    <n v="36"/>
    <n v="0"/>
    <n v="108"/>
    <n v="0"/>
    <n v="0"/>
    <n v="0"/>
    <n v="0"/>
    <n v="0"/>
    <n v="0"/>
    <n v="0"/>
    <x v="1"/>
    <n v="1000"/>
    <n v="0"/>
  </r>
  <r>
    <x v="26"/>
    <x v="3"/>
    <s v="147-40-056"/>
    <s v="2580  CALIFORNIA ST"/>
    <s v="5+"/>
    <x v="0"/>
    <n v="0"/>
    <n v="0"/>
    <n v="0"/>
    <n v="0"/>
    <n v="0"/>
    <n v="0"/>
    <x v="0"/>
    <n v="0"/>
    <n v="0"/>
    <n v="0"/>
    <n v="0"/>
    <n v="0"/>
    <n v="0"/>
    <n v="0"/>
    <n v="3"/>
    <n v="0"/>
    <n v="6"/>
    <n v="0"/>
    <x v="1"/>
    <m/>
    <n v="0"/>
  </r>
  <r>
    <x v="26"/>
    <x v="3"/>
    <s v="150-26-004"/>
    <s v="1265 Montecito Ave"/>
    <s v="5+"/>
    <x v="0"/>
    <n v="58"/>
    <n v="0"/>
    <n v="26"/>
    <n v="0"/>
    <n v="0"/>
    <n v="0"/>
    <x v="0"/>
    <n v="0"/>
    <n v="0"/>
    <n v="0"/>
    <n v="0"/>
    <n v="0"/>
    <n v="0"/>
    <n v="0"/>
    <n v="0"/>
    <n v="0"/>
    <n v="0"/>
    <n v="0"/>
    <x v="0"/>
    <n v="55"/>
    <n v="1.2"/>
  </r>
  <r>
    <x v="57"/>
    <x v="3"/>
    <n v="4252025029"/>
    <s v="3730 S KELTON AVE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02.5"/>
  </r>
  <r>
    <x v="57"/>
    <x v="3"/>
    <n v="5525017024"/>
    <s v="7000 W MELROSE AVE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5123015401"/>
    <s v="647 W 28TH ST"/>
    <s v="5+"/>
    <x v="0"/>
    <n v="0"/>
    <n v="0"/>
    <n v="5"/>
    <n v="0"/>
    <n v="0"/>
    <n v="0"/>
    <x v="0"/>
    <n v="0"/>
    <n v="0"/>
    <n v="0"/>
    <n v="0"/>
    <n v="0"/>
    <n v="0"/>
    <n v="0"/>
    <n v="0"/>
    <n v="0"/>
    <n v="0"/>
    <n v="0"/>
    <x v="0"/>
    <n v="55"/>
    <n v="132.5"/>
  </r>
  <r>
    <x v="57"/>
    <x v="3"/>
    <n v="5545007028"/>
    <s v="6001 W SUNSET BLVD"/>
    <s v="5+"/>
    <x v="0"/>
    <n v="1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23"/>
  </r>
  <r>
    <x v="57"/>
    <x v="3"/>
    <n v="4217027004"/>
    <s v="4830 S SLAUSON AVE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5179004065"/>
    <s v="3023 E 4TH ST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0.9"/>
  </r>
  <r>
    <x v="57"/>
    <x v="3"/>
    <n v="5077027023"/>
    <s v="2683 W SAN MARINO ST 1-23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35"/>
  </r>
  <r>
    <x v="57"/>
    <x v="3"/>
    <n v="5503015024"/>
    <s v="401 S WESTERN AVE 1-73"/>
    <s v="5+"/>
    <x v="0"/>
    <n v="0"/>
    <n v="0"/>
    <n v="0"/>
    <n v="0"/>
    <n v="0"/>
    <n v="0"/>
    <x v="25"/>
    <n v="0"/>
    <n v="0"/>
    <n v="0"/>
    <n v="0"/>
    <n v="0"/>
    <n v="0"/>
    <n v="0"/>
    <n v="0"/>
    <n v="0"/>
    <n v="0"/>
    <n v="0"/>
    <x v="0"/>
    <n v="55"/>
    <n v="35"/>
  </r>
  <r>
    <x v="57"/>
    <x v="3"/>
    <n v="5520002030"/>
    <s v="648 N ARDMORE AVE"/>
    <s v="5+"/>
    <x v="0"/>
    <n v="0"/>
    <n v="0"/>
    <n v="0"/>
    <n v="0"/>
    <n v="0"/>
    <n v="0"/>
    <x v="17"/>
    <n v="0"/>
    <n v="0"/>
    <n v="0"/>
    <n v="14"/>
    <n v="0"/>
    <n v="0"/>
    <n v="0"/>
    <n v="0"/>
    <n v="0"/>
    <n v="0"/>
    <n v="0"/>
    <x v="0"/>
    <n v="55"/>
    <n v="35"/>
  </r>
  <r>
    <x v="57"/>
    <x v="3"/>
    <n v="2241013030"/>
    <s v="14540 W ERWIN ST 1-48"/>
    <s v="5+"/>
    <x v="0"/>
    <n v="0"/>
    <n v="0"/>
    <n v="0"/>
    <n v="0"/>
    <n v="0"/>
    <n v="0"/>
    <x v="0"/>
    <n v="0"/>
    <n v="0"/>
    <n v="0"/>
    <n v="0"/>
    <n v="0"/>
    <n v="6"/>
    <n v="0"/>
    <n v="0"/>
    <n v="0"/>
    <n v="0"/>
    <n v="0"/>
    <x v="0"/>
    <n v="55"/>
    <n v="35"/>
  </r>
  <r>
    <x v="57"/>
    <x v="3"/>
    <n v="2786006016"/>
    <s v="8548 N RESEDA BLVD"/>
    <s v="5+"/>
    <x v="0"/>
    <n v="0"/>
    <n v="0"/>
    <n v="0"/>
    <n v="0"/>
    <n v="0"/>
    <n v="0"/>
    <x v="0"/>
    <n v="0"/>
    <n v="0"/>
    <n v="0"/>
    <n v="0"/>
    <n v="0"/>
    <n v="5"/>
    <n v="0"/>
    <n v="0"/>
    <n v="0"/>
    <n v="0"/>
    <n v="0"/>
    <x v="0"/>
    <n v="55"/>
    <n v="35"/>
  </r>
  <r>
    <x v="8"/>
    <x v="2"/>
    <s v="-"/>
    <s v="4444 MANITOU WY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401 UNION ST"/>
    <s v="5+"/>
    <x v="0"/>
    <n v="0"/>
    <n v="0"/>
    <n v="0"/>
    <n v="0"/>
    <n v="0"/>
    <n v="0"/>
    <x v="31"/>
    <n v="0"/>
    <n v="0"/>
    <n v="0"/>
    <n v="0"/>
    <n v="0"/>
    <n v="0"/>
    <n v="0"/>
    <n v="0"/>
    <n v="0"/>
    <n v="0"/>
    <n v="0"/>
    <x v="0"/>
    <n v="55"/>
    <n v="0"/>
  </r>
  <r>
    <x v="86"/>
    <x v="3"/>
    <n v="6102006013"/>
    <s v="13126 S Western Ave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5"/>
  </r>
  <r>
    <x v="62"/>
    <x v="5"/>
    <n v="3755023"/>
    <s v="1144 HARRISON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s v="0811010"/>
    <s v="200 VAN NESS AV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s v="0766010"/>
    <s v="555 GOLDEN GATE AV"/>
    <s v="5+"/>
    <x v="1"/>
    <n v="0"/>
    <n v="0"/>
    <n v="0"/>
    <n v="0"/>
    <n v="7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s v="0527004"/>
    <s v="2525 VAN NESS AV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730290"/>
    <s v="280 07TH ST"/>
    <s v="5+"/>
    <x v="1"/>
    <n v="0"/>
    <n v="0"/>
    <n v="0"/>
    <n v="0"/>
    <n v="2"/>
    <n v="0"/>
    <x v="0"/>
    <n v="0"/>
    <n v="0"/>
    <n v="0"/>
    <n v="0"/>
    <n v="0"/>
    <n v="0"/>
    <n v="0"/>
    <n v="0"/>
    <n v="0"/>
    <n v="0"/>
    <n v="0"/>
    <x v="0"/>
    <m/>
    <n v="0"/>
  </r>
  <r>
    <x v="62"/>
    <x v="5"/>
    <n v="3506008"/>
    <s v="1500 MISSION ST"/>
    <s v="5+"/>
    <x v="0"/>
    <n v="0"/>
    <n v="0"/>
    <n v="0"/>
    <n v="0"/>
    <n v="0"/>
    <n v="0"/>
    <x v="56"/>
    <n v="0"/>
    <n v="0"/>
    <n v="0"/>
    <n v="0"/>
    <n v="0"/>
    <n v="0"/>
    <n v="0"/>
    <n v="0"/>
    <n v="0"/>
    <n v="0"/>
    <n v="0"/>
    <x v="1"/>
    <m/>
    <n v="0"/>
  </r>
  <r>
    <x v="62"/>
    <x v="5"/>
    <n v="3510058"/>
    <s v="915 MINNA ST"/>
    <s v="5+"/>
    <x v="0"/>
    <n v="0"/>
    <n v="0"/>
    <n v="0"/>
    <n v="0"/>
    <n v="0"/>
    <n v="0"/>
    <x v="0"/>
    <n v="0"/>
    <n v="7"/>
    <n v="0"/>
    <n v="0"/>
    <n v="0"/>
    <n v="0"/>
    <n v="0"/>
    <n v="0"/>
    <n v="0"/>
    <n v="0"/>
    <n v="0"/>
    <x v="1"/>
    <m/>
    <n v="0"/>
  </r>
  <r>
    <x v="62"/>
    <x v="5"/>
    <n v="3755054"/>
    <s v="349 08TH ST"/>
    <s v="5+"/>
    <x v="1"/>
    <n v="0"/>
    <n v="0"/>
    <n v="0"/>
    <n v="0"/>
    <n v="0"/>
    <n v="0"/>
    <x v="0"/>
    <n v="0"/>
    <n v="0"/>
    <n v="0"/>
    <n v="6"/>
    <n v="0"/>
    <n v="0"/>
    <n v="0"/>
    <n v="0"/>
    <n v="0"/>
    <n v="0"/>
    <n v="0"/>
    <x v="1"/>
    <m/>
    <n v="0"/>
  </r>
  <r>
    <x v="62"/>
    <x v="5"/>
    <n v="4008002"/>
    <s v="540 DE HARO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783001"/>
    <s v="801 BRANNAN ST"/>
    <s v="5+"/>
    <x v="0"/>
    <n v="0"/>
    <n v="0"/>
    <n v="0"/>
    <n v="0"/>
    <n v="0"/>
    <n v="0"/>
    <x v="0"/>
    <n v="0"/>
    <n v="0"/>
    <n v="0"/>
    <n v="0"/>
    <n v="0"/>
    <n v="0"/>
    <n v="0"/>
    <n v="55"/>
    <n v="0"/>
    <n v="0"/>
    <n v="0"/>
    <x v="1"/>
    <m/>
    <n v="0"/>
  </r>
  <r>
    <x v="62"/>
    <x v="5"/>
    <n v="4105009"/>
    <s v="800 INDIANA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635014"/>
    <s v="1198 VALENCIA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6"/>
    <n v="0"/>
    <x v="1"/>
    <m/>
    <n v="0"/>
  </r>
  <r>
    <x v="62"/>
    <x v="5"/>
    <s v="4591C218"/>
    <s v="51 INNES C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3"/>
    <n v="0"/>
    <x v="1"/>
    <m/>
    <n v="0"/>
  </r>
  <r>
    <x v="62"/>
    <x v="5"/>
    <s v="4591C220"/>
    <s v="10 INNES CT"/>
    <s v="5+"/>
    <x v="0"/>
    <n v="0"/>
    <n v="0"/>
    <n v="0"/>
    <n v="0"/>
    <n v="0"/>
    <n v="0"/>
    <x v="0"/>
    <n v="0"/>
    <n v="0"/>
    <n v="0"/>
    <n v="0"/>
    <n v="0"/>
    <n v="0"/>
    <n v="0"/>
    <n v="8"/>
    <n v="0"/>
    <n v="0"/>
    <n v="0"/>
    <x v="1"/>
    <m/>
    <n v="0"/>
  </r>
  <r>
    <x v="78"/>
    <x v="1"/>
    <n v="30534061"/>
    <s v="2305 S WINCHESTER BL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0"/>
  </r>
  <r>
    <x v="8"/>
    <x v="2"/>
    <s v="-"/>
    <s v="635 ROBINSON AV"/>
    <s v="5+"/>
    <x v="0"/>
    <n v="0"/>
    <n v="0"/>
    <n v="0"/>
    <n v="0"/>
    <n v="0"/>
    <n v="0"/>
    <x v="25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414 Kearny Mesa Road"/>
    <s v="5+"/>
    <x v="0"/>
    <n v="0"/>
    <n v="0"/>
    <n v="0"/>
    <n v="0"/>
    <n v="0"/>
    <n v="0"/>
    <x v="0"/>
    <n v="0"/>
    <n v="142"/>
    <n v="0"/>
    <n v="0"/>
    <n v="0"/>
    <n v="0"/>
    <n v="0"/>
    <n v="0"/>
    <n v="0"/>
    <n v="0"/>
    <n v="0"/>
    <x v="0"/>
    <n v="55"/>
    <n v="0"/>
  </r>
  <r>
    <x v="22"/>
    <x v="5"/>
    <s v="8547-014-010"/>
    <s v="4704 PECK ROAD"/>
    <s v="5+"/>
    <x v="0"/>
    <n v="48"/>
    <n v="0"/>
    <n v="0"/>
    <n v="0"/>
    <n v="0"/>
    <n v="0"/>
    <x v="57"/>
    <n v="0"/>
    <n v="0"/>
    <n v="0"/>
    <n v="0"/>
    <n v="0"/>
    <n v="48"/>
    <n v="0"/>
    <n v="0"/>
    <n v="0"/>
    <n v="0"/>
    <n v="0"/>
    <x v="0"/>
    <n v="57"/>
    <n v="0"/>
  </r>
  <r>
    <x v="62"/>
    <x v="5"/>
    <n v="3534058"/>
    <s v="1965 MARKET ST"/>
    <s v="5+"/>
    <x v="0"/>
    <n v="0"/>
    <n v="0"/>
    <n v="14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2"/>
    <x v="5"/>
    <s v="0346002"/>
    <s v="135 HYDE ST"/>
    <s v="5+"/>
    <x v="0"/>
    <n v="0"/>
    <n v="0"/>
    <n v="1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s v="4023004A"/>
    <s v="2750 19TH ST"/>
    <s v="5+"/>
    <x v="1"/>
    <n v="0"/>
    <n v="0"/>
    <n v="11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731021"/>
    <s v="1052 FOLSOM ST"/>
    <s v="5+"/>
    <x v="0"/>
    <n v="0"/>
    <n v="0"/>
    <n v="12"/>
    <n v="0"/>
    <n v="2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749058"/>
    <s v="390 01ST ST"/>
    <s v="5+"/>
    <x v="0"/>
    <n v="0"/>
    <n v="0"/>
    <n v="0"/>
    <n v="0"/>
    <n v="0"/>
    <n v="0"/>
    <x v="46"/>
    <n v="0"/>
    <n v="70"/>
    <n v="0"/>
    <n v="0"/>
    <n v="0"/>
    <n v="0"/>
    <n v="0"/>
    <n v="0"/>
    <n v="0"/>
    <n v="0"/>
    <n v="0"/>
    <x v="1"/>
    <m/>
    <n v="0"/>
  </r>
  <r>
    <x v="62"/>
    <x v="5"/>
    <s v="0717003"/>
    <s v="719 LARKIN ST"/>
    <s v="5+"/>
    <x v="1"/>
    <n v="0"/>
    <n v="0"/>
    <n v="0"/>
    <n v="0"/>
    <n v="0"/>
    <n v="0"/>
    <x v="0"/>
    <n v="0"/>
    <n v="0"/>
    <n v="0"/>
    <n v="6"/>
    <n v="0"/>
    <n v="0"/>
    <n v="0"/>
    <n v="0"/>
    <n v="0"/>
    <n v="0"/>
    <n v="0"/>
    <x v="1"/>
    <m/>
    <n v="0"/>
  </r>
  <r>
    <x v="81"/>
    <x v="0"/>
    <n v="63252320"/>
    <s v="760 Weeks St"/>
    <s v="5+"/>
    <x v="1"/>
    <n v="0"/>
    <n v="0"/>
    <n v="1"/>
    <n v="0"/>
    <n v="1"/>
    <n v="0"/>
    <x v="0"/>
    <n v="0"/>
    <n v="0"/>
    <n v="0"/>
    <n v="0"/>
    <n v="0"/>
    <n v="0"/>
    <n v="0"/>
    <n v="0"/>
    <n v="0"/>
    <n v="0"/>
    <n v="0"/>
    <x v="0"/>
    <n v="1000"/>
    <n v="0"/>
  </r>
  <r>
    <x v="64"/>
    <x v="0"/>
    <s v="492-012-091-000"/>
    <s v="2700 N HAYDEN PW"/>
    <s v="5+"/>
    <x v="0"/>
    <n v="99"/>
    <n v="0"/>
    <n v="227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4"/>
    <x v="0"/>
    <s v="017-231-024-000"/>
    <s v="350 ROSEVILLE PW, BLDG 31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1"/>
    <m/>
    <n v="0"/>
  </r>
  <r>
    <x v="62"/>
    <x v="5"/>
    <s v="0645003"/>
    <s v="1335 LARKIN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509026"/>
    <s v="37 GRACE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s v="0814001"/>
    <s v="101 HAYES ST"/>
    <s v="5+"/>
    <x v="0"/>
    <n v="0"/>
    <n v="0"/>
    <n v="0"/>
    <n v="0"/>
    <n v="0"/>
    <n v="0"/>
    <x v="0"/>
    <n v="0"/>
    <n v="0"/>
    <n v="0"/>
    <n v="0"/>
    <n v="0"/>
    <n v="0"/>
    <n v="0"/>
    <n v="50"/>
    <n v="0"/>
    <n v="0"/>
    <n v="0"/>
    <x v="1"/>
    <m/>
    <n v="0"/>
  </r>
  <r>
    <x v="62"/>
    <x v="5"/>
    <n v="8715004"/>
    <s v="1000 03RD ST"/>
    <s v="5+"/>
    <x v="0"/>
    <n v="0"/>
    <n v="0"/>
    <n v="0"/>
    <n v="0"/>
    <n v="0"/>
    <n v="0"/>
    <x v="0"/>
    <n v="0"/>
    <n v="0"/>
    <n v="0"/>
    <n v="0"/>
    <n v="0"/>
    <n v="5"/>
    <n v="0"/>
    <n v="16"/>
    <n v="0"/>
    <n v="6"/>
    <n v="0"/>
    <x v="1"/>
    <m/>
    <n v="0"/>
  </r>
  <r>
    <x v="62"/>
    <x v="5"/>
    <s v="0857001"/>
    <s v="218 BUCHANAN ST"/>
    <s v="5+"/>
    <x v="0"/>
    <n v="0"/>
    <n v="0"/>
    <n v="0"/>
    <n v="0"/>
    <n v="0"/>
    <n v="0"/>
    <x v="0"/>
    <n v="0"/>
    <n v="0"/>
    <n v="0"/>
    <n v="0"/>
    <n v="0"/>
    <n v="0"/>
    <n v="0"/>
    <n v="50"/>
    <n v="0"/>
    <n v="0"/>
    <n v="0"/>
    <x v="1"/>
    <m/>
    <n v="0"/>
  </r>
  <r>
    <x v="62"/>
    <x v="5"/>
    <s v="0667016"/>
    <s v="1545 PINE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2"/>
    <n v="0"/>
    <x v="1"/>
    <m/>
    <n v="0"/>
  </r>
  <r>
    <x v="62"/>
    <x v="5"/>
    <s v="0166003"/>
    <s v="240 PACIFIC AV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s v="4591C219"/>
    <s v="52 INNES CT"/>
    <s v="5+"/>
    <x v="0"/>
    <n v="0"/>
    <n v="0"/>
    <n v="0"/>
    <n v="0"/>
    <n v="0"/>
    <n v="0"/>
    <x v="0"/>
    <n v="0"/>
    <n v="0"/>
    <n v="0"/>
    <n v="0"/>
    <n v="0"/>
    <n v="0"/>
    <n v="0"/>
    <n v="7"/>
    <n v="0"/>
    <n v="0"/>
    <n v="0"/>
    <x v="1"/>
    <m/>
    <n v="0"/>
  </r>
  <r>
    <x v="87"/>
    <x v="0"/>
    <s v="058-080-012"/>
    <s v="100 Toscana"/>
    <s v="5+"/>
    <x v="0"/>
    <n v="8"/>
    <n v="0"/>
    <n v="8"/>
    <n v="0"/>
    <n v="0"/>
    <n v="0"/>
    <x v="42"/>
    <n v="0"/>
    <n v="8"/>
    <n v="0"/>
    <n v="0"/>
    <n v="0"/>
    <n v="8"/>
    <n v="0"/>
    <n v="8"/>
    <n v="0"/>
    <n v="143"/>
    <n v="0"/>
    <x v="1"/>
    <n v="55"/>
    <n v="0"/>
  </r>
  <r>
    <x v="57"/>
    <x v="3"/>
    <n v="5406020003"/>
    <s v="1111 W SUNSET BLVD"/>
    <s v="5+"/>
    <x v="0"/>
    <n v="7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5056026033"/>
    <s v="1450 W WASHINGTON BLVD 1-40"/>
    <s v="5+"/>
    <x v="0"/>
    <n v="4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35"/>
  </r>
  <r>
    <x v="57"/>
    <x v="3"/>
    <n v="2423010013"/>
    <m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4205032001"/>
    <s v="3401 S LA CIENEGA BLVD"/>
    <s v="5+"/>
    <x v="0"/>
    <n v="2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5049016052"/>
    <s v="2529 S ALSACE AVE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2423019026"/>
    <s v="4305 N LANKERSHIM BLVD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3"/>
    <n v="4305014026"/>
    <s v="1425 S ROBERTSON BLVD 1-65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n v="35"/>
  </r>
  <r>
    <x v="57"/>
    <x v="3"/>
    <n v="4322001021"/>
    <s v="2121 S WESTWOOD BLVD"/>
    <s v="5+"/>
    <x v="0"/>
    <n v="0"/>
    <n v="0"/>
    <n v="0"/>
    <n v="0"/>
    <n v="0"/>
    <n v="0"/>
    <x v="58"/>
    <n v="0"/>
    <n v="0"/>
    <n v="0"/>
    <n v="0"/>
    <n v="0"/>
    <n v="0"/>
    <n v="0"/>
    <n v="0"/>
    <n v="0"/>
    <n v="0"/>
    <n v="0"/>
    <x v="0"/>
    <n v="55"/>
    <n v="35"/>
  </r>
  <r>
    <x v="57"/>
    <x v="3"/>
    <n v="5063020003"/>
    <s v="2304 S RIDGELEY DR 1-10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35"/>
  </r>
  <r>
    <x v="57"/>
    <x v="3"/>
    <n v="5547003024"/>
    <s v="6658 W FRANKLIN AVE"/>
    <s v="5+"/>
    <x v="0"/>
    <n v="0"/>
    <n v="0"/>
    <n v="0"/>
    <n v="0"/>
    <n v="0"/>
    <n v="0"/>
    <x v="31"/>
    <n v="0"/>
    <n v="31"/>
    <n v="0"/>
    <n v="0"/>
    <n v="0"/>
    <n v="0"/>
    <n v="0"/>
    <n v="0"/>
    <n v="0"/>
    <n v="0"/>
    <n v="0"/>
    <x v="0"/>
    <n v="55"/>
    <n v="35"/>
  </r>
  <r>
    <x v="57"/>
    <x v="3"/>
    <n v="2353023018"/>
    <s v="11311-11321 W CAMARILLO ST 1-60"/>
    <s v="5+"/>
    <x v="0"/>
    <n v="0"/>
    <n v="0"/>
    <n v="0"/>
    <n v="0"/>
    <n v="0"/>
    <n v="0"/>
    <x v="0"/>
    <n v="0"/>
    <n v="0"/>
    <n v="0"/>
    <n v="0"/>
    <n v="0"/>
    <n v="6"/>
    <n v="0"/>
    <n v="0"/>
    <n v="0"/>
    <n v="0"/>
    <n v="0"/>
    <x v="0"/>
    <n v="55"/>
    <n v="35"/>
  </r>
  <r>
    <x v="57"/>
    <x v="3"/>
    <n v="2568016047"/>
    <s v="7064 W GREELEY ST"/>
    <s v="5+"/>
    <x v="0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0"/>
    <n v="55"/>
    <n v="35"/>
  </r>
  <r>
    <x v="57"/>
    <x v="3"/>
    <n v="4260032036"/>
    <s v="2444 S BARRY AVE 1-61"/>
    <s v="5+"/>
    <x v="0"/>
    <n v="0"/>
    <n v="0"/>
    <n v="0"/>
    <n v="0"/>
    <n v="0"/>
    <n v="0"/>
    <x v="59"/>
    <n v="0"/>
    <n v="26"/>
    <n v="0"/>
    <n v="0"/>
    <n v="0"/>
    <n v="0"/>
    <n v="0"/>
    <n v="0"/>
    <n v="0"/>
    <n v="0"/>
    <n v="0"/>
    <x v="0"/>
    <n v="55"/>
    <n v="35"/>
  </r>
  <r>
    <x v="57"/>
    <x v="3"/>
    <n v="5068018034"/>
    <s v="1556 S HI POINT ST UNIT 1-45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0"/>
    <n v="55"/>
    <n v="35"/>
  </r>
  <r>
    <x v="57"/>
    <x v="3"/>
    <n v="5153024027"/>
    <s v="459 S HARTFORD AVE"/>
    <s v="5+"/>
    <x v="0"/>
    <n v="0"/>
    <n v="0"/>
    <n v="0"/>
    <n v="0"/>
    <n v="0"/>
    <n v="0"/>
    <x v="0"/>
    <n v="0"/>
    <n v="0"/>
    <n v="0"/>
    <n v="0"/>
    <n v="0"/>
    <n v="101"/>
    <n v="0"/>
    <n v="0"/>
    <n v="0"/>
    <n v="0"/>
    <n v="0"/>
    <x v="0"/>
    <n v="55"/>
    <n v="35"/>
  </r>
  <r>
    <x v="57"/>
    <x v="3"/>
    <n v="5442010027"/>
    <s v="1901 W BLAKE AVE"/>
    <s v="5+"/>
    <x v="0"/>
    <n v="0"/>
    <n v="0"/>
    <n v="0"/>
    <n v="0"/>
    <n v="0"/>
    <n v="0"/>
    <x v="0"/>
    <n v="0"/>
    <n v="0"/>
    <n v="0"/>
    <n v="0"/>
    <n v="0"/>
    <n v="5"/>
    <n v="0"/>
    <n v="0"/>
    <n v="0"/>
    <n v="0"/>
    <n v="0"/>
    <x v="0"/>
    <n v="55"/>
    <n v="35"/>
  </r>
  <r>
    <x v="57"/>
    <x v="3"/>
    <n v="5442025039"/>
    <s v="2957 N ALLESANDRO ST #101-312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35"/>
  </r>
  <r>
    <x v="57"/>
    <x v="3"/>
    <n v="5521006039"/>
    <s v="4760 W MELROSE AVE"/>
    <s v="5+"/>
    <x v="0"/>
    <n v="0"/>
    <n v="0"/>
    <n v="0"/>
    <n v="0"/>
    <n v="0"/>
    <n v="0"/>
    <x v="0"/>
    <n v="0"/>
    <n v="0"/>
    <n v="0"/>
    <n v="0"/>
    <n v="0"/>
    <n v="0"/>
    <n v="0"/>
    <n v="38"/>
    <n v="0"/>
    <n v="0"/>
    <n v="0"/>
    <x v="0"/>
    <n v="55"/>
    <n v="35"/>
  </r>
  <r>
    <x v="57"/>
    <x v="3"/>
    <n v="5534019030"/>
    <s v="5817 W LEXINGTON AVE 1-21"/>
    <s v="5+"/>
    <x v="0"/>
    <n v="0"/>
    <n v="0"/>
    <n v="0"/>
    <n v="0"/>
    <n v="0"/>
    <n v="0"/>
    <x v="17"/>
    <n v="0"/>
    <n v="1"/>
    <n v="0"/>
    <n v="0"/>
    <n v="0"/>
    <n v="0"/>
    <n v="0"/>
    <n v="0"/>
    <n v="0"/>
    <n v="0"/>
    <n v="0"/>
    <x v="0"/>
    <n v="55"/>
    <n v="35"/>
  </r>
  <r>
    <x v="63"/>
    <x v="2"/>
    <s v="003-210-260"/>
    <s v="4619 Brunswick St"/>
    <s v="5+"/>
    <x v="0"/>
    <n v="0"/>
    <n v="0"/>
    <n v="0"/>
    <n v="0"/>
    <n v="0"/>
    <n v="0"/>
    <x v="0"/>
    <n v="0"/>
    <n v="0"/>
    <n v="0"/>
    <n v="0"/>
    <n v="0"/>
    <n v="20"/>
    <n v="0"/>
    <n v="186"/>
    <n v="0"/>
    <n v="0"/>
    <n v="0"/>
    <x v="1"/>
    <n v="50"/>
    <n v="0"/>
  </r>
  <r>
    <x v="64"/>
    <x v="0"/>
    <s v="017-231-024-000"/>
    <s v="350 ROSEVILLE PW, BLDG 24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32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1"/>
    <m/>
    <n v="0"/>
  </r>
  <r>
    <x v="64"/>
    <x v="0"/>
    <s v="011-146-018-000"/>
    <s v="140 MAIN ST"/>
    <s v="5+"/>
    <x v="0"/>
    <n v="0"/>
    <n v="0"/>
    <n v="0"/>
    <n v="0"/>
    <n v="0"/>
    <n v="0"/>
    <x v="0"/>
    <n v="0"/>
    <n v="0"/>
    <n v="0"/>
    <n v="0"/>
    <n v="0"/>
    <n v="14"/>
    <n v="0"/>
    <n v="6"/>
    <n v="0"/>
    <n v="0"/>
    <n v="0"/>
    <x v="1"/>
    <m/>
    <n v="0"/>
  </r>
  <r>
    <x v="64"/>
    <x v="0"/>
    <s v="017-231-024-000"/>
    <s v="350 ROSEVILLE PW, BLDG 21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m/>
    <n v="0"/>
  </r>
  <r>
    <x v="88"/>
    <x v="0"/>
    <s v="TBD"/>
    <s v="13629-13705 San Antonio"/>
    <s v="5+"/>
    <x v="0"/>
    <n v="26"/>
    <n v="0"/>
    <n v="33"/>
    <n v="0"/>
    <n v="1"/>
    <n v="0"/>
    <x v="0"/>
    <n v="0"/>
    <n v="0"/>
    <n v="0"/>
    <n v="0"/>
    <n v="0"/>
    <n v="0"/>
    <n v="0"/>
    <n v="0"/>
    <n v="0"/>
    <n v="0"/>
    <n v="0"/>
    <x v="0"/>
    <n v="75"/>
    <n v="33"/>
  </r>
  <r>
    <x v="89"/>
    <x v="3"/>
    <s v="153-030-004"/>
    <s v="490 Golf Club Road"/>
    <s v="5+"/>
    <x v="0"/>
    <n v="0"/>
    <n v="0"/>
    <n v="81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90"/>
    <x v="0"/>
    <n v="1858717"/>
    <s v="811 22ND ST"/>
    <s v="5+"/>
    <x v="0"/>
    <n v="0"/>
    <n v="0"/>
    <n v="0"/>
    <n v="0"/>
    <n v="0"/>
    <n v="0"/>
    <x v="13"/>
    <n v="0"/>
    <n v="0"/>
    <n v="0"/>
    <n v="0"/>
    <n v="0"/>
    <n v="0"/>
    <n v="0"/>
    <n v="0"/>
    <n v="0"/>
    <n v="0"/>
    <n v="0"/>
    <x v="0"/>
    <n v="55"/>
    <n v="25"/>
  </r>
  <r>
    <x v="91"/>
    <x v="0"/>
    <s v="161-052-02-00"/>
    <s v="1559 N. Santa Fe Avenue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2.5"/>
  </r>
  <r>
    <x v="92"/>
    <x v="2"/>
    <s v="009-0095-011-0000"/>
    <s v="1715 S ,SACRAMENTO,CA"/>
    <s v="5+"/>
    <x v="0"/>
    <n v="0"/>
    <n v="0"/>
    <n v="0"/>
    <n v="0"/>
    <n v="0"/>
    <n v="0"/>
    <x v="40"/>
    <n v="0"/>
    <n v="80"/>
    <n v="0"/>
    <n v="0"/>
    <n v="1"/>
    <n v="0"/>
    <n v="0"/>
    <n v="0"/>
    <n v="0"/>
    <n v="0"/>
    <n v="0"/>
    <x v="0"/>
    <n v="55"/>
    <n v="0"/>
  </r>
  <r>
    <x v="93"/>
    <x v="0"/>
    <s v="233-0430-002-0000"/>
    <s v="12057 Fair Oaks Blvd"/>
    <s v="5+"/>
    <x v="0"/>
    <n v="11"/>
    <n v="0"/>
    <n v="98"/>
    <n v="0"/>
    <n v="0"/>
    <n v="0"/>
    <x v="58"/>
    <n v="0"/>
    <n v="96"/>
    <n v="0"/>
    <n v="0"/>
    <n v="0"/>
    <n v="0"/>
    <n v="0"/>
    <n v="0"/>
    <n v="0"/>
    <n v="0"/>
    <n v="0"/>
    <x v="0"/>
    <n v="55"/>
    <n v="10"/>
  </r>
  <r>
    <x v="62"/>
    <x v="5"/>
    <n v="6522064"/>
    <s v="3001 24TH ST"/>
    <s v="5+"/>
    <x v="0"/>
    <n v="4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2"/>
    <x v="5"/>
    <n v="4022001"/>
    <s v="2000 BRYANT ST"/>
    <s v="5+"/>
    <x v="0"/>
    <n v="0"/>
    <n v="0"/>
    <n v="0"/>
    <n v="0"/>
    <n v="0"/>
    <n v="0"/>
    <x v="0"/>
    <n v="0"/>
    <n v="0"/>
    <n v="0"/>
    <n v="3"/>
    <n v="0"/>
    <n v="0"/>
    <n v="0"/>
    <n v="0"/>
    <n v="0"/>
    <n v="0"/>
    <n v="0"/>
    <x v="1"/>
    <m/>
    <n v="0"/>
  </r>
  <r>
    <x v="62"/>
    <x v="5"/>
    <n v="3995015"/>
    <s v="603 TENNESSEE ST"/>
    <s v="5+"/>
    <x v="0"/>
    <n v="0"/>
    <n v="0"/>
    <n v="0"/>
    <n v="0"/>
    <n v="0"/>
    <n v="0"/>
    <x v="0"/>
    <n v="0"/>
    <n v="3"/>
    <n v="0"/>
    <n v="0"/>
    <n v="0"/>
    <n v="0"/>
    <n v="0"/>
    <n v="0"/>
    <n v="0"/>
    <n v="0"/>
    <n v="0"/>
    <x v="1"/>
    <m/>
    <n v="0"/>
  </r>
  <r>
    <x v="94"/>
    <x v="1"/>
    <s v="132-0050-175, 132-0050-176, and 132-0050-177"/>
    <s v="10149 Bruceville Road"/>
    <s v="5+"/>
    <x v="0"/>
    <n v="80"/>
    <n v="0"/>
    <n v="304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2"/>
    <x v="5"/>
    <n v="3756003"/>
    <s v="350 08TH ST"/>
    <s v="5+"/>
    <x v="0"/>
    <n v="0"/>
    <n v="0"/>
    <n v="0"/>
    <n v="0"/>
    <n v="0"/>
    <n v="0"/>
    <x v="0"/>
    <n v="0"/>
    <n v="0"/>
    <n v="0"/>
    <n v="0"/>
    <n v="0"/>
    <n v="0"/>
    <n v="0"/>
    <n v="62"/>
    <n v="0"/>
    <n v="0"/>
    <n v="0"/>
    <x v="1"/>
    <m/>
    <n v="0"/>
  </r>
  <r>
    <x v="62"/>
    <x v="5"/>
    <s v="0870003"/>
    <s v="100 BUCHANAN ST"/>
    <s v="5+"/>
    <x v="0"/>
    <n v="0"/>
    <n v="0"/>
    <n v="0"/>
    <n v="0"/>
    <n v="0"/>
    <n v="0"/>
    <x v="0"/>
    <n v="0"/>
    <n v="0"/>
    <n v="0"/>
    <n v="0"/>
    <n v="0"/>
    <n v="0"/>
    <n v="0"/>
    <n v="25"/>
    <n v="0"/>
    <n v="0"/>
    <n v="0"/>
    <x v="1"/>
    <m/>
    <n v="0"/>
  </r>
  <r>
    <x v="62"/>
    <x v="5"/>
    <s v="0807010"/>
    <s v="580 HAYES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s v="0459007"/>
    <s v="1598 BAY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s v="0503021"/>
    <s v="1463 LOMBARD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3"/>
    <n v="0"/>
    <x v="1"/>
    <m/>
    <n v="0"/>
  </r>
  <r>
    <x v="92"/>
    <x v="2"/>
    <s v="002-0010-069-0000"/>
    <s v="305 6TH ,SACRAMENTO,CA"/>
    <s v="5+"/>
    <x v="0"/>
    <n v="0"/>
    <n v="0"/>
    <n v="0"/>
    <n v="0"/>
    <n v="0"/>
    <n v="0"/>
    <x v="60"/>
    <n v="0"/>
    <n v="0"/>
    <n v="0"/>
    <n v="0"/>
    <n v="0"/>
    <n v="0"/>
    <n v="0"/>
    <n v="0"/>
    <n v="0"/>
    <n v="0"/>
    <n v="0"/>
    <x v="1"/>
    <n v="55"/>
    <n v="0"/>
  </r>
  <r>
    <x v="95"/>
    <x v="0"/>
    <n v="76412006"/>
    <s v="17965 Monterey Rd"/>
    <s v="5+"/>
    <x v="0"/>
    <n v="51"/>
    <n v="0"/>
    <n v="14"/>
    <n v="0"/>
    <n v="0"/>
    <n v="1"/>
    <x v="0"/>
    <n v="0"/>
    <n v="0"/>
    <n v="0"/>
    <n v="0"/>
    <n v="0"/>
    <n v="0"/>
    <n v="0"/>
    <n v="0"/>
    <n v="0"/>
    <n v="0"/>
    <n v="0"/>
    <x v="0"/>
    <m/>
    <n v="80"/>
  </r>
  <r>
    <x v="95"/>
    <x v="0"/>
    <n v="77904075"/>
    <s v="Watsonville Rd"/>
    <s v="5+"/>
    <x v="0"/>
    <n v="72"/>
    <n v="0"/>
    <n v="0"/>
    <n v="0"/>
    <n v="0"/>
    <n v="1"/>
    <x v="0"/>
    <n v="0"/>
    <n v="0"/>
    <n v="0"/>
    <n v="0"/>
    <n v="0"/>
    <n v="0"/>
    <n v="0"/>
    <n v="0"/>
    <n v="0"/>
    <n v="0"/>
    <n v="0"/>
    <x v="0"/>
    <m/>
    <n v="80"/>
  </r>
  <r>
    <x v="94"/>
    <x v="1"/>
    <n v="11613800150000"/>
    <s v="9124 BRUCEVILLE RD"/>
    <s v="5+"/>
    <x v="0"/>
    <n v="0"/>
    <n v="0"/>
    <n v="0"/>
    <n v="0"/>
    <n v="0"/>
    <n v="0"/>
    <x v="61"/>
    <n v="0"/>
    <n v="231"/>
    <n v="0"/>
    <n v="0"/>
    <n v="0"/>
    <n v="0"/>
    <n v="0"/>
    <n v="0"/>
    <n v="0"/>
    <n v="0"/>
    <n v="0"/>
    <x v="0"/>
    <n v="55"/>
    <n v="0"/>
  </r>
  <r>
    <x v="96"/>
    <x v="2"/>
    <n v="47219036"/>
    <s v="5242 E LIBERTY AVE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97"/>
    <x v="0"/>
    <s v="22943232 22943233 22943234"/>
    <s v="337 E Valley Pkwy"/>
    <s v="5+"/>
    <x v="0"/>
    <n v="25"/>
    <n v="0"/>
    <n v="25"/>
    <n v="0"/>
    <n v="0"/>
    <n v="0"/>
    <x v="36"/>
    <n v="0"/>
    <n v="25"/>
    <n v="0"/>
    <n v="0"/>
    <n v="0"/>
    <n v="0"/>
    <n v="0"/>
    <n v="0"/>
    <n v="0"/>
    <n v="0"/>
    <n v="0"/>
    <x v="0"/>
    <n v="55"/>
    <n v="38"/>
  </r>
  <r>
    <x v="62"/>
    <x v="5"/>
    <s v="0763009"/>
    <s v="600 VAN NESS AVE"/>
    <s v="5+"/>
    <x v="0"/>
    <n v="0"/>
    <n v="0"/>
    <n v="24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1107008"/>
    <s v="222 STANYAN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s v="1202002B"/>
    <s v="650 DIVISADERO ST"/>
    <s v="5+"/>
    <x v="0"/>
    <n v="0"/>
    <n v="0"/>
    <n v="9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s v="0811010"/>
    <s v="200 VAN NESS AV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741031"/>
    <s v="75 HOWARD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3753079"/>
    <s v="363 06TH ST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1"/>
    <m/>
    <n v="0"/>
  </r>
  <r>
    <x v="62"/>
    <x v="5"/>
    <s v="0256016"/>
    <s v="770 POWELL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s v="0670024"/>
    <s v="1433 BUSH ST"/>
    <s v="5+"/>
    <x v="1"/>
    <n v="0"/>
    <n v="0"/>
    <n v="0"/>
    <n v="0"/>
    <n v="0"/>
    <n v="0"/>
    <x v="0"/>
    <n v="0"/>
    <n v="0"/>
    <n v="0"/>
    <n v="6"/>
    <n v="0"/>
    <n v="0"/>
    <n v="0"/>
    <n v="0"/>
    <n v="0"/>
    <n v="0"/>
    <n v="0"/>
    <x v="1"/>
    <m/>
    <n v="0"/>
  </r>
  <r>
    <x v="62"/>
    <x v="5"/>
    <n v="3519063"/>
    <s v="1335 FOLSOM ST"/>
    <s v="5+"/>
    <x v="0"/>
    <n v="0"/>
    <n v="0"/>
    <n v="0"/>
    <n v="0"/>
    <n v="0"/>
    <n v="0"/>
    <x v="0"/>
    <n v="0"/>
    <n v="0"/>
    <n v="0"/>
    <n v="0"/>
    <n v="0"/>
    <n v="0"/>
    <n v="0"/>
    <n v="7"/>
    <n v="0"/>
    <n v="0"/>
    <n v="0"/>
    <x v="1"/>
    <m/>
    <n v="0"/>
  </r>
  <r>
    <x v="62"/>
    <x v="5"/>
    <s v="3952001B"/>
    <s v="75 ARKANSAS ST"/>
    <s v="5+"/>
    <x v="0"/>
    <n v="0"/>
    <n v="0"/>
    <n v="0"/>
    <n v="0"/>
    <n v="0"/>
    <n v="0"/>
    <x v="0"/>
    <n v="0"/>
    <n v="0"/>
    <n v="0"/>
    <n v="0"/>
    <n v="0"/>
    <n v="1"/>
    <n v="0"/>
    <n v="3"/>
    <n v="0"/>
    <n v="1"/>
    <n v="0"/>
    <x v="1"/>
    <m/>
    <n v="0"/>
  </r>
  <r>
    <x v="62"/>
    <x v="5"/>
    <n v="3197010"/>
    <s v="1490 OCEAN AV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78"/>
    <x v="1"/>
    <n v="41208061"/>
    <s v="201 - 209 MALLEY WY (5 UNITS) BUILDING 2"/>
    <s v="5+"/>
    <x v="1"/>
    <n v="0"/>
    <n v="0"/>
    <n v="0"/>
    <n v="0"/>
    <n v="0"/>
    <n v="0"/>
    <x v="3"/>
    <n v="0"/>
    <n v="0"/>
    <n v="0"/>
    <n v="0"/>
    <n v="0"/>
    <n v="1"/>
    <n v="0"/>
    <n v="0"/>
    <n v="0"/>
    <n v="0"/>
    <n v="0"/>
    <x v="1"/>
    <n v="45"/>
    <n v="0"/>
  </r>
  <r>
    <x v="87"/>
    <x v="0"/>
    <s v="058-362-021"/>
    <s v="3805 Broadway"/>
    <s v="5+"/>
    <x v="0"/>
    <n v="26"/>
    <n v="0"/>
    <n v="39"/>
    <n v="0"/>
    <n v="1"/>
    <n v="0"/>
    <x v="0"/>
    <n v="0"/>
    <n v="0"/>
    <n v="0"/>
    <n v="0"/>
    <n v="0"/>
    <n v="0"/>
    <n v="0"/>
    <n v="0"/>
    <n v="0"/>
    <n v="0"/>
    <n v="0"/>
    <x v="0"/>
    <n v="55"/>
    <n v="0"/>
  </r>
  <r>
    <x v="87"/>
    <x v="0"/>
    <s v="059-430-017"/>
    <s v="100 Fran Lemos"/>
    <s v="5+"/>
    <x v="0"/>
    <n v="122"/>
    <n v="0"/>
    <n v="62"/>
    <n v="0"/>
    <n v="2"/>
    <n v="0"/>
    <x v="62"/>
    <n v="0"/>
    <n v="62"/>
    <n v="0"/>
    <n v="2"/>
    <n v="0"/>
    <n v="0"/>
    <n v="0"/>
    <n v="0"/>
    <n v="0"/>
    <n v="0"/>
    <n v="0"/>
    <x v="0"/>
    <n v="55"/>
    <n v="0"/>
  </r>
  <r>
    <x v="3"/>
    <x v="1"/>
    <n v="4337001013"/>
    <s v="8500 SANTA MONICA BLVD"/>
    <s v="5+"/>
    <x v="1"/>
    <n v="3"/>
    <n v="0"/>
    <n v="0"/>
    <n v="0"/>
    <n v="2"/>
    <n v="0"/>
    <x v="0"/>
    <n v="0"/>
    <n v="0"/>
    <n v="0"/>
    <n v="0"/>
    <n v="0"/>
    <n v="0"/>
    <n v="0"/>
    <n v="0"/>
    <n v="0"/>
    <n v="0"/>
    <n v="0"/>
    <x v="0"/>
    <n v="1000"/>
    <n v="50"/>
  </r>
  <r>
    <x v="85"/>
    <x v="2"/>
    <s v="208-870-003"/>
    <s v="10109 Almeria Way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0"/>
    <n v="0"/>
  </r>
  <r>
    <x v="85"/>
    <x v="2"/>
    <s v="208-870-009"/>
    <s v="75112 Via Vicenza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0"/>
    <n v="0"/>
  </r>
  <r>
    <x v="85"/>
    <x v="2"/>
    <s v="208-860-016"/>
    <s v="67106 Via Vicenza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0"/>
    <n v="0"/>
  </r>
  <r>
    <x v="85"/>
    <x v="2"/>
    <s v="208-870-030"/>
    <s v="18112 Argento Loop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0"/>
    <n v="0"/>
  </r>
  <r>
    <x v="63"/>
    <x v="2"/>
    <s v="006-244-080"/>
    <s v="7310 Mission Street"/>
    <s v="5+"/>
    <x v="0"/>
    <n v="0"/>
    <n v="2"/>
    <n v="0"/>
    <n v="0"/>
    <n v="0"/>
    <n v="0"/>
    <x v="0"/>
    <n v="0"/>
    <n v="0"/>
    <n v="0"/>
    <n v="0"/>
    <n v="0"/>
    <n v="0"/>
    <n v="0"/>
    <n v="0"/>
    <n v="0"/>
    <n v="0"/>
    <n v="0"/>
    <x v="1"/>
    <n v="50"/>
    <n v="0"/>
  </r>
  <r>
    <x v="80"/>
    <x v="0"/>
    <s v="402-166-030"/>
    <s v="811 San Pablo Ave"/>
    <s v="5+"/>
    <x v="0"/>
    <n v="26"/>
    <n v="0"/>
    <n v="7"/>
    <n v="0"/>
    <n v="0"/>
    <n v="0"/>
    <x v="0"/>
    <n v="0"/>
    <n v="0"/>
    <n v="0"/>
    <n v="0"/>
    <n v="0"/>
    <n v="0"/>
    <n v="0"/>
    <n v="0"/>
    <n v="0"/>
    <n v="0"/>
    <n v="0"/>
    <x v="0"/>
    <n v="55"/>
    <s v="73.700000000000003"/>
  </r>
  <r>
    <x v="33"/>
    <x v="1"/>
    <s v="025150010"/>
    <s v="1875 CALIFORNIA DR"/>
    <s v="5+"/>
    <x v="0"/>
    <n v="68"/>
    <n v="0"/>
    <n v="0"/>
    <n v="0"/>
    <n v="0"/>
    <n v="0"/>
    <x v="63"/>
    <n v="0"/>
    <n v="0"/>
    <n v="0"/>
    <n v="0"/>
    <n v="0"/>
    <n v="0"/>
    <n v="0"/>
    <n v="0"/>
    <n v="0"/>
    <n v="0"/>
    <n v="0"/>
    <x v="0"/>
    <n v="55"/>
    <n v="35"/>
  </r>
  <r>
    <x v="22"/>
    <x v="0"/>
    <s v="8575-019-030"/>
    <s v="3643 Tyler Ave"/>
    <s v="5+"/>
    <x v="0"/>
    <n v="0"/>
    <n v="0"/>
    <n v="0"/>
    <n v="0"/>
    <n v="0"/>
    <n v="0"/>
    <x v="29"/>
    <n v="0"/>
    <n v="35"/>
    <n v="0"/>
    <n v="0"/>
    <n v="0"/>
    <n v="0"/>
    <n v="0"/>
    <n v="0"/>
    <n v="0"/>
    <n v="0"/>
    <n v="0"/>
    <x v="0"/>
    <m/>
    <n v="35"/>
  </r>
  <r>
    <x v="98"/>
    <x v="0"/>
    <s v="008-041-042"/>
    <s v="3445 Park Street"/>
    <s v="5+"/>
    <x v="0"/>
    <n v="1"/>
    <n v="0"/>
    <n v="0"/>
    <n v="0"/>
    <n v="0"/>
    <n v="16"/>
    <x v="0"/>
    <n v="0"/>
    <n v="0"/>
    <n v="0"/>
    <n v="0"/>
    <n v="0"/>
    <n v="0"/>
    <n v="0"/>
    <n v="0"/>
    <n v="0"/>
    <n v="0"/>
    <n v="0"/>
    <x v="0"/>
    <m/>
    <n v="23"/>
  </r>
  <r>
    <x v="64"/>
    <x v="0"/>
    <s v="492-012-088-000"/>
    <s v="2801 N HAYDEN PW"/>
    <s v="5+"/>
    <x v="0"/>
    <n v="74"/>
    <n v="0"/>
    <n v="124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4"/>
    <x v="0"/>
    <s v="017-162-087-000"/>
    <s v="1721 Pleasant Grove Bl"/>
    <s v="5+"/>
    <x v="0"/>
    <n v="57"/>
    <n v="0"/>
    <n v="4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4"/>
    <x v="0"/>
    <s v="017-231-024-000"/>
    <s v="350 ROSEVILLE PW, BLDG 20"/>
    <s v="5+"/>
    <x v="0"/>
    <n v="0"/>
    <n v="0"/>
    <n v="0"/>
    <n v="0"/>
    <n v="0"/>
    <n v="0"/>
    <x v="0"/>
    <n v="0"/>
    <n v="0"/>
    <n v="0"/>
    <n v="0"/>
    <n v="0"/>
    <n v="10"/>
    <n v="0"/>
    <n v="0"/>
    <n v="0"/>
    <n v="0"/>
    <n v="0"/>
    <x v="1"/>
    <m/>
    <n v="0"/>
  </r>
  <r>
    <x v="64"/>
    <x v="0"/>
    <s v="017-231-024-000"/>
    <s v="350 ROSEVILLE PW, BLDG 26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27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29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1"/>
    <m/>
    <n v="0"/>
  </r>
  <r>
    <x v="99"/>
    <x v="1"/>
    <s v="013-171-014"/>
    <s v="2200 North Fremont"/>
    <s v="5+"/>
    <x v="0"/>
    <n v="0"/>
    <n v="0"/>
    <n v="4"/>
    <n v="0"/>
    <n v="4"/>
    <n v="0"/>
    <x v="0"/>
    <n v="0"/>
    <n v="0"/>
    <n v="0"/>
    <n v="0"/>
    <n v="0"/>
    <n v="0"/>
    <n v="0"/>
    <n v="0"/>
    <n v="0"/>
    <n v="0"/>
    <n v="0"/>
    <x v="0"/>
    <m/>
    <n v="7"/>
  </r>
  <r>
    <x v="100"/>
    <x v="1"/>
    <s v="384-106-16-00"/>
    <s v="8932 1st Street"/>
    <s v="5+"/>
    <x v="0"/>
    <n v="0"/>
    <n v="0"/>
    <n v="17"/>
    <n v="0"/>
    <n v="0"/>
    <n v="0"/>
    <x v="0"/>
    <n v="0"/>
    <n v="0"/>
    <n v="0"/>
    <n v="0"/>
    <n v="0"/>
    <n v="0"/>
    <n v="0"/>
    <n v="0"/>
    <n v="0"/>
    <n v="0"/>
    <n v="0"/>
    <x v="0"/>
    <n v="55"/>
    <n v="47"/>
  </r>
  <r>
    <x v="4"/>
    <x v="3"/>
    <s v="004-962-018"/>
    <s v="1150 Laurel Ln_x000a_San Luis Obispo, CA 93401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4"/>
    <x v="3"/>
    <s v="053-421-006"/>
    <s v="600 Tank Farm Rd_x000a_San Luis Obispo, CA 93401"/>
    <s v="5+"/>
    <x v="0"/>
    <n v="0"/>
    <n v="0"/>
    <n v="0"/>
    <n v="0"/>
    <n v="0"/>
    <n v="11"/>
    <x v="0"/>
    <n v="0"/>
    <n v="0"/>
    <n v="0"/>
    <n v="0"/>
    <n v="0"/>
    <n v="0"/>
    <n v="0"/>
    <n v="0"/>
    <n v="0"/>
    <n v="0"/>
    <n v="0"/>
    <x v="1"/>
    <n v="45"/>
    <n v="0"/>
  </r>
  <r>
    <x v="4"/>
    <x v="3"/>
    <s v="053-061-057"/>
    <s v="3750 Bullock Ln_x000a_San Luis Obispo, CA 93401"/>
    <s v="5+"/>
    <x v="0"/>
    <n v="0"/>
    <n v="0"/>
    <n v="0"/>
    <n v="0"/>
    <n v="0"/>
    <n v="0"/>
    <x v="4"/>
    <n v="0"/>
    <n v="0"/>
    <n v="0"/>
    <n v="0"/>
    <n v="0"/>
    <n v="0"/>
    <n v="0"/>
    <n v="0"/>
    <n v="0"/>
    <n v="0"/>
    <n v="0"/>
    <x v="0"/>
    <n v="55"/>
    <n v="40"/>
  </r>
  <r>
    <x v="4"/>
    <x v="3"/>
    <s v="001-206-015"/>
    <s v="1131 Olive St_x000a_San Luis Obispo, CA 93405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35"/>
  </r>
  <r>
    <x v="62"/>
    <x v="5"/>
    <n v="3703040"/>
    <s v="1068 MISSION ST"/>
    <s v="5+"/>
    <x v="0"/>
    <n v="25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2"/>
    <x v="5"/>
    <s v="0317007"/>
    <s v="450 OFARRELL ST"/>
    <s v="5+"/>
    <x v="0"/>
    <n v="0"/>
    <n v="0"/>
    <n v="23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n v="6973039"/>
    <s v="2340 San Jose Ave"/>
    <s v="5+"/>
    <x v="0"/>
    <n v="88"/>
    <n v="0"/>
    <n v="24"/>
    <n v="0"/>
    <n v="18"/>
    <n v="0"/>
    <x v="0"/>
    <n v="0"/>
    <n v="0"/>
    <n v="0"/>
    <n v="0"/>
    <n v="0"/>
    <n v="0"/>
    <n v="0"/>
    <n v="0"/>
    <n v="0"/>
    <n v="0"/>
    <n v="0"/>
    <x v="0"/>
    <m/>
    <n v="0"/>
  </r>
  <r>
    <x v="62"/>
    <x v="5"/>
    <s v="0522002A"/>
    <s v="2601 VAN NESS AVE"/>
    <s v="5+"/>
    <x v="1"/>
    <n v="0"/>
    <n v="0"/>
    <n v="6"/>
    <n v="0"/>
    <n v="6"/>
    <n v="0"/>
    <x v="0"/>
    <n v="0"/>
    <n v="0"/>
    <n v="0"/>
    <n v="0"/>
    <n v="0"/>
    <n v="0"/>
    <n v="0"/>
    <n v="0"/>
    <n v="0"/>
    <n v="0"/>
    <n v="0"/>
    <x v="0"/>
    <m/>
    <n v="0"/>
  </r>
  <r>
    <x v="62"/>
    <x v="5"/>
    <n v="3756041"/>
    <s v="1245 FOLSOM ST"/>
    <s v="5+"/>
    <x v="0"/>
    <n v="0"/>
    <n v="0"/>
    <n v="1"/>
    <n v="0"/>
    <n v="3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s v="0350003"/>
    <s v="1066 MARKET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s v="0936014"/>
    <s v="2444 LOMBARD ST"/>
    <s v="5+"/>
    <x v="1"/>
    <n v="0"/>
    <n v="0"/>
    <n v="0"/>
    <n v="0"/>
    <n v="0"/>
    <n v="0"/>
    <x v="0"/>
    <n v="0"/>
    <n v="0"/>
    <n v="0"/>
    <n v="6"/>
    <n v="0"/>
    <n v="0"/>
    <n v="0"/>
    <n v="0"/>
    <n v="0"/>
    <n v="0"/>
    <n v="0"/>
    <x v="1"/>
    <m/>
    <n v="0"/>
  </r>
  <r>
    <x v="62"/>
    <x v="5"/>
    <n v="3510058"/>
    <s v="950 NATOMA ST"/>
    <s v="5+"/>
    <x v="0"/>
    <n v="0"/>
    <n v="0"/>
    <n v="0"/>
    <n v="0"/>
    <n v="0"/>
    <n v="0"/>
    <x v="0"/>
    <n v="0"/>
    <n v="6"/>
    <n v="0"/>
    <n v="0"/>
    <n v="0"/>
    <n v="0"/>
    <n v="0"/>
    <n v="0"/>
    <n v="0"/>
    <n v="0"/>
    <n v="0"/>
    <x v="1"/>
    <m/>
    <n v="0"/>
  </r>
  <r>
    <x v="62"/>
    <x v="5"/>
    <n v="3736190"/>
    <s v="41 TEHAMA ST"/>
    <s v="5+"/>
    <x v="0"/>
    <n v="0"/>
    <n v="0"/>
    <n v="0"/>
    <n v="0"/>
    <n v="0"/>
    <n v="0"/>
    <x v="0"/>
    <n v="0"/>
    <n v="0"/>
    <n v="0"/>
    <n v="0"/>
    <n v="0"/>
    <n v="0"/>
    <n v="0"/>
    <n v="60"/>
    <n v="0"/>
    <n v="0"/>
    <n v="0"/>
    <x v="1"/>
    <m/>
    <n v="0"/>
  </r>
  <r>
    <x v="62"/>
    <x v="5"/>
    <n v="3994084"/>
    <s v="2051 03RD ST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m/>
    <n v="0"/>
  </r>
  <r>
    <x v="62"/>
    <x v="5"/>
    <n v="3703062"/>
    <s v="1075 MARKET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1"/>
    <n v="0"/>
    <x v="1"/>
    <m/>
    <n v="0"/>
  </r>
  <r>
    <x v="62"/>
    <x v="5"/>
    <s v="4059001A"/>
    <s v="825 TENNESSEE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0"/>
    <n v="0"/>
    <x v="1"/>
    <m/>
    <n v="0"/>
  </r>
  <r>
    <x v="62"/>
    <x v="5"/>
    <n v="3576090"/>
    <s v="3420 18TH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5"/>
    <s v="1084001B"/>
    <s v="1 STANYAN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78"/>
    <x v="1"/>
    <n v="41208061"/>
    <s v="200 - 212 MALLEY WY (7 UNITS) BUILDING 1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1"/>
    <n v="0"/>
    <x v="1"/>
    <n v="45"/>
    <n v="0"/>
  </r>
  <r>
    <x v="101"/>
    <x v="0"/>
    <s v="206-0-031-070"/>
    <s v="716 San Pedro St."/>
    <s v="5+"/>
    <x v="1"/>
    <n v="0"/>
    <n v="0"/>
    <n v="0"/>
    <n v="0"/>
    <n v="0"/>
    <n v="0"/>
    <x v="0"/>
    <n v="0"/>
    <n v="5"/>
    <n v="0"/>
    <n v="0"/>
    <n v="0"/>
    <n v="0"/>
    <n v="0"/>
    <n v="0"/>
    <n v="0"/>
    <n v="0"/>
    <n v="0"/>
    <x v="0"/>
    <n v="40"/>
    <n v="0"/>
  </r>
  <r>
    <x v="72"/>
    <x v="3"/>
    <n v="6440710300"/>
    <s v="1950 ENCELIA CI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02"/>
    <x v="1"/>
    <s v="132-37-055"/>
    <s v="3001 EL CAMINO REAL"/>
    <s v="5+"/>
    <x v="0"/>
    <n v="12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38"/>
    <x v="3"/>
    <s v="003-011-06"/>
    <s v="415 NATURAL BRIDGES DR"/>
    <s v="5+"/>
    <x v="0"/>
    <n v="2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38"/>
    <x v="3"/>
    <s v="010-551-13"/>
    <s v="314 JESSIE ST"/>
    <s v="5+"/>
    <x v="0"/>
    <n v="48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38"/>
    <x v="3"/>
    <s v="005-148-12"/>
    <s v="532 CENTER ST"/>
    <s v="5+"/>
    <x v="0"/>
    <n v="16"/>
    <n v="0"/>
    <n v="48"/>
    <n v="0"/>
    <n v="0"/>
    <n v="0"/>
    <x v="45"/>
    <n v="0"/>
    <n v="48"/>
    <n v="0"/>
    <n v="0"/>
    <n v="0"/>
    <n v="0"/>
    <n v="0"/>
    <n v="0"/>
    <n v="0"/>
    <n v="0"/>
    <n v="0"/>
    <x v="1"/>
    <n v="55"/>
    <n v="0"/>
  </r>
  <r>
    <x v="4"/>
    <x v="3"/>
    <s v="053-061-057"/>
    <s v="3770 Bullock Ln_x000a_San Luis Obispo, CA 93401"/>
    <s v="5+"/>
    <x v="0"/>
    <n v="0"/>
    <n v="0"/>
    <n v="0"/>
    <n v="0"/>
    <n v="0"/>
    <n v="0"/>
    <x v="15"/>
    <n v="0"/>
    <n v="21"/>
    <n v="0"/>
    <n v="0"/>
    <n v="0"/>
    <n v="0"/>
    <n v="0"/>
    <n v="0"/>
    <n v="0"/>
    <n v="0"/>
    <n v="0"/>
    <x v="0"/>
    <n v="55"/>
    <n v="40"/>
  </r>
  <r>
    <x v="94"/>
    <x v="3"/>
    <n v="13200501610000"/>
    <s v="10139 BRUCEVILLE RD"/>
    <s v="5+"/>
    <x v="0"/>
    <n v="0"/>
    <n v="0"/>
    <n v="0"/>
    <n v="0"/>
    <n v="0"/>
    <n v="0"/>
    <x v="0"/>
    <n v="0"/>
    <n v="34"/>
    <n v="0"/>
    <n v="0"/>
    <n v="0"/>
    <n v="0"/>
    <n v="0"/>
    <n v="0"/>
    <n v="0"/>
    <n v="0"/>
    <n v="0"/>
    <x v="0"/>
    <n v="55"/>
    <n v="0"/>
  </r>
  <r>
    <x v="103"/>
    <x v="3"/>
    <s v="Tract 18148 Lots 61, 62, 63, 64, 65, 71, 72, 73, 74, 75, 84, 85, 86, 87, 88, &amp; 89"/>
    <s v="27102, 27089, 27094, 27090, 27086, 27054, 27050, 27046, 27042, 27038, 27021, 27059, 27055, &amp; 27047 Via Caminata, and 32036 Paseo Rama"/>
    <s v="5+"/>
    <x v="1"/>
    <n v="0"/>
    <n v="0"/>
    <n v="0"/>
    <n v="0"/>
    <n v="0"/>
    <n v="0"/>
    <x v="0"/>
    <n v="0"/>
    <n v="0"/>
    <n v="0"/>
    <n v="4"/>
    <n v="0"/>
    <n v="0"/>
    <n v="0"/>
    <n v="0"/>
    <n v="0"/>
    <n v="0"/>
    <n v="0"/>
    <x v="0"/>
    <n v="30"/>
    <n v="13"/>
  </r>
  <r>
    <x v="64"/>
    <x v="0"/>
    <s v="017-231-024-000"/>
    <s v="350 ROSEVILLE PW, BLDG 34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m/>
    <n v="0"/>
  </r>
  <r>
    <x v="102"/>
    <x v="3"/>
    <s v="132-46-100"/>
    <s v="4115 EL CAMINO REAL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1"/>
    <n v="55"/>
    <n v="0"/>
  </r>
  <r>
    <x v="38"/>
    <x v="3"/>
    <s v="008-181-23"/>
    <s v="150 FELKER ST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40"/>
  </r>
  <r>
    <x v="4"/>
    <x v="3"/>
    <s v="001-137-015"/>
    <s v="1422 Monterey St_x000a_San Luis Obispo, CA 93401"/>
    <s v="5+"/>
    <x v="0"/>
    <n v="0"/>
    <n v="0"/>
    <n v="105"/>
    <n v="1"/>
    <n v="0"/>
    <n v="0"/>
    <x v="0"/>
    <n v="0"/>
    <n v="0"/>
    <n v="0"/>
    <n v="0"/>
    <n v="0"/>
    <n v="0"/>
    <n v="0"/>
    <n v="0"/>
    <n v="0"/>
    <n v="0"/>
    <n v="0"/>
    <x v="0"/>
    <n v="55"/>
    <n v="65"/>
  </r>
  <r>
    <x v="4"/>
    <x v="3"/>
    <s v="004-921-026"/>
    <s v="2475 Victoria  Ave_x000a_San Luis Obispo, CA 93401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48"/>
  </r>
  <r>
    <x v="104"/>
    <x v="3"/>
    <s v="790 21 041"/>
    <s v="975 1ST ST"/>
    <s v="5+"/>
    <x v="0"/>
    <n v="36"/>
    <n v="0"/>
    <n v="83"/>
    <n v="0"/>
    <n v="0"/>
    <n v="1"/>
    <x v="0"/>
    <n v="0"/>
    <n v="0"/>
    <n v="0"/>
    <n v="0"/>
    <n v="0"/>
    <n v="0"/>
    <n v="0"/>
    <n v="0"/>
    <n v="0"/>
    <n v="0"/>
    <n v="0"/>
    <x v="0"/>
    <n v="55"/>
    <n v="100"/>
  </r>
  <r>
    <x v="10"/>
    <x v="0"/>
    <s v="290-16-018"/>
    <s v="2745 BALL PL, #1, SANTA CLARA, CA 95051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m/>
    <n v="0"/>
  </r>
  <r>
    <x v="104"/>
    <x v="5"/>
    <s v="790 65 092"/>
    <s v="315 Cohansey Ave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6 056"/>
    <s v="41 Cohansey Ave"/>
    <s v="5+"/>
    <x v="0"/>
    <n v="0"/>
    <n v="0"/>
    <n v="0"/>
    <n v="0"/>
    <n v="0"/>
    <n v="0"/>
    <x v="0"/>
    <n v="0"/>
    <n v="0"/>
    <n v="0"/>
    <n v="0"/>
    <n v="0"/>
    <n v="0"/>
    <n v="0"/>
    <n v="6"/>
    <n v="0"/>
    <n v="0"/>
    <n v="0"/>
    <x v="1"/>
    <n v="55"/>
    <n v="0"/>
  </r>
  <r>
    <x v="105"/>
    <x v="1"/>
    <s v="020126210"/>
    <s v="732 El Camino Real"/>
    <s v="5+"/>
    <x v="0"/>
    <n v="0"/>
    <n v="0"/>
    <n v="0"/>
    <n v="0"/>
    <n v="0"/>
    <n v="0"/>
    <x v="26"/>
    <n v="0"/>
    <n v="105"/>
    <n v="0"/>
    <n v="0"/>
    <n v="1"/>
    <n v="0"/>
    <n v="0"/>
    <n v="0"/>
    <n v="0"/>
    <n v="0"/>
    <n v="0"/>
    <x v="0"/>
    <n v="55"/>
    <n v="40"/>
  </r>
  <r>
    <x v="56"/>
    <x v="5"/>
    <s v="71-228-10"/>
    <s v="2100 CLEMENT AVE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m/>
    <n v="0"/>
  </r>
  <r>
    <x v="88"/>
    <x v="0"/>
    <s v="8074-024-002, 003, 007"/>
    <s v="14815 Pioneer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3"/>
  </r>
  <r>
    <x v="94"/>
    <x v="1"/>
    <s v="132-0290-054"/>
    <s v="SE corner of Poppy Ridge and Big Horn Blvd"/>
    <s v="5+"/>
    <x v="0"/>
    <n v="34"/>
    <n v="0"/>
    <n v="61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06"/>
    <x v="3"/>
    <s v="6760150365, 375, 285"/>
    <s v="325/391 HAMPSHIRE RD"/>
    <s v="5+"/>
    <x v="0"/>
    <n v="0"/>
    <n v="0"/>
    <n v="50"/>
    <n v="0"/>
    <n v="4"/>
    <n v="0"/>
    <x v="0"/>
    <n v="0"/>
    <n v="0"/>
    <n v="0"/>
    <n v="0"/>
    <n v="0"/>
    <n v="0"/>
    <n v="0"/>
    <n v="0"/>
    <n v="0"/>
    <n v="0"/>
    <n v="0"/>
    <x v="0"/>
    <n v="55"/>
    <n v="27.5"/>
  </r>
  <r>
    <x v="75"/>
    <x v="2"/>
    <s v="012334130"/>
    <s v="200 Linden Ave"/>
    <s v="5+"/>
    <x v="1"/>
    <n v="0"/>
    <n v="0"/>
    <n v="0"/>
    <n v="0"/>
    <n v="0"/>
    <n v="0"/>
    <x v="0"/>
    <n v="0"/>
    <n v="0"/>
    <n v="0"/>
    <n v="19"/>
    <n v="0"/>
    <n v="0"/>
    <n v="0"/>
    <n v="0"/>
    <n v="0"/>
    <n v="0"/>
    <n v="0"/>
    <x v="1"/>
    <n v="55"/>
    <n v="0"/>
  </r>
  <r>
    <x v="75"/>
    <x v="2"/>
    <s v="012321170"/>
    <s v="428-432 Baden Ave"/>
    <s v="5+"/>
    <x v="0"/>
    <n v="2"/>
    <n v="0"/>
    <n v="3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79"/>
    <x v="2"/>
    <s v="035200230"/>
    <s v="400 STATION PARK CIR"/>
    <s v="5+"/>
    <x v="0"/>
    <n v="0"/>
    <n v="0"/>
    <n v="0"/>
    <n v="0"/>
    <n v="0"/>
    <n v="0"/>
    <x v="0"/>
    <n v="0"/>
    <n v="0"/>
    <n v="0"/>
    <n v="0"/>
    <n v="0"/>
    <n v="20"/>
    <n v="0"/>
    <n v="0"/>
    <n v="0"/>
    <n v="0"/>
    <n v="0"/>
    <x v="1"/>
    <n v="1000"/>
    <n v="0"/>
  </r>
  <r>
    <x v="79"/>
    <x v="2"/>
    <s v="035200210"/>
    <s v="410 STATION PARK CIR"/>
    <s v="5+"/>
    <x v="0"/>
    <n v="0"/>
    <n v="0"/>
    <n v="0"/>
    <n v="0"/>
    <n v="0"/>
    <n v="0"/>
    <x v="0"/>
    <n v="0"/>
    <n v="0"/>
    <n v="0"/>
    <n v="0"/>
    <n v="0"/>
    <n v="17"/>
    <n v="0"/>
    <n v="0"/>
    <n v="0"/>
    <n v="0"/>
    <n v="0"/>
    <x v="1"/>
    <n v="1000"/>
    <n v="0"/>
  </r>
  <r>
    <x v="107"/>
    <x v="3"/>
    <s v="082-185-47"/>
    <s v="1445 S ANAHEIM BLVD, ANAHEIM, CA 92805"/>
    <s v="5+"/>
    <x v="0"/>
    <n v="67"/>
    <n v="18"/>
    <n v="0"/>
    <n v="0"/>
    <n v="0"/>
    <n v="0"/>
    <x v="64"/>
    <n v="0"/>
    <n v="18"/>
    <n v="0"/>
    <n v="0"/>
    <n v="0"/>
    <n v="0"/>
    <n v="0"/>
    <n v="0"/>
    <n v="0"/>
    <n v="0"/>
    <n v="0"/>
    <x v="0"/>
    <n v="55"/>
    <n v="6"/>
  </r>
  <r>
    <x v="95"/>
    <x v="0"/>
    <n v="72636059"/>
    <s v="1110 Monterey Rd"/>
    <s v="5+"/>
    <x v="0"/>
    <n v="50"/>
    <n v="0"/>
    <n v="196"/>
    <n v="0"/>
    <n v="0"/>
    <n v="3"/>
    <x v="0"/>
    <n v="0"/>
    <n v="0"/>
    <n v="0"/>
    <n v="0"/>
    <n v="0"/>
    <n v="0"/>
    <n v="0"/>
    <n v="0"/>
    <n v="0"/>
    <n v="0"/>
    <n v="0"/>
    <x v="0"/>
    <m/>
    <n v="80"/>
  </r>
  <r>
    <x v="108"/>
    <x v="0"/>
    <s v="144-274-002, 144-274-014, 144-274-015"/>
    <s v="8170 La Plaza &amp; 100-125 E. Cotati Ave"/>
    <s v="5+"/>
    <x v="0"/>
    <n v="1"/>
    <n v="0"/>
    <n v="1"/>
    <n v="0"/>
    <n v="2"/>
    <n v="0"/>
    <x v="0"/>
    <n v="0"/>
    <n v="0"/>
    <n v="0"/>
    <n v="0"/>
    <n v="0"/>
    <n v="0"/>
    <n v="0"/>
    <n v="0"/>
    <n v="0"/>
    <n v="0"/>
    <n v="0"/>
    <x v="1"/>
    <n v="55"/>
    <n v="0"/>
  </r>
  <r>
    <x v="96"/>
    <x v="2"/>
    <s v="47202158T"/>
    <s v="5070 E KINGS CANYON RD 101+"/>
    <s v="5+"/>
    <x v="0"/>
    <n v="0"/>
    <n v="0"/>
    <n v="0"/>
    <n v="0"/>
    <n v="0"/>
    <n v="0"/>
    <x v="0"/>
    <n v="0"/>
    <n v="0"/>
    <n v="0"/>
    <n v="0"/>
    <n v="0"/>
    <n v="16"/>
    <n v="0"/>
    <n v="0"/>
    <n v="0"/>
    <n v="0"/>
    <n v="0"/>
    <x v="0"/>
    <m/>
    <n v="0"/>
  </r>
  <r>
    <x v="109"/>
    <x v="3"/>
    <n v="517340004"/>
    <s v="37TH ST"/>
    <s v="5+"/>
    <x v="0"/>
    <n v="113"/>
    <n v="0"/>
    <n v="2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3"/>
    <x v="3"/>
    <n v="4705722200"/>
    <s v="8181 ALLISON AVE"/>
    <s v="5+"/>
    <x v="0"/>
    <n v="0"/>
    <n v="0"/>
    <n v="0"/>
    <n v="0"/>
    <n v="0"/>
    <n v="0"/>
    <x v="0"/>
    <n v="0"/>
    <n v="115"/>
    <n v="0"/>
    <n v="30"/>
    <n v="0"/>
    <n v="0"/>
    <n v="0"/>
    <n v="0"/>
    <n v="0"/>
    <n v="0"/>
    <n v="0"/>
    <x v="0"/>
    <n v="55"/>
    <n v="0"/>
  </r>
  <r>
    <x v="94"/>
    <x v="1"/>
    <n v="11613800150000"/>
    <s v="8335 TARAK DR"/>
    <s v="5+"/>
    <x v="0"/>
    <n v="0"/>
    <n v="0"/>
    <n v="0"/>
    <n v="0"/>
    <n v="0"/>
    <n v="0"/>
    <x v="59"/>
    <n v="0"/>
    <n v="61"/>
    <n v="0"/>
    <n v="0"/>
    <n v="0"/>
    <n v="0"/>
    <n v="0"/>
    <n v="0"/>
    <n v="0"/>
    <n v="0"/>
    <n v="0"/>
    <x v="0"/>
    <n v="55"/>
    <n v="0"/>
  </r>
  <r>
    <x v="97"/>
    <x v="0"/>
    <n v="23004153"/>
    <s v="664 N Fig St"/>
    <s v="5+"/>
    <x v="0"/>
    <n v="0"/>
    <n v="0"/>
    <n v="3"/>
    <n v="0"/>
    <n v="0"/>
    <n v="0"/>
    <x v="0"/>
    <n v="0"/>
    <n v="0"/>
    <n v="0"/>
    <n v="0"/>
    <n v="0"/>
    <n v="0"/>
    <n v="0"/>
    <n v="0"/>
    <n v="0"/>
    <n v="0"/>
    <n v="0"/>
    <x v="0"/>
    <n v="55"/>
    <n v="36"/>
  </r>
  <r>
    <x v="110"/>
    <x v="3"/>
    <n v="694310006"/>
    <s v="36101 VITALIA WAY"/>
    <s v="5+"/>
    <x v="0"/>
    <n v="0"/>
    <n v="0"/>
    <n v="0"/>
    <n v="0"/>
    <n v="0"/>
    <n v="0"/>
    <x v="50"/>
    <n v="0"/>
    <n v="3"/>
    <n v="0"/>
    <n v="0"/>
    <n v="0"/>
    <n v="0"/>
    <n v="0"/>
    <n v="0"/>
    <n v="0"/>
    <n v="0"/>
    <n v="0"/>
    <x v="0"/>
    <n v="55"/>
    <n v="12"/>
  </r>
  <r>
    <x v="82"/>
    <x v="1"/>
    <n v="2608109"/>
    <s v="432  CAPITOLA  RD, SANTA CRUZ  CA  95062-1639"/>
    <s v="5+"/>
    <x v="0"/>
    <n v="0"/>
    <n v="0"/>
    <n v="0"/>
    <n v="0"/>
    <n v="0"/>
    <n v="0"/>
    <x v="0"/>
    <n v="0"/>
    <n v="2"/>
    <n v="0"/>
    <n v="0"/>
    <n v="0"/>
    <n v="0"/>
    <n v="0"/>
    <n v="0"/>
    <n v="0"/>
    <n v="0"/>
    <n v="0"/>
    <x v="0"/>
    <n v="55"/>
    <n v="35"/>
  </r>
  <r>
    <x v="65"/>
    <x v="0"/>
    <s v="3148-041-001"/>
    <s v="1752 E Ave J-4"/>
    <s v="5+"/>
    <x v="0"/>
    <n v="0"/>
    <n v="0"/>
    <n v="0"/>
    <n v="0"/>
    <n v="0"/>
    <n v="0"/>
    <x v="0"/>
    <n v="0"/>
    <n v="48"/>
    <n v="0"/>
    <n v="0"/>
    <n v="0"/>
    <n v="0"/>
    <n v="0"/>
    <n v="0"/>
    <n v="0"/>
    <n v="0"/>
    <n v="0"/>
    <x v="0"/>
    <n v="55"/>
    <n v="0"/>
  </r>
  <r>
    <x v="65"/>
    <x v="0"/>
    <s v="3126-031-039"/>
    <s v="43445 Sahuayo St"/>
    <s v="5+"/>
    <x v="0"/>
    <n v="0"/>
    <n v="0"/>
    <n v="0"/>
    <n v="0"/>
    <n v="0"/>
    <n v="0"/>
    <x v="42"/>
    <n v="0"/>
    <n v="70"/>
    <n v="0"/>
    <n v="0"/>
    <n v="2"/>
    <n v="0"/>
    <n v="0"/>
    <n v="0"/>
    <n v="0"/>
    <n v="0"/>
    <n v="0"/>
    <x v="0"/>
    <n v="55"/>
    <n v="15.9"/>
  </r>
  <r>
    <x v="82"/>
    <x v="1"/>
    <s v="02674125"/>
    <s v="1500  CAPITOLA  RD, SANTA CRUZ  CA  95062-2912"/>
    <s v="5+"/>
    <x v="0"/>
    <n v="0"/>
    <n v="0"/>
    <n v="0"/>
    <n v="0"/>
    <n v="0"/>
    <n v="0"/>
    <x v="0"/>
    <n v="0"/>
    <n v="0"/>
    <n v="0"/>
    <n v="0"/>
    <n v="0"/>
    <n v="7"/>
    <n v="0"/>
    <n v="0"/>
    <n v="0"/>
    <n v="0"/>
    <n v="0"/>
    <x v="0"/>
    <n v="1000"/>
    <n v="20"/>
  </r>
  <r>
    <x v="82"/>
    <x v="1"/>
    <s v="02674125"/>
    <s v="1500  CAPITOLA  RD, SANTA CRUZ  CA  95062-2912"/>
    <s v="5+"/>
    <x v="0"/>
    <n v="0"/>
    <n v="0"/>
    <n v="0"/>
    <n v="0"/>
    <n v="0"/>
    <n v="0"/>
    <x v="0"/>
    <n v="0"/>
    <n v="0"/>
    <n v="0"/>
    <n v="0"/>
    <n v="0"/>
    <n v="13"/>
    <n v="0"/>
    <n v="0"/>
    <n v="0"/>
    <n v="0"/>
    <n v="0"/>
    <x v="0"/>
    <n v="1000"/>
    <n v="20"/>
  </r>
  <r>
    <x v="49"/>
    <x v="0"/>
    <s v="128-090-016"/>
    <s v="2660 Santa Maria Way"/>
    <s v="5+"/>
    <x v="0"/>
    <n v="104"/>
    <n v="0"/>
    <n v="55"/>
    <n v="0"/>
    <n v="1"/>
    <n v="0"/>
    <x v="0"/>
    <n v="0"/>
    <n v="0"/>
    <n v="0"/>
    <n v="0"/>
    <n v="0"/>
    <n v="0"/>
    <n v="0"/>
    <n v="0"/>
    <n v="0"/>
    <n v="0"/>
    <n v="0"/>
    <x v="0"/>
    <n v="55"/>
    <n v="50"/>
  </r>
  <r>
    <x v="54"/>
    <x v="2"/>
    <n v="71288550"/>
    <s v="650 Live Oak Avenue"/>
    <s v="5+"/>
    <x v="0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65"/>
    <x v="0"/>
    <s v="3148-041-001"/>
    <s v="1752 E Ave J-4"/>
    <s v="5+"/>
    <x v="0"/>
    <n v="0"/>
    <n v="0"/>
    <n v="0"/>
    <n v="0"/>
    <n v="0"/>
    <n v="0"/>
    <x v="0"/>
    <n v="0"/>
    <n v="120"/>
    <n v="0"/>
    <n v="0"/>
    <n v="0"/>
    <n v="0"/>
    <n v="0"/>
    <n v="0"/>
    <n v="0"/>
    <n v="0"/>
    <n v="0"/>
    <x v="0"/>
    <n v="55"/>
    <n v="0"/>
  </r>
  <r>
    <x v="85"/>
    <x v="3"/>
    <s v="208-860-168"/>
    <s v="77109 Via Vicenza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0"/>
    <n v="0"/>
  </r>
  <r>
    <x v="111"/>
    <x v="3"/>
    <s v="214-212-009"/>
    <s v="3933 MISSION INN AVE , Riverside, CA 92501-3219"/>
    <s v="5+"/>
    <x v="0"/>
    <n v="0"/>
    <n v="0"/>
    <n v="0"/>
    <n v="0"/>
    <n v="0"/>
    <n v="0"/>
    <x v="0"/>
    <n v="0"/>
    <n v="71"/>
    <n v="0"/>
    <n v="0"/>
    <n v="0"/>
    <n v="0"/>
    <n v="0"/>
    <n v="0"/>
    <n v="0"/>
    <n v="0"/>
    <n v="0"/>
    <x v="0"/>
    <n v="55"/>
    <n v="0"/>
  </r>
  <r>
    <x v="3"/>
    <x v="1"/>
    <n v="4337006029"/>
    <s v="8555 SANTA MONICA BLVD"/>
    <s v="5+"/>
    <x v="0"/>
    <n v="9"/>
    <n v="0"/>
    <n v="0"/>
    <n v="0"/>
    <n v="8"/>
    <n v="0"/>
    <x v="0"/>
    <n v="0"/>
    <n v="0"/>
    <n v="0"/>
    <n v="0"/>
    <n v="0"/>
    <n v="0"/>
    <n v="0"/>
    <n v="0"/>
    <n v="0"/>
    <n v="0"/>
    <n v="0"/>
    <x v="0"/>
    <n v="1000"/>
    <n v="35"/>
  </r>
  <r>
    <x v="3"/>
    <x v="1"/>
    <n v="5529019019"/>
    <s v="1011 CRESCENT HEIGHTS BLVD"/>
    <s v="5+"/>
    <x v="0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0"/>
    <n v="1000"/>
    <n v="20"/>
  </r>
  <r>
    <x v="104"/>
    <x v="5"/>
    <s v="790 66 056"/>
    <s v="61 Cohansey Ave"/>
    <s v="5+"/>
    <x v="0"/>
    <n v="0"/>
    <n v="0"/>
    <n v="0"/>
    <n v="0"/>
    <n v="0"/>
    <n v="0"/>
    <x v="0"/>
    <n v="0"/>
    <n v="0"/>
    <n v="0"/>
    <n v="0"/>
    <n v="0"/>
    <n v="9"/>
    <n v="0"/>
    <n v="3"/>
    <n v="0"/>
    <n v="0"/>
    <n v="0"/>
    <x v="1"/>
    <n v="55"/>
    <n v="0"/>
  </r>
  <r>
    <x v="112"/>
    <x v="3"/>
    <n v="10171018"/>
    <s v="3 3RD ST W"/>
    <s v="5+"/>
    <x v="0"/>
    <n v="0"/>
    <n v="0"/>
    <n v="0"/>
    <n v="0"/>
    <n v="0"/>
    <n v="0"/>
    <x v="65"/>
    <n v="0"/>
    <n v="56"/>
    <n v="0"/>
    <n v="0"/>
    <n v="0"/>
    <n v="0"/>
    <n v="0"/>
    <n v="0"/>
    <n v="0"/>
    <n v="0"/>
    <n v="0"/>
    <x v="1"/>
    <n v="55"/>
    <n v="0"/>
  </r>
  <r>
    <x v="112"/>
    <x v="3"/>
    <n v="125521008"/>
    <s v="2278 STONY POINT RD"/>
    <s v="5+"/>
    <x v="0"/>
    <n v="24"/>
    <n v="0"/>
    <n v="0"/>
    <n v="0"/>
    <n v="0"/>
    <n v="0"/>
    <x v="11"/>
    <n v="0"/>
    <n v="9"/>
    <n v="0"/>
    <n v="0"/>
    <n v="0"/>
    <n v="0"/>
    <n v="0"/>
    <n v="0"/>
    <n v="0"/>
    <n v="0"/>
    <n v="0"/>
    <x v="1"/>
    <n v="55"/>
    <n v="0"/>
  </r>
  <r>
    <x v="56"/>
    <x v="5"/>
    <s v="71-288-1-2"/>
    <s v="1815 CLEMENT AVE"/>
    <s v="5+"/>
    <x v="0"/>
    <n v="33"/>
    <n v="0"/>
    <n v="26"/>
    <n v="0"/>
    <n v="45"/>
    <n v="0"/>
    <x v="0"/>
    <n v="0"/>
    <n v="0"/>
    <n v="0"/>
    <n v="0"/>
    <n v="0"/>
    <n v="0"/>
    <n v="0"/>
    <n v="0"/>
    <n v="0"/>
    <n v="0"/>
    <n v="0"/>
    <x v="0"/>
    <n v="1000"/>
    <n v="0"/>
  </r>
  <r>
    <x v="112"/>
    <x v="3"/>
    <n v="125071015"/>
    <s v="1855 SEBASTOPOL RD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7.5"/>
  </r>
  <r>
    <x v="35"/>
    <x v="3"/>
    <n v="2041110200"/>
    <s v="965 OAK AVE"/>
    <s v="5+"/>
    <x v="0"/>
    <n v="0"/>
    <n v="0"/>
    <n v="0"/>
    <n v="0"/>
    <n v="0"/>
    <n v="0"/>
    <x v="0"/>
    <n v="0"/>
    <n v="0"/>
    <n v="0"/>
    <n v="0"/>
    <n v="0"/>
    <n v="24"/>
    <n v="0"/>
    <n v="0"/>
    <n v="0"/>
    <n v="0"/>
    <n v="0"/>
    <x v="1"/>
    <n v="57"/>
    <n v="0"/>
  </r>
  <r>
    <x v="35"/>
    <x v="3"/>
    <n v="2041920500"/>
    <s v="3606 HARDING ST"/>
    <s v="5+"/>
    <x v="0"/>
    <n v="0"/>
    <n v="0"/>
    <n v="0"/>
    <n v="0"/>
    <n v="0"/>
    <n v="0"/>
    <x v="0"/>
    <n v="0"/>
    <n v="0"/>
    <n v="0"/>
    <n v="0"/>
    <n v="0"/>
    <n v="24"/>
    <n v="0"/>
    <n v="0"/>
    <n v="0"/>
    <n v="0"/>
    <n v="0"/>
    <x v="1"/>
    <n v="57"/>
    <n v="0"/>
  </r>
  <r>
    <x v="113"/>
    <x v="3"/>
    <s v="051200025"/>
    <s v="3534 E 18TH ST"/>
    <s v="5+"/>
    <x v="0"/>
    <n v="0"/>
    <n v="0"/>
    <n v="0"/>
    <n v="0"/>
    <n v="0"/>
    <n v="0"/>
    <x v="0"/>
    <n v="0"/>
    <n v="0"/>
    <n v="0"/>
    <n v="0"/>
    <n v="0"/>
    <n v="5"/>
    <n v="0"/>
    <n v="19"/>
    <n v="0"/>
    <n v="0"/>
    <n v="0"/>
    <x v="0"/>
    <m/>
    <n v="0"/>
  </r>
  <r>
    <x v="10"/>
    <x v="0"/>
    <s v="097-46-020"/>
    <s v="2225 Calle De Luna, Santa Clara, CA 95054"/>
    <s v="5+"/>
    <x v="0"/>
    <n v="0"/>
    <n v="0"/>
    <n v="0"/>
    <n v="0"/>
    <n v="49"/>
    <n v="0"/>
    <x v="0"/>
    <n v="0"/>
    <n v="0"/>
    <n v="0"/>
    <n v="0"/>
    <n v="0"/>
    <n v="0"/>
    <n v="0"/>
    <n v="0"/>
    <n v="0"/>
    <n v="0"/>
    <n v="0"/>
    <x v="1"/>
    <n v="55"/>
    <n v="0"/>
  </r>
  <r>
    <x v="75"/>
    <x v="2"/>
    <s v="093312050; 093312060"/>
    <s v="1051 Mission Road"/>
    <s v="5+"/>
    <x v="0"/>
    <n v="55"/>
    <n v="0"/>
    <n v="103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79"/>
    <x v="2"/>
    <n v="35320450"/>
    <s v="2089 PACIFIC BLVD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1000"/>
    <n v="0"/>
  </r>
  <r>
    <x v="37"/>
    <x v="2"/>
    <s v="164-100-023"/>
    <s v="8685 Old Redwood Hwy"/>
    <s v="5+"/>
    <x v="0"/>
    <n v="0"/>
    <n v="0"/>
    <n v="33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14"/>
    <x v="2"/>
    <m/>
    <s v="14225 Walker"/>
    <s v="5+"/>
    <x v="0"/>
    <n v="0"/>
    <n v="0"/>
    <n v="0"/>
    <n v="0"/>
    <n v="0"/>
    <n v="0"/>
    <x v="22"/>
    <n v="0"/>
    <n v="0"/>
    <n v="0"/>
    <n v="1"/>
    <n v="0"/>
    <n v="0"/>
    <n v="0"/>
    <n v="0"/>
    <n v="0"/>
    <n v="0"/>
    <n v="0"/>
    <x v="1"/>
    <n v="1000"/>
    <n v="0"/>
  </r>
  <r>
    <x v="99"/>
    <x v="4"/>
    <s v="013-171-014"/>
    <s v="2200 North Fremont"/>
    <s v="5+"/>
    <x v="0"/>
    <n v="0"/>
    <n v="0"/>
    <n v="4"/>
    <n v="0"/>
    <n v="0"/>
    <n v="4"/>
    <x v="0"/>
    <n v="0"/>
    <n v="0"/>
    <n v="0"/>
    <n v="0"/>
    <n v="0"/>
    <n v="0"/>
    <n v="0"/>
    <n v="0"/>
    <n v="0"/>
    <n v="0"/>
    <n v="0"/>
    <x v="0"/>
    <m/>
    <n v="0"/>
  </r>
  <r>
    <x v="99"/>
    <x v="4"/>
    <s v="001-691-001"/>
    <s v="595 Munras"/>
    <s v="5+"/>
    <x v="0"/>
    <n v="0"/>
    <n v="0"/>
    <n v="1"/>
    <n v="0"/>
    <n v="0"/>
    <n v="1"/>
    <x v="0"/>
    <n v="0"/>
    <n v="0"/>
    <n v="0"/>
    <n v="0"/>
    <n v="0"/>
    <n v="0"/>
    <n v="0"/>
    <n v="0"/>
    <n v="0"/>
    <n v="0"/>
    <n v="0"/>
    <x v="0"/>
    <m/>
    <n v="0"/>
  </r>
  <r>
    <x v="46"/>
    <x v="2"/>
    <s v="167-41-019"/>
    <s v="444-450 First Street"/>
    <s v="5+"/>
    <x v="1"/>
    <n v="0"/>
    <n v="0"/>
    <n v="0"/>
    <n v="1"/>
    <n v="3"/>
    <n v="0"/>
    <x v="0"/>
    <n v="0"/>
    <n v="0"/>
    <n v="0"/>
    <n v="0"/>
    <n v="0"/>
    <n v="0"/>
    <n v="0"/>
    <n v="0"/>
    <n v="0"/>
    <n v="0"/>
    <n v="0"/>
    <x v="0"/>
    <n v="55"/>
    <n v="0"/>
  </r>
  <r>
    <x v="24"/>
    <x v="4"/>
    <s v="5621-021-009"/>
    <s v="601-615 E. CEDAR AVE"/>
    <s v="5+"/>
    <x v="0"/>
    <n v="3"/>
    <n v="0"/>
    <n v="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4"/>
    <x v="2"/>
    <n v="71288550"/>
    <s v="650 Live Oak Avenue"/>
    <s v="5+"/>
    <x v="0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3"/>
    <x v="1"/>
    <n v="4339008018"/>
    <s v="8615 WEST KNOLL DR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42.5"/>
  </r>
  <r>
    <x v="9"/>
    <x v="1"/>
    <s v="6349-005-039; 6349-005-038; 6349-005-040; 6349-005-006; 6349-005-903"/>
    <s v="112-132 S. 6th Street"/>
    <s v="5+"/>
    <x v="0"/>
    <n v="0"/>
    <n v="0"/>
    <n v="0"/>
    <n v="0"/>
    <n v="0"/>
    <n v="0"/>
    <x v="13"/>
    <n v="0"/>
    <n v="43"/>
    <n v="0"/>
    <n v="0"/>
    <n v="0"/>
    <n v="0"/>
    <n v="0"/>
    <n v="0"/>
    <n v="0"/>
    <n v="0"/>
    <n v="0"/>
    <x v="0"/>
    <n v="55"/>
    <n v="193"/>
  </r>
  <r>
    <x v="102"/>
    <x v="1"/>
    <s v="132-37-075"/>
    <s v="420 ACACIA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15"/>
    <x v="1"/>
    <s v="002-120-029"/>
    <s v="1717 State HWY 20"/>
    <s v="5+"/>
    <x v="0"/>
    <n v="48"/>
    <n v="0"/>
    <n v="0"/>
    <n v="0"/>
    <n v="0"/>
    <n v="0"/>
    <x v="57"/>
    <n v="0"/>
    <n v="0"/>
    <n v="0"/>
    <n v="0"/>
    <n v="0"/>
    <n v="0"/>
    <n v="0"/>
    <n v="0"/>
    <n v="0"/>
    <n v="0"/>
    <n v="0"/>
    <x v="1"/>
    <m/>
    <n v="0"/>
  </r>
  <r>
    <x v="38"/>
    <x v="3"/>
    <s v="007-023-26"/>
    <s v="130 CENTER ST"/>
    <s v="5+"/>
    <x v="0"/>
    <n v="3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50"/>
  </r>
  <r>
    <x v="4"/>
    <x v="3"/>
    <s v="004-709-026"/>
    <s v="3806 Ranchhouse Rd_x000a_San Luis Obispo, CA 93401"/>
    <s v="5+"/>
    <x v="0"/>
    <n v="0"/>
    <n v="0"/>
    <n v="0"/>
    <n v="0"/>
    <n v="9"/>
    <n v="0"/>
    <x v="0"/>
    <n v="0"/>
    <n v="0"/>
    <n v="0"/>
    <n v="0"/>
    <n v="0"/>
    <n v="0"/>
    <n v="0"/>
    <n v="0"/>
    <n v="0"/>
    <n v="0"/>
    <n v="0"/>
    <x v="1"/>
    <n v="55"/>
    <n v="0"/>
  </r>
  <r>
    <x v="116"/>
    <x v="1"/>
    <n v="2171611800"/>
    <s v="2982 S SANTA FE AVE"/>
    <s v="5+"/>
    <x v="0"/>
    <n v="0"/>
    <n v="1"/>
    <n v="0"/>
    <n v="4"/>
    <n v="0"/>
    <n v="45"/>
    <x v="0"/>
    <n v="0"/>
    <n v="0"/>
    <n v="0"/>
    <n v="0"/>
    <n v="0"/>
    <n v="0"/>
    <n v="0"/>
    <n v="0"/>
    <n v="0"/>
    <n v="0"/>
    <n v="0"/>
    <x v="0"/>
    <m/>
    <n v="12"/>
  </r>
  <r>
    <x v="105"/>
    <x v="1"/>
    <s v="020019999"/>
    <s v="840 San Bruno Ave."/>
    <s v="5+"/>
    <x v="0"/>
    <n v="0"/>
    <n v="0"/>
    <n v="337"/>
    <n v="0"/>
    <n v="0"/>
    <n v="4"/>
    <x v="0"/>
    <n v="0"/>
    <n v="0"/>
    <n v="0"/>
    <n v="0"/>
    <n v="0"/>
    <n v="0"/>
    <n v="0"/>
    <n v="0"/>
    <n v="0"/>
    <n v="0"/>
    <n v="0"/>
    <x v="0"/>
    <n v="55"/>
    <n v="80"/>
  </r>
  <r>
    <x v="75"/>
    <x v="2"/>
    <s v="012311260"/>
    <s v="310 Miller Ave"/>
    <s v="5+"/>
    <x v="0"/>
    <n v="0"/>
    <n v="0"/>
    <n v="0"/>
    <n v="0"/>
    <n v="0"/>
    <n v="0"/>
    <x v="0"/>
    <n v="0"/>
    <n v="0"/>
    <n v="0"/>
    <n v="0"/>
    <n v="0"/>
    <n v="81"/>
    <n v="0"/>
    <n v="0"/>
    <n v="0"/>
    <n v="0"/>
    <n v="0"/>
    <x v="0"/>
    <n v="55"/>
    <n v="0"/>
  </r>
  <r>
    <x v="109"/>
    <x v="0"/>
    <n v="507262013"/>
    <s v="COLUSA AVE"/>
    <s v="5+"/>
    <x v="0"/>
    <n v="7"/>
    <n v="0"/>
    <n v="98"/>
    <n v="0"/>
    <n v="0"/>
    <n v="0"/>
    <x v="0"/>
    <n v="0"/>
    <n v="0"/>
    <n v="0"/>
    <n v="0"/>
    <n v="0"/>
    <n v="0"/>
    <n v="0"/>
    <n v="0"/>
    <n v="0"/>
    <n v="0"/>
    <n v="0"/>
    <x v="0"/>
    <m/>
    <n v="80"/>
  </r>
  <r>
    <x v="62"/>
    <x v="0"/>
    <n v="3777044"/>
    <s v="560 BRANNAN ST"/>
    <s v="5+"/>
    <x v="0"/>
    <n v="6"/>
    <n v="0"/>
    <n v="8"/>
    <n v="0"/>
    <n v="7"/>
    <n v="0"/>
    <x v="0"/>
    <n v="0"/>
    <n v="0"/>
    <n v="0"/>
    <n v="0"/>
    <n v="0"/>
    <n v="0"/>
    <n v="0"/>
    <n v="0"/>
    <n v="0"/>
    <n v="0"/>
    <n v="0"/>
    <x v="0"/>
    <n v="1000"/>
    <n v="135"/>
  </r>
  <r>
    <x v="62"/>
    <x v="0"/>
    <n v="6954018"/>
    <s v="65 OCEAN AV"/>
    <s v="5+"/>
    <x v="0"/>
    <n v="0"/>
    <n v="0"/>
    <n v="0"/>
    <n v="0"/>
    <n v="0"/>
    <n v="0"/>
    <x v="0"/>
    <n v="0"/>
    <n v="34"/>
    <n v="0"/>
    <n v="14"/>
    <n v="0"/>
    <n v="0"/>
    <n v="0"/>
    <n v="0"/>
    <n v="0"/>
    <n v="0"/>
    <n v="0"/>
    <x v="0"/>
    <n v="1000"/>
    <n v="135"/>
  </r>
  <r>
    <x v="62"/>
    <x v="0"/>
    <n v="3554001"/>
    <s v="1900 MISSION ST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1000"/>
    <n v="0"/>
  </r>
  <r>
    <x v="62"/>
    <x v="0"/>
    <s v="0597022"/>
    <s v="1535 JACKSON ST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0"/>
    <n v="1000"/>
    <n v="300"/>
  </r>
  <r>
    <x v="62"/>
    <x v="0"/>
    <n v="3755054"/>
    <s v="349 8th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6"/>
    <n v="0"/>
    <x v="1"/>
    <n v="1000"/>
    <n v="0"/>
  </r>
  <r>
    <x v="85"/>
    <x v="0"/>
    <n v="222270048"/>
    <s v="17445 Bollinger Canyon Rd."/>
    <s v="5+"/>
    <x v="0"/>
    <n v="0"/>
    <n v="0"/>
    <n v="0"/>
    <n v="0"/>
    <n v="0"/>
    <n v="0"/>
    <x v="0"/>
    <n v="0"/>
    <n v="0"/>
    <n v="0"/>
    <n v="185"/>
    <n v="0"/>
    <n v="0"/>
    <n v="0"/>
    <n v="0"/>
    <n v="0"/>
    <n v="0"/>
    <n v="0"/>
    <x v="1"/>
    <n v="50"/>
    <n v="0"/>
  </r>
  <r>
    <x v="85"/>
    <x v="0"/>
    <s v="208-870-024"/>
    <s v="71106 Via Vicenza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0"/>
    <n v="0"/>
  </r>
  <r>
    <x v="85"/>
    <x v="0"/>
    <s v="208-870-015"/>
    <s v="73106 Via Vicenza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0"/>
    <n v="0"/>
  </r>
  <r>
    <x v="85"/>
    <x v="0"/>
    <s v="208-870-018"/>
    <s v="73112 Via Vicenza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0"/>
    <n v="0"/>
  </r>
  <r>
    <x v="117"/>
    <x v="1"/>
    <s v="009-090-014"/>
    <s v="951 Pope St."/>
    <s v="5+"/>
    <x v="0"/>
    <n v="0"/>
    <n v="0"/>
    <n v="4"/>
    <n v="0"/>
    <n v="1"/>
    <n v="0"/>
    <x v="0"/>
    <n v="0"/>
    <n v="0"/>
    <n v="0"/>
    <n v="0"/>
    <n v="0"/>
    <n v="0"/>
    <n v="0"/>
    <n v="0"/>
    <n v="0"/>
    <n v="0"/>
    <n v="0"/>
    <x v="0"/>
    <m/>
    <n v="50"/>
  </r>
  <r>
    <x v="49"/>
    <x v="0"/>
    <s v="128-066-003"/>
    <s v="Plaza Drive"/>
    <s v="5+"/>
    <x v="0"/>
    <n v="38"/>
    <n v="0"/>
    <n v="144"/>
    <n v="0"/>
    <n v="2"/>
    <n v="0"/>
    <x v="0"/>
    <n v="0"/>
    <n v="0"/>
    <n v="0"/>
    <n v="0"/>
    <n v="0"/>
    <n v="0"/>
    <n v="0"/>
    <n v="0"/>
    <n v="0"/>
    <n v="0"/>
    <n v="0"/>
    <x v="0"/>
    <n v="55"/>
    <n v="33"/>
  </r>
  <r>
    <x v="118"/>
    <x v="2"/>
    <s v="083-090-47S"/>
    <m/>
    <s v="5+"/>
    <x v="0"/>
    <n v="40"/>
    <n v="0"/>
    <n v="41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19"/>
    <x v="1"/>
    <s v="049A-1490-002-00"/>
    <s v="6701 Shellmound Street"/>
    <s v="5+"/>
    <x v="0"/>
    <n v="8"/>
    <n v="0"/>
    <n v="0"/>
    <n v="0"/>
    <n v="0"/>
    <n v="0"/>
    <x v="42"/>
    <n v="0"/>
    <n v="0"/>
    <n v="0"/>
    <n v="0"/>
    <n v="0"/>
    <n v="8"/>
    <n v="0"/>
    <n v="0"/>
    <n v="0"/>
    <n v="0"/>
    <n v="0"/>
    <x v="0"/>
    <n v="55"/>
    <n v="17"/>
  </r>
  <r>
    <x v="119"/>
    <x v="1"/>
    <s v="049A-0950-001-00"/>
    <s v="1048th 36th Street and 3600-3610 San Pablo Avenue"/>
    <s v="5+"/>
    <x v="0"/>
    <n v="53"/>
    <n v="0"/>
    <n v="36"/>
    <n v="0"/>
    <n v="0"/>
    <n v="0"/>
    <x v="51"/>
    <n v="0"/>
    <n v="36"/>
    <n v="0"/>
    <n v="0"/>
    <n v="0"/>
    <n v="0"/>
    <n v="0"/>
    <n v="0"/>
    <n v="0"/>
    <n v="0"/>
    <n v="0"/>
    <x v="0"/>
    <n v="75"/>
    <n v="143"/>
  </r>
  <r>
    <x v="120"/>
    <x v="3"/>
    <s v="588-321-03"/>
    <s v="Bounded by Interstate I-405 Freeway, Irvine Center Drive, Bake Parkway, Lake Forest Drive, and San Diego Creek/open space preservation"/>
    <s v="5+"/>
    <x v="0"/>
    <n v="0"/>
    <n v="0"/>
    <n v="34"/>
    <n v="0"/>
    <n v="17"/>
    <n v="0"/>
    <x v="0"/>
    <n v="0"/>
    <n v="0"/>
    <n v="0"/>
    <n v="0"/>
    <n v="0"/>
    <n v="0"/>
    <n v="0"/>
    <n v="0"/>
    <n v="0"/>
    <n v="0"/>
    <n v="0"/>
    <x v="1"/>
    <m/>
    <n v="0"/>
  </r>
  <r>
    <x v="99"/>
    <x v="1"/>
    <s v="001-691-001"/>
    <s v="595 Munras"/>
    <s v="5+"/>
    <x v="0"/>
    <n v="0"/>
    <n v="0"/>
    <n v="1"/>
    <n v="0"/>
    <n v="1"/>
    <n v="0"/>
    <x v="0"/>
    <n v="0"/>
    <n v="1"/>
    <n v="0"/>
    <n v="1"/>
    <n v="0"/>
    <n v="0"/>
    <n v="0"/>
    <n v="1"/>
    <n v="0"/>
    <n v="1"/>
    <n v="0"/>
    <x v="1"/>
    <m/>
    <n v="0"/>
  </r>
  <r>
    <x v="121"/>
    <x v="2"/>
    <s v="480-161-02-00"/>
    <s v="7508 Church St."/>
    <s v="5+"/>
    <x v="0"/>
    <n v="2"/>
    <n v="0"/>
    <n v="0"/>
    <n v="0"/>
    <n v="0"/>
    <n v="15"/>
    <x v="0"/>
    <n v="0"/>
    <n v="0"/>
    <n v="0"/>
    <n v="0"/>
    <n v="0"/>
    <n v="0"/>
    <n v="0"/>
    <n v="0"/>
    <n v="0"/>
    <n v="0"/>
    <n v="0"/>
    <x v="0"/>
    <n v="55"/>
    <n v="0"/>
  </r>
  <r>
    <x v="120"/>
    <x v="3"/>
    <s v="591-70-103"/>
    <s v="141 LYNX"/>
    <s v="5+"/>
    <x v="0"/>
    <n v="0"/>
    <n v="0"/>
    <n v="0"/>
    <n v="0"/>
    <n v="0"/>
    <n v="0"/>
    <x v="29"/>
    <n v="0"/>
    <n v="0"/>
    <n v="0"/>
    <n v="0"/>
    <n v="0"/>
    <n v="0"/>
    <n v="0"/>
    <n v="0"/>
    <n v="0"/>
    <n v="0"/>
    <n v="0"/>
    <x v="0"/>
    <n v="1000"/>
    <n v="35"/>
  </r>
  <r>
    <x v="122"/>
    <x v="0"/>
    <s v="4052-021-017"/>
    <s v="13927 Chadron Ave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0"/>
    <n v="55"/>
    <n v="35"/>
  </r>
  <r>
    <x v="123"/>
    <x v="1"/>
    <s v="366-10-061, -126"/>
    <s v="1655 S De Anza Blvd"/>
    <s v="5+"/>
    <x v="1"/>
    <n v="0"/>
    <n v="0"/>
    <n v="0"/>
    <n v="0"/>
    <n v="1"/>
    <n v="0"/>
    <x v="0"/>
    <n v="0"/>
    <n v="0"/>
    <n v="0"/>
    <n v="0"/>
    <n v="0"/>
    <n v="0"/>
    <n v="0"/>
    <n v="0"/>
    <n v="0"/>
    <n v="0"/>
    <n v="0"/>
    <x v="0"/>
    <m/>
    <n v="36"/>
  </r>
  <r>
    <x v="123"/>
    <x v="1"/>
    <s v="366-10-061, -126"/>
    <s v="1655 S De Anza Blvd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36"/>
  </r>
  <r>
    <x v="62"/>
    <x v="3"/>
    <s v="0718020"/>
    <s v="921 OFARRELL ST"/>
    <s v="5+"/>
    <x v="0"/>
    <n v="0"/>
    <n v="0"/>
    <n v="10"/>
    <n v="0"/>
    <n v="5"/>
    <n v="0"/>
    <x v="0"/>
    <n v="0"/>
    <n v="0"/>
    <n v="0"/>
    <n v="0"/>
    <n v="0"/>
    <n v="0"/>
    <n v="0"/>
    <n v="0"/>
    <n v="0"/>
    <n v="0"/>
    <n v="0"/>
    <x v="0"/>
    <m/>
    <n v="0"/>
  </r>
  <r>
    <x v="62"/>
    <x v="3"/>
    <n v="3212023"/>
    <s v="350 OCEAN AVE"/>
    <s v="5+"/>
    <x v="0"/>
    <n v="2"/>
    <n v="0"/>
    <n v="2"/>
    <n v="0"/>
    <n v="2"/>
    <n v="0"/>
    <x v="0"/>
    <n v="0"/>
    <n v="0"/>
    <n v="0"/>
    <n v="0"/>
    <n v="0"/>
    <n v="0"/>
    <n v="0"/>
    <n v="0"/>
    <n v="0"/>
    <n v="0"/>
    <n v="0"/>
    <x v="1"/>
    <m/>
    <n v="0"/>
  </r>
  <r>
    <x v="62"/>
    <x v="3"/>
    <n v="7535108"/>
    <s v="5367 DIAMOND HEIGHTS BLVD"/>
    <s v="5+"/>
    <x v="1"/>
    <n v="2"/>
    <n v="0"/>
    <n v="2"/>
    <n v="0"/>
    <n v="2"/>
    <n v="0"/>
    <x v="0"/>
    <n v="0"/>
    <n v="0"/>
    <n v="0"/>
    <n v="0"/>
    <n v="0"/>
    <n v="0"/>
    <n v="0"/>
    <n v="0"/>
    <n v="0"/>
    <n v="0"/>
    <n v="0"/>
    <x v="0"/>
    <m/>
    <s v="32.399999999999999"/>
  </r>
  <r>
    <x v="62"/>
    <x v="3"/>
    <n v="1797007"/>
    <s v="1360 43RD AV"/>
    <s v="5+"/>
    <x v="0"/>
    <n v="0"/>
    <n v="0"/>
    <n v="0"/>
    <n v="0"/>
    <n v="0"/>
    <n v="0"/>
    <x v="15"/>
    <n v="0"/>
    <n v="47"/>
    <n v="0"/>
    <n v="67"/>
    <n v="0"/>
    <n v="0"/>
    <n v="0"/>
    <n v="0"/>
    <n v="0"/>
    <n v="0"/>
    <n v="0"/>
    <x v="0"/>
    <m/>
    <n v="35"/>
  </r>
  <r>
    <x v="62"/>
    <x v="3"/>
    <s v="4591D154"/>
    <s v="888 LA SALLE AV"/>
    <s v="5+"/>
    <x v="0"/>
    <n v="0"/>
    <n v="0"/>
    <n v="0"/>
    <n v="0"/>
    <n v="0"/>
    <n v="0"/>
    <x v="3"/>
    <n v="0"/>
    <n v="3"/>
    <n v="0"/>
    <n v="1"/>
    <n v="0"/>
    <n v="0"/>
    <n v="0"/>
    <n v="0"/>
    <n v="0"/>
    <n v="0"/>
    <n v="0"/>
    <x v="1"/>
    <m/>
    <n v="0"/>
  </r>
  <r>
    <x v="62"/>
    <x v="3"/>
    <n v="3505032"/>
    <s v="1 BRADY ST"/>
    <s v="5+"/>
    <x v="0"/>
    <n v="0"/>
    <n v="0"/>
    <n v="0"/>
    <n v="0"/>
    <n v="0"/>
    <n v="0"/>
    <x v="0"/>
    <n v="0"/>
    <n v="0"/>
    <n v="0"/>
    <n v="0"/>
    <n v="0"/>
    <n v="0"/>
    <n v="0"/>
    <n v="58"/>
    <n v="0"/>
    <n v="0"/>
    <n v="0"/>
    <x v="1"/>
    <m/>
    <n v="0"/>
  </r>
  <r>
    <x v="62"/>
    <x v="3"/>
    <s v="0345002"/>
    <s v="145 LEAVENWORTH ST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m/>
    <n v="0"/>
  </r>
  <r>
    <x v="62"/>
    <x v="3"/>
    <n v="2648019"/>
    <s v="4230 18TH ST"/>
    <s v="5+"/>
    <x v="0"/>
    <n v="0"/>
    <n v="0"/>
    <n v="0"/>
    <n v="0"/>
    <n v="0"/>
    <n v="0"/>
    <x v="0"/>
    <n v="0"/>
    <n v="0"/>
    <n v="0"/>
    <n v="0"/>
    <n v="0"/>
    <n v="1"/>
    <n v="0"/>
    <n v="1"/>
    <n v="0"/>
    <n v="1"/>
    <n v="0"/>
    <x v="1"/>
    <m/>
    <n v="0"/>
  </r>
  <r>
    <x v="11"/>
    <x v="1"/>
    <s v="5767-026-039"/>
    <s v="30 Suffolk"/>
    <s v="5+"/>
    <x v="0"/>
    <n v="0"/>
    <n v="0"/>
    <n v="0"/>
    <n v="0"/>
    <n v="1"/>
    <n v="0"/>
    <x v="0"/>
    <n v="0"/>
    <n v="0"/>
    <n v="0"/>
    <n v="1"/>
    <n v="0"/>
    <n v="0"/>
    <n v="0"/>
    <n v="0"/>
    <n v="0"/>
    <n v="1"/>
    <n v="0"/>
    <x v="0"/>
    <m/>
    <n v="15"/>
  </r>
  <r>
    <x v="8"/>
    <x v="3"/>
    <n v="4365600700"/>
    <s v="5559 LAURETTA ST"/>
    <s v="5+"/>
    <x v="1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50"/>
  </r>
  <r>
    <x v="8"/>
    <x v="3"/>
    <n v="5334020100"/>
    <s v="445 W ASH ST"/>
    <s v="5+"/>
    <x v="0"/>
    <n v="0"/>
    <n v="0"/>
    <n v="0"/>
    <n v="0"/>
    <n v="0"/>
    <n v="0"/>
    <x v="66"/>
    <n v="0"/>
    <n v="0"/>
    <n v="0"/>
    <n v="0"/>
    <n v="0"/>
    <n v="0"/>
    <n v="0"/>
    <n v="0"/>
    <n v="0"/>
    <n v="0"/>
    <n v="0"/>
    <x v="0"/>
    <n v="55"/>
    <n v="12"/>
  </r>
  <r>
    <x v="26"/>
    <x v="2"/>
    <s v="153-15-015"/>
    <s v="1001 North Shoreline Boulevard"/>
    <s v="5+"/>
    <x v="0"/>
    <n v="0"/>
    <n v="0"/>
    <n v="3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26"/>
    <x v="2"/>
    <s v="148-17-003"/>
    <s v="2580-2590 California Street"/>
    <s v="5+"/>
    <x v="0"/>
    <n v="0"/>
    <n v="0"/>
    <n v="0"/>
    <n v="0"/>
    <n v="0"/>
    <n v="0"/>
    <x v="0"/>
    <n v="0"/>
    <n v="14"/>
    <n v="0"/>
    <n v="18"/>
    <n v="0"/>
    <n v="0"/>
    <n v="0"/>
    <n v="0"/>
    <n v="0"/>
    <n v="0"/>
    <n v="0"/>
    <x v="1"/>
    <n v="55"/>
    <n v="0"/>
  </r>
  <r>
    <x v="8"/>
    <x v="2"/>
    <s v="-"/>
    <s v="4360 UTAH S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526 LAURETTA ST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4455 LAMONT ST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4473 PENASQUITOS DR"/>
    <s v="5+"/>
    <x v="0"/>
    <n v="0"/>
    <n v="0"/>
    <n v="0"/>
    <n v="0"/>
    <n v="0"/>
    <n v="0"/>
    <x v="10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828 Howard Avenue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0"/>
    <n v="55"/>
    <n v="0"/>
  </r>
  <r>
    <x v="96"/>
    <x v="2"/>
    <s v="47202158T"/>
    <s v="5070 E KINGS CANYON RD 118+"/>
    <s v="5+"/>
    <x v="0"/>
    <n v="0"/>
    <n v="0"/>
    <n v="0"/>
    <n v="0"/>
    <n v="0"/>
    <n v="0"/>
    <x v="0"/>
    <n v="0"/>
    <n v="0"/>
    <n v="0"/>
    <n v="0"/>
    <n v="0"/>
    <n v="29"/>
    <n v="0"/>
    <n v="0"/>
    <n v="0"/>
    <n v="0"/>
    <n v="0"/>
    <x v="0"/>
    <m/>
    <n v="0"/>
  </r>
  <r>
    <x v="72"/>
    <x v="2"/>
    <n v="6440610900"/>
    <s v="1925 AVENIDA ESCAYA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5"/>
    <n v="0"/>
    <x v="1"/>
    <n v="20"/>
    <n v="0"/>
  </r>
  <r>
    <x v="72"/>
    <x v="3"/>
    <n v="6430606100"/>
    <s v="2055 OPTIMA ST"/>
    <s v="5+"/>
    <x v="0"/>
    <n v="0"/>
    <n v="0"/>
    <n v="0"/>
    <n v="0"/>
    <n v="0"/>
    <n v="0"/>
    <x v="67"/>
    <n v="0"/>
    <n v="156"/>
    <n v="0"/>
    <n v="0"/>
    <n v="0"/>
    <n v="0"/>
    <n v="0"/>
    <n v="0"/>
    <n v="0"/>
    <n v="0"/>
    <n v="0"/>
    <x v="1"/>
    <n v="55"/>
    <n v="0"/>
  </r>
  <r>
    <x v="4"/>
    <x v="3"/>
    <s v="053-212-022"/>
    <s v="2730 Mcmillan Ave_x000a_San Luis Obispo, CA 93401"/>
    <s v="5+"/>
    <x v="0"/>
    <n v="0"/>
    <n v="2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54"/>
    <x v="2"/>
    <n v="52082170"/>
    <s v="400 El Camino Real"/>
    <s v="5+"/>
    <x v="0"/>
    <n v="0"/>
    <n v="0"/>
    <n v="0"/>
    <n v="0"/>
    <n v="0"/>
    <n v="0"/>
    <x v="0"/>
    <n v="0"/>
    <n v="3"/>
    <n v="0"/>
    <n v="0"/>
    <n v="0"/>
    <n v="0"/>
    <n v="0"/>
    <n v="0"/>
    <n v="0"/>
    <n v="0"/>
    <n v="0"/>
    <x v="1"/>
    <m/>
    <n v="0"/>
  </r>
  <r>
    <x v="3"/>
    <x v="1"/>
    <n v="5531008016"/>
    <s v="1238 FORMOSA AVE"/>
    <s v="5+"/>
    <x v="1"/>
    <n v="0"/>
    <n v="0"/>
    <n v="0"/>
    <n v="0"/>
    <n v="0"/>
    <n v="0"/>
    <x v="17"/>
    <n v="0"/>
    <n v="0"/>
    <n v="0"/>
    <n v="1"/>
    <n v="0"/>
    <n v="0"/>
    <n v="0"/>
    <n v="0"/>
    <n v="0"/>
    <n v="0"/>
    <n v="0"/>
    <x v="0"/>
    <n v="1000"/>
    <n v="50"/>
  </r>
  <r>
    <x v="110"/>
    <x v="3"/>
    <n v="694130017"/>
    <s v="73500 Dick Kelly"/>
    <s v="5+"/>
    <x v="0"/>
    <n v="139"/>
    <n v="0"/>
    <n v="35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85"/>
    <x v="0"/>
    <s v="208-870-028"/>
    <s v="18106 Argento Loop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0"/>
    <n v="0"/>
  </r>
  <r>
    <x v="85"/>
    <x v="0"/>
    <s v="208-870-031"/>
    <s v="18112 Argento Loop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10"/>
    <s v="32108 Via Vicenza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87"/>
    <s v="65112 Via Vicenza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0"/>
    <n v="0"/>
  </r>
  <r>
    <x v="124"/>
    <x v="2"/>
    <s v="025-311-014"/>
    <s v="16 W MISSION ST, SANTA BARBARA, CA 93101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104"/>
    <x v="3"/>
    <s v="810 66 012"/>
    <s v="1520 Hecker Pass Hwy"/>
    <s v="5+"/>
    <x v="0"/>
    <n v="20"/>
    <n v="0"/>
    <n v="79"/>
    <n v="0"/>
    <n v="0"/>
    <n v="1"/>
    <x v="15"/>
    <n v="0"/>
    <n v="79"/>
    <n v="0"/>
    <n v="0"/>
    <n v="1"/>
    <n v="0"/>
    <n v="0"/>
    <n v="0"/>
    <n v="0"/>
    <n v="0"/>
    <n v="0"/>
    <x v="0"/>
    <n v="55"/>
    <n v="100"/>
  </r>
  <r>
    <x v="110"/>
    <x v="3"/>
    <n v="694120028"/>
    <s v="74846 Gerald Ford Drive"/>
    <s v="5+"/>
    <x v="0"/>
    <n v="193"/>
    <n v="0"/>
    <n v="46"/>
    <n v="0"/>
    <n v="0"/>
    <n v="0"/>
    <x v="0"/>
    <n v="0"/>
    <n v="0"/>
    <n v="0"/>
    <n v="0"/>
    <n v="0"/>
    <n v="0"/>
    <n v="0"/>
    <n v="0"/>
    <n v="0"/>
    <n v="0"/>
    <n v="0"/>
    <x v="0"/>
    <n v="55"/>
    <n v="5"/>
  </r>
  <r>
    <x v="85"/>
    <x v="3"/>
    <s v="208-860-165"/>
    <s v="77103 Via Vicenza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0"/>
    <n v="0"/>
  </r>
  <r>
    <x v="85"/>
    <x v="3"/>
    <s v="213-120-036"/>
    <s v="6131 Bollinger Canyon Rd."/>
    <s v="5+"/>
    <x v="0"/>
    <n v="29"/>
    <n v="0"/>
    <n v="28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3"/>
    <x v="3"/>
    <n v="4944102400"/>
    <s v="4757 Palm Ave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25"/>
    <x v="0"/>
    <n v="8323022019"/>
    <s v="1321 E Holt"/>
    <s v="5+"/>
    <x v="0"/>
    <n v="94"/>
    <n v="0"/>
    <n v="31"/>
    <n v="0"/>
    <n v="0"/>
    <n v="0"/>
    <x v="0"/>
    <n v="0"/>
    <n v="0"/>
    <n v="0"/>
    <n v="0"/>
    <n v="0"/>
    <n v="0"/>
    <n v="0"/>
    <n v="0"/>
    <n v="0"/>
    <n v="0"/>
    <n v="0"/>
    <x v="0"/>
    <m/>
    <n v="32"/>
  </r>
  <r>
    <x v="10"/>
    <x v="0"/>
    <s v="216-59-003"/>
    <s v="3560 RAMBLA PLACE, SANTA CLARA, CA 95051"/>
    <s v="5+"/>
    <x v="0"/>
    <n v="0"/>
    <n v="0"/>
    <n v="0"/>
    <n v="0"/>
    <n v="0"/>
    <n v="0"/>
    <x v="0"/>
    <n v="0"/>
    <n v="0"/>
    <n v="0"/>
    <n v="0"/>
    <n v="0"/>
    <n v="0"/>
    <n v="0"/>
    <n v="5"/>
    <n v="0"/>
    <n v="42"/>
    <n v="0"/>
    <x v="1"/>
    <m/>
    <n v="0"/>
  </r>
  <r>
    <x v="104"/>
    <x v="5"/>
    <s v="790 66 056"/>
    <s v="71 Cohansey Ave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6 056"/>
    <s v="51 Cohansey Ave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55"/>
    <n v="0"/>
  </r>
  <r>
    <x v="126"/>
    <x v="0"/>
    <s v="6228-003-014 6228-003-013"/>
    <s v="5945-5953 Live Oak St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35"/>
  </r>
  <r>
    <x v="84"/>
    <x v="4"/>
    <s v="025-431-16"/>
    <s v="1255 Martin Street"/>
    <s v="5+"/>
    <x v="0"/>
    <n v="0"/>
    <n v="0"/>
    <n v="48"/>
    <n v="0"/>
    <n v="0"/>
    <n v="0"/>
    <x v="0"/>
    <n v="0"/>
    <n v="0"/>
    <n v="0"/>
    <n v="0"/>
    <n v="0"/>
    <n v="0"/>
    <n v="0"/>
    <n v="0"/>
    <n v="0"/>
    <n v="0"/>
    <n v="0"/>
    <x v="0"/>
    <n v="30"/>
    <n v="0"/>
  </r>
  <r>
    <x v="72"/>
    <x v="2"/>
    <n v="6440610900"/>
    <s v="1955 VIA BUENA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5"/>
    <n v="0"/>
    <x v="1"/>
    <n v="20"/>
    <n v="0"/>
  </r>
  <r>
    <x v="110"/>
    <x v="3"/>
    <n v="694190087"/>
    <s v="74699 Technology Drive"/>
    <s v="5+"/>
    <x v="0"/>
    <n v="22"/>
    <n v="0"/>
    <n v="22"/>
    <n v="0"/>
    <n v="22"/>
    <n v="0"/>
    <x v="0"/>
    <n v="0"/>
    <n v="0"/>
    <n v="0"/>
    <n v="0"/>
    <n v="0"/>
    <n v="0"/>
    <n v="0"/>
    <n v="0"/>
    <n v="0"/>
    <n v="0"/>
    <n v="0"/>
    <x v="1"/>
    <n v="55"/>
    <n v="0"/>
  </r>
  <r>
    <x v="110"/>
    <x v="3"/>
    <n v="694520019"/>
    <s v="75700 Gerald Ford Drive"/>
    <s v="5+"/>
    <x v="0"/>
    <n v="30"/>
    <n v="0"/>
    <n v="119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56"/>
    <x v="5"/>
    <s v="72-382-2"/>
    <s v="1521 BUENA VISTA AVE"/>
    <s v="5+"/>
    <x v="1"/>
    <n v="25"/>
    <n v="0"/>
    <n v="20"/>
    <n v="0"/>
    <n v="34"/>
    <n v="0"/>
    <x v="0"/>
    <n v="0"/>
    <n v="0"/>
    <n v="0"/>
    <n v="0"/>
    <n v="0"/>
    <n v="0"/>
    <n v="0"/>
    <n v="0"/>
    <n v="0"/>
    <n v="0"/>
    <n v="0"/>
    <x v="0"/>
    <n v="1000"/>
    <n v="0"/>
  </r>
  <r>
    <x v="56"/>
    <x v="5"/>
    <s v="71-228-1-2"/>
    <s v="2100 Clement"/>
    <s v="5+"/>
    <x v="1"/>
    <n v="0"/>
    <n v="0"/>
    <n v="0"/>
    <n v="0"/>
    <n v="0"/>
    <n v="0"/>
    <x v="0"/>
    <n v="0"/>
    <n v="0"/>
    <n v="0"/>
    <n v="0"/>
    <n v="0"/>
    <n v="3"/>
    <n v="0"/>
    <n v="2"/>
    <n v="0"/>
    <n v="3"/>
    <n v="0"/>
    <x v="1"/>
    <m/>
    <n v="0"/>
  </r>
  <r>
    <x v="75"/>
    <x v="2"/>
    <s v="014183270"/>
    <s v="410 Noor Ave"/>
    <s v="5+"/>
    <x v="0"/>
    <n v="0"/>
    <n v="0"/>
    <n v="17"/>
    <n v="0"/>
    <n v="17"/>
    <n v="0"/>
    <x v="0"/>
    <n v="0"/>
    <n v="0"/>
    <n v="0"/>
    <n v="0"/>
    <n v="0"/>
    <n v="0"/>
    <n v="0"/>
    <n v="0"/>
    <n v="0"/>
    <n v="0"/>
    <n v="0"/>
    <x v="1"/>
    <m/>
    <n v="0"/>
  </r>
  <r>
    <x v="79"/>
    <x v="2"/>
    <s v="040030880"/>
    <s v="2775 S DELAWARE ST"/>
    <s v="5+"/>
    <x v="0"/>
    <n v="0"/>
    <n v="0"/>
    <n v="0"/>
    <n v="0"/>
    <n v="0"/>
    <n v="0"/>
    <x v="0"/>
    <n v="0"/>
    <n v="0"/>
    <n v="0"/>
    <n v="0"/>
    <n v="0"/>
    <n v="50"/>
    <n v="0"/>
    <n v="17"/>
    <n v="0"/>
    <n v="0"/>
    <n v="0"/>
    <x v="0"/>
    <n v="99"/>
    <n v="0"/>
  </r>
  <r>
    <x v="79"/>
    <x v="2"/>
    <s v="035243090, -140, -160, -170, -190, -200, -210, -220"/>
    <s v="666 Concar Dr"/>
    <s v="5+"/>
    <x v="0"/>
    <n v="7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90"/>
    <x v="3"/>
    <n v="1858717"/>
    <s v="811 22ND ST"/>
    <s v="5+"/>
    <x v="0"/>
    <n v="0"/>
    <n v="0"/>
    <n v="0"/>
    <n v="0"/>
    <n v="0"/>
    <n v="0"/>
    <x v="0"/>
    <n v="0"/>
    <n v="0"/>
    <n v="0"/>
    <n v="0"/>
    <n v="0"/>
    <n v="19"/>
    <n v="0"/>
    <n v="0"/>
    <n v="0"/>
    <n v="0"/>
    <n v="0"/>
    <x v="0"/>
    <n v="55"/>
    <n v="25"/>
  </r>
  <r>
    <x v="99"/>
    <x v="1"/>
    <s v="001-031--003"/>
    <s v="300 Cannery Row"/>
    <s v="5+"/>
    <x v="1"/>
    <n v="0"/>
    <n v="0"/>
    <n v="1"/>
    <n v="0"/>
    <n v="1"/>
    <n v="0"/>
    <x v="0"/>
    <n v="0"/>
    <n v="0"/>
    <n v="0"/>
    <n v="0"/>
    <n v="0"/>
    <n v="0"/>
    <n v="0"/>
    <n v="0"/>
    <n v="0"/>
    <n v="0"/>
    <n v="0"/>
    <x v="1"/>
    <m/>
    <n v="0"/>
  </r>
  <r>
    <x v="85"/>
    <x v="3"/>
    <s v="208-860-190"/>
    <s v="65106 Via Vicenza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0"/>
    <n v="0"/>
  </r>
  <r>
    <x v="26"/>
    <x v="2"/>
    <s v="153-15-015"/>
    <s v="1001 North Shoreline Boulevard"/>
    <s v="5+"/>
    <x v="1"/>
    <n v="0"/>
    <n v="0"/>
    <n v="0"/>
    <n v="0"/>
    <n v="10"/>
    <n v="0"/>
    <x v="0"/>
    <n v="0"/>
    <n v="0"/>
    <n v="0"/>
    <n v="0"/>
    <n v="0"/>
    <n v="0"/>
    <n v="0"/>
    <n v="0"/>
    <n v="0"/>
    <n v="0"/>
    <n v="0"/>
    <x v="1"/>
    <n v="55"/>
    <n v="0"/>
  </r>
  <r>
    <x v="85"/>
    <x v="3"/>
    <s v="208-860-150"/>
    <s v="28109 Argento Loop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0"/>
    <n v="0"/>
  </r>
  <r>
    <x v="66"/>
    <x v="1"/>
    <n v="4031027009"/>
    <s v="3209 W Imperial Hwy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5"/>
  </r>
  <r>
    <x v="66"/>
    <x v="1"/>
    <n v="4021035008"/>
    <s v="521 S Flower St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12.5"/>
  </r>
  <r>
    <x v="54"/>
    <x v="2"/>
    <n v="52082170"/>
    <s v="400 El Camino Real"/>
    <s v="5+"/>
    <x v="0"/>
    <n v="0"/>
    <n v="0"/>
    <n v="0"/>
    <n v="0"/>
    <n v="0"/>
    <n v="0"/>
    <x v="0"/>
    <n v="0"/>
    <n v="3"/>
    <n v="0"/>
    <n v="0"/>
    <n v="0"/>
    <n v="0"/>
    <n v="0"/>
    <n v="0"/>
    <n v="0"/>
    <n v="0"/>
    <n v="0"/>
    <x v="1"/>
    <m/>
    <n v="0"/>
  </r>
  <r>
    <x v="54"/>
    <x v="2"/>
    <n v="52082170"/>
    <s v="400 El Camino Real"/>
    <s v="5+"/>
    <x v="0"/>
    <n v="0"/>
    <n v="0"/>
    <n v="0"/>
    <n v="0"/>
    <n v="0"/>
    <n v="0"/>
    <x v="0"/>
    <n v="0"/>
    <n v="2"/>
    <n v="0"/>
    <n v="0"/>
    <n v="0"/>
    <n v="0"/>
    <n v="0"/>
    <n v="0"/>
    <n v="0"/>
    <n v="0"/>
    <n v="0"/>
    <x v="1"/>
    <m/>
    <n v="0"/>
  </r>
  <r>
    <x v="85"/>
    <x v="3"/>
    <s v="210-520-031"/>
    <s v="9000 Alcosta Blvd."/>
    <s v="5+"/>
    <x v="0"/>
    <n v="26"/>
    <n v="0"/>
    <n v="96"/>
    <n v="0"/>
    <n v="0"/>
    <n v="0"/>
    <x v="4"/>
    <n v="0"/>
    <n v="96"/>
    <n v="0"/>
    <n v="0"/>
    <n v="0"/>
    <n v="0"/>
    <n v="0"/>
    <n v="0"/>
    <n v="0"/>
    <n v="0"/>
    <n v="0"/>
    <x v="0"/>
    <n v="55"/>
    <n v="76"/>
  </r>
  <r>
    <x v="10"/>
    <x v="0"/>
    <s v="097-46-002"/>
    <s v="2354 Calle Del Mundo, Santa Clara, CA 95054"/>
    <s v="5+"/>
    <x v="0"/>
    <n v="0"/>
    <n v="0"/>
    <n v="0"/>
    <n v="0"/>
    <n v="7"/>
    <n v="0"/>
    <x v="0"/>
    <n v="0"/>
    <n v="0"/>
    <n v="0"/>
    <n v="0"/>
    <n v="0"/>
    <n v="0"/>
    <n v="0"/>
    <n v="0"/>
    <n v="0"/>
    <n v="0"/>
    <n v="0"/>
    <x v="1"/>
    <n v="55"/>
    <n v="0"/>
  </r>
  <r>
    <x v="85"/>
    <x v="0"/>
    <s v="208-860-130"/>
    <s v="20112 Argento Loop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0"/>
    <n v="0"/>
  </r>
  <r>
    <x v="10"/>
    <x v="0"/>
    <s v="097-46-024"/>
    <s v="2302 CALLE DEL MUNDO, SANTA CLARA, CA 95054"/>
    <s v="5+"/>
    <x v="0"/>
    <n v="32"/>
    <n v="0"/>
    <n v="102"/>
    <n v="0"/>
    <n v="15"/>
    <n v="0"/>
    <x v="0"/>
    <n v="0"/>
    <n v="0"/>
    <n v="0"/>
    <n v="0"/>
    <n v="0"/>
    <n v="0"/>
    <n v="0"/>
    <n v="0"/>
    <n v="0"/>
    <n v="0"/>
    <n v="0"/>
    <x v="1"/>
    <n v="55"/>
    <n v="0"/>
  </r>
  <r>
    <x v="104"/>
    <x v="5"/>
    <s v="790 66 056"/>
    <s v="21 Cohansey Ave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6 056"/>
    <s v="11 Cohansey Ave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5 092"/>
    <s v="325 Cohansey Ave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55"/>
    <n v="0"/>
  </r>
  <r>
    <x v="127"/>
    <x v="2"/>
    <s v="220-0--323-445"/>
    <s v="1375 E CHANNEL ISLANDS BLVD"/>
    <s v="5+"/>
    <x v="0"/>
    <n v="0"/>
    <n v="0"/>
    <n v="0"/>
    <n v="0"/>
    <n v="0"/>
    <n v="0"/>
    <x v="0"/>
    <n v="0"/>
    <n v="0"/>
    <n v="0"/>
    <n v="0"/>
    <n v="0"/>
    <n v="6"/>
    <n v="0"/>
    <n v="0"/>
    <n v="0"/>
    <n v="0"/>
    <n v="0"/>
    <x v="0"/>
    <n v="55"/>
    <n v="0"/>
  </r>
  <r>
    <x v="127"/>
    <x v="2"/>
    <s v="139-0-610-175"/>
    <s v="2640 WAGON WHEEL"/>
    <s v="5+"/>
    <x v="0"/>
    <n v="0"/>
    <n v="0"/>
    <n v="0"/>
    <n v="0"/>
    <n v="0"/>
    <n v="0"/>
    <x v="0"/>
    <n v="0"/>
    <n v="0"/>
    <n v="0"/>
    <n v="43"/>
    <n v="0"/>
    <n v="0"/>
    <n v="0"/>
    <n v="0"/>
    <n v="0"/>
    <n v="0"/>
    <n v="0"/>
    <x v="1"/>
    <n v="55"/>
    <n v="0"/>
  </r>
  <r>
    <x v="38"/>
    <x v="3"/>
    <s v="005-152-17"/>
    <s v="818 PACIFIC AVE"/>
    <s v="5+"/>
    <x v="0"/>
    <n v="0"/>
    <n v="0"/>
    <n v="0"/>
    <n v="0"/>
    <n v="0"/>
    <n v="0"/>
    <x v="18"/>
    <n v="0"/>
    <n v="10"/>
    <n v="0"/>
    <n v="0"/>
    <n v="0"/>
    <n v="0"/>
    <n v="0"/>
    <n v="0"/>
    <n v="0"/>
    <n v="0"/>
    <n v="0"/>
    <x v="1"/>
    <n v="1000"/>
    <n v="0"/>
  </r>
  <r>
    <x v="38"/>
    <x v="3"/>
    <s v="010-551-08"/>
    <s v="350 OCEAN ST"/>
    <s v="5+"/>
    <x v="0"/>
    <n v="0"/>
    <n v="0"/>
    <n v="0"/>
    <n v="0"/>
    <n v="0"/>
    <n v="0"/>
    <x v="0"/>
    <n v="0"/>
    <n v="0"/>
    <n v="0"/>
    <n v="0"/>
    <n v="0"/>
    <n v="62"/>
    <n v="0"/>
    <n v="0"/>
    <n v="0"/>
    <n v="0"/>
    <n v="0"/>
    <x v="1"/>
    <m/>
    <n v="0"/>
  </r>
  <r>
    <x v="4"/>
    <x v="3"/>
    <s v="004-961-087"/>
    <s v="1241 Laurel Ln_x000a_San Luis Obispo, CA 93401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20"/>
  </r>
  <r>
    <x v="8"/>
    <x v="2"/>
    <s v="-"/>
    <s v="4551 HAMILTON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645 ULRIC ST"/>
    <s v="5+"/>
    <x v="0"/>
    <n v="0"/>
    <n v="0"/>
    <n v="0"/>
    <n v="0"/>
    <n v="0"/>
    <n v="0"/>
    <x v="68"/>
    <n v="0"/>
    <n v="11"/>
    <n v="0"/>
    <n v="0"/>
    <n v="0"/>
    <n v="0"/>
    <n v="0"/>
    <n v="0"/>
    <n v="0"/>
    <n v="0"/>
    <n v="0"/>
    <x v="0"/>
    <n v="55"/>
    <n v="0"/>
  </r>
  <r>
    <x v="8"/>
    <x v="2"/>
    <s v="-"/>
    <s v="2629 EL CAJON BL"/>
    <s v="5+"/>
    <x v="0"/>
    <n v="0"/>
    <n v="0"/>
    <n v="0"/>
    <n v="0"/>
    <n v="0"/>
    <n v="0"/>
    <x v="0"/>
    <n v="0"/>
    <n v="5"/>
    <n v="0"/>
    <n v="0"/>
    <n v="0"/>
    <n v="0"/>
    <n v="0"/>
    <n v="0"/>
    <n v="0"/>
    <n v="0"/>
    <n v="0"/>
    <x v="0"/>
    <n v="55"/>
    <n v="0"/>
  </r>
  <r>
    <x v="128"/>
    <x v="1"/>
    <s v="415 023008100"/>
    <s v="22447 RUBY ST, CASTRO VALLEY, CA 94546"/>
    <s v="5+"/>
    <x v="0"/>
    <n v="0"/>
    <n v="0"/>
    <n v="0"/>
    <n v="0"/>
    <n v="0"/>
    <n v="0"/>
    <x v="69"/>
    <n v="0"/>
    <n v="36"/>
    <n v="0"/>
    <n v="0"/>
    <n v="0"/>
    <n v="0"/>
    <n v="0"/>
    <n v="0"/>
    <n v="0"/>
    <n v="0"/>
    <n v="0"/>
    <x v="0"/>
    <n v="55"/>
    <s v="10.800000000000001"/>
  </r>
  <r>
    <x v="110"/>
    <x v="1"/>
    <n v="694310006"/>
    <s v="36101 VITALIA WAY"/>
    <s v="5+"/>
    <x v="0"/>
    <n v="0"/>
    <n v="0"/>
    <n v="0"/>
    <n v="0"/>
    <n v="0"/>
    <n v="0"/>
    <x v="50"/>
    <n v="0"/>
    <n v="2"/>
    <n v="0"/>
    <n v="2"/>
    <n v="0"/>
    <n v="0"/>
    <n v="0"/>
    <n v="0"/>
    <n v="0"/>
    <n v="0"/>
    <n v="0"/>
    <x v="0"/>
    <n v="55"/>
    <n v="12.5"/>
  </r>
  <r>
    <x v="110"/>
    <x v="1"/>
    <n v="694130017"/>
    <s v="73501 DICK KELLY DR"/>
    <s v="5+"/>
    <x v="0"/>
    <n v="0"/>
    <n v="0"/>
    <n v="0"/>
    <n v="0"/>
    <n v="0"/>
    <n v="0"/>
    <x v="21"/>
    <n v="0"/>
    <n v="3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x v="21"/>
    <n v="0"/>
    <n v="3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x v="21"/>
    <n v="0"/>
    <n v="3"/>
    <n v="0"/>
    <n v="0"/>
    <n v="0"/>
    <n v="0"/>
    <n v="0"/>
    <n v="0"/>
    <n v="0"/>
    <n v="0"/>
    <n v="0"/>
    <x v="1"/>
    <n v="55"/>
    <n v="0"/>
  </r>
  <r>
    <x v="129"/>
    <x v="1"/>
    <s v="4137-001-031 4137-001-027"/>
    <s v="401 Rosecrans Avenue_x000a_3770 Highland Avenue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51"/>
  </r>
  <r>
    <x v="56"/>
    <x v="5"/>
    <s v="72-380-13"/>
    <s v="1301 Buena Vista"/>
    <s v="5+"/>
    <x v="0"/>
    <n v="0"/>
    <n v="0"/>
    <n v="0"/>
    <n v="0"/>
    <n v="0"/>
    <n v="0"/>
    <x v="0"/>
    <n v="0"/>
    <n v="0"/>
    <n v="0"/>
    <n v="0"/>
    <n v="0"/>
    <n v="31"/>
    <n v="0"/>
    <n v="0"/>
    <n v="0"/>
    <n v="0"/>
    <n v="0"/>
    <x v="1"/>
    <m/>
    <n v="0"/>
  </r>
  <r>
    <x v="75"/>
    <x v="2"/>
    <s v="012232140"/>
    <s v="645 Baden Ave"/>
    <s v="5+"/>
    <x v="1"/>
    <n v="0"/>
    <n v="0"/>
    <n v="0"/>
    <n v="0"/>
    <n v="2"/>
    <n v="0"/>
    <x v="0"/>
    <n v="0"/>
    <n v="0"/>
    <n v="0"/>
    <n v="0"/>
    <n v="0"/>
    <n v="0"/>
    <n v="0"/>
    <n v="0"/>
    <n v="0"/>
    <n v="0"/>
    <n v="0"/>
    <x v="1"/>
    <n v="55"/>
    <n v="0"/>
  </r>
  <r>
    <x v="130"/>
    <x v="3"/>
    <s v="8507002034 8507002035 8507002033 8507002039 8507002038 8507002907 8507002908"/>
    <s v="123 West Pomona Avenue; 137 West Pomona Avenue; 141 West Pomona Avenue; 1528 South Primrose Avenue; 1532 South Primrose Avenue"/>
    <s v="5+"/>
    <x v="0"/>
    <n v="0"/>
    <n v="0"/>
    <n v="0"/>
    <n v="0"/>
    <n v="0"/>
    <n v="0"/>
    <x v="21"/>
    <n v="0"/>
    <n v="0"/>
    <n v="0"/>
    <n v="12"/>
    <n v="0"/>
    <n v="0"/>
    <n v="0"/>
    <n v="0"/>
    <n v="0"/>
    <n v="0"/>
    <n v="0"/>
    <x v="0"/>
    <n v="55"/>
    <n v="5"/>
  </r>
  <r>
    <x v="79"/>
    <x v="2"/>
    <s v="034182150"/>
    <s v="406 E 3RD AVE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1"/>
    <n v="1000"/>
    <n v="0"/>
  </r>
  <r>
    <x v="85"/>
    <x v="2"/>
    <s v="208-870-004"/>
    <s v="10103 Almeria Way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0"/>
    <n v="0"/>
  </r>
  <r>
    <x v="85"/>
    <x v="2"/>
    <s v="208-870-029"/>
    <s v="18106 Argento Loop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0"/>
    <n v="0"/>
  </r>
  <r>
    <x v="131"/>
    <x v="1"/>
    <s v="054 171400501"/>
    <s v="2712 Telegraph Ave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46"/>
  </r>
  <r>
    <x v="131"/>
    <x v="1"/>
    <s v="057 208700500"/>
    <s v="1820 San Pablo Ave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0"/>
  </r>
  <r>
    <x v="131"/>
    <x v="1"/>
    <s v="055 189401500"/>
    <s v="2028 Bancroft Way"/>
    <s v="5+"/>
    <x v="0"/>
    <n v="2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1000"/>
    <n v="23"/>
  </r>
  <r>
    <x v="131"/>
    <x v="1"/>
    <s v="055 189600500"/>
    <s v="2440 Shattuck Ave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1000"/>
    <n v="33"/>
  </r>
  <r>
    <x v="131"/>
    <x v="1"/>
    <s v="057 207300500"/>
    <s v="1367 University Ave"/>
    <s v="5+"/>
    <x v="0"/>
    <n v="5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m/>
    <n v="35"/>
  </r>
  <r>
    <x v="131"/>
    <x v="1"/>
    <s v="057 203400800"/>
    <s v="2023 Shattuck Ave"/>
    <s v="5+"/>
    <x v="0"/>
    <n v="4"/>
    <n v="0"/>
    <n v="0"/>
    <n v="0"/>
    <n v="0"/>
    <n v="0"/>
    <x v="0"/>
    <n v="0"/>
    <n v="0"/>
    <n v="0"/>
    <n v="0"/>
    <n v="0"/>
    <n v="4"/>
    <n v="0"/>
    <n v="0"/>
    <n v="0"/>
    <n v="0"/>
    <n v="0"/>
    <x v="0"/>
    <n v="1000"/>
    <n v="35"/>
  </r>
  <r>
    <x v="131"/>
    <x v="1"/>
    <s v="052 157408100"/>
    <s v="3031 Telegraph Ave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2"/>
  </r>
  <r>
    <x v="131"/>
    <x v="1"/>
    <s v="058 212901700"/>
    <s v="1701 San Pablo; 1700-01 SPA, 1150 Franciosco"/>
    <s v="5+"/>
    <x v="0"/>
    <n v="32"/>
    <n v="0"/>
    <n v="48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131"/>
    <x v="1"/>
    <s v="055 183500901"/>
    <s v="2650 Telegraph Ave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1000"/>
    <n v="35"/>
  </r>
  <r>
    <x v="131"/>
    <x v="1"/>
    <s v="055 184702000"/>
    <s v="2555 College Ave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46"/>
  </r>
  <r>
    <x v="26"/>
    <x v="2"/>
    <s v="148-16-008"/>
    <s v="2645-2655 Fayette Drive"/>
    <s v="5+"/>
    <x v="1"/>
    <n v="4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2"/>
    <x v="2"/>
    <s v="107-180-11"/>
    <s v="15162 JACKSON ST, MIDWAY CITY"/>
    <s v="5+"/>
    <x v="1"/>
    <n v="6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411 EL CAJON BL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124"/>
    <x v="3"/>
    <s v="017-252-009"/>
    <s v="210 S VOLUNTARIO St, SANTA BARBARA, CA 93103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24"/>
    <x v="3"/>
    <s v="029-072-013"/>
    <s v="215 E VICTORIA ST, SANTA BARBARA, CA"/>
    <s v="5+"/>
    <x v="0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1"/>
    <m/>
    <n v="0"/>
  </r>
  <r>
    <x v="131"/>
    <x v="5"/>
    <s v="055 188802700"/>
    <s v="2236 Channing Way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1"/>
    <n v="3548016"/>
    <s v="1500 15TH ST"/>
    <s v="5+"/>
    <x v="0"/>
    <n v="19"/>
    <n v="0"/>
    <n v="7"/>
    <n v="0"/>
    <n v="6"/>
    <n v="0"/>
    <x v="0"/>
    <n v="0"/>
    <n v="0"/>
    <n v="0"/>
    <n v="0"/>
    <n v="0"/>
    <n v="0"/>
    <n v="0"/>
    <n v="0"/>
    <n v="0"/>
    <n v="0"/>
    <n v="0"/>
    <x v="0"/>
    <n v="99"/>
    <n v="34.5"/>
  </r>
  <r>
    <x v="62"/>
    <x v="1"/>
    <s v="0637016"/>
    <s v="2395 SACRAMENTO ST"/>
    <s v="5+"/>
    <x v="1"/>
    <n v="1"/>
    <n v="0"/>
    <n v="1"/>
    <n v="0"/>
    <n v="1"/>
    <n v="0"/>
    <x v="0"/>
    <n v="0"/>
    <n v="0"/>
    <n v="0"/>
    <n v="0"/>
    <n v="0"/>
    <n v="0"/>
    <n v="0"/>
    <n v="0"/>
    <n v="0"/>
    <n v="0"/>
    <n v="0"/>
    <x v="0"/>
    <n v="99"/>
    <s v="26.300000000000001"/>
  </r>
  <r>
    <x v="62"/>
    <x v="1"/>
    <n v="1809028"/>
    <s v="1406 45TH AV"/>
    <s v="5+"/>
    <x v="0"/>
    <n v="0"/>
    <n v="0"/>
    <n v="0"/>
    <n v="0"/>
    <n v="0"/>
    <n v="0"/>
    <x v="0"/>
    <n v="0"/>
    <n v="4"/>
    <n v="0"/>
    <n v="1"/>
    <n v="0"/>
    <n v="0"/>
    <n v="0"/>
    <n v="0"/>
    <n v="0"/>
    <n v="0"/>
    <n v="0"/>
    <x v="1"/>
    <n v="99"/>
    <n v="0"/>
  </r>
  <r>
    <x v="66"/>
    <x v="1"/>
    <n v="4016001026"/>
    <s v="327 E Plymouth St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0"/>
  </r>
  <r>
    <x v="62"/>
    <x v="1"/>
    <n v="3995015"/>
    <s v="603 TENNESSEE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3"/>
    <n v="0"/>
    <x v="1"/>
    <n v="99"/>
    <n v="0"/>
  </r>
  <r>
    <x v="62"/>
    <x v="1"/>
    <n v="2515001"/>
    <s v="2898 SLOAT BL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99"/>
    <n v="0"/>
  </r>
  <r>
    <x v="72"/>
    <x v="2"/>
    <n v="6440610900"/>
    <s v="1150 CAMINO PUENT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5"/>
    <n v="0"/>
    <x v="1"/>
    <n v="20"/>
    <n v="0"/>
  </r>
  <r>
    <x v="72"/>
    <x v="2"/>
    <n v="6440610900"/>
    <s v="1972 VIA BUENA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5"/>
    <n v="0"/>
    <x v="1"/>
    <n v="20"/>
    <n v="0"/>
  </r>
  <r>
    <x v="8"/>
    <x v="2"/>
    <s v="-"/>
    <s v="9801 SYDNEY LN"/>
    <s v="5+"/>
    <x v="0"/>
    <n v="0"/>
    <n v="0"/>
    <n v="0"/>
    <n v="0"/>
    <n v="0"/>
    <n v="0"/>
    <x v="0"/>
    <n v="0"/>
    <n v="32"/>
    <n v="0"/>
    <n v="0"/>
    <n v="0"/>
    <n v="0"/>
    <n v="0"/>
    <n v="0"/>
    <n v="0"/>
    <n v="0"/>
    <n v="0"/>
    <x v="1"/>
    <n v="55"/>
    <n v="0"/>
  </r>
  <r>
    <x v="8"/>
    <x v="2"/>
    <s v="-"/>
    <s v="922-944 Euclid Avenue"/>
    <s v="5+"/>
    <x v="0"/>
    <n v="0"/>
    <n v="0"/>
    <n v="0"/>
    <n v="0"/>
    <n v="0"/>
    <n v="0"/>
    <x v="70"/>
    <n v="0"/>
    <n v="82"/>
    <n v="0"/>
    <n v="0"/>
    <n v="0"/>
    <n v="0"/>
    <n v="0"/>
    <n v="0"/>
    <n v="0"/>
    <n v="0"/>
    <n v="0"/>
    <x v="1"/>
    <n v="55"/>
    <n v="0"/>
  </r>
  <r>
    <x v="33"/>
    <x v="1"/>
    <n v="25280480"/>
    <s v="30 INGOLD RD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6"/>
    <x v="1"/>
    <s v="71-291-10-3"/>
    <s v="2141 STANFORD ST"/>
    <s v="5+"/>
    <x v="1"/>
    <n v="1"/>
    <n v="0"/>
    <n v="0"/>
    <n v="0"/>
    <n v="0"/>
    <n v="0"/>
    <x v="3"/>
    <n v="0"/>
    <n v="0"/>
    <n v="0"/>
    <n v="0"/>
    <n v="0"/>
    <n v="0"/>
    <n v="0"/>
    <n v="0"/>
    <n v="0"/>
    <n v="0"/>
    <n v="0"/>
    <x v="0"/>
    <m/>
    <n v="20"/>
  </r>
  <r>
    <x v="43"/>
    <x v="3"/>
    <s v="501-031-029"/>
    <s v="3330 N. Indian Canyon"/>
    <s v="5+"/>
    <x v="0"/>
    <n v="24"/>
    <n v="0"/>
    <n v="35"/>
    <n v="0"/>
    <n v="0"/>
    <n v="0"/>
    <x v="35"/>
    <n v="0"/>
    <n v="35"/>
    <n v="0"/>
    <n v="0"/>
    <n v="0"/>
    <n v="0"/>
    <n v="0"/>
    <n v="0"/>
    <n v="0"/>
    <n v="0"/>
    <n v="0"/>
    <x v="0"/>
    <n v="55"/>
    <n v="13"/>
  </r>
  <r>
    <x v="85"/>
    <x v="2"/>
    <s v="208-860-016"/>
    <s v="67112 Via Vicenza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0"/>
    <n v="0"/>
  </r>
  <r>
    <x v="108"/>
    <x v="3"/>
    <s v="144-320-015, 144-320-016, 144-320-017"/>
    <m/>
    <s v="5+"/>
    <x v="0"/>
    <n v="8"/>
    <n v="0"/>
    <n v="3"/>
    <n v="0"/>
    <n v="8"/>
    <n v="0"/>
    <x v="0"/>
    <n v="0"/>
    <n v="0"/>
    <n v="0"/>
    <n v="0"/>
    <n v="0"/>
    <n v="0"/>
    <n v="0"/>
    <n v="0"/>
    <n v="0"/>
    <n v="0"/>
    <n v="0"/>
    <x v="0"/>
    <n v="55"/>
    <n v="100"/>
  </r>
  <r>
    <x v="133"/>
    <x v="1"/>
    <n v="8401021003"/>
    <s v="21332 E Arrow Highway, Covina CA 91724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133"/>
    <x v="1"/>
    <n v="8571006041"/>
    <s v="4430 E Live Oak Avenue, Arcadia CA 91006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58.299999999999997"/>
  </r>
  <r>
    <x v="133"/>
    <x v="1"/>
    <n v="5279022011"/>
    <s v="1264 San Gabriel Boulevard, Rosemead CA 91770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51.200000000000003"/>
  </r>
  <r>
    <x v="133"/>
    <x v="1"/>
    <n v="8206010077"/>
    <s v="162 S 3rd Ave, La Puente, CA 91746"/>
    <s v="5+"/>
    <x v="0"/>
    <n v="0"/>
    <n v="0"/>
    <n v="0"/>
    <n v="0"/>
    <n v="0"/>
    <n v="0"/>
    <x v="0"/>
    <n v="0"/>
    <n v="0"/>
    <n v="0"/>
    <n v="0"/>
    <n v="0"/>
    <n v="0"/>
    <n v="0"/>
    <n v="70"/>
    <n v="0"/>
    <n v="10"/>
    <n v="0"/>
    <x v="0"/>
    <n v="55"/>
    <n v="61"/>
  </r>
  <r>
    <x v="133"/>
    <x v="1"/>
    <n v="5755007007"/>
    <s v="117 S Rosemead Boulevard, Pasadena CA 91107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5"/>
  </r>
  <r>
    <x v="133"/>
    <x v="1"/>
    <n v="5755006023"/>
    <s v="85 S Rosemead Boulevard, Pasadena CA 91107"/>
    <s v="5+"/>
    <x v="0"/>
    <n v="1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49"/>
  </r>
  <r>
    <x v="134"/>
    <x v="3"/>
    <n v="1560180485"/>
    <s v="2804 SOMIS RD, SOMIS, CA"/>
    <s v="5+"/>
    <x v="0"/>
    <n v="0"/>
    <n v="0"/>
    <n v="0"/>
    <n v="0"/>
    <n v="0"/>
    <n v="0"/>
    <x v="35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801 SOMIS RD, SOMIS, CA"/>
    <s v="5+"/>
    <x v="0"/>
    <n v="0"/>
    <n v="0"/>
    <n v="0"/>
    <n v="0"/>
    <n v="0"/>
    <n v="0"/>
    <x v="28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792 SOMIS RD, SOMIS, CA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6 SOMIS RD, SOMIS, CA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8 SOMIS RD, SOMIS, CA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0"/>
    <n v="1000"/>
    <n v="80"/>
  </r>
  <r>
    <x v="135"/>
    <x v="0"/>
    <s v="160-0-093-295"/>
    <s v="Camino Ruiz/Verdugo"/>
    <s v="5+"/>
    <x v="0"/>
    <n v="20"/>
    <n v="0"/>
    <n v="0"/>
    <n v="0"/>
    <n v="20"/>
    <n v="0"/>
    <x v="0"/>
    <n v="0"/>
    <n v="0"/>
    <n v="0"/>
    <n v="0"/>
    <n v="0"/>
    <n v="0"/>
    <n v="0"/>
    <n v="0"/>
    <n v="0"/>
    <n v="0"/>
    <n v="0"/>
    <x v="1"/>
    <n v="55"/>
    <n v="0"/>
  </r>
  <r>
    <x v="105"/>
    <x v="3"/>
    <s v="020-126-160 020-126-080"/>
    <s v="732-740 EL CAMINO REAL"/>
    <s v="5+"/>
    <x v="0"/>
    <n v="7"/>
    <n v="0"/>
    <n v="26"/>
    <n v="0"/>
    <n v="7"/>
    <n v="0"/>
    <x v="0"/>
    <n v="0"/>
    <n v="0"/>
    <n v="0"/>
    <n v="0"/>
    <n v="0"/>
    <n v="0"/>
    <n v="0"/>
    <n v="0"/>
    <n v="0"/>
    <n v="0"/>
    <n v="0"/>
    <x v="0"/>
    <n v="55"/>
    <n v="40"/>
  </r>
  <r>
    <x v="57"/>
    <x v="0"/>
    <n v="5148013004"/>
    <s v="401 E 6TH ST"/>
    <s v="5+"/>
    <x v="0"/>
    <n v="0"/>
    <n v="0"/>
    <n v="0"/>
    <n v="0"/>
    <n v="0"/>
    <n v="0"/>
    <x v="71"/>
    <n v="0"/>
    <n v="10"/>
    <n v="0"/>
    <n v="0"/>
    <n v="0"/>
    <n v="0"/>
    <n v="0"/>
    <n v="0"/>
    <n v="0"/>
    <n v="0"/>
    <n v="0"/>
    <x v="0"/>
    <n v="55"/>
    <n v="0"/>
  </r>
  <r>
    <x v="57"/>
    <x v="0"/>
    <n v="6036011033"/>
    <s v="8701 WESTERN AVE  S  90047"/>
    <s v="5+"/>
    <x v="0"/>
    <n v="0"/>
    <n v="0"/>
    <n v="15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0"/>
    <n v="2241011021"/>
    <s v="14629 W ERWIN ST 1-21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57"/>
    <x v="0"/>
    <n v="2565014031"/>
    <s v="10132 N COMMERCE AVE #1-37"/>
    <s v="5+"/>
    <x v="0"/>
    <n v="0"/>
    <n v="0"/>
    <n v="0"/>
    <n v="0"/>
    <n v="0"/>
    <n v="0"/>
    <x v="5"/>
    <n v="0"/>
    <n v="2"/>
    <n v="0"/>
    <n v="0"/>
    <n v="0"/>
    <n v="0"/>
    <n v="0"/>
    <n v="0"/>
    <n v="0"/>
    <n v="0"/>
    <n v="0"/>
    <x v="0"/>
    <n v="55"/>
    <n v="0"/>
  </r>
  <r>
    <x v="136"/>
    <x v="0"/>
    <s v="554-053-41"/>
    <s v="1703 De Wolf Avenue"/>
    <s v="5+"/>
    <x v="0"/>
    <n v="29"/>
    <n v="0"/>
    <n v="3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7"/>
    <x v="1"/>
    <n v="126120065"/>
    <s v="Ben Maddox Way &amp; K Ave"/>
    <s v="5+"/>
    <x v="0"/>
    <n v="87"/>
    <n v="0"/>
    <n v="202"/>
    <n v="3"/>
    <n v="0"/>
    <n v="0"/>
    <x v="0"/>
    <n v="0"/>
    <n v="0"/>
    <n v="0"/>
    <n v="0"/>
    <n v="0"/>
    <n v="0"/>
    <n v="0"/>
    <n v="0"/>
    <n v="0"/>
    <n v="0"/>
    <n v="0"/>
    <x v="0"/>
    <n v="55"/>
    <n v="80"/>
  </r>
  <r>
    <x v="33"/>
    <x v="1"/>
    <s v="025161110"/>
    <s v="1766 EL CAMINO REAL"/>
    <s v="5+"/>
    <x v="0"/>
    <n v="22"/>
    <n v="0"/>
    <n v="0"/>
    <n v="0"/>
    <n v="0"/>
    <n v="0"/>
    <x v="10"/>
    <n v="0"/>
    <n v="0"/>
    <n v="0"/>
    <n v="0"/>
    <n v="0"/>
    <n v="0"/>
    <n v="0"/>
    <n v="0"/>
    <n v="0"/>
    <n v="0"/>
    <n v="0"/>
    <x v="0"/>
    <n v="55"/>
    <n v="30"/>
  </r>
  <r>
    <x v="94"/>
    <x v="3"/>
    <s v="132-0050-161"/>
    <s v="10149 Bruceville Road"/>
    <s v="5+"/>
    <x v="0"/>
    <n v="80"/>
    <n v="0"/>
    <n v="304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94"/>
    <x v="3"/>
    <n v="13200501610000"/>
    <s v="10129 BRUCEVILLE RD"/>
    <s v="5+"/>
    <x v="0"/>
    <n v="0"/>
    <n v="0"/>
    <n v="0"/>
    <n v="0"/>
    <n v="0"/>
    <n v="0"/>
    <x v="7"/>
    <n v="0"/>
    <n v="22"/>
    <n v="0"/>
    <n v="0"/>
    <n v="0"/>
    <n v="0"/>
    <n v="0"/>
    <n v="0"/>
    <n v="0"/>
    <n v="0"/>
    <n v="0"/>
    <x v="0"/>
    <n v="55"/>
    <n v="0"/>
  </r>
  <r>
    <x v="94"/>
    <x v="3"/>
    <n v="13200501610000"/>
    <s v="10129 BRUCEVILLE RD"/>
    <s v="5+"/>
    <x v="0"/>
    <n v="0"/>
    <n v="0"/>
    <n v="0"/>
    <n v="0"/>
    <n v="0"/>
    <n v="0"/>
    <x v="0"/>
    <n v="0"/>
    <n v="18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x v="0"/>
    <n v="0"/>
    <n v="10"/>
    <n v="0"/>
    <n v="0"/>
    <n v="0"/>
    <n v="0"/>
    <n v="0"/>
    <n v="0"/>
    <n v="0"/>
    <n v="0"/>
    <n v="0"/>
    <x v="0"/>
    <n v="55"/>
    <n v="0"/>
  </r>
  <r>
    <x v="85"/>
    <x v="3"/>
    <s v="208-860-187"/>
    <s v="65112 Via Vicenza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0"/>
    <n v="0"/>
  </r>
  <r>
    <x v="85"/>
    <x v="3"/>
    <s v="208-860-147"/>
    <s v="28103 Argento Loop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0"/>
    <n v="0"/>
  </r>
  <r>
    <x v="10"/>
    <x v="0"/>
    <s v="290-16-018"/>
    <s v="2760 BALL PL, #1, SANTA CLARA, CA 95051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m/>
    <n v="0"/>
  </r>
  <r>
    <x v="104"/>
    <x v="5"/>
    <s v="810 87 062"/>
    <s v="305 Cohansey Ave"/>
    <s v="5+"/>
    <x v="0"/>
    <n v="0"/>
    <n v="0"/>
    <n v="0"/>
    <n v="0"/>
    <n v="0"/>
    <n v="0"/>
    <x v="0"/>
    <n v="0"/>
    <n v="0"/>
    <n v="0"/>
    <n v="0"/>
    <n v="0"/>
    <n v="0"/>
    <n v="0"/>
    <n v="8"/>
    <n v="0"/>
    <n v="0"/>
    <n v="0"/>
    <x v="1"/>
    <n v="55"/>
    <n v="0"/>
  </r>
  <r>
    <x v="138"/>
    <x v="1"/>
    <s v="007-140-07ST"/>
    <s v="1501 Clyde Fannon Rd Bldg A"/>
    <s v="5+"/>
    <x v="0"/>
    <n v="0"/>
    <n v="0"/>
    <n v="0"/>
    <n v="0"/>
    <n v="0"/>
    <n v="0"/>
    <x v="0"/>
    <n v="0"/>
    <n v="8"/>
    <n v="0"/>
    <n v="0"/>
    <n v="0"/>
    <n v="0"/>
    <n v="0"/>
    <n v="0"/>
    <n v="0"/>
    <n v="0"/>
    <n v="0"/>
    <x v="0"/>
    <m/>
    <n v="26"/>
  </r>
  <r>
    <x v="138"/>
    <x v="1"/>
    <s v="007-140-07ST"/>
    <s v="1501 Clyde Fannon Rd Bldg I"/>
    <s v="5+"/>
    <x v="0"/>
    <n v="0"/>
    <n v="0"/>
    <n v="0"/>
    <n v="0"/>
    <n v="0"/>
    <n v="0"/>
    <x v="0"/>
    <n v="0"/>
    <n v="8"/>
    <n v="0"/>
    <n v="0"/>
    <n v="0"/>
    <n v="0"/>
    <n v="0"/>
    <n v="0"/>
    <n v="0"/>
    <n v="0"/>
    <n v="0"/>
    <x v="0"/>
    <m/>
    <n v="26"/>
  </r>
  <r>
    <x v="139"/>
    <x v="1"/>
    <s v="134-132-070"/>
    <s v="3430 Santa Rosa_x000a_Santa Rosa, CA 95403"/>
    <s v="5+"/>
    <x v="0"/>
    <n v="0"/>
    <n v="0"/>
    <n v="0"/>
    <n v="0"/>
    <n v="0"/>
    <n v="0"/>
    <x v="0"/>
    <n v="0"/>
    <n v="10"/>
    <n v="0"/>
    <n v="14"/>
    <n v="0"/>
    <n v="0"/>
    <n v="0"/>
    <n v="10"/>
    <n v="0"/>
    <n v="14"/>
    <n v="0"/>
    <x v="0"/>
    <n v="55"/>
    <n v="10"/>
  </r>
  <r>
    <x v="94"/>
    <x v="3"/>
    <s v="116-1380-005 116-1380-008 116-1380-009 116-1380-010 116-1380-014 116-0011-020 116-0011-021"/>
    <s v="Bruceville Rd at Laguna Blvd"/>
    <s v="5+"/>
    <x v="0"/>
    <n v="60"/>
    <n v="0"/>
    <n v="23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94"/>
    <x v="3"/>
    <s v="115-0161-005, -021"/>
    <s v="8676 Bow Street"/>
    <s v="5+"/>
    <x v="0"/>
    <n v="0"/>
    <n v="0"/>
    <n v="142"/>
    <n v="0"/>
    <n v="0"/>
    <n v="0"/>
    <x v="0"/>
    <n v="0"/>
    <n v="0"/>
    <n v="0"/>
    <n v="0"/>
    <n v="0"/>
    <n v="0"/>
    <n v="0"/>
    <n v="0"/>
    <n v="0"/>
    <n v="0"/>
    <n v="0"/>
    <x v="1"/>
    <n v="30"/>
    <n v="0"/>
  </r>
  <r>
    <x v="94"/>
    <x v="3"/>
    <n v="13200501610000"/>
    <s v="10149 BRUCEVILLE RD"/>
    <s v="5+"/>
    <x v="0"/>
    <n v="0"/>
    <n v="0"/>
    <n v="0"/>
    <n v="0"/>
    <n v="0"/>
    <n v="0"/>
    <x v="0"/>
    <n v="0"/>
    <n v="10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x v="7"/>
    <n v="0"/>
    <n v="30"/>
    <n v="0"/>
    <n v="0"/>
    <n v="0"/>
    <n v="0"/>
    <n v="0"/>
    <n v="0"/>
    <n v="0"/>
    <n v="0"/>
    <n v="0"/>
    <x v="0"/>
    <n v="55"/>
    <n v="0"/>
  </r>
  <r>
    <x v="140"/>
    <x v="1"/>
    <s v="064-081-041-000"/>
    <s v="0 W Beamer Street"/>
    <s v="5+"/>
    <x v="0"/>
    <n v="0"/>
    <n v="0"/>
    <n v="4"/>
    <n v="0"/>
    <n v="0"/>
    <n v="32"/>
    <x v="0"/>
    <n v="0"/>
    <n v="0"/>
    <n v="0"/>
    <n v="0"/>
    <n v="0"/>
    <n v="0"/>
    <n v="0"/>
    <n v="0"/>
    <n v="0"/>
    <n v="0"/>
    <n v="0"/>
    <x v="1"/>
    <m/>
    <n v="0"/>
  </r>
  <r>
    <x v="79"/>
    <x v="2"/>
    <s v="035200220"/>
    <s v="430 STATION PARK CIR"/>
    <s v="5+"/>
    <x v="0"/>
    <n v="0"/>
    <n v="0"/>
    <n v="0"/>
    <n v="0"/>
    <n v="0"/>
    <n v="0"/>
    <x v="0"/>
    <n v="0"/>
    <n v="0"/>
    <n v="0"/>
    <n v="0"/>
    <n v="0"/>
    <n v="12"/>
    <n v="0"/>
    <n v="0"/>
    <n v="0"/>
    <n v="0"/>
    <n v="0"/>
    <x v="1"/>
    <n v="1000"/>
    <n v="0"/>
  </r>
  <r>
    <x v="79"/>
    <x v="2"/>
    <n v="34183060"/>
    <s v="480 E 4TH AVE A"/>
    <s v="5+"/>
    <x v="0"/>
    <n v="107"/>
    <n v="0"/>
    <n v="116"/>
    <n v="0"/>
    <n v="0"/>
    <n v="0"/>
    <x v="0"/>
    <n v="0"/>
    <n v="0"/>
    <n v="0"/>
    <n v="0"/>
    <n v="0"/>
    <n v="0"/>
    <n v="0"/>
    <n v="0"/>
    <n v="0"/>
    <n v="0"/>
    <n v="0"/>
    <x v="0"/>
    <n v="99"/>
    <n v="0"/>
  </r>
  <r>
    <x v="38"/>
    <x v="1"/>
    <s v="005-141-21"/>
    <s v="119 LINCOLN ST"/>
    <s v="5+"/>
    <x v="0"/>
    <n v="78"/>
    <n v="0"/>
    <n v="45"/>
    <n v="0"/>
    <n v="0"/>
    <n v="0"/>
    <x v="0"/>
    <n v="0"/>
    <n v="0"/>
    <n v="0"/>
    <n v="0"/>
    <n v="0"/>
    <n v="0"/>
    <n v="0"/>
    <n v="0"/>
    <n v="0"/>
    <n v="0"/>
    <n v="0"/>
    <x v="0"/>
    <n v="55"/>
    <n v="72"/>
  </r>
  <r>
    <x v="38"/>
    <x v="1"/>
    <s v="003-351-35"/>
    <s v="300 INGALLS ALLEY"/>
    <s v="5+"/>
    <x v="0"/>
    <n v="0"/>
    <n v="0"/>
    <n v="24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141"/>
    <x v="1"/>
    <s v="839-161-17"/>
    <s v="28813 Los Alisos, Unit 7"/>
    <s v="5+"/>
    <x v="1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33"/>
    <x v="5"/>
    <s v="TBD"/>
    <s v="920 Bayswater Ave"/>
    <s v="5+"/>
    <x v="0"/>
    <n v="0"/>
    <n v="0"/>
    <n v="0"/>
    <n v="0"/>
    <n v="13"/>
    <n v="0"/>
    <x v="0"/>
    <n v="0"/>
    <n v="0"/>
    <n v="0"/>
    <n v="0"/>
    <n v="0"/>
    <n v="0"/>
    <n v="0"/>
    <n v="0"/>
    <n v="0"/>
    <n v="0"/>
    <n v="0"/>
    <x v="0"/>
    <n v="30"/>
    <n v="0"/>
  </r>
  <r>
    <x v="72"/>
    <x v="0"/>
    <n v="5733712500"/>
    <s v="795 THIRD AV"/>
    <s v="5+"/>
    <x v="0"/>
    <n v="0"/>
    <n v="0"/>
    <n v="0"/>
    <n v="0"/>
    <n v="0"/>
    <n v="0"/>
    <x v="45"/>
    <n v="0"/>
    <n v="0"/>
    <n v="0"/>
    <n v="0"/>
    <n v="0"/>
    <n v="0"/>
    <n v="0"/>
    <n v="0"/>
    <n v="0"/>
    <n v="0"/>
    <n v="0"/>
    <x v="0"/>
    <n v="55"/>
    <n v="32"/>
  </r>
  <r>
    <x v="54"/>
    <x v="5"/>
    <n v="55170320"/>
    <s v="3639 Haven Ave - Building B"/>
    <s v="5+"/>
    <x v="0"/>
    <n v="0"/>
    <n v="0"/>
    <n v="0"/>
    <n v="0"/>
    <n v="0"/>
    <n v="0"/>
    <x v="0"/>
    <n v="0"/>
    <n v="0"/>
    <n v="0"/>
    <n v="0"/>
    <n v="0"/>
    <n v="7"/>
    <n v="0"/>
    <n v="7"/>
    <n v="0"/>
    <n v="0"/>
    <n v="0"/>
    <x v="1"/>
    <m/>
    <n v="0"/>
  </r>
  <r>
    <x v="20"/>
    <x v="4"/>
    <s v="251-291-028"/>
    <s v="43 N Lotas St."/>
    <s v="5+"/>
    <x v="0"/>
    <n v="0"/>
    <n v="0"/>
    <n v="8"/>
    <n v="0"/>
    <n v="0"/>
    <n v="0"/>
    <x v="0"/>
    <n v="0"/>
    <n v="8"/>
    <n v="0"/>
    <n v="0"/>
    <n v="0"/>
    <n v="0"/>
    <n v="0"/>
    <n v="0"/>
    <n v="0"/>
    <n v="0"/>
    <n v="0"/>
    <x v="0"/>
    <n v="30"/>
    <n v="0"/>
  </r>
  <r>
    <x v="61"/>
    <x v="4"/>
    <s v="022-083-030"/>
    <s v="801 Fassler"/>
    <s v="5+"/>
    <x v="1"/>
    <n v="2"/>
    <n v="0"/>
    <n v="0"/>
    <n v="0"/>
    <n v="2"/>
    <n v="0"/>
    <x v="0"/>
    <n v="0"/>
    <n v="0"/>
    <n v="0"/>
    <n v="0"/>
    <n v="0"/>
    <n v="0"/>
    <n v="0"/>
    <n v="0"/>
    <n v="0"/>
    <n v="0"/>
    <n v="0"/>
    <x v="0"/>
    <n v="45"/>
    <n v="0"/>
  </r>
  <r>
    <x v="127"/>
    <x v="2"/>
    <s v="202-0-183-120"/>
    <s v="800 South A Street"/>
    <s v="5+"/>
    <x v="0"/>
    <n v="3"/>
    <n v="0"/>
    <n v="3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97"/>
    <x v="3"/>
    <n v="2331421300"/>
    <s v="332 S Escondido Blvd"/>
    <s v="5+"/>
    <x v="0"/>
    <n v="0"/>
    <n v="0"/>
    <n v="178"/>
    <n v="0"/>
    <n v="0"/>
    <n v="0"/>
    <x v="0"/>
    <n v="0"/>
    <n v="0"/>
    <n v="0"/>
    <n v="0"/>
    <n v="0"/>
    <n v="0"/>
    <n v="0"/>
    <n v="0"/>
    <n v="0"/>
    <n v="0"/>
    <n v="0"/>
    <x v="0"/>
    <n v="55"/>
    <n v="80"/>
  </r>
  <r>
    <x v="54"/>
    <x v="2"/>
    <n v="71413200"/>
    <s v="201 El Camino Real and 612 Cambridge Avenue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85"/>
    <x v="2"/>
    <s v="208-860-128"/>
    <s v="20106 Argento Loop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0"/>
    <n v="0"/>
  </r>
  <r>
    <x v="142"/>
    <x v="5"/>
    <s v="489 140 08 00"/>
    <s v="395 N First St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43"/>
    <x v="5"/>
    <n v="1602701200"/>
    <s v="3251 ANCHOR WAY"/>
    <s v="5+"/>
    <x v="0"/>
    <n v="0"/>
    <n v="0"/>
    <n v="0"/>
    <n v="0"/>
    <n v="0"/>
    <n v="0"/>
    <x v="0"/>
    <n v="0"/>
    <n v="0"/>
    <n v="0"/>
    <n v="0"/>
    <n v="0"/>
    <n v="10"/>
    <n v="0"/>
    <n v="0"/>
    <n v="0"/>
    <n v="0"/>
    <n v="0"/>
    <x v="1"/>
    <m/>
    <n v="0"/>
  </r>
  <r>
    <x v="143"/>
    <x v="5"/>
    <n v="1602701200"/>
    <s v="3255 SEA COVE WAY"/>
    <s v="5+"/>
    <x v="0"/>
    <n v="0"/>
    <n v="0"/>
    <n v="0"/>
    <n v="0"/>
    <n v="0"/>
    <n v="0"/>
    <x v="0"/>
    <n v="0"/>
    <n v="0"/>
    <n v="0"/>
    <n v="0"/>
    <n v="0"/>
    <n v="10"/>
    <n v="0"/>
    <n v="0"/>
    <n v="0"/>
    <n v="0"/>
    <n v="0"/>
    <x v="1"/>
    <m/>
    <n v="0"/>
  </r>
  <r>
    <x v="144"/>
    <x v="3"/>
    <s v="161-400-009; 161-400-010"/>
    <s v="2200 ARNOLD DR"/>
    <s v="5+"/>
    <x v="0"/>
    <n v="0"/>
    <n v="0"/>
    <n v="9"/>
    <n v="0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64"/>
    <x v="1"/>
    <s v="492-012-088-000"/>
    <s v="2801 N HAYDEN PW, BLDG, CA 2-12"/>
    <s v="5+"/>
    <x v="0"/>
    <n v="0"/>
    <n v="0"/>
    <n v="0"/>
    <n v="0"/>
    <n v="0"/>
    <n v="0"/>
    <x v="72"/>
    <n v="0"/>
    <n v="32"/>
    <n v="0"/>
    <n v="39"/>
    <n v="0"/>
    <n v="0"/>
    <n v="0"/>
    <n v="0"/>
    <n v="0"/>
    <n v="0"/>
    <n v="0"/>
    <x v="0"/>
    <n v="55"/>
    <n v="2"/>
  </r>
  <r>
    <x v="72"/>
    <x v="2"/>
    <n v="6440610900"/>
    <s v="1152 CAMINO DE VIDA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5"/>
    <n v="0"/>
    <x v="1"/>
    <n v="20"/>
    <n v="0"/>
  </r>
  <r>
    <x v="99"/>
    <x v="4"/>
    <s v="001-031--003"/>
    <s v="300 Cannery Row"/>
    <s v="5+"/>
    <x v="1"/>
    <n v="0"/>
    <n v="0"/>
    <n v="1"/>
    <n v="0"/>
    <n v="0"/>
    <n v="1"/>
    <x v="0"/>
    <n v="0"/>
    <n v="0"/>
    <n v="0"/>
    <n v="0"/>
    <n v="0"/>
    <n v="0"/>
    <n v="0"/>
    <n v="0"/>
    <n v="0"/>
    <n v="0"/>
    <n v="0"/>
    <x v="0"/>
    <m/>
    <n v="0"/>
  </r>
  <r>
    <x v="112"/>
    <x v="3"/>
    <n v="125551016"/>
    <s v="2542 OLD STONY POINT RD"/>
    <s v="5+"/>
    <x v="0"/>
    <n v="0"/>
    <n v="0"/>
    <n v="0"/>
    <n v="0"/>
    <n v="0"/>
    <n v="0"/>
    <x v="0"/>
    <n v="0"/>
    <n v="15"/>
    <n v="0"/>
    <n v="0"/>
    <n v="0"/>
    <n v="0"/>
    <n v="0"/>
    <n v="0"/>
    <n v="0"/>
    <n v="0"/>
    <n v="0"/>
    <x v="0"/>
    <n v="55"/>
    <n v="20"/>
  </r>
  <r>
    <x v="112"/>
    <x v="3"/>
    <n v="125521008"/>
    <s v="2270 STONY POINT RD"/>
    <s v="5+"/>
    <x v="0"/>
    <n v="2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5"/>
    <n v="0"/>
  </r>
  <r>
    <x v="113"/>
    <x v="3"/>
    <s v="051200025"/>
    <s v="3566 E 18TH ST"/>
    <s v="5+"/>
    <x v="0"/>
    <n v="0"/>
    <n v="0"/>
    <n v="0"/>
    <n v="0"/>
    <n v="0"/>
    <n v="0"/>
    <x v="0"/>
    <n v="0"/>
    <n v="0"/>
    <n v="0"/>
    <n v="0"/>
    <n v="0"/>
    <n v="5"/>
    <n v="0"/>
    <n v="19"/>
    <n v="0"/>
    <n v="0"/>
    <n v="0"/>
    <x v="0"/>
    <m/>
    <n v="0"/>
  </r>
  <r>
    <x v="136"/>
    <x v="0"/>
    <n v="43060101"/>
    <s v="784 W Holland Ave"/>
    <s v="5+"/>
    <x v="0"/>
    <n v="0"/>
    <n v="0"/>
    <n v="0"/>
    <n v="0"/>
    <n v="0"/>
    <n v="0"/>
    <x v="0"/>
    <n v="0"/>
    <n v="73"/>
    <n v="0"/>
    <n v="0"/>
    <n v="2"/>
    <n v="0"/>
    <n v="0"/>
    <n v="0"/>
    <n v="0"/>
    <n v="0"/>
    <n v="0"/>
    <x v="0"/>
    <n v="55"/>
    <n v="0"/>
  </r>
  <r>
    <x v="137"/>
    <x v="1"/>
    <n v="126850029"/>
    <s v="Lovers Lane &amp; Caldwell Ave"/>
    <s v="5+"/>
    <x v="0"/>
    <n v="102"/>
    <n v="0"/>
    <n v="236"/>
    <n v="4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62"/>
    <x v="0"/>
    <s v="0336006"/>
    <s v="468 TURK ST"/>
    <s v="5+"/>
    <x v="0"/>
    <n v="5"/>
    <n v="0"/>
    <n v="7"/>
    <n v="0"/>
    <n v="6"/>
    <n v="0"/>
    <x v="0"/>
    <n v="0"/>
    <n v="0"/>
    <n v="0"/>
    <n v="0"/>
    <n v="0"/>
    <n v="0"/>
    <n v="0"/>
    <n v="0"/>
    <n v="0"/>
    <n v="0"/>
    <n v="0"/>
    <x v="1"/>
    <n v="1000"/>
    <n v="0"/>
  </r>
  <r>
    <x v="62"/>
    <x v="0"/>
    <s v="0163002"/>
    <s v="425 BROADWAY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121"/>
  </r>
  <r>
    <x v="62"/>
    <x v="0"/>
    <n v="2800005"/>
    <s v="4512 23RD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62"/>
    <x v="0"/>
    <n v="3505008"/>
    <s v="1125 STEVENSON ST"/>
    <s v="5+"/>
    <x v="0"/>
    <n v="0"/>
    <n v="0"/>
    <n v="0"/>
    <n v="0"/>
    <n v="0"/>
    <n v="0"/>
    <x v="0"/>
    <n v="0"/>
    <n v="58"/>
    <n v="0"/>
    <n v="0"/>
    <n v="0"/>
    <n v="0"/>
    <n v="0"/>
    <n v="0"/>
    <n v="0"/>
    <n v="0"/>
    <n v="0"/>
    <x v="1"/>
    <n v="1000"/>
    <n v="0"/>
  </r>
  <r>
    <x v="62"/>
    <x v="0"/>
    <n v="3521022"/>
    <s v="333 12th St"/>
    <s v="5+"/>
    <x v="0"/>
    <n v="0"/>
    <n v="0"/>
    <n v="0"/>
    <n v="0"/>
    <n v="0"/>
    <n v="0"/>
    <x v="0"/>
    <n v="0"/>
    <n v="0"/>
    <n v="0"/>
    <n v="0"/>
    <n v="0"/>
    <n v="16"/>
    <n v="0"/>
    <n v="11"/>
    <n v="0"/>
    <n v="0"/>
    <n v="0"/>
    <x v="0"/>
    <n v="1000"/>
    <n v="0"/>
  </r>
  <r>
    <x v="62"/>
    <x v="0"/>
    <s v="0766010"/>
    <s v="555 Golden Gate Av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7"/>
    <n v="0"/>
    <x v="1"/>
    <n v="1000"/>
    <n v="0"/>
  </r>
  <r>
    <x v="85"/>
    <x v="0"/>
    <s v="208-860-099"/>
    <s v="38108 Via Vicenza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93"/>
    <s v="26106 Argento Loop"/>
    <s v="5+"/>
    <x v="1"/>
    <n v="0"/>
    <n v="0"/>
    <n v="0"/>
    <n v="0"/>
    <n v="0"/>
    <n v="0"/>
    <x v="0"/>
    <n v="0"/>
    <n v="1"/>
    <n v="0"/>
    <n v="0"/>
    <n v="0"/>
    <n v="0"/>
    <n v="0"/>
    <n v="1"/>
    <n v="0"/>
    <n v="0"/>
    <n v="0"/>
    <x v="1"/>
    <n v="50"/>
    <n v="0"/>
  </r>
  <r>
    <x v="145"/>
    <x v="2"/>
    <s v="5315-001-072"/>
    <s v="625 Faiir Oaks Ave"/>
    <s v="5+"/>
    <x v="0"/>
    <n v="0"/>
    <n v="0"/>
    <n v="13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93"/>
    <x v="2"/>
    <n v="23304300020000"/>
    <s v="12057 Fair Oaks Blvd"/>
    <s v="5+"/>
    <x v="0"/>
    <n v="11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46"/>
    <x v="5"/>
    <s v="018-340-04"/>
    <s v="441 South Street"/>
    <s v="5+"/>
    <x v="0"/>
    <n v="15"/>
    <n v="0"/>
    <n v="15"/>
    <n v="0"/>
    <n v="0"/>
    <n v="1"/>
    <x v="0"/>
    <n v="0"/>
    <n v="0"/>
    <n v="0"/>
    <n v="0"/>
    <n v="0"/>
    <n v="0"/>
    <n v="0"/>
    <n v="0"/>
    <n v="0"/>
    <n v="0"/>
    <n v="0"/>
    <x v="0"/>
    <n v="45"/>
    <n v="0"/>
  </r>
  <r>
    <x v="94"/>
    <x v="3"/>
    <n v="13200501610000"/>
    <s v="10139 BRUCEVILLE RD"/>
    <s v="5+"/>
    <x v="0"/>
    <n v="0"/>
    <n v="0"/>
    <n v="0"/>
    <n v="0"/>
    <n v="0"/>
    <n v="0"/>
    <x v="7"/>
    <n v="0"/>
    <n v="37"/>
    <n v="0"/>
    <n v="0"/>
    <n v="0"/>
    <n v="0"/>
    <n v="0"/>
    <n v="0"/>
    <n v="0"/>
    <n v="0"/>
    <n v="0"/>
    <x v="0"/>
    <n v="55"/>
    <n v="0"/>
  </r>
  <r>
    <x v="139"/>
    <x v="1"/>
    <s v="134-132-070"/>
    <s v="3428 Santa Rosa Ave_x000a_Santa Rosa, CA 95407"/>
    <s v="5+"/>
    <x v="0"/>
    <n v="0"/>
    <n v="0"/>
    <n v="0"/>
    <n v="0"/>
    <n v="0"/>
    <n v="0"/>
    <x v="0"/>
    <n v="0"/>
    <n v="10"/>
    <n v="0"/>
    <n v="14"/>
    <n v="0"/>
    <n v="0"/>
    <n v="0"/>
    <n v="10"/>
    <n v="0"/>
    <n v="14"/>
    <n v="0"/>
    <x v="0"/>
    <n v="55"/>
    <n v="10"/>
  </r>
  <r>
    <x v="139"/>
    <x v="1"/>
    <s v="134-132-070"/>
    <s v="3424 Santa Rosa Ave_x000a_Santa Rosa, CA 95407"/>
    <s v="5+"/>
    <x v="0"/>
    <n v="0"/>
    <n v="0"/>
    <n v="0"/>
    <n v="0"/>
    <n v="0"/>
    <n v="0"/>
    <x v="0"/>
    <n v="0"/>
    <n v="9"/>
    <n v="0"/>
    <n v="14"/>
    <n v="0"/>
    <n v="0"/>
    <n v="0"/>
    <n v="9"/>
    <n v="0"/>
    <n v="14"/>
    <n v="0"/>
    <x v="0"/>
    <n v="55"/>
    <n v="10"/>
  </r>
  <r>
    <x v="147"/>
    <x v="3"/>
    <n v="1546102"/>
    <s v="221 AIRPORT BLVD"/>
    <s v="5+"/>
    <x v="1"/>
    <n v="4"/>
    <n v="0"/>
    <n v="3"/>
    <n v="0"/>
    <n v="0"/>
    <n v="0"/>
    <x v="5"/>
    <n v="0"/>
    <n v="3"/>
    <n v="0"/>
    <n v="0"/>
    <n v="0"/>
    <n v="0"/>
    <n v="0"/>
    <n v="0"/>
    <n v="0"/>
    <n v="0"/>
    <n v="0"/>
    <x v="1"/>
    <n v="55"/>
    <n v="0"/>
  </r>
  <r>
    <x v="148"/>
    <x v="1"/>
    <s v="8178-001-045"/>
    <s v="11350 Washington"/>
    <s v="5+"/>
    <x v="0"/>
    <n v="0"/>
    <n v="0"/>
    <n v="9"/>
    <n v="0"/>
    <n v="79"/>
    <n v="0"/>
    <x v="0"/>
    <n v="0"/>
    <n v="0"/>
    <n v="0"/>
    <n v="0"/>
    <n v="0"/>
    <n v="0"/>
    <n v="0"/>
    <n v="0"/>
    <n v="0"/>
    <n v="0"/>
    <n v="0"/>
    <x v="0"/>
    <n v="55"/>
    <n v="0"/>
  </r>
  <r>
    <x v="26"/>
    <x v="2"/>
    <s v="160-52-013"/>
    <s v="355-415 East Middlefield Road"/>
    <s v="5+"/>
    <x v="0"/>
    <n v="0"/>
    <n v="0"/>
    <n v="27"/>
    <n v="0"/>
    <n v="41"/>
    <n v="0"/>
    <x v="0"/>
    <n v="0"/>
    <n v="0"/>
    <n v="0"/>
    <n v="0"/>
    <n v="0"/>
    <n v="0"/>
    <n v="0"/>
    <n v="0"/>
    <n v="0"/>
    <n v="0"/>
    <n v="0"/>
    <x v="1"/>
    <n v="1000"/>
    <n v="0"/>
  </r>
  <r>
    <x v="26"/>
    <x v="2"/>
    <s v="16-060-020-"/>
    <s v="200  INFINITY WY"/>
    <s v="5+"/>
    <x v="0"/>
    <n v="0"/>
    <n v="0"/>
    <n v="0"/>
    <n v="0"/>
    <n v="0"/>
    <n v="0"/>
    <x v="0"/>
    <n v="0"/>
    <n v="0"/>
    <n v="0"/>
    <n v="0"/>
    <n v="0"/>
    <n v="0"/>
    <n v="0"/>
    <n v="16"/>
    <n v="0"/>
    <n v="0"/>
    <n v="0"/>
    <x v="1"/>
    <n v="55"/>
    <n v="0"/>
  </r>
  <r>
    <x v="8"/>
    <x v="2"/>
    <s v="-"/>
    <s v="4530 INGRAHAM ST"/>
    <s v="5+"/>
    <x v="0"/>
    <n v="0"/>
    <n v="1"/>
    <n v="0"/>
    <n v="0"/>
    <n v="0"/>
    <n v="0"/>
    <x v="0"/>
    <n v="0"/>
    <n v="1"/>
    <n v="0"/>
    <n v="0"/>
    <n v="0"/>
    <n v="0"/>
    <n v="0"/>
    <n v="0"/>
    <n v="0"/>
    <n v="0"/>
    <n v="0"/>
    <x v="0"/>
    <n v="55"/>
    <n v="0"/>
  </r>
  <r>
    <x v="8"/>
    <x v="2"/>
    <s v="-"/>
    <s v="2187 EVERETT AV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0"/>
    <n v="55"/>
    <n v="0"/>
  </r>
  <r>
    <x v="8"/>
    <x v="2"/>
    <s v="-"/>
    <s v="525 OLIVE ST"/>
    <s v="5+"/>
    <x v="0"/>
    <n v="0"/>
    <n v="0"/>
    <n v="0"/>
    <n v="0"/>
    <n v="0"/>
    <n v="0"/>
    <x v="29"/>
    <n v="0"/>
    <n v="0"/>
    <n v="0"/>
    <n v="0"/>
    <n v="0"/>
    <n v="0"/>
    <n v="0"/>
    <n v="0"/>
    <n v="0"/>
    <n v="0"/>
    <n v="0"/>
    <x v="0"/>
    <n v="55"/>
    <n v="0"/>
  </r>
  <r>
    <x v="120"/>
    <x v="3"/>
    <s v="435-15-175"/>
    <s v="17600 CARTWRIGHT"/>
    <s v="5+"/>
    <x v="0"/>
    <n v="0"/>
    <n v="0"/>
    <n v="0"/>
    <n v="0"/>
    <n v="0"/>
    <n v="0"/>
    <x v="0"/>
    <n v="0"/>
    <n v="0"/>
    <n v="0"/>
    <n v="0"/>
    <n v="0"/>
    <n v="16"/>
    <n v="0"/>
    <n v="1"/>
    <n v="0"/>
    <n v="11"/>
    <n v="0"/>
    <x v="0"/>
    <n v="55"/>
    <n v="25"/>
  </r>
  <r>
    <x v="120"/>
    <x v="3"/>
    <s v="591-70-103"/>
    <s v="310 ABACUS"/>
    <s v="5+"/>
    <x v="0"/>
    <n v="0"/>
    <n v="0"/>
    <n v="0"/>
    <n v="0"/>
    <n v="0"/>
    <n v="0"/>
    <x v="29"/>
    <n v="0"/>
    <n v="0"/>
    <n v="0"/>
    <n v="0"/>
    <n v="0"/>
    <n v="0"/>
    <n v="0"/>
    <n v="0"/>
    <n v="0"/>
    <n v="0"/>
    <n v="0"/>
    <x v="0"/>
    <n v="1000"/>
    <n v="35"/>
  </r>
  <r>
    <x v="120"/>
    <x v="3"/>
    <s v="591-70-103"/>
    <s v="440 ABACUS"/>
    <s v="5+"/>
    <x v="0"/>
    <n v="0"/>
    <n v="0"/>
    <n v="0"/>
    <n v="0"/>
    <n v="0"/>
    <n v="0"/>
    <x v="0"/>
    <n v="0"/>
    <n v="18"/>
    <n v="0"/>
    <n v="0"/>
    <n v="0"/>
    <n v="0"/>
    <n v="0"/>
    <n v="0"/>
    <n v="0"/>
    <n v="0"/>
    <n v="0"/>
    <x v="0"/>
    <n v="1000"/>
    <n v="35"/>
  </r>
  <r>
    <x v="149"/>
    <x v="1"/>
    <s v="525 066100404"/>
    <s v="40871 High St"/>
    <s v="5+"/>
    <x v="1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42.5"/>
  </r>
  <r>
    <x v="85"/>
    <x v="0"/>
    <s v="208-860-172"/>
    <s v="22106 Argento Loop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27"/>
    <s v="20106 Argento Loop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50"/>
    <s v="28109 Argento Loop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0"/>
    <n v="0"/>
  </r>
  <r>
    <x v="8"/>
    <x v="2"/>
    <s v="-"/>
    <s v="2001 04TH AV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4132 LOUISIANA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6240 MISSION GORGE RD"/>
    <s v="5+"/>
    <x v="0"/>
    <n v="0"/>
    <n v="0"/>
    <n v="0"/>
    <n v="0"/>
    <n v="0"/>
    <n v="0"/>
    <x v="7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858 MOUNT ALIFAN DR"/>
    <s v="5+"/>
    <x v="0"/>
    <n v="0"/>
    <n v="0"/>
    <n v="0"/>
    <n v="0"/>
    <n v="0"/>
    <n v="0"/>
    <x v="4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3067 05TH AV"/>
    <s v="5+"/>
    <x v="0"/>
    <n v="0"/>
    <n v="0"/>
    <n v="0"/>
    <n v="0"/>
    <n v="0"/>
    <n v="0"/>
    <x v="5"/>
    <n v="0"/>
    <n v="0"/>
    <n v="0"/>
    <n v="3"/>
    <n v="0"/>
    <n v="0"/>
    <n v="0"/>
    <n v="0"/>
    <n v="0"/>
    <n v="0"/>
    <n v="0"/>
    <x v="0"/>
    <n v="55"/>
    <n v="0"/>
  </r>
  <r>
    <x v="8"/>
    <x v="2"/>
    <s v="-"/>
    <s v="429 W SAN YSIDRO BL"/>
    <s v="5+"/>
    <x v="0"/>
    <n v="0"/>
    <n v="0"/>
    <n v="0"/>
    <n v="0"/>
    <n v="0"/>
    <n v="0"/>
    <x v="74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865 Hotel Circle South"/>
    <s v="5+"/>
    <x v="0"/>
    <n v="0"/>
    <n v="0"/>
    <n v="0"/>
    <n v="0"/>
    <n v="0"/>
    <n v="0"/>
    <x v="0"/>
    <n v="0"/>
    <n v="190"/>
    <n v="0"/>
    <n v="0"/>
    <n v="0"/>
    <n v="0"/>
    <n v="0"/>
    <n v="0"/>
    <n v="0"/>
    <n v="0"/>
    <n v="0"/>
    <x v="0"/>
    <n v="55"/>
    <n v="0"/>
  </r>
  <r>
    <x v="8"/>
    <x v="2"/>
    <s v="-"/>
    <s v="El Cajon Boulevard &amp; Fairmount Avenue"/>
    <s v="5+"/>
    <x v="0"/>
    <n v="0"/>
    <n v="0"/>
    <n v="0"/>
    <n v="0"/>
    <n v="0"/>
    <n v="0"/>
    <x v="35"/>
    <n v="0"/>
    <n v="168"/>
    <n v="0"/>
    <n v="0"/>
    <n v="0"/>
    <n v="0"/>
    <n v="0"/>
    <n v="0"/>
    <n v="0"/>
    <n v="0"/>
    <n v="0"/>
    <x v="0"/>
    <n v="55"/>
    <n v="0"/>
  </r>
  <r>
    <x v="8"/>
    <x v="2"/>
    <s v="-"/>
    <s v="2654 B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930 DIVISION ST"/>
    <s v="5+"/>
    <x v="0"/>
    <n v="0"/>
    <n v="0"/>
    <n v="0"/>
    <n v="0"/>
    <n v="0"/>
    <n v="0"/>
    <x v="52"/>
    <n v="0"/>
    <n v="62"/>
    <n v="0"/>
    <n v="0"/>
    <n v="0"/>
    <n v="0"/>
    <n v="0"/>
    <n v="0"/>
    <n v="0"/>
    <n v="0"/>
    <n v="0"/>
    <x v="0"/>
    <n v="55"/>
    <n v="0"/>
  </r>
  <r>
    <x v="150"/>
    <x v="1"/>
    <s v="030-021-47"/>
    <s v="575 East Blithedale"/>
    <s v="5+"/>
    <x v="1"/>
    <n v="0"/>
    <n v="0"/>
    <n v="3"/>
    <n v="0"/>
    <n v="3"/>
    <n v="0"/>
    <x v="0"/>
    <n v="0"/>
    <n v="0"/>
    <n v="0"/>
    <n v="0"/>
    <n v="0"/>
    <n v="0"/>
    <n v="0"/>
    <n v="0"/>
    <n v="0"/>
    <n v="0"/>
    <n v="0"/>
    <x v="0"/>
    <n v="1000"/>
    <n v="0"/>
  </r>
  <r>
    <x v="41"/>
    <x v="1"/>
    <s v="TMPAPN000229"/>
    <s v="1495 CONSTITUTION BLVD"/>
    <s v="5+"/>
    <x v="0"/>
    <n v="0"/>
    <n v="0"/>
    <n v="0"/>
    <n v="0"/>
    <n v="0"/>
    <n v="0"/>
    <x v="0"/>
    <n v="4"/>
    <n v="2"/>
    <n v="0"/>
    <n v="0"/>
    <n v="0"/>
    <n v="0"/>
    <n v="0"/>
    <n v="0"/>
    <n v="0"/>
    <n v="0"/>
    <n v="0"/>
    <x v="1"/>
    <n v="0"/>
    <n v="0"/>
  </r>
  <r>
    <x v="35"/>
    <x v="5"/>
    <n v="2033511200"/>
    <s v="3039  JEFFERSON ST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97"/>
    <x v="3"/>
    <n v="2364601500"/>
    <s v="1600 S Escondido Blvd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97"/>
    <x v="3"/>
    <n v="2361721500"/>
    <s v="1405 S Escondido Blvd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135"/>
    <x v="1"/>
    <n v="1620023030"/>
    <s v="2800 BARRY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n v="0"/>
  </r>
  <r>
    <x v="135"/>
    <x v="1"/>
    <n v="1620023030"/>
    <s v="2820 BARRY"/>
    <s v="5+"/>
    <x v="0"/>
    <n v="0"/>
    <n v="0"/>
    <n v="0"/>
    <n v="0"/>
    <n v="0"/>
    <n v="0"/>
    <x v="12"/>
    <n v="0"/>
    <n v="23"/>
    <n v="0"/>
    <n v="0"/>
    <n v="0"/>
    <n v="0"/>
    <n v="0"/>
    <n v="0"/>
    <n v="0"/>
    <n v="0"/>
    <n v="0"/>
    <x v="0"/>
    <n v="55"/>
    <n v="0"/>
  </r>
  <r>
    <x v="111"/>
    <x v="3"/>
    <s v="TPN-170-57T"/>
    <s v="1707 SEVENTH ST, Riverside, CA 92507"/>
    <s v="5+"/>
    <x v="0"/>
    <n v="0"/>
    <n v="0"/>
    <n v="0"/>
    <n v="0"/>
    <n v="0"/>
    <n v="0"/>
    <x v="0"/>
    <n v="0"/>
    <n v="13"/>
    <n v="0"/>
    <n v="0"/>
    <n v="0"/>
    <n v="0"/>
    <n v="0"/>
    <n v="0"/>
    <n v="0"/>
    <n v="0"/>
    <n v="0"/>
    <x v="0"/>
    <n v="55"/>
    <n v="0"/>
  </r>
  <r>
    <x v="41"/>
    <x v="1"/>
    <s v="002354027000"/>
    <s v="439 SOLEDAD ST"/>
    <s v="5+"/>
    <x v="0"/>
    <n v="0"/>
    <n v="0"/>
    <n v="0"/>
    <n v="0"/>
    <n v="0"/>
    <n v="0"/>
    <x v="0"/>
    <n v="0"/>
    <n v="0"/>
    <n v="0"/>
    <n v="0"/>
    <n v="0"/>
    <n v="10"/>
    <n v="0"/>
    <n v="0"/>
    <n v="0"/>
    <n v="0"/>
    <n v="0"/>
    <x v="0"/>
    <n v="55"/>
    <n v="33"/>
  </r>
  <r>
    <x v="133"/>
    <x v="0"/>
    <n v="6086020063"/>
    <s v="12225 S Avalon Boulevard  Los Angeles, CA 90061"/>
    <s v="5+"/>
    <x v="0"/>
    <n v="0"/>
    <n v="0"/>
    <n v="0"/>
    <n v="0"/>
    <n v="0"/>
    <n v="0"/>
    <x v="0"/>
    <n v="0"/>
    <n v="88"/>
    <n v="0"/>
    <n v="0"/>
    <n v="0"/>
    <n v="0"/>
    <n v="0"/>
    <n v="0"/>
    <n v="0"/>
    <n v="0"/>
    <n v="0"/>
    <x v="0"/>
    <n v="55"/>
    <n v="126"/>
  </r>
  <r>
    <x v="133"/>
    <x v="0"/>
    <n v="4057027007"/>
    <s v="11609 S Western Avenue  Los Angeles, CA 90047"/>
    <s v="5+"/>
    <x v="0"/>
    <n v="0"/>
    <n v="0"/>
    <n v="0"/>
    <n v="0"/>
    <n v="0"/>
    <n v="0"/>
    <x v="75"/>
    <n v="0"/>
    <n v="0"/>
    <n v="0"/>
    <n v="0"/>
    <n v="0"/>
    <n v="0"/>
    <n v="0"/>
    <n v="0"/>
    <n v="0"/>
    <n v="0"/>
    <n v="0"/>
    <x v="0"/>
    <n v="55"/>
    <n v="21"/>
  </r>
  <r>
    <x v="23"/>
    <x v="5"/>
    <s v="019-420-090-000"/>
    <s v="10470 East Jibboom Street"/>
    <s v="5+"/>
    <x v="0"/>
    <n v="0"/>
    <n v="0"/>
    <n v="0"/>
    <n v="0"/>
    <n v="0"/>
    <n v="0"/>
    <x v="0"/>
    <n v="0"/>
    <n v="6"/>
    <n v="27"/>
    <n v="0"/>
    <n v="96"/>
    <n v="0"/>
    <n v="0"/>
    <n v="0"/>
    <n v="0"/>
    <n v="0"/>
    <n v="0"/>
    <x v="1"/>
    <n v="1000"/>
    <n v="0"/>
  </r>
  <r>
    <x v="151"/>
    <x v="5"/>
    <n v="8530007"/>
    <s v="951 Petaluma Blvd.S"/>
    <s v="5+"/>
    <x v="0"/>
    <n v="53"/>
    <n v="0"/>
    <n v="0"/>
    <n v="0"/>
    <n v="0"/>
    <n v="1"/>
    <x v="0"/>
    <n v="0"/>
    <n v="0"/>
    <n v="0"/>
    <n v="0"/>
    <n v="0"/>
    <n v="0"/>
    <n v="0"/>
    <n v="0"/>
    <n v="0"/>
    <n v="0"/>
    <n v="0"/>
    <x v="1"/>
    <n v="55"/>
    <n v="0"/>
  </r>
  <r>
    <x v="151"/>
    <x v="5"/>
    <m/>
    <s v="1418 Mauro Pietro Bldg 4"/>
    <s v="5+"/>
    <x v="1"/>
    <n v="0"/>
    <n v="0"/>
    <n v="0"/>
    <n v="0"/>
    <n v="0"/>
    <n v="0"/>
    <x v="0"/>
    <n v="0"/>
    <n v="1"/>
    <n v="0"/>
    <n v="2"/>
    <n v="0"/>
    <n v="0"/>
    <n v="0"/>
    <n v="0"/>
    <n v="0"/>
    <n v="0"/>
    <n v="0"/>
    <x v="1"/>
    <m/>
    <n v="0"/>
  </r>
  <r>
    <x v="118"/>
    <x v="0"/>
    <s v="083-080-63ST"/>
    <m/>
    <s v="5+"/>
    <x v="0"/>
    <n v="40"/>
    <n v="0"/>
    <n v="36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72"/>
    <x v="2"/>
    <n v="6440610900"/>
    <s v="1950 VIA TALAVERA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5"/>
    <n v="0"/>
    <x v="1"/>
    <n v="20"/>
    <n v="0"/>
  </r>
  <r>
    <x v="8"/>
    <x v="2"/>
    <s v="-"/>
    <s v="2001 04TH AV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3843 NATIONAL AV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152"/>
    <x v="5"/>
    <s v="141-282-07"/>
    <s v="1107 Grant Ave."/>
    <s v="5+"/>
    <x v="0"/>
    <n v="3"/>
    <n v="0"/>
    <n v="3"/>
    <n v="0"/>
    <n v="0"/>
    <n v="26"/>
    <x v="0"/>
    <n v="0"/>
    <n v="0"/>
    <n v="0"/>
    <n v="0"/>
    <n v="0"/>
    <n v="0"/>
    <n v="0"/>
    <n v="0"/>
    <n v="0"/>
    <n v="0"/>
    <n v="0"/>
    <x v="1"/>
    <m/>
    <n v="0"/>
  </r>
  <r>
    <x v="32"/>
    <x v="0"/>
    <s v="4282-027-020"/>
    <s v="1427 Lincoln Blvd"/>
    <s v="5+"/>
    <x v="1"/>
    <n v="2"/>
    <n v="0"/>
    <n v="1"/>
    <n v="0"/>
    <n v="3"/>
    <n v="0"/>
    <x v="0"/>
    <n v="0"/>
    <n v="0"/>
    <n v="0"/>
    <n v="0"/>
    <n v="0"/>
    <n v="0"/>
    <n v="0"/>
    <n v="0"/>
    <n v="0"/>
    <n v="0"/>
    <n v="0"/>
    <x v="1"/>
    <n v="55"/>
    <n v="0"/>
  </r>
  <r>
    <x v="32"/>
    <x v="0"/>
    <s v="4291-020-008"/>
    <s v="1448 7th St"/>
    <s v="5+"/>
    <x v="1"/>
    <n v="2"/>
    <n v="0"/>
    <n v="1"/>
    <n v="0"/>
    <n v="2"/>
    <n v="0"/>
    <x v="0"/>
    <n v="0"/>
    <n v="0"/>
    <n v="0"/>
    <n v="0"/>
    <n v="0"/>
    <n v="0"/>
    <n v="0"/>
    <n v="0"/>
    <n v="0"/>
    <n v="0"/>
    <n v="0"/>
    <x v="1"/>
    <n v="55"/>
    <n v="0"/>
  </r>
  <r>
    <x v="71"/>
    <x v="2"/>
    <s v="4236-021-082"/>
    <s v="12803 Washington"/>
    <s v="5+"/>
    <x v="1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0"/>
    <n v="30"/>
    <n v="0"/>
  </r>
  <r>
    <x v="153"/>
    <x v="1"/>
    <n v="126164047"/>
    <s v="1335 GALINDO ST, CONCORD, CA 94520"/>
    <s v="5+"/>
    <x v="0"/>
    <n v="0"/>
    <n v="0"/>
    <n v="0"/>
    <n v="0"/>
    <n v="0"/>
    <n v="0"/>
    <x v="11"/>
    <n v="0"/>
    <n v="15"/>
    <n v="0"/>
    <n v="0"/>
    <n v="0"/>
    <n v="0"/>
    <n v="0"/>
    <n v="0"/>
    <n v="0"/>
    <n v="0"/>
    <n v="0"/>
    <x v="0"/>
    <n v="55"/>
    <n v="39"/>
  </r>
  <r>
    <x v="153"/>
    <x v="1"/>
    <n v="126082008"/>
    <s v="2400 WILLOW PASS RD, CONCORD, CA 94520"/>
    <s v="5+"/>
    <x v="0"/>
    <n v="0"/>
    <n v="0"/>
    <n v="0"/>
    <n v="0"/>
    <n v="0"/>
    <n v="0"/>
    <x v="76"/>
    <n v="0"/>
    <n v="135"/>
    <n v="0"/>
    <n v="0"/>
    <n v="0"/>
    <n v="0"/>
    <n v="0"/>
    <n v="0"/>
    <n v="0"/>
    <n v="0"/>
    <n v="0"/>
    <x v="0"/>
    <n v="55"/>
    <n v="18"/>
  </r>
  <r>
    <x v="71"/>
    <x v="2"/>
    <s v="4206-033-057"/>
    <s v="3727 Robertson"/>
    <s v="5+"/>
    <x v="0"/>
    <n v="0"/>
    <n v="0"/>
    <n v="1"/>
    <n v="0"/>
    <n v="1"/>
    <n v="0"/>
    <x v="0"/>
    <n v="0"/>
    <n v="0"/>
    <n v="0"/>
    <n v="0"/>
    <n v="0"/>
    <n v="0"/>
    <n v="0"/>
    <n v="0"/>
    <n v="0"/>
    <n v="0"/>
    <n v="0"/>
    <x v="0"/>
    <n v="55"/>
    <n v="0"/>
  </r>
  <r>
    <x v="118"/>
    <x v="2"/>
    <s v="083-080-63ST"/>
    <m/>
    <s v="5+"/>
    <x v="0"/>
    <n v="40"/>
    <n v="0"/>
    <n v="36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5"/>
    <x v="0"/>
    <s v="208-860-120"/>
    <s v="69112 Via Vicenza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80"/>
    <s v="67112 Via Vicenza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0"/>
    <n v="0"/>
  </r>
  <r>
    <x v="85"/>
    <x v="0"/>
    <s v="208-870-021"/>
    <s v="71112 Via Vicenza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90"/>
    <s v="65106 Via Vicenza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0"/>
    <n v="0"/>
  </r>
  <r>
    <x v="85"/>
    <x v="0"/>
    <s v="208-860-196"/>
    <s v="26112 Argento Loop"/>
    <s v="5+"/>
    <x v="1"/>
    <n v="0"/>
    <n v="0"/>
    <n v="0"/>
    <n v="0"/>
    <n v="0"/>
    <n v="0"/>
    <x v="3"/>
    <n v="0"/>
    <n v="0"/>
    <n v="0"/>
    <n v="0"/>
    <n v="0"/>
    <n v="1"/>
    <n v="0"/>
    <n v="0"/>
    <n v="0"/>
    <n v="0"/>
    <n v="0"/>
    <x v="1"/>
    <n v="50"/>
    <n v="0"/>
  </r>
  <r>
    <x v="154"/>
    <x v="2"/>
    <n v="53185060"/>
    <s v="1601 El Camino Real"/>
    <s v="5+"/>
    <x v="0"/>
    <n v="17"/>
    <n v="0"/>
    <n v="67"/>
    <n v="0"/>
    <n v="41"/>
    <n v="0"/>
    <x v="0"/>
    <n v="0"/>
    <n v="0"/>
    <n v="0"/>
    <n v="0"/>
    <n v="0"/>
    <n v="0"/>
    <n v="0"/>
    <n v="0"/>
    <n v="0"/>
    <n v="0"/>
    <n v="0"/>
    <x v="1"/>
    <n v="55"/>
    <n v="0"/>
  </r>
  <r>
    <x v="26"/>
    <x v="2"/>
    <s v="154-02-001"/>
    <s v="1720 Villa Street"/>
    <s v="5+"/>
    <x v="0"/>
    <n v="0"/>
    <n v="0"/>
    <n v="0"/>
    <n v="0"/>
    <n v="0"/>
    <n v="0"/>
    <x v="0"/>
    <n v="0"/>
    <n v="3"/>
    <n v="0"/>
    <n v="0"/>
    <n v="0"/>
    <n v="0"/>
    <n v="0"/>
    <n v="0"/>
    <n v="0"/>
    <n v="0"/>
    <n v="0"/>
    <x v="1"/>
    <n v="1000"/>
    <n v="0"/>
  </r>
  <r>
    <x v="51"/>
    <x v="2"/>
    <s v="068-323-034"/>
    <s v="405 Atascadero Road"/>
    <s v="5+"/>
    <x v="0"/>
    <n v="13"/>
    <n v="0"/>
    <n v="21"/>
    <n v="0"/>
    <n v="1"/>
    <n v="0"/>
    <x v="0"/>
    <n v="0"/>
    <n v="0"/>
    <n v="0"/>
    <n v="0"/>
    <n v="0"/>
    <n v="0"/>
    <n v="0"/>
    <n v="0"/>
    <n v="0"/>
    <n v="0"/>
    <n v="0"/>
    <x v="0"/>
    <n v="55"/>
    <n v="0"/>
  </r>
  <r>
    <x v="72"/>
    <x v="0"/>
    <n v="6220728400"/>
    <s v="750 ANITA ST"/>
    <s v="5+"/>
    <x v="0"/>
    <n v="0"/>
    <n v="0"/>
    <n v="0"/>
    <n v="0"/>
    <n v="0"/>
    <n v="0"/>
    <x v="0"/>
    <n v="0"/>
    <n v="18"/>
    <n v="0"/>
    <n v="0"/>
    <n v="0"/>
    <n v="0"/>
    <n v="0"/>
    <n v="0"/>
    <n v="0"/>
    <n v="0"/>
    <n v="0"/>
    <x v="1"/>
    <n v="55"/>
    <n v="0"/>
  </r>
  <r>
    <x v="72"/>
    <x v="0"/>
    <n v="6220728400"/>
    <s v="750 ANITA ST"/>
    <s v="5+"/>
    <x v="0"/>
    <n v="0"/>
    <n v="0"/>
    <n v="0"/>
    <n v="0"/>
    <n v="0"/>
    <n v="0"/>
    <x v="0"/>
    <n v="0"/>
    <n v="24"/>
    <n v="0"/>
    <n v="0"/>
    <n v="0"/>
    <n v="0"/>
    <n v="0"/>
    <n v="0"/>
    <n v="0"/>
    <n v="0"/>
    <n v="0"/>
    <x v="1"/>
    <n v="55"/>
    <n v="0"/>
  </r>
  <r>
    <x v="72"/>
    <x v="0"/>
    <n v="6220728400"/>
    <s v="750 ANITA ST"/>
    <s v="5+"/>
    <x v="0"/>
    <n v="0"/>
    <n v="0"/>
    <n v="0"/>
    <n v="0"/>
    <n v="0"/>
    <n v="0"/>
    <x v="0"/>
    <n v="0"/>
    <n v="23"/>
    <n v="0"/>
    <n v="0"/>
    <n v="0"/>
    <n v="0"/>
    <n v="0"/>
    <n v="0"/>
    <n v="0"/>
    <n v="0"/>
    <n v="0"/>
    <x v="1"/>
    <n v="55"/>
    <n v="0"/>
  </r>
  <r>
    <x v="62"/>
    <x v="3"/>
    <s v="0692001"/>
    <s v="1101 SUTTER ST"/>
    <s v="5+"/>
    <x v="0"/>
    <n v="12"/>
    <n v="0"/>
    <n v="18"/>
    <n v="0"/>
    <n v="14"/>
    <n v="0"/>
    <x v="0"/>
    <n v="0"/>
    <n v="0"/>
    <n v="0"/>
    <n v="0"/>
    <n v="0"/>
    <n v="0"/>
    <n v="0"/>
    <n v="0"/>
    <n v="0"/>
    <n v="0"/>
    <n v="0"/>
    <x v="0"/>
    <m/>
    <n v="0"/>
  </r>
  <r>
    <x v="62"/>
    <x v="3"/>
    <n v="3783010"/>
    <s v="600 07TH ST"/>
    <s v="5+"/>
    <x v="0"/>
    <n v="0"/>
    <n v="0"/>
    <n v="0"/>
    <n v="0"/>
    <n v="0"/>
    <n v="0"/>
    <x v="77"/>
    <n v="0"/>
    <n v="77"/>
    <n v="0"/>
    <n v="0"/>
    <n v="0"/>
    <n v="0"/>
    <n v="0"/>
    <n v="0"/>
    <n v="0"/>
    <n v="0"/>
    <n v="0"/>
    <x v="0"/>
    <m/>
    <n v="100"/>
  </r>
  <r>
    <x v="8"/>
    <x v="2"/>
    <s v="-"/>
    <s v="1776 NATIONAL AV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130"/>
    <x v="3"/>
    <s v="PM 82128"/>
    <s v="825 South Myrtle Avenue"/>
    <s v="5+"/>
    <x v="0"/>
    <n v="0"/>
    <n v="0"/>
    <n v="0"/>
    <n v="0"/>
    <n v="0"/>
    <n v="0"/>
    <x v="0"/>
    <n v="0"/>
    <n v="0"/>
    <n v="0"/>
    <n v="0"/>
    <n v="0"/>
    <n v="13"/>
    <n v="0"/>
    <n v="0"/>
    <n v="0"/>
    <n v="0"/>
    <n v="0"/>
    <x v="0"/>
    <n v="55"/>
    <n v="35"/>
  </r>
  <r>
    <x v="8"/>
    <x v="2"/>
    <s v="-"/>
    <s v="1956 HORNBLEND ST"/>
    <s v="5+"/>
    <x v="0"/>
    <n v="0"/>
    <n v="2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 14TH ST"/>
    <s v="5+"/>
    <x v="0"/>
    <n v="0"/>
    <n v="0"/>
    <n v="0"/>
    <n v="0"/>
    <n v="0"/>
    <n v="0"/>
    <x v="78"/>
    <n v="0"/>
    <n v="40"/>
    <n v="0"/>
    <n v="0"/>
    <n v="0"/>
    <n v="0"/>
    <n v="0"/>
    <n v="0"/>
    <n v="0"/>
    <n v="0"/>
    <n v="0"/>
    <x v="0"/>
    <n v="55"/>
    <n v="0"/>
  </r>
  <r>
    <x v="8"/>
    <x v="2"/>
    <s v="-"/>
    <s v="1932 KEARNY AV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85"/>
    <x v="2"/>
    <s v="208-870-010"/>
    <s v="75106 Via Vicenza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0"/>
    <n v="0"/>
  </r>
  <r>
    <x v="85"/>
    <x v="2"/>
    <s v="208-860-020"/>
    <s v="22106 Argento Loop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0"/>
    <n v="0"/>
  </r>
  <r>
    <x v="85"/>
    <x v="2"/>
    <s v="208-860-129"/>
    <s v="20112 Argento Loop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0"/>
    <n v="0"/>
  </r>
  <r>
    <x v="62"/>
    <x v="3"/>
    <n v="4105009"/>
    <s v="800 INDIANA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3"/>
    <s v="0345017"/>
    <s v="361 TURK ST"/>
    <s v="5+"/>
    <x v="0"/>
    <n v="0"/>
    <n v="0"/>
    <n v="0"/>
    <n v="0"/>
    <n v="0"/>
    <n v="0"/>
    <x v="0"/>
    <n v="0"/>
    <n v="0"/>
    <n v="0"/>
    <n v="0"/>
    <n v="0"/>
    <n v="0"/>
    <n v="0"/>
    <n v="19"/>
    <n v="0"/>
    <n v="0"/>
    <n v="0"/>
    <x v="1"/>
    <m/>
    <n v="0"/>
  </r>
  <r>
    <x v="62"/>
    <x v="3"/>
    <n v="4022028"/>
    <s v="681 FLORIDA ST"/>
    <s v="5+"/>
    <x v="0"/>
    <n v="0"/>
    <n v="0"/>
    <n v="0"/>
    <n v="0"/>
    <n v="0"/>
    <n v="0"/>
    <x v="0"/>
    <n v="0"/>
    <n v="0"/>
    <n v="0"/>
    <n v="0"/>
    <n v="0"/>
    <n v="82"/>
    <n v="0"/>
    <n v="47"/>
    <n v="0"/>
    <n v="0"/>
    <n v="0"/>
    <x v="0"/>
    <m/>
    <n v="0"/>
  </r>
  <r>
    <x v="120"/>
    <x v="5"/>
    <n v="58801129"/>
    <s v="VTTM 18132"/>
    <s v="5+"/>
    <x v="0"/>
    <n v="0"/>
    <n v="0"/>
    <n v="0"/>
    <n v="0"/>
    <n v="0"/>
    <n v="845"/>
    <x v="0"/>
    <n v="0"/>
    <n v="0"/>
    <n v="0"/>
    <n v="0"/>
    <n v="0"/>
    <n v="0"/>
    <n v="0"/>
    <n v="0"/>
    <n v="0"/>
    <n v="0"/>
    <n v="0"/>
    <x v="0"/>
    <m/>
    <n v="0"/>
  </r>
  <r>
    <x v="8"/>
    <x v="2"/>
    <s v="-"/>
    <s v="1509 BROADWAY"/>
    <s v="5+"/>
    <x v="0"/>
    <n v="0"/>
    <n v="0"/>
    <n v="0"/>
    <n v="0"/>
    <n v="0"/>
    <n v="0"/>
    <x v="1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0380 SPRING CANYON RD"/>
    <s v="5+"/>
    <x v="0"/>
    <n v="0"/>
    <n v="0"/>
    <n v="0"/>
    <n v="0"/>
    <n v="0"/>
    <n v="0"/>
    <x v="51"/>
    <n v="0"/>
    <n v="0"/>
    <n v="0"/>
    <n v="0"/>
    <n v="0"/>
    <n v="0"/>
    <n v="0"/>
    <n v="0"/>
    <n v="0"/>
    <n v="0"/>
    <n v="0"/>
    <x v="0"/>
    <n v="55"/>
    <n v="0"/>
  </r>
  <r>
    <x v="32"/>
    <x v="4"/>
    <n v="4275005016"/>
    <s v="1450  CLOVERFIELD BLVD"/>
    <s v="5+"/>
    <x v="0"/>
    <n v="3"/>
    <n v="0"/>
    <n v="0"/>
    <n v="0"/>
    <n v="0"/>
    <n v="0"/>
    <x v="2"/>
    <n v="0"/>
    <n v="0"/>
    <n v="0"/>
    <n v="0"/>
    <n v="0"/>
    <n v="0"/>
    <n v="0"/>
    <n v="0"/>
    <n v="0"/>
    <n v="0"/>
    <n v="0"/>
    <x v="1"/>
    <n v="55"/>
    <n v="0"/>
  </r>
  <r>
    <x v="8"/>
    <x v="2"/>
    <s v="-"/>
    <s v="4333 ILLINOIS S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724 EL CAJON BL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434 Churchward Stree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011 UNION ST"/>
    <s v="5+"/>
    <x v="0"/>
    <n v="0"/>
    <n v="0"/>
    <n v="0"/>
    <n v="0"/>
    <n v="0"/>
    <n v="0"/>
    <x v="49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3732 10TH AV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106"/>
    <x v="5"/>
    <n v="6700290420"/>
    <s v="77 CONEJO SCHOOL RD"/>
    <s v="5+"/>
    <x v="0"/>
    <n v="0"/>
    <n v="0"/>
    <n v="0"/>
    <n v="0"/>
    <n v="0"/>
    <n v="0"/>
    <x v="2"/>
    <n v="0"/>
    <n v="0"/>
    <n v="0"/>
    <n v="0"/>
    <n v="37"/>
    <n v="0"/>
    <n v="0"/>
    <n v="0"/>
    <n v="0"/>
    <n v="0"/>
    <n v="0"/>
    <x v="0"/>
    <m/>
    <n v="0"/>
  </r>
  <r>
    <x v="32"/>
    <x v="4"/>
    <n v="4289002006"/>
    <s v="2120 LINCOLN BLVD"/>
    <s v="5+"/>
    <x v="0"/>
    <n v="13"/>
    <n v="0"/>
    <n v="21"/>
    <n v="0"/>
    <n v="3"/>
    <n v="0"/>
    <x v="0"/>
    <n v="0"/>
    <n v="0"/>
    <n v="0"/>
    <n v="0"/>
    <n v="0"/>
    <n v="0"/>
    <n v="0"/>
    <n v="0"/>
    <n v="0"/>
    <n v="0"/>
    <n v="0"/>
    <x v="1"/>
    <n v="55"/>
    <n v="0"/>
  </r>
  <r>
    <x v="155"/>
    <x v="1"/>
    <n v="216090034"/>
    <s v="3020 Fostoria Way"/>
    <s v="5+"/>
    <x v="0"/>
    <n v="4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3"/>
    <n v="4240212100"/>
    <s v="1704 HORNBLEND ST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8"/>
    <x v="3"/>
    <n v="4231540200"/>
    <s v="1011 GRAND AV"/>
    <s v="5+"/>
    <x v="0"/>
    <n v="4"/>
    <n v="0"/>
    <n v="4"/>
    <n v="0"/>
    <n v="0"/>
    <n v="0"/>
    <x v="0"/>
    <n v="0"/>
    <n v="0"/>
    <n v="0"/>
    <n v="0"/>
    <n v="0"/>
    <n v="0"/>
    <n v="0"/>
    <n v="0"/>
    <n v="0"/>
    <n v="0"/>
    <n v="0"/>
    <x v="0"/>
    <n v="55"/>
    <n v="60"/>
  </r>
  <r>
    <x v="8"/>
    <x v="3"/>
    <n v="4520563400"/>
    <s v="3840 06TH AV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20"/>
  </r>
  <r>
    <x v="8"/>
    <x v="3"/>
    <n v="5344112100"/>
    <s v="926 27TH S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100"/>
  </r>
  <r>
    <x v="8"/>
    <x v="3"/>
    <n v="6782511300"/>
    <s v="11520 W Bernardo Court"/>
    <s v="5+"/>
    <x v="0"/>
    <n v="0"/>
    <n v="0"/>
    <n v="0"/>
    <n v="0"/>
    <n v="0"/>
    <n v="0"/>
    <x v="79"/>
    <n v="0"/>
    <n v="43"/>
    <n v="0"/>
    <n v="0"/>
    <n v="0"/>
    <n v="0"/>
    <n v="0"/>
    <n v="0"/>
    <n v="0"/>
    <n v="0"/>
    <n v="0"/>
    <x v="0"/>
    <n v="55"/>
    <n v="100"/>
  </r>
  <r>
    <x v="118"/>
    <x v="0"/>
    <s v="083-090-47S"/>
    <m/>
    <s v="5+"/>
    <x v="0"/>
    <n v="40"/>
    <n v="0"/>
    <n v="41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55"/>
    <x v="1"/>
    <n v="208022041"/>
    <s v="600 Hartz Ave"/>
    <s v="5+"/>
    <x v="1"/>
    <n v="0"/>
    <n v="0"/>
    <n v="0"/>
    <n v="0"/>
    <n v="0"/>
    <n v="0"/>
    <x v="0"/>
    <n v="0"/>
    <n v="0"/>
    <n v="0"/>
    <n v="5"/>
    <n v="0"/>
    <n v="0"/>
    <n v="0"/>
    <n v="0"/>
    <n v="0"/>
    <n v="0"/>
    <n v="0"/>
    <x v="1"/>
    <n v="20"/>
    <n v="0"/>
  </r>
  <r>
    <x v="155"/>
    <x v="1"/>
    <n v="216090034"/>
    <s v="3020 Fostoria Way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27"/>
    <x v="2"/>
    <s v="202-0-054-080, 202-0-054-075"/>
    <s v="241 W. Second Street"/>
    <s v="5+"/>
    <x v="0"/>
    <n v="3"/>
    <n v="0"/>
    <n v="5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12"/>
    <x v="3"/>
    <n v="125071015"/>
    <s v="1845 SEBASTOPOL RD"/>
    <s v="5+"/>
    <x v="0"/>
    <n v="0"/>
    <n v="0"/>
    <n v="0"/>
    <n v="0"/>
    <n v="0"/>
    <n v="0"/>
    <x v="0"/>
    <n v="0"/>
    <n v="7"/>
    <n v="0"/>
    <n v="0"/>
    <n v="0"/>
    <n v="0"/>
    <n v="0"/>
    <n v="0"/>
    <n v="0"/>
    <n v="0"/>
    <n v="0"/>
    <x v="0"/>
    <n v="55"/>
    <n v="37.5"/>
  </r>
  <r>
    <x v="66"/>
    <x v="1"/>
    <n v="4020016005"/>
    <s v="314 S Eucalyptus Ave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m/>
    <n v="10"/>
  </r>
  <r>
    <x v="112"/>
    <x v="3"/>
    <n v="10510021"/>
    <s v="1335 COLLEGE AVE W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15.199999999999999"/>
  </r>
  <r>
    <x v="33"/>
    <x v="1"/>
    <n v="25166230"/>
    <s v="1855-1881 ROLLINS RD"/>
    <s v="5+"/>
    <x v="0"/>
    <n v="0"/>
    <n v="0"/>
    <n v="35"/>
    <n v="0"/>
    <n v="0"/>
    <n v="0"/>
    <x v="0"/>
    <n v="0"/>
    <n v="35"/>
    <n v="0"/>
    <n v="0"/>
    <n v="0"/>
    <n v="0"/>
    <n v="0"/>
    <n v="0"/>
    <n v="0"/>
    <n v="0"/>
    <n v="0"/>
    <x v="0"/>
    <n v="55"/>
    <n v="20"/>
  </r>
  <r>
    <x v="156"/>
    <x v="0"/>
    <s v="039-560-08"/>
    <s v="3930 Old Highway 53"/>
    <s v="5+"/>
    <x v="0"/>
    <n v="0"/>
    <n v="0"/>
    <n v="0"/>
    <n v="0"/>
    <n v="0"/>
    <n v="0"/>
    <x v="0"/>
    <n v="0"/>
    <n v="0"/>
    <n v="102"/>
    <n v="0"/>
    <n v="0"/>
    <n v="0"/>
    <n v="0"/>
    <n v="0"/>
    <n v="0"/>
    <n v="0"/>
    <n v="0"/>
    <x v="0"/>
    <m/>
    <n v="100"/>
  </r>
  <r>
    <x v="33"/>
    <x v="1"/>
    <s v="026231250"/>
    <s v="1095 ROLLINS RD"/>
    <s v="5+"/>
    <x v="0"/>
    <n v="0"/>
    <n v="0"/>
    <n v="0"/>
    <n v="0"/>
    <n v="15"/>
    <n v="0"/>
    <x v="0"/>
    <n v="0"/>
    <n v="0"/>
    <n v="0"/>
    <n v="15"/>
    <n v="0"/>
    <n v="0"/>
    <n v="0"/>
    <n v="0"/>
    <n v="0"/>
    <n v="15"/>
    <n v="0"/>
    <x v="0"/>
    <n v="55"/>
    <n v="35"/>
  </r>
  <r>
    <x v="68"/>
    <x v="0"/>
    <s v="077-011-011"/>
    <s v="700 Oak Park"/>
    <s v="5+"/>
    <x v="0"/>
    <n v="0"/>
    <n v="0"/>
    <n v="63"/>
    <n v="0"/>
    <n v="0"/>
    <n v="0"/>
    <x v="0"/>
    <n v="0"/>
    <n v="0"/>
    <n v="0"/>
    <n v="0"/>
    <n v="0"/>
    <n v="0"/>
    <n v="0"/>
    <n v="0"/>
    <n v="0"/>
    <n v="0"/>
    <n v="0"/>
    <x v="0"/>
    <n v="1000"/>
    <n v="47"/>
  </r>
  <r>
    <x v="37"/>
    <x v="4"/>
    <s v="066-060-004; 066-060-007; 066-060-021"/>
    <s v="711 and 9500 Oak Park Street"/>
    <s v="5+"/>
    <x v="0"/>
    <n v="0"/>
    <n v="0"/>
    <n v="0"/>
    <n v="0"/>
    <n v="0"/>
    <n v="0"/>
    <x v="46"/>
    <n v="0"/>
    <n v="29"/>
    <n v="0"/>
    <n v="1"/>
    <n v="0"/>
    <n v="0"/>
    <n v="0"/>
    <n v="0"/>
    <n v="0"/>
    <n v="0"/>
    <n v="0"/>
    <x v="1"/>
    <n v="55"/>
    <n v="0"/>
  </r>
  <r>
    <x v="8"/>
    <x v="5"/>
    <n v="5395222600"/>
    <s v="2828 BROADWAY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m/>
    <n v="0"/>
  </r>
  <r>
    <x v="8"/>
    <x v="5"/>
    <n v="4464112500"/>
    <s v="3954 KANSAS S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m/>
    <n v="0"/>
  </r>
  <r>
    <x v="8"/>
    <x v="5"/>
    <n v="6450407500"/>
    <s v="5225 CALLE DORADO"/>
    <s v="5+"/>
    <x v="0"/>
    <n v="0"/>
    <n v="0"/>
    <n v="0"/>
    <n v="0"/>
    <n v="0"/>
    <n v="0"/>
    <x v="17"/>
    <n v="0"/>
    <n v="12"/>
    <n v="0"/>
    <n v="0"/>
    <n v="0"/>
    <n v="0"/>
    <n v="0"/>
    <n v="0"/>
    <n v="0"/>
    <n v="0"/>
    <n v="0"/>
    <x v="1"/>
    <m/>
    <n v="0"/>
  </r>
  <r>
    <x v="8"/>
    <x v="5"/>
    <n v="6380802000"/>
    <s v="517 W SAN YSIDRO BL"/>
    <s v="5+"/>
    <x v="0"/>
    <n v="50"/>
    <n v="0"/>
    <n v="0"/>
    <n v="0"/>
    <n v="0"/>
    <n v="0"/>
    <x v="53"/>
    <n v="0"/>
    <n v="0"/>
    <n v="0"/>
    <n v="0"/>
    <n v="0"/>
    <n v="0"/>
    <n v="0"/>
    <n v="0"/>
    <n v="0"/>
    <n v="0"/>
    <n v="0"/>
    <x v="0"/>
    <m/>
    <n v="0"/>
  </r>
  <r>
    <x v="8"/>
    <x v="5"/>
    <n v="5330722700"/>
    <s v="2517 Union Street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m/>
    <n v="0"/>
  </r>
  <r>
    <x v="8"/>
    <x v="5"/>
    <n v="5343520100"/>
    <s v="1509 Broadway"/>
    <s v="5+"/>
    <x v="0"/>
    <n v="19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2"/>
    <x v="5"/>
    <s v="04181106"/>
    <s v="141 APTOS VILLAGE WAY, APTOS , 95003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m/>
    <n v="0"/>
  </r>
  <r>
    <x v="66"/>
    <x v="1"/>
    <n v="4015010029"/>
    <s v="423 E Warren Ln"/>
    <s v="5+"/>
    <x v="0"/>
    <n v="69"/>
    <n v="0"/>
    <n v="40"/>
    <n v="0"/>
    <n v="0"/>
    <n v="0"/>
    <x v="0"/>
    <n v="0"/>
    <n v="0"/>
    <n v="0"/>
    <n v="0"/>
    <n v="0"/>
    <n v="0"/>
    <n v="0"/>
    <n v="0"/>
    <n v="0"/>
    <n v="0"/>
    <n v="0"/>
    <x v="0"/>
    <m/>
    <n v="100"/>
  </r>
  <r>
    <x v="135"/>
    <x v="1"/>
    <n v="1620023030"/>
    <s v="2810 BARRY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0"/>
    <n v="55"/>
    <n v="0"/>
  </r>
  <r>
    <x v="111"/>
    <x v="3"/>
    <n v="266130023"/>
    <s v="1705 Seventh Street"/>
    <s v="5+"/>
    <x v="0"/>
    <n v="17"/>
    <n v="0"/>
    <n v="4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11"/>
    <x v="3"/>
    <s v="TPN-170-57T"/>
    <s v="1751 SEVENTH ST, Riverside, CA 92507"/>
    <s v="5+"/>
    <x v="0"/>
    <n v="0"/>
    <n v="0"/>
    <n v="0"/>
    <n v="0"/>
    <n v="0"/>
    <n v="0"/>
    <x v="0"/>
    <n v="0"/>
    <n v="13"/>
    <n v="0"/>
    <n v="0"/>
    <n v="0"/>
    <n v="0"/>
    <n v="0"/>
    <n v="0"/>
    <n v="0"/>
    <n v="0"/>
    <n v="0"/>
    <x v="0"/>
    <n v="55"/>
    <n v="0"/>
  </r>
  <r>
    <x v="111"/>
    <x v="3"/>
    <s v="TPN-170-57T"/>
    <s v="1757 SEVENTH ST, Riverside, CA 92507"/>
    <s v="5+"/>
    <x v="0"/>
    <n v="0"/>
    <n v="0"/>
    <n v="0"/>
    <n v="0"/>
    <n v="0"/>
    <n v="0"/>
    <x v="0"/>
    <n v="0"/>
    <n v="13"/>
    <n v="0"/>
    <n v="0"/>
    <n v="0"/>
    <n v="0"/>
    <n v="0"/>
    <n v="0"/>
    <n v="0"/>
    <n v="0"/>
    <n v="0"/>
    <x v="0"/>
    <n v="55"/>
    <n v="0"/>
  </r>
  <r>
    <x v="85"/>
    <x v="2"/>
    <s v="208-860-121"/>
    <s v="69112 Via Vicenza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0"/>
    <n v="0"/>
  </r>
  <r>
    <x v="94"/>
    <x v="3"/>
    <n v="13200501610000"/>
    <s v="10149 BRUCEVILLE RD"/>
    <s v="5+"/>
    <x v="0"/>
    <n v="0"/>
    <n v="0"/>
    <n v="0"/>
    <n v="0"/>
    <n v="0"/>
    <n v="0"/>
    <x v="7"/>
    <n v="0"/>
    <n v="20"/>
    <n v="0"/>
    <n v="0"/>
    <n v="0"/>
    <n v="0"/>
    <n v="0"/>
    <n v="0"/>
    <n v="0"/>
    <n v="0"/>
    <n v="0"/>
    <x v="0"/>
    <n v="55"/>
    <n v="0"/>
  </r>
  <r>
    <x v="3"/>
    <x v="5"/>
    <n v="5530001004"/>
    <s v="1250 Fairfax Avenue"/>
    <s v="5+"/>
    <x v="0"/>
    <n v="0"/>
    <n v="0"/>
    <n v="0"/>
    <n v="0"/>
    <n v="0"/>
    <n v="0"/>
    <x v="6"/>
    <n v="0"/>
    <n v="0"/>
    <n v="0"/>
    <n v="6"/>
    <n v="0"/>
    <n v="0"/>
    <n v="0"/>
    <n v="0"/>
    <n v="0"/>
    <n v="0"/>
    <n v="0"/>
    <x v="0"/>
    <n v="1000"/>
    <n v="0"/>
  </r>
  <r>
    <x v="3"/>
    <x v="5"/>
    <n v="5530015029"/>
    <s v="1041 SPAULDING AVE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62"/>
    <x v="0"/>
    <n v="3956008"/>
    <s v="300 DE HARO ST"/>
    <s v="5+"/>
    <x v="0"/>
    <n v="20"/>
    <n v="0"/>
    <n v="29"/>
    <n v="0"/>
    <n v="23"/>
    <n v="0"/>
    <x v="0"/>
    <n v="0"/>
    <n v="0"/>
    <n v="0"/>
    <n v="0"/>
    <n v="0"/>
    <n v="0"/>
    <n v="0"/>
    <n v="0"/>
    <n v="0"/>
    <n v="0"/>
    <n v="0"/>
    <x v="0"/>
    <n v="1000"/>
    <n v="34"/>
  </r>
  <r>
    <x v="62"/>
    <x v="0"/>
    <n v="1438016"/>
    <s v="375 06TH AVE"/>
    <s v="5+"/>
    <x v="0"/>
    <n v="30"/>
    <n v="0"/>
    <n v="67"/>
    <n v="0"/>
    <n v="0"/>
    <n v="0"/>
    <x v="0"/>
    <n v="0"/>
    <n v="0"/>
    <n v="0"/>
    <n v="0"/>
    <n v="0"/>
    <n v="0"/>
    <n v="0"/>
    <n v="0"/>
    <n v="0"/>
    <n v="0"/>
    <n v="0"/>
    <x v="0"/>
    <n v="1000"/>
    <n v="363"/>
  </r>
  <r>
    <x v="62"/>
    <x v="0"/>
    <s v="0667020"/>
    <s v="1525 PINE ST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1000"/>
    <n v="140"/>
  </r>
  <r>
    <x v="62"/>
    <x v="0"/>
    <s v="4591D018"/>
    <s v="899 LA SALLE AV"/>
    <s v="5+"/>
    <x v="0"/>
    <n v="0"/>
    <n v="0"/>
    <n v="0"/>
    <n v="0"/>
    <n v="0"/>
    <n v="0"/>
    <x v="17"/>
    <n v="0"/>
    <n v="4"/>
    <n v="0"/>
    <n v="2"/>
    <n v="0"/>
    <n v="0"/>
    <n v="0"/>
    <n v="0"/>
    <n v="0"/>
    <n v="0"/>
    <n v="0"/>
    <x v="1"/>
    <n v="1000"/>
    <n v="0"/>
  </r>
  <r>
    <x v="62"/>
    <x v="0"/>
    <n v="3521056"/>
    <s v="1532 Harrison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22"/>
    <n v="0"/>
    <x v="1"/>
    <n v="1000"/>
    <n v="0"/>
  </r>
  <r>
    <x v="62"/>
    <x v="0"/>
    <s v="0140007"/>
    <s v="88 Broadway"/>
    <s v="5+"/>
    <x v="0"/>
    <n v="0"/>
    <n v="0"/>
    <n v="0"/>
    <n v="0"/>
    <n v="0"/>
    <n v="0"/>
    <x v="0"/>
    <n v="0"/>
    <n v="0"/>
    <n v="0"/>
    <n v="0"/>
    <n v="0"/>
    <n v="49"/>
    <n v="0"/>
    <n v="65"/>
    <n v="0"/>
    <n v="10"/>
    <n v="0"/>
    <x v="1"/>
    <n v="1000"/>
    <n v="0"/>
  </r>
  <r>
    <x v="147"/>
    <x v="3"/>
    <n v="1922641"/>
    <s v="1482 FREEDOM BLVD"/>
    <s v="5+"/>
    <x v="0"/>
    <n v="53"/>
    <n v="0"/>
    <n v="0"/>
    <n v="0"/>
    <n v="0"/>
    <n v="0"/>
    <x v="51"/>
    <n v="0"/>
    <n v="0"/>
    <n v="0"/>
    <n v="0"/>
    <n v="0"/>
    <n v="0"/>
    <n v="0"/>
    <n v="0"/>
    <n v="0"/>
    <n v="0"/>
    <n v="0"/>
    <x v="1"/>
    <n v="55"/>
    <n v="0"/>
  </r>
  <r>
    <x v="123"/>
    <x v="3"/>
    <s v="342-16-87 &amp; 88"/>
    <s v="10625 S Foothill Blvd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37"/>
    <x v="1"/>
    <n v="77660021"/>
    <s v="Demaree St &amp; Houston Ave"/>
    <s v="5+"/>
    <x v="0"/>
    <n v="66"/>
    <n v="0"/>
    <n v="154"/>
    <n v="2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03"/>
    <x v="3"/>
    <s v="121-020-21"/>
    <s v="30333 Camino Capistrano"/>
    <s v="5+"/>
    <x v="0"/>
    <n v="0"/>
    <n v="0"/>
    <n v="0"/>
    <n v="0"/>
    <n v="0"/>
    <n v="0"/>
    <x v="0"/>
    <n v="0"/>
    <n v="0"/>
    <n v="0"/>
    <n v="0"/>
    <n v="0"/>
    <n v="10"/>
    <n v="12"/>
    <n v="27"/>
    <n v="25"/>
    <n v="0"/>
    <n v="1"/>
    <x v="0"/>
    <n v="55"/>
    <n v="0"/>
  </r>
  <r>
    <x v="120"/>
    <x v="3"/>
    <s v="435-053-18"/>
    <s v="2602 McGaw Avenue, PA 36"/>
    <s v="5+"/>
    <x v="0"/>
    <n v="12"/>
    <n v="0"/>
    <n v="0"/>
    <n v="0"/>
    <n v="7"/>
    <n v="0"/>
    <x v="0"/>
    <n v="0"/>
    <n v="0"/>
    <n v="0"/>
    <n v="0"/>
    <n v="0"/>
    <n v="0"/>
    <n v="0"/>
    <n v="0"/>
    <n v="0"/>
    <n v="0"/>
    <n v="0"/>
    <x v="0"/>
    <n v="55"/>
    <n v="27.5"/>
  </r>
  <r>
    <x v="58"/>
    <x v="3"/>
    <s v="070-222-23"/>
    <s v="3801 Franklin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10"/>
  </r>
  <r>
    <x v="112"/>
    <x v="3"/>
    <n v="10041001"/>
    <s v="340 7TH ST"/>
    <s v="5+"/>
    <x v="0"/>
    <n v="0"/>
    <n v="0"/>
    <n v="0"/>
    <n v="0"/>
    <n v="0"/>
    <n v="0"/>
    <x v="80"/>
    <n v="0"/>
    <n v="12"/>
    <n v="0"/>
    <n v="0"/>
    <n v="0"/>
    <n v="0"/>
    <n v="0"/>
    <n v="0"/>
    <n v="0"/>
    <n v="0"/>
    <n v="0"/>
    <x v="0"/>
    <n v="55"/>
    <n v="35"/>
  </r>
  <r>
    <x v="112"/>
    <x v="3"/>
    <n v="125071015"/>
    <s v="1825 SEBASTOPOL RD"/>
    <s v="5+"/>
    <x v="0"/>
    <n v="0"/>
    <n v="0"/>
    <n v="0"/>
    <n v="0"/>
    <n v="0"/>
    <n v="0"/>
    <x v="14"/>
    <n v="0"/>
    <n v="0"/>
    <n v="0"/>
    <n v="0"/>
    <n v="0"/>
    <n v="0"/>
    <n v="0"/>
    <n v="0"/>
    <n v="0"/>
    <n v="0"/>
    <n v="0"/>
    <x v="0"/>
    <n v="55"/>
    <n v="37.5"/>
  </r>
  <r>
    <x v="112"/>
    <x v="3"/>
    <n v="182520088"/>
    <s v="615 ACACIA LN"/>
    <s v="5+"/>
    <x v="0"/>
    <n v="0"/>
    <n v="0"/>
    <n v="0"/>
    <n v="0"/>
    <n v="0"/>
    <n v="0"/>
    <x v="0"/>
    <n v="0"/>
    <n v="0"/>
    <n v="0"/>
    <n v="0"/>
    <n v="0"/>
    <n v="25"/>
    <n v="0"/>
    <n v="0"/>
    <n v="0"/>
    <n v="0"/>
    <n v="0"/>
    <x v="0"/>
    <m/>
    <n v="35"/>
  </r>
  <r>
    <x v="112"/>
    <x v="3"/>
    <n v="125111037"/>
    <s v="665 Sebastopol Road"/>
    <s v="5+"/>
    <x v="0"/>
    <n v="0"/>
    <n v="0"/>
    <n v="75"/>
    <n v="0"/>
    <n v="0"/>
    <n v="0"/>
    <x v="0"/>
    <n v="0"/>
    <n v="0"/>
    <n v="0"/>
    <n v="0"/>
    <n v="0"/>
    <n v="0"/>
    <n v="0"/>
    <n v="0"/>
    <n v="0"/>
    <n v="0"/>
    <n v="0"/>
    <x v="0"/>
    <m/>
    <n v="32"/>
  </r>
  <r>
    <x v="157"/>
    <x v="3"/>
    <s v="427 342 01"/>
    <s v="1300 Bristol Street"/>
    <s v="5+"/>
    <x v="0"/>
    <n v="12"/>
    <n v="0"/>
    <n v="12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56"/>
    <x v="2"/>
    <s v="74-1373-2-2"/>
    <s v="2850 FIFTH ST UNITS 120-131"/>
    <s v="5+"/>
    <x v="1"/>
    <n v="0"/>
    <n v="0"/>
    <n v="0"/>
    <n v="0"/>
    <n v="0"/>
    <n v="0"/>
    <x v="0"/>
    <n v="0"/>
    <n v="0"/>
    <n v="0"/>
    <n v="2"/>
    <n v="0"/>
    <n v="0"/>
    <n v="0"/>
    <n v="0"/>
    <n v="0"/>
    <n v="0"/>
    <n v="0"/>
    <x v="0"/>
    <n v="50"/>
    <n v="0"/>
  </r>
  <r>
    <x v="94"/>
    <x v="3"/>
    <n v="13200501610000"/>
    <s v="10129 BRUCEVILLE RD"/>
    <s v="5+"/>
    <x v="0"/>
    <n v="0"/>
    <n v="0"/>
    <n v="0"/>
    <n v="0"/>
    <n v="0"/>
    <n v="0"/>
    <x v="7"/>
    <n v="0"/>
    <n v="22"/>
    <n v="0"/>
    <n v="0"/>
    <n v="0"/>
    <n v="0"/>
    <n v="0"/>
    <n v="0"/>
    <n v="0"/>
    <n v="0"/>
    <n v="0"/>
    <x v="0"/>
    <n v="55"/>
    <n v="0"/>
  </r>
  <r>
    <x v="94"/>
    <x v="3"/>
    <n v="13200501610000"/>
    <s v="10129 BRUCEVILLE RD"/>
    <s v="5+"/>
    <x v="0"/>
    <n v="0"/>
    <n v="0"/>
    <n v="0"/>
    <n v="0"/>
    <n v="0"/>
    <n v="0"/>
    <x v="7"/>
    <n v="0"/>
    <n v="22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x v="0"/>
    <n v="0"/>
    <n v="10"/>
    <n v="0"/>
    <n v="0"/>
    <n v="0"/>
    <n v="0"/>
    <n v="0"/>
    <n v="0"/>
    <n v="0"/>
    <n v="0"/>
    <n v="0"/>
    <x v="0"/>
    <n v="55"/>
    <n v="0"/>
  </r>
  <r>
    <x v="62"/>
    <x v="0"/>
    <n v="3516009"/>
    <s v="1560 FOLSOM ST"/>
    <s v="5+"/>
    <x v="0"/>
    <n v="20"/>
    <n v="0"/>
    <n v="7"/>
    <n v="0"/>
    <n v="0"/>
    <n v="0"/>
    <x v="0"/>
    <n v="0"/>
    <n v="0"/>
    <n v="0"/>
    <n v="0"/>
    <n v="0"/>
    <n v="0"/>
    <n v="0"/>
    <n v="0"/>
    <n v="0"/>
    <n v="0"/>
    <n v="0"/>
    <x v="0"/>
    <n v="1000"/>
    <n v="135"/>
  </r>
  <r>
    <x v="62"/>
    <x v="0"/>
    <s v="0318009"/>
    <s v="550 OFARRELL ST"/>
    <s v="5+"/>
    <x v="0"/>
    <n v="0"/>
    <n v="0"/>
    <n v="17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62"/>
    <x v="0"/>
    <n v="6956004"/>
    <s v="4742 MISSION ST"/>
    <s v="5+"/>
    <x v="0"/>
    <n v="0"/>
    <n v="0"/>
    <n v="8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62"/>
    <x v="0"/>
    <s v="4591D014"/>
    <s v="889 LA SALLE AV"/>
    <s v="5+"/>
    <x v="0"/>
    <n v="0"/>
    <n v="0"/>
    <n v="0"/>
    <n v="0"/>
    <n v="0"/>
    <n v="0"/>
    <x v="3"/>
    <n v="0"/>
    <n v="4"/>
    <n v="0"/>
    <n v="2"/>
    <n v="0"/>
    <n v="0"/>
    <n v="0"/>
    <n v="0"/>
    <n v="0"/>
    <n v="0"/>
    <n v="0"/>
    <x v="1"/>
    <n v="1000"/>
    <n v="0"/>
  </r>
  <r>
    <x v="62"/>
    <x v="0"/>
    <n v="3755054"/>
    <s v="343 08TH ST"/>
    <s v="5+"/>
    <x v="1"/>
    <n v="0"/>
    <n v="0"/>
    <n v="0"/>
    <n v="0"/>
    <n v="0"/>
    <n v="0"/>
    <x v="0"/>
    <n v="0"/>
    <n v="0"/>
    <n v="0"/>
    <n v="6"/>
    <n v="0"/>
    <n v="0"/>
    <n v="0"/>
    <n v="0"/>
    <n v="0"/>
    <n v="0"/>
    <n v="0"/>
    <x v="1"/>
    <n v="1000"/>
    <n v="0"/>
  </r>
  <r>
    <x v="62"/>
    <x v="0"/>
    <s v="4591D131"/>
    <s v="1 EARL ST"/>
    <s v="5+"/>
    <x v="0"/>
    <n v="0"/>
    <n v="0"/>
    <n v="0"/>
    <n v="0"/>
    <n v="0"/>
    <n v="0"/>
    <x v="3"/>
    <n v="0"/>
    <n v="3"/>
    <n v="0"/>
    <n v="1"/>
    <n v="0"/>
    <n v="0"/>
    <n v="0"/>
    <n v="0"/>
    <n v="0"/>
    <n v="0"/>
    <n v="0"/>
    <x v="1"/>
    <n v="1000"/>
    <n v="0"/>
  </r>
  <r>
    <x v="62"/>
    <x v="0"/>
    <s v="0311016"/>
    <s v="690 MARKET ST"/>
    <s v="5+"/>
    <x v="1"/>
    <n v="0"/>
    <n v="0"/>
    <n v="0"/>
    <n v="0"/>
    <n v="0"/>
    <n v="0"/>
    <x v="3"/>
    <n v="0"/>
    <n v="2"/>
    <n v="0"/>
    <n v="1"/>
    <n v="0"/>
    <n v="0"/>
    <n v="0"/>
    <n v="0"/>
    <n v="0"/>
    <n v="0"/>
    <n v="0"/>
    <x v="1"/>
    <n v="1000"/>
    <n v="0"/>
  </r>
  <r>
    <x v="62"/>
    <x v="0"/>
    <s v="4591D012"/>
    <s v="898 LA SALLE AV"/>
    <s v="5+"/>
    <x v="1"/>
    <n v="0"/>
    <n v="0"/>
    <n v="0"/>
    <n v="0"/>
    <n v="0"/>
    <n v="0"/>
    <x v="3"/>
    <n v="0"/>
    <n v="2"/>
    <n v="0"/>
    <n v="1"/>
    <n v="0"/>
    <n v="0"/>
    <n v="0"/>
    <n v="0"/>
    <n v="0"/>
    <n v="0"/>
    <n v="0"/>
    <x v="1"/>
    <n v="1000"/>
    <n v="0"/>
  </r>
  <r>
    <x v="85"/>
    <x v="2"/>
    <s v="208-860-122"/>
    <s v="69106 Via Vicenza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0"/>
    <n v="0"/>
  </r>
  <r>
    <x v="85"/>
    <x v="2"/>
    <s v="208-860-020"/>
    <s v="22112 Argento Loop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0"/>
    <n v="0"/>
  </r>
  <r>
    <x v="62"/>
    <x v="0"/>
    <n v="3552012"/>
    <s v="1990 Folsom St"/>
    <s v="5+"/>
    <x v="0"/>
    <n v="0"/>
    <n v="0"/>
    <n v="0"/>
    <n v="0"/>
    <n v="0"/>
    <n v="0"/>
    <x v="0"/>
    <n v="0"/>
    <n v="0"/>
    <n v="0"/>
    <n v="0"/>
    <n v="0"/>
    <n v="87"/>
    <n v="0"/>
    <n v="55"/>
    <n v="0"/>
    <n v="0"/>
    <n v="0"/>
    <x v="1"/>
    <n v="1000"/>
    <n v="0"/>
  </r>
  <r>
    <x v="62"/>
    <x v="0"/>
    <n v="3553008"/>
    <s v="490 South Van Ness Av"/>
    <s v="5+"/>
    <x v="0"/>
    <n v="0"/>
    <n v="0"/>
    <n v="0"/>
    <n v="0"/>
    <n v="0"/>
    <n v="0"/>
    <x v="0"/>
    <n v="0"/>
    <n v="0"/>
    <n v="0"/>
    <n v="0"/>
    <n v="0"/>
    <n v="0"/>
    <n v="0"/>
    <n v="80"/>
    <n v="0"/>
    <n v="0"/>
    <n v="0"/>
    <x v="1"/>
    <n v="1000"/>
    <n v="0"/>
  </r>
  <r>
    <x v="62"/>
    <x v="0"/>
    <n v="2393040"/>
    <s v="2410 33rd Av"/>
    <s v="5+"/>
    <x v="0"/>
    <n v="0"/>
    <n v="0"/>
    <n v="0"/>
    <n v="0"/>
    <n v="0"/>
    <n v="0"/>
    <x v="0"/>
    <n v="0"/>
    <n v="0"/>
    <n v="0"/>
    <n v="0"/>
    <n v="0"/>
    <n v="1"/>
    <n v="0"/>
    <n v="1"/>
    <n v="0"/>
    <n v="1"/>
    <n v="0"/>
    <x v="1"/>
    <n v="1000"/>
    <n v="0"/>
  </r>
  <r>
    <x v="120"/>
    <x v="3"/>
    <s v="430-16-219"/>
    <s v="2055 MAIN ST"/>
    <s v="5+"/>
    <x v="1"/>
    <n v="0"/>
    <n v="0"/>
    <n v="0"/>
    <n v="0"/>
    <n v="0"/>
    <n v="0"/>
    <x v="58"/>
    <n v="0"/>
    <n v="1"/>
    <n v="0"/>
    <n v="7"/>
    <n v="0"/>
    <n v="0"/>
    <n v="0"/>
    <n v="0"/>
    <n v="0"/>
    <n v="0"/>
    <n v="0"/>
    <x v="0"/>
    <n v="55"/>
    <n v="25"/>
  </r>
  <r>
    <x v="158"/>
    <x v="3"/>
    <s v="107-0-042-015"/>
    <s v="18004 E Telegraph Rd"/>
    <s v="5+"/>
    <x v="0"/>
    <n v="40"/>
    <n v="0"/>
    <n v="126"/>
    <n v="0"/>
    <n v="0"/>
    <n v="0"/>
    <x v="0"/>
    <n v="0"/>
    <n v="0"/>
    <n v="0"/>
    <n v="0"/>
    <n v="0"/>
    <n v="0"/>
    <n v="0"/>
    <n v="0"/>
    <n v="0"/>
    <n v="0"/>
    <n v="0"/>
    <x v="0"/>
    <n v="55"/>
    <n v="24"/>
  </r>
  <r>
    <x v="120"/>
    <x v="3"/>
    <s v="591-131-71"/>
    <s v="Irvine Boulevard to the north, Chinon to the west, Harrier to the south, and Lynx and the Great Park Wildlife Corridor to the east"/>
    <s v="5+"/>
    <x v="0"/>
    <n v="83"/>
    <n v="0"/>
    <n v="0"/>
    <n v="0"/>
    <n v="29"/>
    <n v="0"/>
    <x v="0"/>
    <n v="0"/>
    <n v="0"/>
    <n v="0"/>
    <n v="0"/>
    <n v="0"/>
    <n v="0"/>
    <n v="0"/>
    <n v="0"/>
    <n v="0"/>
    <n v="0"/>
    <n v="0"/>
    <x v="0"/>
    <n v="1000"/>
    <n v="35"/>
  </r>
  <r>
    <x v="120"/>
    <x v="3"/>
    <s v="591-70-103"/>
    <s v="103 LYNX"/>
    <s v="5+"/>
    <x v="0"/>
    <n v="0"/>
    <n v="0"/>
    <n v="0"/>
    <n v="0"/>
    <n v="0"/>
    <n v="0"/>
    <x v="29"/>
    <n v="0"/>
    <n v="0"/>
    <n v="0"/>
    <n v="0"/>
    <n v="0"/>
    <n v="0"/>
    <n v="0"/>
    <n v="0"/>
    <n v="0"/>
    <n v="0"/>
    <n v="0"/>
    <x v="0"/>
    <n v="1000"/>
    <n v="35"/>
  </r>
  <r>
    <x v="94"/>
    <x v="3"/>
    <s v="116-0061-011"/>
    <s v="9270 Bruceville Road"/>
    <s v="5+"/>
    <x v="0"/>
    <n v="68"/>
    <n v="0"/>
    <n v="15"/>
    <n v="0"/>
    <n v="0"/>
    <n v="0"/>
    <x v="0"/>
    <n v="0"/>
    <n v="0"/>
    <n v="0"/>
    <n v="0"/>
    <n v="0"/>
    <n v="0"/>
    <n v="0"/>
    <n v="0"/>
    <n v="0"/>
    <n v="0"/>
    <n v="0"/>
    <x v="0"/>
    <n v="55"/>
    <n v="80"/>
  </r>
  <r>
    <x v="94"/>
    <x v="3"/>
    <n v="13200501610000"/>
    <s v="10129 BRUCEVILLE RD"/>
    <s v="5+"/>
    <x v="0"/>
    <n v="0"/>
    <n v="0"/>
    <n v="0"/>
    <n v="0"/>
    <n v="0"/>
    <n v="0"/>
    <x v="7"/>
    <n v="0"/>
    <n v="22"/>
    <n v="0"/>
    <n v="0"/>
    <n v="0"/>
    <n v="0"/>
    <n v="0"/>
    <n v="0"/>
    <n v="0"/>
    <n v="0"/>
    <n v="0"/>
    <x v="0"/>
    <n v="55"/>
    <n v="0"/>
  </r>
  <r>
    <x v="61"/>
    <x v="5"/>
    <s v="022-083-020"/>
    <s v="801 Fassler"/>
    <s v="5+"/>
    <x v="1"/>
    <n v="0"/>
    <n v="0"/>
    <n v="2"/>
    <n v="0"/>
    <n v="2"/>
    <n v="20"/>
    <x v="0"/>
    <n v="0"/>
    <n v="0"/>
    <n v="0"/>
    <n v="0"/>
    <n v="0"/>
    <n v="0"/>
    <n v="0"/>
    <n v="0"/>
    <n v="0"/>
    <n v="0"/>
    <n v="0"/>
    <x v="1"/>
    <m/>
    <n v="0"/>
  </r>
  <r>
    <x v="72"/>
    <x v="0"/>
    <n v="6220728400"/>
    <s v="750 ANITA ST"/>
    <s v="5+"/>
    <x v="0"/>
    <n v="0"/>
    <n v="0"/>
    <n v="0"/>
    <n v="0"/>
    <n v="0"/>
    <n v="0"/>
    <x v="28"/>
    <n v="0"/>
    <n v="0"/>
    <n v="0"/>
    <n v="0"/>
    <n v="0"/>
    <n v="0"/>
    <n v="0"/>
    <n v="0"/>
    <n v="0"/>
    <n v="0"/>
    <n v="0"/>
    <x v="1"/>
    <n v="55"/>
    <n v="0"/>
  </r>
  <r>
    <x v="72"/>
    <x v="0"/>
    <n v="6220728400"/>
    <s v="750 ANITA ST"/>
    <s v="5+"/>
    <x v="0"/>
    <n v="0"/>
    <n v="0"/>
    <n v="0"/>
    <n v="0"/>
    <n v="0"/>
    <n v="0"/>
    <x v="29"/>
    <n v="0"/>
    <n v="0"/>
    <n v="0"/>
    <n v="0"/>
    <n v="0"/>
    <n v="0"/>
    <n v="0"/>
    <n v="0"/>
    <n v="0"/>
    <n v="0"/>
    <n v="0"/>
    <x v="1"/>
    <n v="55"/>
    <n v="0"/>
  </r>
  <r>
    <x v="159"/>
    <x v="1"/>
    <s v="5722-001-002"/>
    <s v="86 S FAIR OAKS AVE  PARKING LOT_x000a_PASADENA, CA 91105"/>
    <s v="5+"/>
    <x v="0"/>
    <n v="8"/>
    <n v="0"/>
    <n v="0"/>
    <n v="0"/>
    <n v="6"/>
    <n v="0"/>
    <x v="0"/>
    <n v="0"/>
    <n v="0"/>
    <n v="0"/>
    <n v="0"/>
    <n v="0"/>
    <n v="0"/>
    <n v="0"/>
    <n v="0"/>
    <n v="0"/>
    <n v="0"/>
    <n v="0"/>
    <x v="1"/>
    <n v="45"/>
    <n v="0"/>
  </r>
  <r>
    <x v="160"/>
    <x v="3"/>
    <n v="8310019013"/>
    <s v="731 Harrison Avenue"/>
    <s v="5+"/>
    <x v="0"/>
    <n v="3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80"/>
  </r>
  <r>
    <x v="119"/>
    <x v="2"/>
    <s v="049-1041-26-15"/>
    <s v="1450 Sherwin Avenue"/>
    <s v="5+"/>
    <x v="0"/>
    <n v="0"/>
    <n v="0"/>
    <n v="0"/>
    <n v="0"/>
    <n v="0"/>
    <n v="0"/>
    <x v="6"/>
    <n v="0"/>
    <n v="13"/>
    <n v="0"/>
    <n v="12"/>
    <n v="0"/>
    <n v="0"/>
    <n v="0"/>
    <n v="0"/>
    <n v="0"/>
    <n v="0"/>
    <n v="0"/>
    <x v="1"/>
    <n v="55"/>
    <n v="0"/>
  </r>
  <r>
    <x v="119"/>
    <x v="2"/>
    <s v="049-1041-26-15"/>
    <s v="1450 Sherwin Avenue"/>
    <s v="5+"/>
    <x v="0"/>
    <n v="0"/>
    <n v="0"/>
    <n v="0"/>
    <n v="0"/>
    <n v="0"/>
    <n v="0"/>
    <x v="17"/>
    <n v="0"/>
    <n v="4"/>
    <n v="0"/>
    <n v="5"/>
    <n v="0"/>
    <n v="0"/>
    <n v="0"/>
    <n v="0"/>
    <n v="0"/>
    <n v="0"/>
    <n v="0"/>
    <x v="1"/>
    <n v="55"/>
    <n v="0"/>
  </r>
  <r>
    <x v="119"/>
    <x v="2"/>
    <s v="049-1041-26-15"/>
    <s v="1450 Sherwin Avenue"/>
    <s v="5+"/>
    <x v="0"/>
    <n v="0"/>
    <n v="0"/>
    <n v="0"/>
    <n v="0"/>
    <n v="0"/>
    <n v="0"/>
    <x v="5"/>
    <n v="0"/>
    <n v="5"/>
    <n v="0"/>
    <n v="12"/>
    <n v="0"/>
    <n v="0"/>
    <n v="0"/>
    <n v="0"/>
    <n v="0"/>
    <n v="0"/>
    <n v="0"/>
    <x v="1"/>
    <n v="55"/>
    <n v="0"/>
  </r>
  <r>
    <x v="94"/>
    <x v="3"/>
    <n v="13200501610000"/>
    <s v="10149 BRUCEVILLE RD"/>
    <s v="5+"/>
    <x v="0"/>
    <n v="0"/>
    <n v="0"/>
    <n v="0"/>
    <n v="0"/>
    <n v="0"/>
    <n v="0"/>
    <x v="7"/>
    <n v="0"/>
    <n v="37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x v="0"/>
    <n v="0"/>
    <n v="10"/>
    <n v="0"/>
    <n v="0"/>
    <n v="0"/>
    <n v="0"/>
    <n v="0"/>
    <n v="0"/>
    <n v="0"/>
    <n v="0"/>
    <n v="0"/>
    <x v="0"/>
    <n v="55"/>
    <n v="0"/>
  </r>
  <r>
    <x v="161"/>
    <x v="3"/>
    <s v="011-050-044"/>
    <s v="1866 LINCOLN AVE"/>
    <s v="5+"/>
    <x v="0"/>
    <n v="0"/>
    <n v="0"/>
    <n v="0"/>
    <n v="0"/>
    <n v="0"/>
    <n v="0"/>
    <x v="0"/>
    <n v="0"/>
    <n v="12"/>
    <n v="0"/>
    <n v="66"/>
    <n v="0"/>
    <n v="0"/>
    <n v="0"/>
    <n v="0"/>
    <n v="0"/>
    <n v="0"/>
    <n v="0"/>
    <x v="1"/>
    <m/>
    <n v="0"/>
  </r>
  <r>
    <x v="29"/>
    <x v="3"/>
    <s v="6224-019-901"/>
    <s v="4610 Santa Ana Street"/>
    <s v="5+"/>
    <x v="0"/>
    <n v="0"/>
    <n v="0"/>
    <n v="138"/>
    <n v="0"/>
    <n v="0"/>
    <n v="0"/>
    <x v="0"/>
    <n v="0"/>
    <n v="0"/>
    <n v="0"/>
    <n v="0"/>
    <n v="0"/>
    <n v="0"/>
    <n v="0"/>
    <n v="0"/>
    <n v="0"/>
    <n v="0"/>
    <n v="0"/>
    <x v="0"/>
    <n v="55"/>
    <n v="222"/>
  </r>
  <r>
    <x v="160"/>
    <x v="1"/>
    <n v="8310019013"/>
    <s v="731 Harrison Ave"/>
    <s v="5+"/>
    <x v="0"/>
    <n v="3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80"/>
  </r>
  <r>
    <x v="72"/>
    <x v="0"/>
    <n v="5734504100"/>
    <s v="310 K ST A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62"/>
    <x v="3"/>
    <n v="1735021"/>
    <s v="2955 MISSION ST 94110"/>
    <s v="5+"/>
    <x v="0"/>
    <n v="1"/>
    <n v="0"/>
    <n v="1"/>
    <n v="0"/>
    <n v="1"/>
    <n v="0"/>
    <x v="0"/>
    <n v="0"/>
    <n v="0"/>
    <n v="0"/>
    <n v="0"/>
    <n v="0"/>
    <n v="0"/>
    <n v="0"/>
    <n v="0"/>
    <n v="0"/>
    <n v="0"/>
    <n v="0"/>
    <x v="0"/>
    <m/>
    <n v="100"/>
  </r>
  <r>
    <x v="62"/>
    <x v="3"/>
    <s v="3505032A"/>
    <s v="1629 MARKET ST"/>
    <s v="5+"/>
    <x v="0"/>
    <n v="0"/>
    <n v="0"/>
    <n v="0"/>
    <n v="0"/>
    <n v="0"/>
    <n v="0"/>
    <x v="0"/>
    <n v="0"/>
    <n v="58"/>
    <n v="0"/>
    <n v="0"/>
    <n v="0"/>
    <n v="0"/>
    <n v="0"/>
    <n v="0"/>
    <n v="0"/>
    <n v="0"/>
    <n v="0"/>
    <x v="1"/>
    <m/>
    <n v="0"/>
  </r>
  <r>
    <x v="62"/>
    <x v="3"/>
    <n v="8901002"/>
    <s v="1 AVENUE OF THE PALMS *"/>
    <s v="5+"/>
    <x v="0"/>
    <n v="0"/>
    <n v="0"/>
    <n v="0"/>
    <n v="0"/>
    <n v="0"/>
    <n v="0"/>
    <x v="0"/>
    <n v="0"/>
    <n v="7"/>
    <n v="0"/>
    <n v="0"/>
    <n v="0"/>
    <n v="0"/>
    <n v="0"/>
    <n v="0"/>
    <n v="0"/>
    <n v="0"/>
    <n v="0"/>
    <x v="1"/>
    <m/>
    <n v="0"/>
  </r>
  <r>
    <x v="62"/>
    <x v="3"/>
    <s v="4591D017"/>
    <s v="999 OAKDALE AV"/>
    <s v="5+"/>
    <x v="0"/>
    <n v="0"/>
    <n v="0"/>
    <n v="0"/>
    <n v="0"/>
    <n v="0"/>
    <n v="0"/>
    <x v="0"/>
    <n v="0"/>
    <n v="10"/>
    <n v="0"/>
    <n v="0"/>
    <n v="0"/>
    <n v="0"/>
    <n v="0"/>
    <n v="0"/>
    <n v="0"/>
    <n v="0"/>
    <n v="0"/>
    <x v="1"/>
    <m/>
    <n v="0"/>
  </r>
  <r>
    <x v="62"/>
    <x v="3"/>
    <s v="0836007"/>
    <s v="1554 MARKET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3"/>
    <n v="0"/>
    <x v="1"/>
    <m/>
    <n v="0"/>
  </r>
  <r>
    <x v="62"/>
    <x v="3"/>
    <n v="3505027"/>
    <s v="53V COLTON ST"/>
    <s v="5+"/>
    <x v="0"/>
    <n v="0"/>
    <n v="0"/>
    <n v="0"/>
    <n v="0"/>
    <n v="0"/>
    <n v="0"/>
    <x v="0"/>
    <n v="0"/>
    <n v="0"/>
    <n v="0"/>
    <n v="0"/>
    <n v="0"/>
    <n v="0"/>
    <n v="0"/>
    <n v="96"/>
    <n v="0"/>
    <n v="0"/>
    <n v="0"/>
    <x v="1"/>
    <m/>
    <n v="0"/>
  </r>
  <r>
    <x v="62"/>
    <x v="3"/>
    <n v="3505008"/>
    <s v="1125 STEVENSON ST"/>
    <s v="5+"/>
    <x v="0"/>
    <n v="0"/>
    <n v="0"/>
    <n v="0"/>
    <n v="0"/>
    <n v="0"/>
    <n v="0"/>
    <x v="0"/>
    <n v="0"/>
    <n v="0"/>
    <n v="0"/>
    <n v="0"/>
    <n v="0"/>
    <n v="0"/>
    <n v="0"/>
    <n v="58"/>
    <n v="0"/>
    <n v="0"/>
    <n v="0"/>
    <x v="1"/>
    <m/>
    <n v="0"/>
  </r>
  <r>
    <x v="8"/>
    <x v="3"/>
    <n v="4462320700"/>
    <s v="4233 KANSAS ST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100"/>
  </r>
  <r>
    <x v="39"/>
    <x v="3"/>
    <s v="500-071-12"/>
    <s v="1941 El Camino Real"/>
    <s v="5+"/>
    <x v="0"/>
    <n v="0"/>
    <n v="0"/>
    <n v="0"/>
    <n v="0"/>
    <n v="0"/>
    <n v="0"/>
    <x v="0"/>
    <n v="0"/>
    <n v="7"/>
    <n v="0"/>
    <n v="0"/>
    <n v="0"/>
    <n v="0"/>
    <n v="0"/>
    <n v="0"/>
    <n v="0"/>
    <n v="0"/>
    <n v="0"/>
    <x v="0"/>
    <m/>
    <n v="35"/>
  </r>
  <r>
    <x v="62"/>
    <x v="3"/>
    <n v="8901002"/>
    <s v="1 AVENUE OF THE PALMS *"/>
    <s v="5+"/>
    <x v="0"/>
    <n v="0"/>
    <n v="0"/>
    <n v="0"/>
    <n v="0"/>
    <n v="0"/>
    <n v="0"/>
    <x v="0"/>
    <n v="0"/>
    <n v="24"/>
    <n v="0"/>
    <n v="0"/>
    <n v="0"/>
    <n v="0"/>
    <n v="0"/>
    <n v="0"/>
    <n v="0"/>
    <n v="0"/>
    <n v="0"/>
    <x v="1"/>
    <m/>
    <n v="0"/>
  </r>
  <r>
    <x v="62"/>
    <x v="3"/>
    <n v="3753148"/>
    <s v="377 06TH ST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1"/>
    <m/>
    <n v="0"/>
  </r>
  <r>
    <x v="62"/>
    <x v="3"/>
    <n v="6956004"/>
    <s v="4742 Mission St"/>
    <s v="5+"/>
    <x v="0"/>
    <n v="0"/>
    <n v="0"/>
    <n v="0"/>
    <n v="0"/>
    <n v="0"/>
    <n v="0"/>
    <x v="0"/>
    <n v="0"/>
    <n v="8"/>
    <n v="0"/>
    <n v="3"/>
    <n v="0"/>
    <n v="0"/>
    <n v="0"/>
    <n v="0"/>
    <n v="0"/>
    <n v="0"/>
    <n v="0"/>
    <x v="0"/>
    <m/>
    <n v="0"/>
  </r>
  <r>
    <x v="62"/>
    <x v="3"/>
    <n v="3728019"/>
    <s v="1298 HOWARD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17"/>
    <n v="0"/>
    <x v="1"/>
    <m/>
    <n v="0"/>
  </r>
  <r>
    <x v="62"/>
    <x v="3"/>
    <n v="3591024"/>
    <s v="793 SOUTH VAN NESS AV"/>
    <s v="5+"/>
    <x v="0"/>
    <n v="0"/>
    <n v="0"/>
    <n v="0"/>
    <n v="0"/>
    <n v="0"/>
    <n v="0"/>
    <x v="0"/>
    <n v="0"/>
    <n v="0"/>
    <n v="0"/>
    <n v="0"/>
    <n v="0"/>
    <n v="0"/>
    <n v="0"/>
    <n v="11"/>
    <n v="0"/>
    <n v="0"/>
    <n v="0"/>
    <x v="0"/>
    <m/>
    <n v="35"/>
  </r>
  <r>
    <x v="62"/>
    <x v="3"/>
    <n v="3502108"/>
    <s v="198 VALENCIA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3"/>
    <n v="0"/>
    <x v="1"/>
    <m/>
    <n v="0"/>
  </r>
  <r>
    <x v="110"/>
    <x v="1"/>
    <n v="694310006"/>
    <s v="36101 VITALIA WAY"/>
    <s v="5+"/>
    <x v="0"/>
    <n v="0"/>
    <n v="0"/>
    <n v="0"/>
    <n v="0"/>
    <n v="0"/>
    <n v="0"/>
    <x v="21"/>
    <n v="0"/>
    <n v="1"/>
    <n v="0"/>
    <n v="1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x v="21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x v="17"/>
    <n v="0"/>
    <n v="10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x v="17"/>
    <n v="0"/>
    <n v="10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x v="12"/>
    <n v="0"/>
    <n v="18"/>
    <n v="0"/>
    <n v="0"/>
    <n v="0"/>
    <n v="0"/>
    <n v="0"/>
    <n v="0"/>
    <n v="0"/>
    <n v="0"/>
    <n v="0"/>
    <x v="1"/>
    <n v="55"/>
    <n v="0"/>
  </r>
  <r>
    <x v="8"/>
    <x v="3"/>
    <n v="3506110100"/>
    <s v="801 PEARL S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100"/>
  </r>
  <r>
    <x v="131"/>
    <x v="1"/>
    <s v="053 168900100"/>
    <s v="2800 Telegraph Ave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8"/>
  </r>
  <r>
    <x v="131"/>
    <x v="1"/>
    <s v="055 187802200"/>
    <s v="2480 Bancroft Way"/>
    <s v="5+"/>
    <x v="0"/>
    <n v="2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1000"/>
    <n v="20"/>
  </r>
  <r>
    <x v="131"/>
    <x v="1"/>
    <s v="052 157602701"/>
    <s v="3030 Telegraph Ave"/>
    <s v="5+"/>
    <x v="0"/>
    <n v="7"/>
    <n v="0"/>
    <n v="1"/>
    <n v="0"/>
    <n v="0"/>
    <n v="0"/>
    <x v="0"/>
    <n v="0"/>
    <n v="0"/>
    <n v="0"/>
    <n v="0"/>
    <n v="0"/>
    <n v="0"/>
    <n v="0"/>
    <n v="0"/>
    <n v="0"/>
    <n v="0"/>
    <n v="0"/>
    <x v="0"/>
    <m/>
    <n v="20"/>
  </r>
  <r>
    <x v="111"/>
    <x v="3"/>
    <s v="TPN-170-57T"/>
    <s v="1701 SEVENTH ST, Riverside, CA 92507"/>
    <s v="5+"/>
    <x v="0"/>
    <n v="0"/>
    <n v="0"/>
    <n v="0"/>
    <n v="0"/>
    <n v="0"/>
    <n v="0"/>
    <x v="0"/>
    <n v="0"/>
    <n v="10"/>
    <n v="0"/>
    <n v="0"/>
    <n v="0"/>
    <n v="0"/>
    <n v="0"/>
    <n v="0"/>
    <n v="0"/>
    <n v="0"/>
    <n v="0"/>
    <x v="0"/>
    <n v="55"/>
    <n v="0"/>
  </r>
  <r>
    <x v="111"/>
    <x v="3"/>
    <s v="TPN-170-57T"/>
    <s v="1729 SEVENTH ST, Riverside, CA 92507"/>
    <s v="5+"/>
    <x v="0"/>
    <n v="0"/>
    <n v="0"/>
    <n v="0"/>
    <n v="0"/>
    <n v="0"/>
    <n v="0"/>
    <x v="0"/>
    <n v="0"/>
    <n v="13"/>
    <n v="0"/>
    <n v="0"/>
    <n v="0"/>
    <n v="0"/>
    <n v="0"/>
    <n v="0"/>
    <n v="0"/>
    <n v="0"/>
    <n v="0"/>
    <x v="0"/>
    <n v="55"/>
    <n v="0"/>
  </r>
  <r>
    <x v="111"/>
    <x v="3"/>
    <s v="TPN-170-57T"/>
    <s v="1745 SEVENTH ST, Riverside, CA 92507"/>
    <s v="5+"/>
    <x v="0"/>
    <n v="0"/>
    <n v="0"/>
    <n v="0"/>
    <n v="0"/>
    <n v="0"/>
    <n v="0"/>
    <x v="0"/>
    <n v="0"/>
    <n v="13"/>
    <n v="0"/>
    <n v="0"/>
    <n v="0"/>
    <n v="0"/>
    <n v="0"/>
    <n v="0"/>
    <n v="0"/>
    <n v="0"/>
    <n v="0"/>
    <x v="0"/>
    <n v="55"/>
    <n v="0"/>
  </r>
  <r>
    <x v="32"/>
    <x v="4"/>
    <n v="4283030022"/>
    <s v="1820  14TH ST"/>
    <s v="5+"/>
    <x v="0"/>
    <n v="0"/>
    <n v="0"/>
    <n v="39"/>
    <n v="0"/>
    <n v="0"/>
    <n v="0"/>
    <x v="0"/>
    <n v="0"/>
    <n v="39"/>
    <n v="0"/>
    <n v="0"/>
    <n v="0"/>
    <n v="0"/>
    <n v="0"/>
    <n v="0"/>
    <n v="0"/>
    <n v="0"/>
    <n v="0"/>
    <x v="1"/>
    <n v="55"/>
    <n v="0"/>
  </r>
  <r>
    <x v="32"/>
    <x v="4"/>
    <n v="4266016051"/>
    <s v="2729 WILSHIRE BLVD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62"/>
    <x v="3"/>
    <s v="080H 1541 036 00"/>
    <s v="903 Manor Bl"/>
    <s v="5+"/>
    <x v="1"/>
    <n v="0"/>
    <n v="0"/>
    <n v="2"/>
    <n v="0"/>
    <n v="4"/>
    <n v="0"/>
    <x v="0"/>
    <n v="0"/>
    <n v="2"/>
    <n v="0"/>
    <n v="4"/>
    <n v="0"/>
    <n v="0"/>
    <n v="0"/>
    <n v="0"/>
    <n v="0"/>
    <n v="0"/>
    <n v="0"/>
    <x v="1"/>
    <n v="45"/>
    <n v="0"/>
  </r>
  <r>
    <x v="124"/>
    <x v="3"/>
    <s v="037-400-009"/>
    <s v="821 STATE St, SANTA BARBARA, CA 93101"/>
    <s v="5+"/>
    <x v="0"/>
    <n v="0"/>
    <n v="0"/>
    <n v="3"/>
    <n v="0"/>
    <n v="1"/>
    <n v="0"/>
    <x v="0"/>
    <n v="0"/>
    <n v="3"/>
    <n v="0"/>
    <n v="1"/>
    <n v="0"/>
    <n v="0"/>
    <n v="0"/>
    <n v="0"/>
    <n v="0"/>
    <n v="0"/>
    <n v="0"/>
    <x v="0"/>
    <m/>
    <n v="24"/>
  </r>
  <r>
    <x v="131"/>
    <x v="5"/>
    <s v="053 159200100"/>
    <s v="3000 Shattuck Av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1"/>
    <n v="3750086"/>
    <s v="395 3rd St"/>
    <s v="5+"/>
    <x v="0"/>
    <n v="49"/>
    <n v="0"/>
    <n v="17"/>
    <n v="0"/>
    <n v="18"/>
    <n v="0"/>
    <x v="0"/>
    <n v="0"/>
    <n v="0"/>
    <n v="0"/>
    <n v="0"/>
    <n v="0"/>
    <n v="0"/>
    <n v="0"/>
    <n v="0"/>
    <n v="0"/>
    <n v="0"/>
    <n v="0"/>
    <x v="0"/>
    <n v="99"/>
    <s v="41.200000000000003"/>
  </r>
  <r>
    <x v="62"/>
    <x v="1"/>
    <s v="0811019"/>
    <s v="240 Van Ness Ave"/>
    <s v="5+"/>
    <x v="0"/>
    <n v="0"/>
    <n v="0"/>
    <n v="0"/>
    <n v="0"/>
    <n v="0"/>
    <n v="0"/>
    <x v="46"/>
    <n v="0"/>
    <n v="80"/>
    <n v="0"/>
    <n v="0"/>
    <n v="0"/>
    <n v="0"/>
    <n v="0"/>
    <n v="0"/>
    <n v="0"/>
    <n v="0"/>
    <n v="0"/>
    <x v="0"/>
    <n v="99"/>
    <n v="33"/>
  </r>
  <r>
    <x v="62"/>
    <x v="1"/>
    <s v="1438017A"/>
    <s v="4200 GEARY BL"/>
    <s v="5+"/>
    <x v="0"/>
    <n v="0"/>
    <n v="0"/>
    <n v="0"/>
    <n v="0"/>
    <n v="0"/>
    <n v="0"/>
    <x v="64"/>
    <n v="0"/>
    <n v="30"/>
    <n v="0"/>
    <n v="0"/>
    <n v="0"/>
    <n v="0"/>
    <n v="0"/>
    <n v="0"/>
    <n v="0"/>
    <n v="0"/>
    <n v="0"/>
    <x v="0"/>
    <n v="99"/>
    <n v="100"/>
  </r>
  <r>
    <x v="62"/>
    <x v="1"/>
    <n v="3732100"/>
    <s v="921 HOWARD ST"/>
    <s v="5+"/>
    <x v="0"/>
    <n v="0"/>
    <n v="0"/>
    <n v="0"/>
    <n v="0"/>
    <n v="0"/>
    <n v="0"/>
    <x v="0"/>
    <n v="0"/>
    <n v="0"/>
    <n v="0"/>
    <n v="0"/>
    <n v="0"/>
    <n v="0"/>
    <n v="0"/>
    <n v="102"/>
    <n v="0"/>
    <n v="99"/>
    <n v="0"/>
    <x v="0"/>
    <n v="99"/>
    <s v="27.699999999999999"/>
  </r>
  <r>
    <x v="62"/>
    <x v="1"/>
    <s v="3505032A"/>
    <s v="1629 MARKET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99"/>
    <n v="0"/>
  </r>
  <r>
    <x v="62"/>
    <x v="1"/>
    <s v="0714016"/>
    <s v="1001 VAN NESS AV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99"/>
    <n v="0"/>
  </r>
  <r>
    <x v="139"/>
    <x v="1"/>
    <s v="134-132-070"/>
    <s v="3426 Santa Rosa Ave_x000a_Santa Rosa, CA 95407"/>
    <s v="5+"/>
    <x v="0"/>
    <n v="0"/>
    <n v="0"/>
    <n v="0"/>
    <n v="0"/>
    <n v="0"/>
    <n v="0"/>
    <x v="0"/>
    <n v="0"/>
    <n v="10"/>
    <n v="0"/>
    <n v="14"/>
    <n v="0"/>
    <n v="0"/>
    <n v="0"/>
    <n v="10"/>
    <n v="0"/>
    <n v="14"/>
    <n v="0"/>
    <x v="0"/>
    <n v="55"/>
    <n v="10"/>
  </r>
  <r>
    <x v="72"/>
    <x v="0"/>
    <n v="5701404800"/>
    <s v="245 BONITA GLEN DR"/>
    <s v="5+"/>
    <x v="0"/>
    <n v="0"/>
    <n v="0"/>
    <n v="0"/>
    <n v="0"/>
    <n v="0"/>
    <n v="0"/>
    <x v="25"/>
    <n v="0"/>
    <n v="0"/>
    <n v="0"/>
    <n v="0"/>
    <n v="0"/>
    <n v="0"/>
    <n v="0"/>
    <n v="0"/>
    <n v="0"/>
    <n v="0"/>
    <n v="0"/>
    <x v="0"/>
    <n v="55"/>
    <n v="0"/>
  </r>
  <r>
    <x v="57"/>
    <x v="2"/>
    <n v="4261014012"/>
    <s v="1721 COLBY AVE  S  90025"/>
    <s v="5+"/>
    <x v="0"/>
    <n v="4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4256015014"/>
    <s v="2600 SEPULVEDA BLVD S  90064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6012010018"/>
    <s v="7022 BROADWAY  S  90003"/>
    <s v="5+"/>
    <x v="0"/>
    <n v="0"/>
    <n v="0"/>
    <n v="96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4262009001"/>
    <s v="11600 SANTA MONICA BLVD W  90025"/>
    <s v="5+"/>
    <x v="0"/>
    <n v="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2239006044"/>
    <s v="13716 VICTORY BLVD W  91401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2424011004"/>
    <s v="10555 BLOOMFIELD ST   W  91602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4260032036"/>
    <s v="2444 BARRY AVE  S  90064"/>
    <s v="5+"/>
    <x v="0"/>
    <n v="32"/>
    <n v="0"/>
    <n v="28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12"/>
    <x v="3"/>
    <n v="10510021"/>
    <s v="1375 COLLEGE AVE W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15.199999999999999"/>
  </r>
  <r>
    <x v="57"/>
    <x v="2"/>
    <n v="4286027008"/>
    <s v="815 OCEAN FRONT WALK S  90291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547016909"/>
    <s v="1630 N SCHRADER BLVD"/>
    <s v="5+"/>
    <x v="0"/>
    <n v="0"/>
    <n v="0"/>
    <n v="0"/>
    <n v="0"/>
    <n v="0"/>
    <n v="0"/>
    <x v="81"/>
    <n v="0"/>
    <n v="90"/>
    <n v="0"/>
    <n v="0"/>
    <n v="0"/>
    <n v="0"/>
    <n v="0"/>
    <n v="0"/>
    <n v="0"/>
    <n v="0"/>
    <n v="0"/>
    <x v="0"/>
    <n v="55"/>
    <n v="0"/>
  </r>
  <r>
    <x v="57"/>
    <x v="2"/>
    <n v="5093011013"/>
    <s v="750 S OXFORD AVE"/>
    <s v="5+"/>
    <x v="0"/>
    <n v="0"/>
    <n v="0"/>
    <n v="0"/>
    <n v="0"/>
    <n v="0"/>
    <n v="0"/>
    <x v="0"/>
    <n v="0"/>
    <n v="15"/>
    <n v="0"/>
    <n v="0"/>
    <n v="0"/>
    <n v="0"/>
    <n v="0"/>
    <n v="0"/>
    <n v="0"/>
    <n v="0"/>
    <n v="0"/>
    <x v="0"/>
    <n v="55"/>
    <n v="0"/>
  </r>
  <r>
    <x v="57"/>
    <x v="2"/>
    <n v="2284001016"/>
    <s v="4741 N LIBBIT AVE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48"/>
    <x v="1"/>
    <s v="0319-253-28, 0319-253-29, 0319-253-30, 0319-253-84"/>
    <s v="3rd St/County line Rd"/>
    <s v="5+"/>
    <x v="0"/>
    <n v="0"/>
    <n v="0"/>
    <n v="17"/>
    <n v="0"/>
    <n v="0"/>
    <n v="155"/>
    <x v="0"/>
    <n v="0"/>
    <n v="0"/>
    <n v="0"/>
    <n v="0"/>
    <n v="0"/>
    <n v="0"/>
    <n v="0"/>
    <n v="0"/>
    <n v="0"/>
    <n v="0"/>
    <n v="0"/>
    <x v="0"/>
    <n v="55"/>
    <n v="10"/>
  </r>
  <r>
    <x v="97"/>
    <x v="3"/>
    <n v="2362603700"/>
    <s v="1860 E Escondido Blvd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0"/>
  </r>
  <r>
    <x v="163"/>
    <x v="0"/>
    <s v="302-021-003"/>
    <s v="904 Alpha St, Eureka, CA 95503"/>
    <s v="5+"/>
    <x v="0"/>
    <n v="0"/>
    <n v="0"/>
    <n v="0"/>
    <n v="0"/>
    <n v="0"/>
    <n v="0"/>
    <x v="11"/>
    <n v="0"/>
    <n v="14"/>
    <n v="0"/>
    <n v="0"/>
    <n v="0"/>
    <n v="0"/>
    <n v="0"/>
    <n v="0"/>
    <n v="0"/>
    <n v="0"/>
    <n v="0"/>
    <x v="0"/>
    <n v="55"/>
    <n v="0"/>
  </r>
  <r>
    <x v="64"/>
    <x v="1"/>
    <s v="017-117-097-000"/>
    <s v="1130 HARVEY WY, Roseville CA 95747"/>
    <s v="5+"/>
    <x v="0"/>
    <n v="10"/>
    <n v="0"/>
    <n v="93"/>
    <n v="0"/>
    <n v="0"/>
    <n v="0"/>
    <x v="0"/>
    <n v="0"/>
    <n v="0"/>
    <n v="0"/>
    <n v="0"/>
    <n v="0"/>
    <n v="0"/>
    <n v="0"/>
    <n v="0"/>
    <n v="0"/>
    <n v="0"/>
    <n v="0"/>
    <x v="0"/>
    <m/>
    <n v="24"/>
  </r>
  <r>
    <x v="135"/>
    <x v="1"/>
    <n v="1620023030"/>
    <s v="2790 BARRY"/>
    <s v="5+"/>
    <x v="0"/>
    <n v="0"/>
    <n v="0"/>
    <n v="0"/>
    <n v="0"/>
    <n v="0"/>
    <n v="0"/>
    <x v="11"/>
    <n v="0"/>
    <n v="0"/>
    <n v="0"/>
    <n v="0"/>
    <n v="0"/>
    <n v="0"/>
    <n v="0"/>
    <n v="0"/>
    <n v="0"/>
    <n v="0"/>
    <n v="0"/>
    <x v="0"/>
    <n v="55"/>
    <n v="0"/>
  </r>
  <r>
    <x v="18"/>
    <x v="4"/>
    <s v="241-020-013"/>
    <s v="3672 MT DIABLO BLVD"/>
    <s v="5+"/>
    <x v="1"/>
    <n v="0"/>
    <n v="0"/>
    <n v="0"/>
    <n v="0"/>
    <n v="0"/>
    <n v="0"/>
    <x v="0"/>
    <n v="0"/>
    <n v="3"/>
    <n v="0"/>
    <n v="7"/>
    <n v="0"/>
    <n v="0"/>
    <n v="0"/>
    <n v="0"/>
    <n v="0"/>
    <n v="0"/>
    <n v="0"/>
    <x v="1"/>
    <n v="45"/>
    <n v="0"/>
  </r>
  <r>
    <x v="113"/>
    <x v="3"/>
    <s v="051200025"/>
    <s v="3542 E 18TH ST"/>
    <s v="5+"/>
    <x v="0"/>
    <n v="0"/>
    <n v="0"/>
    <n v="0"/>
    <n v="0"/>
    <n v="0"/>
    <n v="0"/>
    <x v="0"/>
    <n v="0"/>
    <n v="0"/>
    <n v="0"/>
    <n v="0"/>
    <n v="0"/>
    <n v="5"/>
    <n v="0"/>
    <n v="19"/>
    <n v="0"/>
    <n v="0"/>
    <n v="0"/>
    <x v="0"/>
    <m/>
    <n v="0"/>
  </r>
  <r>
    <x v="78"/>
    <x v="2"/>
    <n v="41208061"/>
    <s v="228 - 246 RAILWAY AVE (10 UNITS) BUILDING 4"/>
    <s v="5+"/>
    <x v="1"/>
    <n v="0"/>
    <n v="0"/>
    <n v="0"/>
    <n v="0"/>
    <n v="0"/>
    <n v="0"/>
    <x v="0"/>
    <n v="0"/>
    <n v="0"/>
    <n v="0"/>
    <n v="0"/>
    <n v="0"/>
    <n v="1"/>
    <n v="0"/>
    <n v="1"/>
    <n v="0"/>
    <n v="0"/>
    <n v="0"/>
    <x v="0"/>
    <n v="0"/>
    <n v="0"/>
  </r>
  <r>
    <x v="48"/>
    <x v="1"/>
    <s v="0319-242-01"/>
    <s v="13421 4TH ST"/>
    <s v="5+"/>
    <x v="0"/>
    <n v="0"/>
    <n v="0"/>
    <n v="0"/>
    <n v="0"/>
    <n v="0"/>
    <n v="0"/>
    <x v="0"/>
    <n v="0"/>
    <n v="0"/>
    <n v="8"/>
    <n v="0"/>
    <n v="0"/>
    <n v="0"/>
    <n v="0"/>
    <n v="0"/>
    <n v="0"/>
    <n v="0"/>
    <n v="0"/>
    <x v="0"/>
    <n v="55"/>
    <n v="100"/>
  </r>
  <r>
    <x v="112"/>
    <x v="3"/>
    <n v="125071015"/>
    <s v="1835 SEBASTOPOL RD"/>
    <s v="5+"/>
    <x v="0"/>
    <n v="0"/>
    <n v="0"/>
    <n v="0"/>
    <n v="0"/>
    <n v="0"/>
    <n v="0"/>
    <x v="0"/>
    <n v="0"/>
    <n v="7"/>
    <n v="0"/>
    <n v="0"/>
    <n v="0"/>
    <n v="0"/>
    <n v="0"/>
    <n v="0"/>
    <n v="0"/>
    <n v="0"/>
    <n v="0"/>
    <x v="0"/>
    <n v="55"/>
    <n v="37.5"/>
  </r>
  <r>
    <x v="112"/>
    <x v="3"/>
    <n v="10510021"/>
    <s v="1325 COLLEGE AVE W"/>
    <s v="5+"/>
    <x v="0"/>
    <n v="0"/>
    <n v="0"/>
    <n v="21"/>
    <n v="0"/>
    <n v="0"/>
    <n v="0"/>
    <x v="0"/>
    <n v="0"/>
    <n v="21"/>
    <n v="0"/>
    <n v="0"/>
    <n v="0"/>
    <n v="0"/>
    <n v="0"/>
    <n v="0"/>
    <n v="0"/>
    <n v="0"/>
    <n v="0"/>
    <x v="0"/>
    <n v="55"/>
    <s v="15.199999999999999"/>
  </r>
  <r>
    <x v="112"/>
    <x v="3"/>
    <n v="10510021"/>
    <s v="1355 COLLEGE AVE W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15.199999999999999"/>
  </r>
  <r>
    <x v="112"/>
    <x v="3"/>
    <n v="10510021"/>
    <s v="1365 COLLEGE AVE W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15.199999999999999"/>
  </r>
  <r>
    <x v="74"/>
    <x v="0"/>
    <n v="37529114"/>
    <s v="525 W STRUCK AVE BLDG. B"/>
    <s v="5+"/>
    <x v="0"/>
    <n v="0"/>
    <n v="0"/>
    <n v="2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62"/>
    <x v="0"/>
    <n v="1069013"/>
    <s v="2800 GEARY BLVD"/>
    <s v="5+"/>
    <x v="1"/>
    <n v="0"/>
    <n v="0"/>
    <n v="5"/>
    <n v="0"/>
    <n v="0"/>
    <n v="0"/>
    <x v="0"/>
    <n v="0"/>
    <n v="0"/>
    <n v="0"/>
    <n v="0"/>
    <n v="0"/>
    <n v="0"/>
    <n v="0"/>
    <n v="0"/>
    <n v="0"/>
    <n v="0"/>
    <n v="0"/>
    <x v="0"/>
    <n v="1000"/>
    <n v="221"/>
  </r>
  <r>
    <x v="62"/>
    <x v="0"/>
    <n v="5311035"/>
    <s v="4712-4720 03RD ST"/>
    <s v="5+"/>
    <x v="0"/>
    <n v="0"/>
    <n v="0"/>
    <n v="3"/>
    <n v="0"/>
    <n v="0"/>
    <n v="0"/>
    <x v="0"/>
    <n v="0"/>
    <n v="0"/>
    <n v="0"/>
    <n v="0"/>
    <n v="0"/>
    <n v="0"/>
    <n v="0"/>
    <n v="0"/>
    <n v="0"/>
    <n v="0"/>
    <n v="0"/>
    <x v="0"/>
    <n v="1000"/>
    <n v="221"/>
  </r>
  <r>
    <x v="62"/>
    <x v="0"/>
    <n v="6955014"/>
    <s v="4716-4722 MISSION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62"/>
    <x v="0"/>
    <n v="3703040"/>
    <s v="1068 MISSION ST"/>
    <s v="5+"/>
    <x v="0"/>
    <n v="0"/>
    <n v="0"/>
    <n v="0"/>
    <n v="0"/>
    <n v="0"/>
    <n v="0"/>
    <x v="6"/>
    <n v="0"/>
    <n v="21"/>
    <n v="0"/>
    <n v="7"/>
    <n v="0"/>
    <n v="0"/>
    <n v="0"/>
    <n v="0"/>
    <n v="0"/>
    <n v="0"/>
    <n v="0"/>
    <x v="1"/>
    <n v="1000"/>
    <n v="0"/>
  </r>
  <r>
    <x v="62"/>
    <x v="0"/>
    <n v="6973039"/>
    <s v="2340 SAN JOSE AV"/>
    <s v="5+"/>
    <x v="0"/>
    <n v="0"/>
    <n v="0"/>
    <n v="0"/>
    <n v="0"/>
    <n v="0"/>
    <n v="0"/>
    <x v="82"/>
    <n v="0"/>
    <n v="29"/>
    <n v="0"/>
    <n v="12"/>
    <n v="0"/>
    <n v="0"/>
    <n v="0"/>
    <n v="0"/>
    <n v="0"/>
    <n v="0"/>
    <n v="0"/>
    <x v="0"/>
    <n v="1000"/>
    <n v="133"/>
  </r>
  <r>
    <x v="62"/>
    <x v="0"/>
    <s v="4591D005"/>
    <s v="869 LA SALLE AV"/>
    <s v="5+"/>
    <x v="1"/>
    <n v="0"/>
    <n v="0"/>
    <n v="0"/>
    <n v="0"/>
    <n v="0"/>
    <n v="0"/>
    <x v="0"/>
    <n v="0"/>
    <n v="11"/>
    <n v="0"/>
    <n v="0"/>
    <n v="0"/>
    <n v="0"/>
    <n v="0"/>
    <n v="0"/>
    <n v="0"/>
    <n v="0"/>
    <n v="0"/>
    <x v="1"/>
    <n v="1000"/>
    <n v="0"/>
  </r>
  <r>
    <x v="62"/>
    <x v="0"/>
    <n v="3502108"/>
    <s v="198 VALENCIA ST"/>
    <s v="5+"/>
    <x v="1"/>
    <n v="0"/>
    <n v="0"/>
    <n v="0"/>
    <n v="0"/>
    <n v="0"/>
    <n v="0"/>
    <x v="0"/>
    <n v="0"/>
    <n v="0"/>
    <n v="0"/>
    <n v="3"/>
    <n v="0"/>
    <n v="0"/>
    <n v="0"/>
    <n v="0"/>
    <n v="0"/>
    <n v="0"/>
    <n v="0"/>
    <x v="1"/>
    <n v="1000"/>
    <n v="0"/>
  </r>
  <r>
    <x v="62"/>
    <x v="0"/>
    <n v="3725089"/>
    <s v="434 Minna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36"/>
    <n v="0"/>
    <x v="1"/>
    <n v="1000"/>
    <n v="0"/>
  </r>
  <r>
    <x v="62"/>
    <x v="0"/>
    <n v="3614062"/>
    <s v="1001 South Van Ness Av"/>
    <s v="5+"/>
    <x v="0"/>
    <n v="0"/>
    <n v="0"/>
    <n v="0"/>
    <n v="0"/>
    <n v="0"/>
    <n v="0"/>
    <x v="0"/>
    <n v="0"/>
    <n v="0"/>
    <n v="0"/>
    <n v="0"/>
    <n v="0"/>
    <n v="5"/>
    <n v="0"/>
    <n v="17"/>
    <n v="0"/>
    <n v="6"/>
    <n v="0"/>
    <x v="1"/>
    <n v="1000"/>
    <n v="0"/>
  </r>
  <r>
    <x v="62"/>
    <x v="0"/>
    <n v="2081001"/>
    <s v="3701 Noriega St"/>
    <s v="5+"/>
    <x v="0"/>
    <n v="0"/>
    <n v="0"/>
    <n v="0"/>
    <n v="0"/>
    <n v="0"/>
    <n v="0"/>
    <x v="0"/>
    <n v="0"/>
    <n v="0"/>
    <n v="0"/>
    <n v="0"/>
    <n v="0"/>
    <n v="1"/>
    <n v="0"/>
    <n v="1"/>
    <n v="0"/>
    <n v="1"/>
    <n v="0"/>
    <x v="1"/>
    <n v="1000"/>
    <n v="0"/>
  </r>
  <r>
    <x v="147"/>
    <x v="3"/>
    <n v="1824120"/>
    <s v="558 MAIN STREET"/>
    <s v="5+"/>
    <x v="0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47"/>
    <x v="3"/>
    <n v="1649102"/>
    <s v="141 MILES LANE"/>
    <s v="5+"/>
    <x v="0"/>
    <n v="72"/>
    <n v="0"/>
    <n v="0"/>
    <n v="0"/>
    <n v="0"/>
    <n v="0"/>
    <x v="83"/>
    <n v="0"/>
    <n v="0"/>
    <n v="0"/>
    <n v="0"/>
    <n v="0"/>
    <n v="0"/>
    <n v="0"/>
    <n v="0"/>
    <n v="0"/>
    <n v="0"/>
    <n v="0"/>
    <x v="0"/>
    <n v="55"/>
    <n v="69"/>
  </r>
  <r>
    <x v="155"/>
    <x v="3"/>
    <s v="200140011,12"/>
    <s v="359 &amp; 375 West El Pintado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0"/>
  </r>
  <r>
    <x v="113"/>
    <x v="3"/>
    <s v="051200025"/>
    <s v="3562 E 18TH ST"/>
    <s v="5+"/>
    <x v="0"/>
    <n v="0"/>
    <n v="0"/>
    <n v="0"/>
    <n v="0"/>
    <n v="0"/>
    <n v="0"/>
    <x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30 E 18TH ST"/>
    <s v="5+"/>
    <x v="0"/>
    <n v="0"/>
    <n v="0"/>
    <n v="0"/>
    <n v="0"/>
    <n v="0"/>
    <n v="0"/>
    <x v="0"/>
    <n v="0"/>
    <n v="0"/>
    <n v="0"/>
    <n v="0"/>
    <n v="0"/>
    <n v="5"/>
    <n v="0"/>
    <n v="18"/>
    <n v="0"/>
    <n v="0"/>
    <n v="0"/>
    <x v="0"/>
    <m/>
    <n v="0"/>
  </r>
  <r>
    <x v="109"/>
    <x v="0"/>
    <s v="507-251-015"/>
    <s v="2301 Columbia Blvd"/>
    <s v="5+"/>
    <x v="1"/>
    <n v="0"/>
    <n v="0"/>
    <n v="0"/>
    <n v="0"/>
    <n v="10"/>
    <n v="0"/>
    <x v="0"/>
    <n v="0"/>
    <n v="0"/>
    <n v="0"/>
    <n v="0"/>
    <n v="0"/>
    <n v="0"/>
    <n v="0"/>
    <n v="0"/>
    <n v="0"/>
    <n v="0"/>
    <n v="0"/>
    <x v="1"/>
    <m/>
    <n v="0"/>
  </r>
  <r>
    <x v="62"/>
    <x v="0"/>
    <n v="3965022"/>
    <s v="321 FLORIDA ST"/>
    <s v="5+"/>
    <x v="0"/>
    <n v="14"/>
    <n v="0"/>
    <n v="4"/>
    <n v="0"/>
    <n v="0"/>
    <n v="0"/>
    <x v="0"/>
    <n v="0"/>
    <n v="0"/>
    <n v="0"/>
    <n v="0"/>
    <n v="0"/>
    <n v="0"/>
    <n v="0"/>
    <n v="0"/>
    <n v="0"/>
    <n v="0"/>
    <n v="0"/>
    <x v="0"/>
    <n v="1000"/>
    <n v="132"/>
  </r>
  <r>
    <x v="62"/>
    <x v="0"/>
    <n v="6055001"/>
    <s v="770 WOOLSEY ST"/>
    <s v="5+"/>
    <x v="0"/>
    <n v="3"/>
    <n v="0"/>
    <n v="4"/>
    <n v="0"/>
    <n v="4"/>
    <n v="0"/>
    <x v="0"/>
    <n v="0"/>
    <n v="0"/>
    <n v="0"/>
    <n v="0"/>
    <n v="0"/>
    <n v="0"/>
    <n v="0"/>
    <n v="0"/>
    <n v="0"/>
    <n v="0"/>
    <n v="0"/>
    <x v="1"/>
    <n v="1000"/>
    <n v="0"/>
  </r>
  <r>
    <x v="62"/>
    <x v="0"/>
    <n v="5338053"/>
    <s v="5012 03RD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135"/>
  </r>
  <r>
    <x v="62"/>
    <x v="0"/>
    <n v="3732100"/>
    <s v="921 HOWARD ST"/>
    <s v="5+"/>
    <x v="0"/>
    <n v="0"/>
    <n v="0"/>
    <n v="0"/>
    <n v="0"/>
    <n v="0"/>
    <n v="0"/>
    <x v="0"/>
    <n v="0"/>
    <n v="102"/>
    <n v="0"/>
    <n v="99"/>
    <n v="0"/>
    <n v="0"/>
    <n v="0"/>
    <n v="0"/>
    <n v="0"/>
    <n v="0"/>
    <n v="0"/>
    <x v="0"/>
    <n v="1000"/>
    <n v="54"/>
  </r>
  <r>
    <x v="62"/>
    <x v="0"/>
    <n v="3610010"/>
    <s v="986 SOUTH VAN NESS AV"/>
    <s v="5+"/>
    <x v="1"/>
    <n v="0"/>
    <n v="0"/>
    <n v="0"/>
    <n v="0"/>
    <n v="0"/>
    <n v="0"/>
    <x v="0"/>
    <n v="0"/>
    <n v="0"/>
    <n v="0"/>
    <n v="2"/>
    <n v="0"/>
    <n v="0"/>
    <n v="0"/>
    <n v="0"/>
    <n v="0"/>
    <n v="0"/>
    <n v="0"/>
    <x v="1"/>
    <n v="1000"/>
    <n v="0"/>
  </r>
  <r>
    <x v="62"/>
    <x v="0"/>
    <n v="3702390"/>
    <s v="1169 Market St"/>
    <s v="5+"/>
    <x v="0"/>
    <n v="0"/>
    <n v="0"/>
    <n v="0"/>
    <n v="0"/>
    <n v="0"/>
    <n v="0"/>
    <x v="0"/>
    <n v="0"/>
    <n v="0"/>
    <n v="0"/>
    <n v="0"/>
    <n v="0"/>
    <n v="12"/>
    <n v="0"/>
    <n v="41"/>
    <n v="0"/>
    <n v="14"/>
    <n v="0"/>
    <x v="1"/>
    <n v="1000"/>
    <n v="0"/>
  </r>
  <r>
    <x v="62"/>
    <x v="0"/>
    <n v="3780044"/>
    <s v="975 Bryant St"/>
    <s v="5+"/>
    <x v="0"/>
    <n v="0"/>
    <n v="0"/>
    <n v="0"/>
    <n v="0"/>
    <n v="0"/>
    <n v="0"/>
    <x v="0"/>
    <n v="0"/>
    <n v="0"/>
    <n v="0"/>
    <n v="0"/>
    <n v="0"/>
    <n v="0"/>
    <n v="0"/>
    <n v="30"/>
    <n v="0"/>
    <n v="0"/>
    <n v="0"/>
    <x v="1"/>
    <n v="1000"/>
    <n v="0"/>
  </r>
  <r>
    <x v="62"/>
    <x v="0"/>
    <n v="8711020"/>
    <s v="691 China Basin St"/>
    <s v="5+"/>
    <x v="0"/>
    <n v="0"/>
    <n v="0"/>
    <n v="0"/>
    <n v="0"/>
    <n v="0"/>
    <n v="0"/>
    <x v="0"/>
    <n v="0"/>
    <n v="0"/>
    <n v="0"/>
    <n v="0"/>
    <n v="0"/>
    <n v="68"/>
    <n v="0"/>
    <n v="83"/>
    <n v="0"/>
    <n v="0"/>
    <n v="0"/>
    <x v="1"/>
    <n v="1000"/>
    <n v="0"/>
  </r>
  <r>
    <x v="62"/>
    <x v="0"/>
    <s v="0738018"/>
    <s v="830 Eddy St"/>
    <s v="5+"/>
    <x v="0"/>
    <n v="0"/>
    <n v="0"/>
    <n v="0"/>
    <n v="0"/>
    <n v="0"/>
    <n v="0"/>
    <x v="0"/>
    <n v="0"/>
    <n v="0"/>
    <n v="0"/>
    <n v="0"/>
    <n v="0"/>
    <n v="0"/>
    <n v="0"/>
    <n v="20"/>
    <n v="0"/>
    <n v="0"/>
    <n v="0"/>
    <x v="1"/>
    <n v="1000"/>
    <n v="0"/>
  </r>
  <r>
    <x v="56"/>
    <x v="1"/>
    <s v="71-0291-10-01"/>
    <s v="2001 CLEMENT AVE"/>
    <s v="5+"/>
    <x v="1"/>
    <n v="0"/>
    <n v="0"/>
    <n v="1"/>
    <n v="0"/>
    <n v="0"/>
    <n v="0"/>
    <x v="0"/>
    <n v="0"/>
    <n v="1"/>
    <n v="0"/>
    <n v="0"/>
    <n v="0"/>
    <n v="0"/>
    <n v="0"/>
    <n v="0"/>
    <n v="0"/>
    <n v="0"/>
    <n v="0"/>
    <x v="0"/>
    <m/>
    <n v="20"/>
  </r>
  <r>
    <x v="56"/>
    <x v="1"/>
    <s v="74-1373-10-21"/>
    <s v="451 MARTIN MARINER ST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0"/>
    <m/>
    <n v="20"/>
  </r>
  <r>
    <x v="120"/>
    <x v="3"/>
    <s v="591-70-103"/>
    <s v="270 ABACUS"/>
    <s v="5+"/>
    <x v="0"/>
    <n v="0"/>
    <n v="0"/>
    <n v="0"/>
    <n v="0"/>
    <n v="0"/>
    <n v="0"/>
    <x v="29"/>
    <n v="0"/>
    <n v="0"/>
    <n v="0"/>
    <n v="0"/>
    <n v="0"/>
    <n v="0"/>
    <n v="0"/>
    <n v="0"/>
    <n v="0"/>
    <n v="0"/>
    <n v="0"/>
    <x v="0"/>
    <n v="1000"/>
    <n v="35"/>
  </r>
  <r>
    <x v="120"/>
    <x v="3"/>
    <s v="591-70-103"/>
    <s v="400 ABACUS"/>
    <s v="5+"/>
    <x v="0"/>
    <n v="0"/>
    <n v="0"/>
    <n v="0"/>
    <n v="0"/>
    <n v="0"/>
    <n v="0"/>
    <x v="84"/>
    <n v="0"/>
    <n v="1"/>
    <n v="0"/>
    <n v="0"/>
    <n v="0"/>
    <n v="0"/>
    <n v="0"/>
    <n v="0"/>
    <n v="0"/>
    <n v="0"/>
    <n v="0"/>
    <x v="0"/>
    <n v="1000"/>
    <n v="35"/>
  </r>
  <r>
    <x v="123"/>
    <x v="3"/>
    <s v="326 34 043 &amp; -066"/>
    <s v="10145 N DE ANZA BLVD &amp; 10118 BANDLEY DR"/>
    <s v="5+"/>
    <x v="1"/>
    <n v="0"/>
    <n v="0"/>
    <n v="0"/>
    <n v="0"/>
    <n v="36"/>
    <n v="0"/>
    <x v="0"/>
    <n v="0"/>
    <n v="0"/>
    <n v="0"/>
    <n v="0"/>
    <n v="0"/>
    <n v="0"/>
    <n v="0"/>
    <n v="0"/>
    <n v="0"/>
    <n v="0"/>
    <n v="0"/>
    <x v="0"/>
    <m/>
    <n v="15"/>
  </r>
  <r>
    <x v="56"/>
    <x v="1"/>
    <s v="74-1373-13-39"/>
    <s v="501 MARTIN MARINER AVE"/>
    <s v="5+"/>
    <x v="1"/>
    <n v="0"/>
    <n v="0"/>
    <n v="0"/>
    <n v="0"/>
    <n v="2"/>
    <n v="0"/>
    <x v="0"/>
    <n v="0"/>
    <n v="0"/>
    <n v="0"/>
    <n v="2"/>
    <n v="0"/>
    <n v="0"/>
    <n v="0"/>
    <n v="0"/>
    <n v="0"/>
    <n v="2"/>
    <n v="0"/>
    <x v="0"/>
    <n v="1000"/>
    <n v="20"/>
  </r>
  <r>
    <x v="120"/>
    <x v="3"/>
    <s v="591-70-103"/>
    <s v="9201 ASTOR"/>
    <s v="5+"/>
    <x v="0"/>
    <n v="0"/>
    <n v="0"/>
    <n v="0"/>
    <n v="0"/>
    <n v="0"/>
    <n v="0"/>
    <x v="0"/>
    <n v="0"/>
    <n v="16"/>
    <n v="0"/>
    <n v="2"/>
    <n v="0"/>
    <n v="0"/>
    <n v="0"/>
    <n v="0"/>
    <n v="0"/>
    <n v="0"/>
    <n v="0"/>
    <x v="0"/>
    <n v="1000"/>
    <n v="35"/>
  </r>
  <r>
    <x v="164"/>
    <x v="1"/>
    <s v="143-380-022"/>
    <s v="100 Avram Avenue"/>
    <s v="5+"/>
    <x v="0"/>
    <n v="0"/>
    <n v="0"/>
    <n v="0"/>
    <n v="0"/>
    <n v="0"/>
    <n v="0"/>
    <x v="0"/>
    <n v="0"/>
    <n v="0"/>
    <n v="0"/>
    <n v="0"/>
    <n v="0"/>
    <n v="7"/>
    <n v="0"/>
    <n v="0"/>
    <n v="0"/>
    <n v="0"/>
    <n v="0"/>
    <x v="0"/>
    <n v="55"/>
    <n v="32.5"/>
  </r>
  <r>
    <x v="62"/>
    <x v="3"/>
    <n v="5411014"/>
    <s v="5280 03RD ST"/>
    <s v="5+"/>
    <x v="0"/>
    <n v="1"/>
    <n v="0"/>
    <n v="2"/>
    <n v="0"/>
    <n v="1"/>
    <n v="0"/>
    <x v="0"/>
    <n v="0"/>
    <n v="0"/>
    <n v="0"/>
    <n v="0"/>
    <n v="0"/>
    <n v="0"/>
    <n v="0"/>
    <n v="0"/>
    <n v="0"/>
    <n v="0"/>
    <n v="0"/>
    <x v="0"/>
    <m/>
    <n v="100"/>
  </r>
  <r>
    <x v="62"/>
    <x v="3"/>
    <n v="3776040"/>
    <s v="555, 565, 585 Bryant St"/>
    <s v="5+"/>
    <x v="0"/>
    <n v="0"/>
    <n v="0"/>
    <n v="0"/>
    <n v="0"/>
    <n v="0"/>
    <n v="0"/>
    <x v="76"/>
    <n v="0"/>
    <n v="13"/>
    <n v="0"/>
    <n v="14"/>
    <n v="0"/>
    <n v="0"/>
    <n v="0"/>
    <n v="0"/>
    <n v="0"/>
    <n v="0"/>
    <n v="0"/>
    <x v="0"/>
    <m/>
    <n v="42.5"/>
  </r>
  <r>
    <x v="62"/>
    <x v="3"/>
    <n v="3953002"/>
    <s v="88 ARKANSAS ST"/>
    <s v="5+"/>
    <x v="0"/>
    <n v="0"/>
    <n v="0"/>
    <n v="0"/>
    <n v="0"/>
    <n v="0"/>
    <n v="0"/>
    <x v="0"/>
    <n v="0"/>
    <n v="0"/>
    <n v="0"/>
    <n v="0"/>
    <n v="0"/>
    <n v="0"/>
    <n v="0"/>
    <n v="25"/>
    <n v="0"/>
    <n v="0"/>
    <n v="0"/>
    <x v="1"/>
    <m/>
    <n v="0"/>
  </r>
  <r>
    <x v="62"/>
    <x v="3"/>
    <n v="6954039"/>
    <s v="1830 ALEMANY BL"/>
    <s v="5+"/>
    <x v="0"/>
    <n v="0"/>
    <n v="0"/>
    <n v="0"/>
    <n v="0"/>
    <n v="0"/>
    <n v="0"/>
    <x v="0"/>
    <n v="0"/>
    <n v="0"/>
    <n v="0"/>
    <n v="0"/>
    <n v="0"/>
    <n v="0"/>
    <n v="0"/>
    <n v="23"/>
    <n v="0"/>
    <n v="35"/>
    <n v="0"/>
    <x v="1"/>
    <m/>
    <n v="0"/>
  </r>
  <r>
    <x v="62"/>
    <x v="3"/>
    <s v="0744010"/>
    <s v="950 GOUGH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3"/>
    <n v="5396012400"/>
    <s v="3075 BROADWAY"/>
    <s v="5+"/>
    <x v="1"/>
    <n v="0"/>
    <n v="0"/>
    <n v="0"/>
    <n v="0"/>
    <n v="0"/>
    <n v="0"/>
    <x v="3"/>
    <n v="0"/>
    <n v="0"/>
    <n v="0"/>
    <n v="1"/>
    <n v="0"/>
    <n v="0"/>
    <n v="0"/>
    <n v="0"/>
    <n v="0"/>
    <n v="0"/>
    <n v="0"/>
    <x v="0"/>
    <n v="55"/>
    <n v="50"/>
  </r>
  <r>
    <x v="8"/>
    <x v="3"/>
    <n v="4251000500"/>
    <s v="3450 Clairemont Drive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8"/>
    <x v="3"/>
    <n v="4660600400"/>
    <s v="5824 MONTEZUMA RD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8"/>
    <x v="3"/>
    <n v="5472303500"/>
    <s v="465 47TH ST"/>
    <s v="5+"/>
    <x v="0"/>
    <n v="0"/>
    <n v="0"/>
    <n v="0"/>
    <n v="0"/>
    <n v="0"/>
    <n v="0"/>
    <x v="59"/>
    <n v="0"/>
    <n v="8"/>
    <n v="0"/>
    <n v="1"/>
    <n v="0"/>
    <n v="0"/>
    <n v="0"/>
    <n v="0"/>
    <n v="0"/>
    <n v="0"/>
    <n v="0"/>
    <x v="0"/>
    <n v="55"/>
    <n v="100"/>
  </r>
  <r>
    <x v="62"/>
    <x v="3"/>
    <s v="4014002A"/>
    <s v="2530 18TH ST"/>
    <s v="5+"/>
    <x v="0"/>
    <n v="0"/>
    <n v="0"/>
    <n v="73"/>
    <n v="0"/>
    <n v="0"/>
    <n v="0"/>
    <x v="0"/>
    <n v="0"/>
    <n v="0"/>
    <n v="0"/>
    <n v="0"/>
    <n v="0"/>
    <n v="0"/>
    <n v="0"/>
    <n v="0"/>
    <n v="0"/>
    <n v="0"/>
    <n v="0"/>
    <x v="0"/>
    <m/>
    <s v="5.0999999999999996"/>
  </r>
  <r>
    <x v="62"/>
    <x v="3"/>
    <s v="0491009"/>
    <s v="2055 CHESTNUT ST"/>
    <s v="5+"/>
    <x v="0"/>
    <n v="0"/>
    <n v="0"/>
    <n v="7"/>
    <n v="0"/>
    <n v="2"/>
    <n v="0"/>
    <x v="0"/>
    <n v="0"/>
    <n v="0"/>
    <n v="0"/>
    <n v="0"/>
    <n v="0"/>
    <n v="0"/>
    <n v="0"/>
    <n v="0"/>
    <n v="0"/>
    <n v="0"/>
    <n v="0"/>
    <x v="0"/>
    <m/>
    <s v="33.299999999999997"/>
  </r>
  <r>
    <x v="62"/>
    <x v="3"/>
    <n v="3753070"/>
    <s v="255 SHIPLEY ST"/>
    <s v="5+"/>
    <x v="0"/>
    <n v="0"/>
    <n v="0"/>
    <n v="0"/>
    <n v="0"/>
    <n v="0"/>
    <n v="0"/>
    <x v="0"/>
    <n v="0"/>
    <n v="3"/>
    <n v="0"/>
    <n v="0"/>
    <n v="0"/>
    <n v="0"/>
    <n v="0"/>
    <n v="0"/>
    <n v="0"/>
    <n v="0"/>
    <n v="0"/>
    <x v="1"/>
    <m/>
    <n v="0"/>
  </r>
  <r>
    <x v="62"/>
    <x v="3"/>
    <n v="3703040"/>
    <s v="1068 MISSION ST"/>
    <s v="5+"/>
    <x v="0"/>
    <n v="0"/>
    <n v="0"/>
    <n v="0"/>
    <n v="0"/>
    <n v="0"/>
    <n v="0"/>
    <x v="0"/>
    <n v="0"/>
    <n v="0"/>
    <n v="0"/>
    <n v="0"/>
    <n v="0"/>
    <n v="256"/>
    <n v="0"/>
    <n v="0"/>
    <n v="0"/>
    <n v="0"/>
    <n v="0"/>
    <x v="0"/>
    <m/>
    <n v="0"/>
  </r>
  <r>
    <x v="62"/>
    <x v="3"/>
    <n v="8954001"/>
    <s v="201 MACALLA RD"/>
    <s v="5+"/>
    <x v="1"/>
    <n v="0"/>
    <n v="0"/>
    <n v="0"/>
    <n v="0"/>
    <n v="0"/>
    <n v="0"/>
    <x v="0"/>
    <n v="0"/>
    <n v="0"/>
    <n v="0"/>
    <n v="0"/>
    <n v="0"/>
    <n v="0"/>
    <n v="0"/>
    <n v="3"/>
    <n v="0"/>
    <n v="8"/>
    <n v="0"/>
    <x v="1"/>
    <m/>
    <n v="0"/>
  </r>
  <r>
    <x v="62"/>
    <x v="3"/>
    <n v="3560006"/>
    <s v="2240 MARKET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5"/>
    <n v="0"/>
    <x v="1"/>
    <m/>
    <n v="0"/>
  </r>
  <r>
    <x v="62"/>
    <x v="3"/>
    <n v="3505020"/>
    <s v="42 OTIS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3"/>
    <s v="0645003"/>
    <s v="1335 LARKIN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65"/>
    <x v="1"/>
    <s v="629-051-23"/>
    <s v="20412 Laguna Canyon Rd_x000a_Laguna Beach, CA 92651"/>
    <s v="5+"/>
    <x v="0"/>
    <n v="0"/>
    <n v="0"/>
    <n v="0"/>
    <n v="0"/>
    <n v="0"/>
    <n v="0"/>
    <x v="0"/>
    <n v="0"/>
    <n v="8"/>
    <n v="0"/>
    <n v="1"/>
    <n v="0"/>
    <n v="0"/>
    <n v="0"/>
    <n v="8"/>
    <n v="0"/>
    <n v="1"/>
    <n v="0"/>
    <x v="1"/>
    <n v="55"/>
    <n v="0"/>
  </r>
  <r>
    <x v="112"/>
    <x v="3"/>
    <n v="10121025"/>
    <s v="80 COLLEGE AVE"/>
    <s v="5+"/>
    <x v="0"/>
    <n v="0"/>
    <n v="0"/>
    <n v="0"/>
    <n v="0"/>
    <n v="0"/>
    <n v="0"/>
    <x v="0"/>
    <n v="0"/>
    <n v="0"/>
    <n v="0"/>
    <n v="0"/>
    <n v="0"/>
    <n v="53"/>
    <n v="0"/>
    <n v="0"/>
    <n v="0"/>
    <n v="0"/>
    <n v="0"/>
    <x v="0"/>
    <m/>
    <n v="14"/>
  </r>
  <r>
    <x v="112"/>
    <x v="3"/>
    <n v="10166003"/>
    <s v="2 4th Street"/>
    <s v="5+"/>
    <x v="0"/>
    <n v="0"/>
    <n v="0"/>
    <n v="12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59"/>
    <x v="1"/>
    <s v="5757-030-001"/>
    <s v="170 N HALSTEAD ST_x000a_Pasadena, CA 91107"/>
    <s v="5+"/>
    <x v="0"/>
    <n v="0"/>
    <n v="0"/>
    <n v="47"/>
    <n v="0"/>
    <n v="0"/>
    <n v="0"/>
    <x v="0"/>
    <n v="0"/>
    <n v="0"/>
    <n v="0"/>
    <n v="0"/>
    <n v="0"/>
    <n v="0"/>
    <n v="0"/>
    <n v="0"/>
    <n v="0"/>
    <n v="0"/>
    <n v="0"/>
    <x v="1"/>
    <n v="45"/>
    <n v="0"/>
  </r>
  <r>
    <x v="159"/>
    <x v="1"/>
    <s v="5738-015-130"/>
    <s v="256 N MICHIGAN AVE PASADENA, CA 91106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66"/>
    <x v="4"/>
    <s v="070-280-10, -14, -13, -12, -17, -16, -15, 070-290-02, -04, -01, -03"/>
    <s v="1111 Olive Drive"/>
    <s v="5+"/>
    <x v="0"/>
    <n v="0"/>
    <n v="0"/>
    <n v="0"/>
    <n v="0"/>
    <n v="0"/>
    <n v="0"/>
    <x v="42"/>
    <n v="0"/>
    <n v="9"/>
    <n v="0"/>
    <n v="0"/>
    <n v="0"/>
    <n v="0"/>
    <n v="0"/>
    <n v="0"/>
    <n v="0"/>
    <n v="0"/>
    <n v="0"/>
    <x v="1"/>
    <n v="1000"/>
    <n v="0"/>
  </r>
  <r>
    <x v="143"/>
    <x v="1"/>
    <n v="1570403300"/>
    <s v="4933 North River Rd."/>
    <s v="5+"/>
    <x v="0"/>
    <n v="4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00"/>
  </r>
  <r>
    <x v="48"/>
    <x v="1"/>
    <s v="0301-051-29, 0301-051-30, 0301-051-48, 0301-051-49"/>
    <s v="County Line Rd/2nd St"/>
    <s v="5+"/>
    <x v="0"/>
    <n v="0"/>
    <n v="0"/>
    <n v="12"/>
    <n v="0"/>
    <n v="0"/>
    <n v="132"/>
    <x v="0"/>
    <n v="0"/>
    <n v="0"/>
    <n v="0"/>
    <n v="0"/>
    <n v="0"/>
    <n v="0"/>
    <n v="0"/>
    <n v="0"/>
    <n v="0"/>
    <n v="0"/>
    <n v="0"/>
    <x v="0"/>
    <n v="55"/>
    <n v="20"/>
  </r>
  <r>
    <x v="48"/>
    <x v="1"/>
    <s v="0319-242-01"/>
    <s v="13421 4TH ST"/>
    <s v="5+"/>
    <x v="0"/>
    <n v="0"/>
    <n v="0"/>
    <n v="0"/>
    <n v="0"/>
    <n v="0"/>
    <n v="0"/>
    <x v="0"/>
    <n v="0"/>
    <n v="0"/>
    <n v="8"/>
    <n v="0"/>
    <n v="0"/>
    <n v="0"/>
    <n v="0"/>
    <n v="0"/>
    <n v="0"/>
    <n v="0"/>
    <n v="0"/>
    <x v="0"/>
    <n v="55"/>
    <n v="100"/>
  </r>
  <r>
    <x v="155"/>
    <x v="3"/>
    <n v="208022041"/>
    <s v="600 Hartz Ave"/>
    <s v="5+"/>
    <x v="1"/>
    <n v="0"/>
    <n v="0"/>
    <n v="0"/>
    <n v="0"/>
    <n v="5"/>
    <n v="0"/>
    <x v="0"/>
    <n v="0"/>
    <n v="0"/>
    <n v="0"/>
    <n v="0"/>
    <n v="0"/>
    <n v="0"/>
    <n v="0"/>
    <n v="0"/>
    <n v="0"/>
    <n v="0"/>
    <n v="0"/>
    <x v="1"/>
    <n v="20"/>
    <n v="0"/>
  </r>
  <r>
    <x v="113"/>
    <x v="3"/>
    <s v="051200025"/>
    <s v="3570 E 18TH ST"/>
    <s v="5+"/>
    <x v="0"/>
    <n v="0"/>
    <n v="0"/>
    <n v="0"/>
    <n v="0"/>
    <n v="0"/>
    <n v="0"/>
    <x v="0"/>
    <n v="0"/>
    <n v="0"/>
    <n v="0"/>
    <n v="0"/>
    <n v="0"/>
    <n v="23"/>
    <n v="0"/>
    <n v="64"/>
    <n v="0"/>
    <n v="0"/>
    <n v="0"/>
    <x v="0"/>
    <m/>
    <n v="0"/>
  </r>
  <r>
    <x v="113"/>
    <x v="3"/>
    <s v="051200025"/>
    <s v="3546 E 18TH ST"/>
    <s v="5+"/>
    <x v="0"/>
    <n v="0"/>
    <n v="0"/>
    <n v="0"/>
    <n v="0"/>
    <n v="0"/>
    <n v="0"/>
    <x v="0"/>
    <n v="0"/>
    <n v="0"/>
    <n v="0"/>
    <n v="0"/>
    <n v="0"/>
    <n v="5"/>
    <n v="0"/>
    <n v="18"/>
    <n v="0"/>
    <n v="0"/>
    <n v="0"/>
    <x v="0"/>
    <m/>
    <n v="0"/>
  </r>
  <r>
    <x v="113"/>
    <x v="3"/>
    <s v="051200025"/>
    <s v="3550 E 18TH ST"/>
    <s v="5+"/>
    <x v="0"/>
    <n v="0"/>
    <n v="0"/>
    <n v="0"/>
    <n v="0"/>
    <n v="0"/>
    <n v="0"/>
    <x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54 E 18TH ST"/>
    <s v="5+"/>
    <x v="0"/>
    <n v="0"/>
    <n v="0"/>
    <n v="0"/>
    <n v="0"/>
    <n v="0"/>
    <n v="0"/>
    <x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58 E 18TH ST"/>
    <s v="5+"/>
    <x v="0"/>
    <n v="0"/>
    <n v="0"/>
    <n v="0"/>
    <n v="0"/>
    <n v="0"/>
    <n v="0"/>
    <x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74 E 18TH ST"/>
    <s v="5+"/>
    <x v="0"/>
    <n v="0"/>
    <n v="0"/>
    <n v="0"/>
    <n v="0"/>
    <n v="0"/>
    <n v="0"/>
    <x v="0"/>
    <n v="0"/>
    <n v="0"/>
    <n v="0"/>
    <n v="0"/>
    <n v="0"/>
    <n v="23"/>
    <n v="0"/>
    <n v="66"/>
    <n v="0"/>
    <n v="0"/>
    <n v="0"/>
    <x v="0"/>
    <m/>
    <n v="0"/>
  </r>
  <r>
    <x v="62"/>
    <x v="0"/>
    <n v="6959019"/>
    <s v="4840 MISSION ST"/>
    <s v="5+"/>
    <x v="0"/>
    <n v="0"/>
    <n v="0"/>
    <n v="0"/>
    <n v="0"/>
    <n v="0"/>
    <n v="0"/>
    <x v="85"/>
    <n v="0"/>
    <n v="29"/>
    <n v="0"/>
    <n v="32"/>
    <n v="0"/>
    <n v="0"/>
    <n v="0"/>
    <n v="0"/>
    <n v="0"/>
    <n v="0"/>
    <n v="0"/>
    <x v="0"/>
    <n v="1000"/>
    <n v="0"/>
  </r>
  <r>
    <x v="62"/>
    <x v="0"/>
    <s v="0573011"/>
    <s v="1570 PACIFIC AV"/>
    <s v="5+"/>
    <x v="1"/>
    <n v="0"/>
    <n v="0"/>
    <n v="0"/>
    <n v="0"/>
    <n v="0"/>
    <n v="0"/>
    <x v="0"/>
    <n v="0"/>
    <n v="5"/>
    <n v="0"/>
    <n v="0"/>
    <n v="0"/>
    <n v="0"/>
    <n v="0"/>
    <n v="0"/>
    <n v="0"/>
    <n v="0"/>
    <n v="0"/>
    <x v="0"/>
    <n v="1000"/>
    <n v="123.3"/>
  </r>
  <r>
    <x v="110"/>
    <x v="1"/>
    <n v="694310006"/>
    <s v="36101 VITALIA WAY"/>
    <s v="5+"/>
    <x v="0"/>
    <n v="0"/>
    <n v="0"/>
    <n v="0"/>
    <n v="0"/>
    <n v="0"/>
    <n v="0"/>
    <x v="50"/>
    <n v="0"/>
    <n v="2"/>
    <n v="0"/>
    <n v="2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x v="17"/>
    <n v="0"/>
    <n v="2"/>
    <n v="0"/>
    <n v="2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x v="17"/>
    <n v="0"/>
    <n v="2"/>
    <n v="0"/>
    <n v="2"/>
    <n v="0"/>
    <n v="0"/>
    <n v="0"/>
    <n v="0"/>
    <n v="0"/>
    <n v="0"/>
    <n v="0"/>
    <x v="1"/>
    <n v="55"/>
    <n v="0"/>
  </r>
  <r>
    <x v="62"/>
    <x v="0"/>
    <s v="0342001"/>
    <s v="950 Market St"/>
    <s v="5+"/>
    <x v="0"/>
    <n v="0"/>
    <n v="0"/>
    <n v="0"/>
    <n v="0"/>
    <n v="0"/>
    <n v="0"/>
    <x v="0"/>
    <n v="0"/>
    <n v="0"/>
    <n v="0"/>
    <n v="0"/>
    <n v="0"/>
    <n v="6"/>
    <n v="0"/>
    <n v="20"/>
    <n v="0"/>
    <n v="7"/>
    <n v="0"/>
    <x v="1"/>
    <n v="1000"/>
    <n v="0"/>
  </r>
  <r>
    <x v="62"/>
    <x v="0"/>
    <n v="3571031"/>
    <s v="2070 Folsom St"/>
    <s v="5+"/>
    <x v="0"/>
    <n v="0"/>
    <n v="0"/>
    <n v="0"/>
    <n v="0"/>
    <n v="0"/>
    <n v="0"/>
    <x v="0"/>
    <n v="0"/>
    <n v="0"/>
    <n v="0"/>
    <n v="0"/>
    <n v="0"/>
    <n v="29"/>
    <n v="0"/>
    <n v="97"/>
    <n v="0"/>
    <n v="0"/>
    <n v="0"/>
    <x v="1"/>
    <n v="1000"/>
    <n v="0"/>
  </r>
  <r>
    <x v="62"/>
    <x v="0"/>
    <s v="0691001"/>
    <s v="1145 Polk St"/>
    <s v="5+"/>
    <x v="0"/>
    <n v="0"/>
    <n v="0"/>
    <n v="0"/>
    <n v="0"/>
    <n v="0"/>
    <n v="0"/>
    <x v="0"/>
    <n v="0"/>
    <n v="0"/>
    <n v="0"/>
    <n v="0"/>
    <n v="0"/>
    <n v="0"/>
    <n v="0"/>
    <n v="8"/>
    <n v="0"/>
    <n v="0"/>
    <n v="0"/>
    <x v="1"/>
    <n v="1000"/>
    <n v="0"/>
  </r>
  <r>
    <x v="62"/>
    <x v="0"/>
    <n v="6522064"/>
    <s v="3001 24th St"/>
    <s v="5+"/>
    <x v="0"/>
    <n v="0"/>
    <n v="0"/>
    <n v="0"/>
    <n v="0"/>
    <n v="0"/>
    <n v="0"/>
    <x v="0"/>
    <n v="0"/>
    <n v="0"/>
    <n v="0"/>
    <n v="0"/>
    <n v="0"/>
    <n v="44"/>
    <n v="0"/>
    <n v="0"/>
    <n v="0"/>
    <n v="0"/>
    <n v="0"/>
    <x v="0"/>
    <n v="1000"/>
    <n v="150"/>
  </r>
  <r>
    <x v="62"/>
    <x v="0"/>
    <n v="3730004"/>
    <s v="230 07th St"/>
    <s v="5+"/>
    <x v="0"/>
    <n v="0"/>
    <n v="0"/>
    <n v="0"/>
    <n v="0"/>
    <n v="0"/>
    <n v="0"/>
    <x v="0"/>
    <n v="0"/>
    <n v="0"/>
    <n v="0"/>
    <n v="0"/>
    <n v="0"/>
    <n v="0"/>
    <n v="0"/>
    <n v="5"/>
    <n v="0"/>
    <n v="0"/>
    <n v="0"/>
    <x v="1"/>
    <n v="1000"/>
    <n v="0"/>
  </r>
  <r>
    <x v="62"/>
    <x v="0"/>
    <n v="3736120"/>
    <s v="500 Folsom St"/>
    <s v="5+"/>
    <x v="0"/>
    <n v="0"/>
    <n v="0"/>
    <n v="0"/>
    <n v="0"/>
    <n v="0"/>
    <n v="0"/>
    <x v="0"/>
    <n v="0"/>
    <n v="0"/>
    <n v="0"/>
    <n v="0"/>
    <n v="0"/>
    <n v="13"/>
    <n v="0"/>
    <n v="44"/>
    <n v="0"/>
    <n v="15"/>
    <n v="0"/>
    <x v="1"/>
    <n v="1000"/>
    <n v="0"/>
  </r>
  <r>
    <x v="167"/>
    <x v="1"/>
    <s v="137-090-006"/>
    <s v="552, 554, 556, 558 McMurray Road"/>
    <s v="5+"/>
    <x v="0"/>
    <n v="33"/>
    <n v="0"/>
    <n v="15"/>
    <n v="0"/>
    <n v="0"/>
    <n v="0"/>
    <x v="86"/>
    <n v="0"/>
    <n v="15"/>
    <n v="0"/>
    <n v="0"/>
    <n v="0"/>
    <n v="0"/>
    <n v="0"/>
    <n v="0"/>
    <n v="0"/>
    <n v="0"/>
    <n v="0"/>
    <x v="0"/>
    <n v="55"/>
    <s v="1.1000000000000001"/>
  </r>
  <r>
    <x v="168"/>
    <x v="3"/>
    <n v="16040105000"/>
    <s v="2557 RIVER OAKS BLVD #104"/>
    <s v="5+"/>
    <x v="0"/>
    <n v="0"/>
    <n v="0"/>
    <n v="12"/>
    <n v="0"/>
    <n v="0"/>
    <n v="0"/>
    <x v="0"/>
    <n v="0"/>
    <n v="12"/>
    <n v="0"/>
    <n v="0"/>
    <n v="0"/>
    <n v="0"/>
    <n v="0"/>
    <n v="0"/>
    <n v="0"/>
    <n v="0"/>
    <n v="0"/>
    <x v="0"/>
    <n v="55"/>
    <n v="0"/>
  </r>
  <r>
    <x v="169"/>
    <x v="0"/>
    <s v="044-140-004"/>
    <s v="725 Central"/>
    <s v="5+"/>
    <x v="0"/>
    <n v="0"/>
    <n v="0"/>
    <n v="0"/>
    <n v="0"/>
    <n v="0"/>
    <n v="0"/>
    <x v="58"/>
    <n v="0"/>
    <n v="0"/>
    <n v="0"/>
    <n v="0"/>
    <n v="0"/>
    <n v="0"/>
    <n v="0"/>
    <n v="0"/>
    <n v="0"/>
    <n v="0"/>
    <n v="0"/>
    <x v="0"/>
    <m/>
    <n v="28"/>
  </r>
  <r>
    <x v="32"/>
    <x v="4"/>
    <n v="4275006023"/>
    <s v="2225  BROADWAY"/>
    <s v="5+"/>
    <x v="0"/>
    <n v="2"/>
    <n v="0"/>
    <n v="0"/>
    <n v="0"/>
    <n v="0"/>
    <n v="0"/>
    <x v="17"/>
    <n v="0"/>
    <n v="0"/>
    <n v="0"/>
    <n v="0"/>
    <n v="0"/>
    <n v="0"/>
    <n v="0"/>
    <n v="0"/>
    <n v="0"/>
    <n v="0"/>
    <n v="0"/>
    <x v="1"/>
    <n v="55"/>
    <n v="0"/>
  </r>
  <r>
    <x v="32"/>
    <x v="4"/>
    <n v="4267019030"/>
    <s v="2822  SANTA MONICA BLVD"/>
    <s v="5+"/>
    <x v="0"/>
    <n v="4"/>
    <n v="0"/>
    <n v="0"/>
    <n v="0"/>
    <n v="0"/>
    <n v="0"/>
    <x v="5"/>
    <n v="0"/>
    <n v="0"/>
    <n v="0"/>
    <n v="0"/>
    <n v="0"/>
    <n v="0"/>
    <n v="0"/>
    <n v="0"/>
    <n v="0"/>
    <n v="0"/>
    <n v="0"/>
    <x v="1"/>
    <n v="55"/>
    <n v="0"/>
  </r>
  <r>
    <x v="112"/>
    <x v="3"/>
    <n v="125521008"/>
    <s v="2274 STONY POINT RD"/>
    <s v="5+"/>
    <x v="0"/>
    <n v="24"/>
    <n v="0"/>
    <n v="0"/>
    <n v="0"/>
    <n v="0"/>
    <n v="0"/>
    <x v="11"/>
    <n v="0"/>
    <n v="9"/>
    <n v="0"/>
    <n v="0"/>
    <n v="0"/>
    <n v="0"/>
    <n v="0"/>
    <n v="0"/>
    <n v="0"/>
    <n v="0"/>
    <n v="0"/>
    <x v="1"/>
    <n v="55"/>
    <n v="0"/>
  </r>
  <r>
    <x v="112"/>
    <x v="3"/>
    <n v="10510021"/>
    <s v="1345 COLLEGE AVE W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15.199999999999999"/>
  </r>
  <r>
    <x v="112"/>
    <x v="3"/>
    <n v="44021071"/>
    <s v="1775 Petaluma Hill Road"/>
    <s v="5+"/>
    <x v="0"/>
    <n v="0"/>
    <n v="0"/>
    <n v="16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39"/>
    <x v="3"/>
    <s v="056-511-046"/>
    <s v="18503 Hwy 12_x000a_Sonoma, CA 95476"/>
    <s v="5+"/>
    <x v="0"/>
    <n v="0"/>
    <n v="0"/>
    <n v="0"/>
    <n v="0"/>
    <n v="0"/>
    <n v="0"/>
    <x v="87"/>
    <n v="0"/>
    <n v="25"/>
    <n v="0"/>
    <n v="0"/>
    <n v="0"/>
    <n v="0"/>
    <n v="0"/>
    <n v="0"/>
    <n v="0"/>
    <n v="0"/>
    <n v="0"/>
    <x v="0"/>
    <n v="55"/>
    <n v="100"/>
  </r>
  <r>
    <x v="133"/>
    <x v="1"/>
    <n v="6201023034"/>
    <s v="7616 Pacific Boulevard, Huntington Park CA 90255"/>
    <s v="5+"/>
    <x v="0"/>
    <n v="0"/>
    <n v="0"/>
    <n v="0"/>
    <n v="0"/>
    <n v="0"/>
    <n v="0"/>
    <x v="0"/>
    <n v="0"/>
    <n v="62"/>
    <n v="0"/>
    <n v="0"/>
    <n v="0"/>
    <n v="0"/>
    <n v="0"/>
    <n v="0"/>
    <n v="0"/>
    <n v="0"/>
    <n v="0"/>
    <x v="0"/>
    <n v="55"/>
    <n v="85"/>
  </r>
  <r>
    <x v="170"/>
    <x v="1"/>
    <s v="004-211-007; 060-230-067"/>
    <s v="7716 Bodega Ave"/>
    <s v="5+"/>
    <x v="1"/>
    <n v="56"/>
    <n v="0"/>
    <n v="27"/>
    <n v="0"/>
    <n v="0"/>
    <n v="0"/>
    <x v="59"/>
    <n v="0"/>
    <n v="13"/>
    <n v="0"/>
    <n v="0"/>
    <n v="0"/>
    <n v="0"/>
    <n v="0"/>
    <n v="0"/>
    <n v="0"/>
    <n v="0"/>
    <n v="0"/>
    <x v="0"/>
    <n v="55"/>
    <n v="0"/>
  </r>
  <r>
    <x v="131"/>
    <x v="1"/>
    <s v="057 202600405"/>
    <s v="2190 Shattuck Ave"/>
    <s v="5+"/>
    <x v="0"/>
    <n v="3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46.25"/>
  </r>
  <r>
    <x v="131"/>
    <x v="1"/>
    <s v="057 202401300"/>
    <s v="2099 M L King Jr Way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1000"/>
    <n v="35"/>
  </r>
  <r>
    <x v="171"/>
    <x v="1"/>
    <n v="6262422200"/>
    <s v="645 Florence St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m/>
    <n v="20"/>
  </r>
  <r>
    <x v="87"/>
    <x v="1"/>
    <s v="059-020-003"/>
    <s v="425 Napa Junction"/>
    <s v="5+"/>
    <x v="0"/>
    <n v="1"/>
    <n v="0"/>
    <n v="1"/>
    <n v="0"/>
    <n v="1"/>
    <n v="0"/>
    <x v="0"/>
    <n v="0"/>
    <n v="0"/>
    <n v="0"/>
    <n v="0"/>
    <n v="0"/>
    <n v="0"/>
    <n v="0"/>
    <n v="0"/>
    <n v="0"/>
    <n v="0"/>
    <n v="0"/>
    <x v="1"/>
    <n v="55"/>
    <n v="0"/>
  </r>
  <r>
    <x v="167"/>
    <x v="1"/>
    <s v="137-200-087"/>
    <s v="10 &amp; 12 McMurray Road"/>
    <s v="5+"/>
    <x v="0"/>
    <n v="58"/>
    <n v="0"/>
    <n v="30"/>
    <n v="0"/>
    <n v="0"/>
    <n v="0"/>
    <x v="0"/>
    <n v="0"/>
    <n v="0"/>
    <n v="0"/>
    <n v="0"/>
    <n v="0"/>
    <n v="0"/>
    <n v="0"/>
    <n v="0"/>
    <n v="0"/>
    <n v="0"/>
    <n v="0"/>
    <x v="0"/>
    <n v="55"/>
    <n v="15.6"/>
  </r>
  <r>
    <x v="131"/>
    <x v="5"/>
    <s v="060 235400200"/>
    <s v="1200 San Pablo Av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31"/>
    <x v="5"/>
    <s v="055 187602100"/>
    <s v="2542 Durant Av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1"/>
    <n v="3703029"/>
    <s v="1010V Mission St"/>
    <s v="5+"/>
    <x v="1"/>
    <n v="0"/>
    <n v="0"/>
    <n v="7"/>
    <n v="0"/>
    <n v="3"/>
    <n v="0"/>
    <x v="0"/>
    <n v="0"/>
    <n v="0"/>
    <n v="0"/>
    <n v="0"/>
    <n v="0"/>
    <n v="0"/>
    <n v="0"/>
    <n v="0"/>
    <n v="0"/>
    <n v="0"/>
    <n v="0"/>
    <x v="0"/>
    <n v="99"/>
    <s v="5.5999999999999996"/>
  </r>
  <r>
    <x v="62"/>
    <x v="1"/>
    <s v="0213025"/>
    <s v="1151 Washington St"/>
    <s v="5+"/>
    <x v="1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99"/>
    <n v="11.1"/>
  </r>
  <r>
    <x v="62"/>
    <x v="1"/>
    <s v="8719B002"/>
    <s v="1011 3rd St"/>
    <s v="5+"/>
    <x v="0"/>
    <n v="0"/>
    <n v="0"/>
    <n v="0"/>
    <n v="0"/>
    <n v="0"/>
    <n v="0"/>
    <x v="0"/>
    <n v="0"/>
    <n v="0"/>
    <n v="0"/>
    <n v="64"/>
    <n v="0"/>
    <n v="0"/>
    <n v="0"/>
    <n v="0"/>
    <n v="0"/>
    <n v="64"/>
    <n v="0"/>
    <x v="1"/>
    <n v="99"/>
    <n v="0"/>
  </r>
  <r>
    <x v="62"/>
    <x v="0"/>
    <s v="0811019"/>
    <s v="240 VAN NESS AVE"/>
    <s v="5+"/>
    <x v="0"/>
    <n v="0"/>
    <n v="0"/>
    <n v="11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62"/>
    <x v="0"/>
    <n v="4224032"/>
    <s v="1055 TEXAS ST (formerly 999 TEXAS ST)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500"/>
  </r>
  <r>
    <x v="62"/>
    <x v="0"/>
    <s v="4023004A"/>
    <s v="2750 19TH ST"/>
    <s v="5+"/>
    <x v="0"/>
    <n v="0"/>
    <n v="0"/>
    <n v="0"/>
    <n v="0"/>
    <n v="0"/>
    <n v="0"/>
    <x v="0"/>
    <n v="0"/>
    <n v="11"/>
    <n v="0"/>
    <n v="0"/>
    <n v="0"/>
    <n v="0"/>
    <n v="0"/>
    <n v="0"/>
    <n v="0"/>
    <n v="0"/>
    <n v="0"/>
    <x v="1"/>
    <n v="1000"/>
    <n v="0"/>
  </r>
  <r>
    <x v="62"/>
    <x v="0"/>
    <s v="4591D010"/>
    <s v="879 LA SALLE AV"/>
    <s v="5+"/>
    <x v="0"/>
    <n v="0"/>
    <n v="0"/>
    <n v="0"/>
    <n v="0"/>
    <n v="0"/>
    <n v="0"/>
    <x v="3"/>
    <n v="0"/>
    <n v="4"/>
    <n v="0"/>
    <n v="2"/>
    <n v="0"/>
    <n v="0"/>
    <n v="0"/>
    <n v="0"/>
    <n v="0"/>
    <n v="0"/>
    <n v="0"/>
    <x v="1"/>
    <n v="1000"/>
    <n v="0"/>
  </r>
  <r>
    <x v="133"/>
    <x v="1"/>
    <n v="5232020002"/>
    <s v="3518 E 1st Street, Los Angeles CA 90063"/>
    <s v="5+"/>
    <x v="0"/>
    <n v="0"/>
    <n v="0"/>
    <n v="46"/>
    <n v="0"/>
    <n v="0"/>
    <n v="0"/>
    <x v="0"/>
    <n v="0"/>
    <n v="0"/>
    <n v="0"/>
    <n v="0"/>
    <n v="0"/>
    <n v="0"/>
    <n v="0"/>
    <n v="0"/>
    <n v="0"/>
    <n v="0"/>
    <n v="0"/>
    <x v="0"/>
    <n v="55"/>
    <n v="370"/>
  </r>
  <r>
    <x v="124"/>
    <x v="1"/>
    <s v="031-201-032"/>
    <s v="116 E COTA ST, SANTA BARBARA, CA"/>
    <s v="5+"/>
    <x v="0"/>
    <n v="0"/>
    <n v="0"/>
    <n v="0"/>
    <n v="0"/>
    <n v="0"/>
    <n v="0"/>
    <x v="0"/>
    <n v="0"/>
    <n v="0"/>
    <n v="0"/>
    <n v="0"/>
    <n v="0"/>
    <n v="0"/>
    <n v="0"/>
    <n v="28"/>
    <n v="0"/>
    <n v="0"/>
    <n v="0"/>
    <x v="1"/>
    <n v="90"/>
    <n v="0"/>
  </r>
  <r>
    <x v="124"/>
    <x v="1"/>
    <s v="031-212-018"/>
    <s v="401 &amp; 409 E HALEY STREET, SANTA BARBARA, CA"/>
    <s v="5+"/>
    <x v="0"/>
    <n v="0"/>
    <n v="0"/>
    <n v="0"/>
    <n v="0"/>
    <n v="3"/>
    <n v="0"/>
    <x v="0"/>
    <n v="0"/>
    <n v="0"/>
    <n v="0"/>
    <n v="0"/>
    <n v="0"/>
    <n v="0"/>
    <n v="0"/>
    <n v="0"/>
    <n v="0"/>
    <n v="0"/>
    <n v="0"/>
    <x v="1"/>
    <n v="90"/>
    <n v="0"/>
  </r>
  <r>
    <x v="159"/>
    <x v="1"/>
    <s v="5726-018-038"/>
    <s v="735 N ORANGE GROVE BLVD MIXED USE"/>
    <s v="5+"/>
    <x v="1"/>
    <n v="0"/>
    <n v="0"/>
    <n v="0"/>
    <n v="0"/>
    <n v="0"/>
    <n v="0"/>
    <x v="0"/>
    <n v="0"/>
    <n v="0"/>
    <n v="0"/>
    <n v="0"/>
    <n v="0"/>
    <n v="0"/>
    <n v="0"/>
    <n v="22"/>
    <n v="0"/>
    <n v="13"/>
    <n v="0"/>
    <x v="1"/>
    <n v="1000"/>
    <n v="0"/>
  </r>
  <r>
    <x v="143"/>
    <x v="1"/>
    <n v="1432050400"/>
    <s v="701-713 N FREEMAN ST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10"/>
  </r>
  <r>
    <x v="29"/>
    <x v="3"/>
    <s v="6224-007-012"/>
    <s v="4302-4312 Elizabeth Street"/>
    <s v="5+"/>
    <x v="0"/>
    <n v="0"/>
    <n v="0"/>
    <n v="0"/>
    <n v="0"/>
    <n v="0"/>
    <n v="0"/>
    <x v="0"/>
    <n v="0"/>
    <n v="0"/>
    <n v="0"/>
    <n v="0"/>
    <n v="0"/>
    <n v="6"/>
    <n v="0"/>
    <n v="10"/>
    <n v="0"/>
    <n v="20"/>
    <n v="0"/>
    <x v="0"/>
    <n v="55"/>
    <n v="35"/>
  </r>
  <r>
    <x v="143"/>
    <x v="1"/>
    <n v="1610302300"/>
    <s v="OCEANSIDE BLVD"/>
    <s v="5+"/>
    <x v="0"/>
    <n v="3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143"/>
    <x v="1"/>
    <n v="1532641400"/>
    <s v="1933 S TREMONT ST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0"/>
  </r>
  <r>
    <x v="110"/>
    <x v="1"/>
    <n v="694310006"/>
    <s v="36101 VITALIA WAY"/>
    <s v="5+"/>
    <x v="0"/>
    <n v="0"/>
    <n v="0"/>
    <n v="0"/>
    <n v="0"/>
    <n v="0"/>
    <n v="0"/>
    <x v="21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x v="17"/>
    <n v="0"/>
    <n v="2"/>
    <n v="0"/>
    <n v="2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x v="5"/>
    <n v="0"/>
    <n v="18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x v="21"/>
    <n v="0"/>
    <n v="3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x v="13"/>
    <n v="0"/>
    <n v="5"/>
    <n v="0"/>
    <n v="0"/>
    <n v="0"/>
    <n v="0"/>
    <n v="0"/>
    <n v="0"/>
    <n v="0"/>
    <n v="0"/>
    <n v="0"/>
    <x v="1"/>
    <n v="55"/>
    <n v="0"/>
  </r>
  <r>
    <x v="133"/>
    <x v="1"/>
    <n v="4036002027"/>
    <s v="10136 S Inglewood Avenue, Inglewood CA 90304"/>
    <s v="5+"/>
    <x v="0"/>
    <n v="2"/>
    <n v="0"/>
    <n v="10"/>
    <n v="0"/>
    <n v="0"/>
    <n v="0"/>
    <x v="0"/>
    <n v="0"/>
    <n v="0"/>
    <n v="0"/>
    <n v="0"/>
    <n v="0"/>
    <n v="0"/>
    <n v="0"/>
    <n v="0"/>
    <n v="0"/>
    <n v="0"/>
    <n v="0"/>
    <x v="0"/>
    <n v="55"/>
    <n v="946"/>
  </r>
  <r>
    <x v="92"/>
    <x v="0"/>
    <n v="4900000000000"/>
    <s v="65 CORAL GABLES ,SACRAMENTO,CA"/>
    <s v="5+"/>
    <x v="0"/>
    <n v="0"/>
    <n v="0"/>
    <n v="0"/>
    <n v="0"/>
    <n v="0"/>
    <n v="0"/>
    <x v="25"/>
    <n v="0"/>
    <n v="0"/>
    <n v="0"/>
    <n v="0"/>
    <n v="0"/>
    <n v="0"/>
    <n v="0"/>
    <n v="0"/>
    <n v="0"/>
    <n v="0"/>
    <n v="0"/>
    <x v="0"/>
    <n v="30"/>
    <n v="16"/>
  </r>
  <r>
    <x v="92"/>
    <x v="0"/>
    <n v="4900000000000"/>
    <s v="57 CORAL GABLES ,SACRAMENTO,CA"/>
    <s v="5+"/>
    <x v="0"/>
    <n v="0"/>
    <n v="0"/>
    <n v="0"/>
    <n v="0"/>
    <n v="0"/>
    <n v="0"/>
    <x v="42"/>
    <n v="0"/>
    <n v="0"/>
    <n v="0"/>
    <n v="0"/>
    <n v="1"/>
    <n v="0"/>
    <n v="0"/>
    <n v="0"/>
    <n v="0"/>
    <n v="0"/>
    <n v="0"/>
    <x v="0"/>
    <n v="30"/>
    <n v="16"/>
  </r>
  <r>
    <x v="133"/>
    <x v="1"/>
    <n v="8174019056"/>
    <s v="10604 Whittier Boulevard, Whittier CA 90606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60.5"/>
  </r>
  <r>
    <x v="62"/>
    <x v="0"/>
    <n v="6311001"/>
    <s v="242 Hahn St"/>
    <s v="5+"/>
    <x v="0"/>
    <n v="0"/>
    <n v="0"/>
    <n v="0"/>
    <n v="0"/>
    <n v="0"/>
    <n v="0"/>
    <x v="0"/>
    <n v="0"/>
    <n v="0"/>
    <n v="0"/>
    <n v="0"/>
    <n v="0"/>
    <n v="126"/>
    <n v="0"/>
    <n v="41"/>
    <n v="0"/>
    <n v="0"/>
    <n v="0"/>
    <x v="1"/>
    <n v="1000"/>
    <n v="0"/>
  </r>
  <r>
    <x v="62"/>
    <x v="0"/>
    <n v="3779133"/>
    <s v="833 Bryant St"/>
    <s v="5+"/>
    <x v="0"/>
    <n v="0"/>
    <n v="0"/>
    <n v="0"/>
    <n v="0"/>
    <n v="0"/>
    <n v="0"/>
    <x v="0"/>
    <n v="0"/>
    <n v="0"/>
    <n v="0"/>
    <n v="0"/>
    <n v="0"/>
    <n v="145"/>
    <n v="0"/>
    <n v="0"/>
    <n v="0"/>
    <n v="0"/>
    <n v="0"/>
    <x v="0"/>
    <n v="1000"/>
    <n v="0"/>
  </r>
  <r>
    <x v="62"/>
    <x v="3"/>
    <n v="3780077"/>
    <s v="925 BRYANT ST"/>
    <s v="5+"/>
    <x v="0"/>
    <n v="10"/>
    <n v="0"/>
    <n v="14"/>
    <n v="0"/>
    <n v="11"/>
    <n v="0"/>
    <x v="0"/>
    <n v="0"/>
    <n v="0"/>
    <n v="0"/>
    <n v="0"/>
    <n v="0"/>
    <n v="0"/>
    <n v="0"/>
    <n v="0"/>
    <n v="0"/>
    <n v="0"/>
    <n v="0"/>
    <x v="1"/>
    <m/>
    <n v="0"/>
  </r>
  <r>
    <x v="62"/>
    <x v="3"/>
    <s v="0768072"/>
    <s v="600 MCALLISTER ST"/>
    <s v="5+"/>
    <x v="0"/>
    <n v="0"/>
    <n v="0"/>
    <n v="23"/>
    <n v="0"/>
    <n v="6"/>
    <n v="0"/>
    <x v="0"/>
    <n v="0"/>
    <n v="0"/>
    <n v="0"/>
    <n v="0"/>
    <n v="0"/>
    <n v="0"/>
    <n v="0"/>
    <n v="0"/>
    <n v="0"/>
    <n v="0"/>
    <n v="0"/>
    <x v="0"/>
    <m/>
    <n v="50"/>
  </r>
  <r>
    <x v="62"/>
    <x v="3"/>
    <n v="1249024"/>
    <s v="730 Stanyan ST"/>
    <s v="5+"/>
    <x v="0"/>
    <n v="0"/>
    <n v="0"/>
    <n v="160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62"/>
    <x v="3"/>
    <n v="5411005"/>
    <s v="5222 03RD ST"/>
    <s v="5+"/>
    <x v="0"/>
    <n v="8"/>
    <n v="0"/>
    <n v="12"/>
    <n v="0"/>
    <n v="10"/>
    <n v="0"/>
    <x v="0"/>
    <n v="0"/>
    <n v="0"/>
    <n v="0"/>
    <n v="0"/>
    <n v="0"/>
    <n v="0"/>
    <n v="0"/>
    <n v="0"/>
    <n v="0"/>
    <n v="0"/>
    <n v="0"/>
    <x v="0"/>
    <m/>
    <n v="26"/>
  </r>
  <r>
    <x v="62"/>
    <x v="3"/>
    <n v="1724038"/>
    <s v="2550 IRVING ST"/>
    <s v="5+"/>
    <x v="0"/>
    <n v="4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62"/>
    <x v="3"/>
    <n v="3555057"/>
    <s v="1721 15th ST"/>
    <s v="5+"/>
    <x v="1"/>
    <n v="3"/>
    <n v="0"/>
    <n v="4"/>
    <n v="0"/>
    <n v="4"/>
    <n v="0"/>
    <x v="0"/>
    <n v="0"/>
    <n v="0"/>
    <n v="0"/>
    <n v="0"/>
    <n v="0"/>
    <n v="0"/>
    <n v="0"/>
    <n v="0"/>
    <n v="0"/>
    <n v="0"/>
    <n v="0"/>
    <x v="0"/>
    <m/>
    <n v="8"/>
  </r>
  <r>
    <x v="62"/>
    <x v="3"/>
    <s v="0793037"/>
    <s v="618 OCTAVIA ST"/>
    <s v="5+"/>
    <x v="1"/>
    <n v="3"/>
    <n v="0"/>
    <n v="4"/>
    <n v="0"/>
    <n v="3"/>
    <n v="0"/>
    <x v="0"/>
    <n v="0"/>
    <n v="0"/>
    <n v="0"/>
    <n v="0"/>
    <n v="0"/>
    <n v="0"/>
    <n v="0"/>
    <n v="0"/>
    <n v="0"/>
    <n v="0"/>
    <n v="0"/>
    <x v="0"/>
    <m/>
    <n v="100"/>
  </r>
  <r>
    <x v="62"/>
    <x v="3"/>
    <n v="8903004"/>
    <s v="55 BRUTON ST"/>
    <s v="5+"/>
    <x v="0"/>
    <n v="0"/>
    <n v="0"/>
    <n v="0"/>
    <n v="0"/>
    <n v="0"/>
    <n v="0"/>
    <x v="0"/>
    <n v="0"/>
    <n v="9"/>
    <n v="0"/>
    <n v="0"/>
    <n v="0"/>
    <n v="0"/>
    <n v="0"/>
    <n v="0"/>
    <n v="0"/>
    <n v="0"/>
    <n v="0"/>
    <x v="1"/>
    <m/>
    <n v="0"/>
  </r>
  <r>
    <x v="62"/>
    <x v="3"/>
    <s v="0343014"/>
    <s v="180 JONES ST"/>
    <s v="5+"/>
    <x v="0"/>
    <n v="0"/>
    <n v="0"/>
    <n v="0"/>
    <n v="0"/>
    <n v="0"/>
    <n v="0"/>
    <x v="57"/>
    <n v="0"/>
    <n v="21"/>
    <n v="0"/>
    <n v="0"/>
    <n v="0"/>
    <n v="0"/>
    <n v="0"/>
    <n v="0"/>
    <n v="0"/>
    <n v="0"/>
    <n v="0"/>
    <x v="0"/>
    <m/>
    <n v="100"/>
  </r>
  <r>
    <x v="8"/>
    <x v="3"/>
    <n v="4453321700"/>
    <s v="2260 El Cajon Bl, San Diego, CA 92104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0"/>
    <n v="55"/>
    <n v="32.5"/>
  </r>
  <r>
    <x v="8"/>
    <x v="3"/>
    <n v="4455011000"/>
    <s v="4135 PARK BL"/>
    <s v="5+"/>
    <x v="0"/>
    <n v="0"/>
    <n v="0"/>
    <n v="0"/>
    <n v="0"/>
    <n v="0"/>
    <n v="0"/>
    <x v="0"/>
    <n v="0"/>
    <n v="10"/>
    <n v="0"/>
    <n v="0"/>
    <n v="0"/>
    <n v="0"/>
    <n v="0"/>
    <n v="0"/>
    <n v="0"/>
    <n v="0"/>
    <n v="0"/>
    <x v="0"/>
    <n v="55"/>
    <n v="100"/>
  </r>
  <r>
    <x v="83"/>
    <x v="0"/>
    <s v="049-151-029"/>
    <s v="2505 EL CAMINO REAL"/>
    <s v="5+"/>
    <x v="0"/>
    <n v="1"/>
    <n v="0"/>
    <n v="0"/>
    <n v="0"/>
    <n v="0"/>
    <n v="10"/>
    <x v="0"/>
    <n v="0"/>
    <n v="0"/>
    <n v="0"/>
    <n v="0"/>
    <n v="0"/>
    <n v="0"/>
    <n v="0"/>
    <n v="0"/>
    <n v="0"/>
    <n v="0"/>
    <n v="0"/>
    <x v="0"/>
    <n v="55"/>
    <s v="38.799999999999997"/>
  </r>
  <r>
    <x v="83"/>
    <x v="0"/>
    <s v="045-351-008"/>
    <s v="930 KEFFURY LANE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1"/>
    <n v="30"/>
    <n v="0"/>
  </r>
  <r>
    <x v="56"/>
    <x v="1"/>
    <s v="71-0291-10"/>
    <s v="2352 STANFORD ST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0"/>
    <m/>
    <n v="20"/>
  </r>
  <r>
    <x v="56"/>
    <x v="1"/>
    <s v="74-1373-13-26"/>
    <s v="2850 CRUSADER ST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1"/>
    <n v="0"/>
    <x v="0"/>
    <n v="1000"/>
    <n v="20"/>
  </r>
  <r>
    <x v="159"/>
    <x v="1"/>
    <s v="5734-025-005"/>
    <s v="150 S OAK KNOLL AVE CONDOMINIUM"/>
    <s v="5+"/>
    <x v="1"/>
    <n v="0"/>
    <n v="0"/>
    <n v="0"/>
    <n v="0"/>
    <n v="0"/>
    <n v="0"/>
    <x v="17"/>
    <n v="0"/>
    <n v="0"/>
    <n v="0"/>
    <n v="1"/>
    <n v="0"/>
    <n v="0"/>
    <n v="0"/>
    <n v="0"/>
    <n v="0"/>
    <n v="0"/>
    <n v="0"/>
    <x v="1"/>
    <n v="45"/>
    <n v="0"/>
  </r>
  <r>
    <x v="133"/>
    <x v="1"/>
    <n v="7344002009"/>
    <s v="800 W Carson Street, Torrance CA 90502"/>
    <s v="5+"/>
    <x v="0"/>
    <n v="0"/>
    <n v="0"/>
    <n v="0"/>
    <n v="0"/>
    <n v="0"/>
    <n v="0"/>
    <x v="46"/>
    <n v="0"/>
    <n v="0"/>
    <n v="0"/>
    <n v="0"/>
    <n v="0"/>
    <n v="0"/>
    <n v="0"/>
    <n v="0"/>
    <n v="0"/>
    <n v="0"/>
    <n v="0"/>
    <x v="0"/>
    <n v="55"/>
    <n v="0"/>
  </r>
  <r>
    <x v="48"/>
    <x v="1"/>
    <s v="0318-164-21"/>
    <s v="12790 6th St"/>
    <s v="5+"/>
    <x v="0"/>
    <n v="0"/>
    <n v="0"/>
    <n v="0"/>
    <n v="0"/>
    <n v="34"/>
    <n v="0"/>
    <x v="0"/>
    <n v="0"/>
    <n v="0"/>
    <n v="0"/>
    <n v="0"/>
    <n v="0"/>
    <n v="0"/>
    <n v="0"/>
    <n v="0"/>
    <n v="0"/>
    <n v="0"/>
    <n v="0"/>
    <x v="0"/>
    <m/>
    <n v="100"/>
  </r>
  <r>
    <x v="48"/>
    <x v="1"/>
    <s v="0319-242-01"/>
    <s v="13421 4TH ST"/>
    <s v="5+"/>
    <x v="0"/>
    <n v="0"/>
    <n v="0"/>
    <n v="0"/>
    <n v="0"/>
    <n v="0"/>
    <n v="0"/>
    <x v="0"/>
    <n v="0"/>
    <n v="0"/>
    <n v="8"/>
    <n v="0"/>
    <n v="0"/>
    <n v="0"/>
    <n v="0"/>
    <n v="0"/>
    <n v="0"/>
    <n v="0"/>
    <n v="0"/>
    <x v="0"/>
    <n v="55"/>
    <n v="100"/>
  </r>
  <r>
    <x v="133"/>
    <x v="1"/>
    <n v="4038020018"/>
    <s v="10213 S Inglewood Avenue, Inglewood CA 90304"/>
    <s v="5+"/>
    <x v="0"/>
    <n v="0"/>
    <n v="0"/>
    <n v="6"/>
    <n v="0"/>
    <n v="0"/>
    <n v="0"/>
    <x v="0"/>
    <n v="0"/>
    <n v="0"/>
    <n v="0"/>
    <n v="0"/>
    <n v="0"/>
    <n v="0"/>
    <n v="0"/>
    <n v="0"/>
    <n v="0"/>
    <n v="0"/>
    <n v="0"/>
    <x v="0"/>
    <n v="55"/>
    <n v="786"/>
  </r>
  <r>
    <x v="143"/>
    <x v="1"/>
    <n v="1471070900"/>
    <s v="HORNE ST"/>
    <s v="5+"/>
    <x v="0"/>
    <n v="1"/>
    <n v="0"/>
    <n v="16"/>
    <n v="0"/>
    <n v="0"/>
    <n v="0"/>
    <x v="0"/>
    <n v="0"/>
    <n v="0"/>
    <n v="0"/>
    <n v="0"/>
    <n v="0"/>
    <n v="0"/>
    <n v="0"/>
    <n v="0"/>
    <n v="0"/>
    <n v="0"/>
    <n v="0"/>
    <x v="0"/>
    <n v="55"/>
    <n v="10"/>
  </r>
  <r>
    <x v="160"/>
    <x v="1"/>
    <n v="8305020003"/>
    <s v="501 W Foothill Blvd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16"/>
    <n v="0"/>
    <x v="1"/>
    <m/>
    <n v="0"/>
  </r>
  <r>
    <x v="110"/>
    <x v="1"/>
    <n v="694310006"/>
    <s v="36101 VITALIA WAY"/>
    <s v="5+"/>
    <x v="0"/>
    <n v="0"/>
    <n v="0"/>
    <n v="0"/>
    <n v="0"/>
    <n v="0"/>
    <n v="0"/>
    <x v="50"/>
    <n v="0"/>
    <n v="2"/>
    <n v="0"/>
    <n v="2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x v="50"/>
    <n v="0"/>
    <n v="2"/>
    <n v="0"/>
    <n v="2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x v="50"/>
    <n v="0"/>
    <n v="2"/>
    <n v="0"/>
    <n v="2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x v="13"/>
    <n v="0"/>
    <n v="5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x v="13"/>
    <n v="0"/>
    <n v="5"/>
    <n v="0"/>
    <n v="0"/>
    <n v="0"/>
    <n v="0"/>
    <n v="0"/>
    <n v="0"/>
    <n v="0"/>
    <n v="0"/>
    <n v="0"/>
    <x v="1"/>
    <n v="55"/>
    <n v="0"/>
  </r>
  <r>
    <x v="92"/>
    <x v="0"/>
    <n v="4900000000000"/>
    <s v="73 CORAL GABLES ,SACRAMENTO,CA"/>
    <s v="5+"/>
    <x v="0"/>
    <n v="0"/>
    <n v="0"/>
    <n v="0"/>
    <n v="0"/>
    <n v="0"/>
    <n v="0"/>
    <x v="15"/>
    <n v="0"/>
    <n v="0"/>
    <n v="0"/>
    <n v="0"/>
    <n v="0"/>
    <n v="0"/>
    <n v="0"/>
    <n v="0"/>
    <n v="0"/>
    <n v="0"/>
    <n v="0"/>
    <x v="0"/>
    <n v="30"/>
    <n v="16"/>
  </r>
  <r>
    <x v="133"/>
    <x v="1"/>
    <n v="8511029003"/>
    <s v="4217 E Live Oak Avenue, Arcadia CA 91006"/>
    <s v="5+"/>
    <x v="0"/>
    <n v="0"/>
    <n v="0"/>
    <n v="93"/>
    <n v="0"/>
    <n v="0"/>
    <n v="0"/>
    <x v="0"/>
    <n v="0"/>
    <n v="0"/>
    <n v="0"/>
    <n v="0"/>
    <n v="0"/>
    <n v="0"/>
    <n v="0"/>
    <n v="0"/>
    <n v="0"/>
    <n v="0"/>
    <n v="0"/>
    <x v="0"/>
    <n v="55"/>
    <n v="280"/>
  </r>
  <r>
    <x v="133"/>
    <x v="1"/>
    <n v="5329012001"/>
    <s v="505 S Sierra Madre Boulevard, Pasadena CA 91107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5"/>
  </r>
  <r>
    <x v="159"/>
    <x v="1"/>
    <s v="5746-016-088"/>
    <s v="1878 E WALNUT ST CONDOMINIUM"/>
    <s v="5+"/>
    <x v="1"/>
    <n v="0"/>
    <n v="0"/>
    <n v="0"/>
    <n v="0"/>
    <n v="0"/>
    <n v="0"/>
    <x v="0"/>
    <n v="0"/>
    <n v="0"/>
    <n v="0"/>
    <n v="27"/>
    <n v="0"/>
    <n v="0"/>
    <n v="0"/>
    <n v="0"/>
    <n v="0"/>
    <n v="0"/>
    <n v="0"/>
    <x v="1"/>
    <n v="45"/>
    <n v="0"/>
  </r>
  <r>
    <x v="160"/>
    <x v="1"/>
    <n v="8313008028"/>
    <s v="Village South"/>
    <s v="5+"/>
    <x v="1"/>
    <n v="0"/>
    <n v="0"/>
    <n v="0"/>
    <n v="0"/>
    <n v="19"/>
    <n v="0"/>
    <x v="0"/>
    <n v="0"/>
    <n v="0"/>
    <n v="0"/>
    <n v="0"/>
    <n v="0"/>
    <n v="0"/>
    <n v="0"/>
    <n v="0"/>
    <n v="0"/>
    <n v="0"/>
    <n v="0"/>
    <x v="1"/>
    <n v="30"/>
    <n v="0"/>
  </r>
  <r>
    <x v="147"/>
    <x v="1"/>
    <s v="01874104"/>
    <s v="405 ANNIE DR"/>
    <s v="5+"/>
    <x v="1"/>
    <n v="0"/>
    <n v="0"/>
    <n v="3"/>
    <n v="0"/>
    <n v="0"/>
    <n v="0"/>
    <x v="0"/>
    <n v="0"/>
    <n v="3"/>
    <n v="0"/>
    <n v="0"/>
    <n v="0"/>
    <n v="0"/>
    <n v="0"/>
    <n v="0"/>
    <n v="0"/>
    <n v="0"/>
    <n v="0"/>
    <x v="1"/>
    <n v="45"/>
    <n v="0"/>
  </r>
  <r>
    <x v="131"/>
    <x v="1"/>
    <s v="055 182201304"/>
    <s v="2015 Blake St"/>
    <s v="5+"/>
    <x v="0"/>
    <n v="23"/>
    <n v="0"/>
    <n v="2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131"/>
    <x v="1"/>
    <s v="057 202700600"/>
    <s v="2065 Kittredge St"/>
    <s v="5+"/>
    <x v="0"/>
    <n v="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0"/>
  </r>
  <r>
    <x v="131"/>
    <x v="1"/>
    <s v="058 218102700"/>
    <s v="1773 Oxford St"/>
    <s v="5+"/>
    <x v="0"/>
    <n v="3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1000"/>
    <n v="50"/>
  </r>
  <r>
    <x v="131"/>
    <x v="1"/>
    <s v="055 189504100"/>
    <s v="2352 Shattuck Ave"/>
    <s v="5+"/>
    <x v="0"/>
    <n v="14"/>
    <n v="0"/>
    <n v="0"/>
    <n v="0"/>
    <n v="0"/>
    <n v="0"/>
    <x v="0"/>
    <n v="0"/>
    <n v="0"/>
    <n v="0"/>
    <n v="0"/>
    <n v="0"/>
    <n v="6"/>
    <n v="0"/>
    <n v="0"/>
    <n v="0"/>
    <n v="0"/>
    <n v="0"/>
    <x v="0"/>
    <n v="1000"/>
    <n v="35"/>
  </r>
  <r>
    <x v="131"/>
    <x v="1"/>
    <s v="053 163300101"/>
    <s v="3000 San Pablo Ave"/>
    <s v="5+"/>
    <x v="0"/>
    <n v="7"/>
    <n v="0"/>
    <n v="0"/>
    <n v="0"/>
    <n v="0"/>
    <n v="0"/>
    <x v="0"/>
    <n v="0"/>
    <n v="0"/>
    <n v="0"/>
    <n v="0"/>
    <n v="0"/>
    <n v="7"/>
    <n v="0"/>
    <n v="0"/>
    <n v="0"/>
    <n v="0"/>
    <n v="0"/>
    <x v="0"/>
    <n v="1000"/>
    <n v="35"/>
  </r>
  <r>
    <x v="131"/>
    <x v="1"/>
    <s v="055 187700100"/>
    <s v="2590 Bancroft Way"/>
    <s v="5+"/>
    <x v="0"/>
    <n v="5"/>
    <n v="0"/>
    <n v="0"/>
    <n v="0"/>
    <n v="0"/>
    <n v="0"/>
    <x v="0"/>
    <n v="0"/>
    <n v="0"/>
    <n v="0"/>
    <n v="0"/>
    <n v="0"/>
    <n v="5"/>
    <n v="0"/>
    <n v="0"/>
    <n v="0"/>
    <n v="0"/>
    <n v="0"/>
    <x v="0"/>
    <n v="1000"/>
    <n v="25"/>
  </r>
  <r>
    <x v="110"/>
    <x v="1"/>
    <n v="694310006"/>
    <s v="36101 VITALIA WAY"/>
    <s v="5+"/>
    <x v="0"/>
    <n v="0"/>
    <n v="0"/>
    <n v="0"/>
    <n v="0"/>
    <n v="0"/>
    <n v="0"/>
    <x v="50"/>
    <n v="0"/>
    <n v="2"/>
    <n v="0"/>
    <n v="2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x v="50"/>
    <n v="0"/>
    <n v="2"/>
    <n v="0"/>
    <n v="2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x v="17"/>
    <n v="0"/>
    <n v="2"/>
    <n v="0"/>
    <n v="2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x v="17"/>
    <n v="0"/>
    <n v="10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x v="12"/>
    <n v="0"/>
    <n v="18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x v="21"/>
    <n v="0"/>
    <n v="3"/>
    <n v="0"/>
    <n v="0"/>
    <n v="0"/>
    <n v="0"/>
    <n v="0"/>
    <n v="0"/>
    <n v="0"/>
    <n v="0"/>
    <n v="0"/>
    <x v="1"/>
    <n v="55"/>
    <n v="0"/>
  </r>
  <r>
    <x v="134"/>
    <x v="3"/>
    <n v="1560180485"/>
    <s v="2799 SOMIS RD, SOMIS, CA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3 SOMIS RD, SOMIS, CA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0"/>
    <n v="1000"/>
    <n v="80"/>
  </r>
  <r>
    <x v="166"/>
    <x v="1"/>
    <s v="036-060-035"/>
    <s v="Covell Drive"/>
    <s v="5+"/>
    <x v="0"/>
    <n v="100"/>
    <n v="0"/>
    <n v="5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131"/>
    <x v="1"/>
    <s v="053 159200100"/>
    <s v="3000 Shattuck"/>
    <s v="5+"/>
    <x v="0"/>
    <n v="1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131"/>
    <x v="1"/>
    <s v="053-153300103"/>
    <s v="1708 Harmon"/>
    <s v="5+"/>
    <x v="0"/>
    <n v="7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10"/>
  </r>
  <r>
    <x v="171"/>
    <x v="1"/>
    <n v="6262212400"/>
    <s v="981 Calla Ave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172"/>
    <x v="1"/>
    <n v="13519250"/>
    <s v="7101 LINCOLN AVE"/>
    <s v="5+"/>
    <x v="0"/>
    <n v="0"/>
    <n v="0"/>
    <n v="55"/>
    <n v="0"/>
    <n v="0"/>
    <n v="0"/>
    <x v="0"/>
    <n v="0"/>
    <n v="0"/>
    <n v="0"/>
    <n v="0"/>
    <n v="0"/>
    <n v="0"/>
    <n v="0"/>
    <n v="0"/>
    <n v="0"/>
    <n v="0"/>
    <n v="0"/>
    <x v="0"/>
    <m/>
    <s v="27.100000000000001"/>
  </r>
  <r>
    <x v="35"/>
    <x v="0"/>
    <n v="2121100100"/>
    <s v="W OAKS WAY"/>
    <s v="5+"/>
    <x v="0"/>
    <n v="0"/>
    <n v="0"/>
    <n v="42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35"/>
    <x v="0"/>
    <s v="162-0-135-050, 060 &amp; 162-0-104-010"/>
    <s v="2024 Ventura Blvd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2"/>
    <n v="0"/>
    <x v="1"/>
    <n v="55"/>
    <n v="0"/>
  </r>
  <r>
    <x v="120"/>
    <x v="3"/>
    <s v="591-70-103"/>
    <s v="350 ABACUS"/>
    <s v="5+"/>
    <x v="0"/>
    <n v="0"/>
    <n v="0"/>
    <n v="0"/>
    <n v="0"/>
    <n v="0"/>
    <n v="0"/>
    <x v="29"/>
    <n v="0"/>
    <n v="0"/>
    <n v="0"/>
    <n v="0"/>
    <n v="0"/>
    <n v="0"/>
    <n v="0"/>
    <n v="0"/>
    <n v="0"/>
    <n v="0"/>
    <n v="0"/>
    <x v="0"/>
    <n v="1000"/>
    <n v="35"/>
  </r>
  <r>
    <x v="149"/>
    <x v="1"/>
    <s v="525 033900102"/>
    <s v="41911 Osgood Rd"/>
    <s v="5+"/>
    <x v="0"/>
    <n v="0"/>
    <n v="0"/>
    <n v="0"/>
    <n v="0"/>
    <n v="0"/>
    <n v="0"/>
    <x v="15"/>
    <n v="0"/>
    <n v="79"/>
    <n v="0"/>
    <n v="0"/>
    <n v="0"/>
    <n v="0"/>
    <n v="0"/>
    <n v="0"/>
    <n v="0"/>
    <n v="0"/>
    <n v="0"/>
    <x v="0"/>
    <m/>
    <n v="46"/>
  </r>
  <r>
    <x v="149"/>
    <x v="1"/>
    <s v="501 053602103"/>
    <s v="37447 Fremont Blvd"/>
    <s v="5+"/>
    <x v="1"/>
    <n v="0"/>
    <n v="0"/>
    <n v="6"/>
    <n v="0"/>
    <n v="3"/>
    <n v="0"/>
    <x v="0"/>
    <n v="0"/>
    <n v="0"/>
    <n v="0"/>
    <n v="0"/>
    <n v="0"/>
    <n v="0"/>
    <n v="0"/>
    <n v="0"/>
    <n v="0"/>
    <n v="0"/>
    <n v="0"/>
    <x v="0"/>
    <m/>
    <n v="0"/>
  </r>
  <r>
    <x v="173"/>
    <x v="1"/>
    <s v="002-064-006"/>
    <s v="1805 4TH ST"/>
    <s v="5+"/>
    <x v="0"/>
    <n v="2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m/>
    <n v="0"/>
  </r>
  <r>
    <x v="119"/>
    <x v="0"/>
    <s v="049-1490-002"/>
    <s v="6701 Shellmound Street"/>
    <s v="5+"/>
    <x v="0"/>
    <n v="8"/>
    <n v="0"/>
    <n v="0"/>
    <n v="0"/>
    <n v="0"/>
    <n v="0"/>
    <x v="42"/>
    <n v="0"/>
    <n v="0"/>
    <n v="0"/>
    <n v="0"/>
    <n v="0"/>
    <n v="0"/>
    <n v="0"/>
    <n v="0"/>
    <n v="0"/>
    <n v="0"/>
    <n v="0"/>
    <x v="0"/>
    <n v="55"/>
    <n v="17"/>
  </r>
  <r>
    <x v="174"/>
    <x v="4"/>
    <s v="244-361-03"/>
    <s v="4662 Lincoln Ave."/>
    <s v="5+"/>
    <x v="0"/>
    <n v="3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105"/>
    <x v="3"/>
    <s v="017-080-150"/>
    <s v="12 MIRALUNA DR"/>
    <s v="5+"/>
    <x v="0"/>
    <n v="0"/>
    <n v="0"/>
    <n v="0"/>
    <n v="0"/>
    <n v="0"/>
    <n v="0"/>
    <x v="0"/>
    <n v="0"/>
    <n v="0"/>
    <n v="0"/>
    <n v="0"/>
    <n v="0"/>
    <n v="0"/>
    <n v="0"/>
    <n v="3"/>
    <n v="0"/>
    <n v="3"/>
    <n v="0"/>
    <x v="1"/>
    <n v="55"/>
    <n v="0"/>
  </r>
  <r>
    <x v="57"/>
    <x v="0"/>
    <n v="6074018025"/>
    <s v="11001 S BROADWAY 1-55"/>
    <s v="5+"/>
    <x v="0"/>
    <n v="0"/>
    <n v="0"/>
    <n v="54"/>
    <n v="0"/>
    <n v="0"/>
    <n v="0"/>
    <x v="34"/>
    <n v="0"/>
    <n v="0"/>
    <n v="0"/>
    <n v="0"/>
    <n v="0"/>
    <n v="0"/>
    <n v="0"/>
    <n v="0"/>
    <n v="0"/>
    <n v="0"/>
    <n v="0"/>
    <x v="0"/>
    <n v="55"/>
    <n v="45"/>
  </r>
  <r>
    <x v="57"/>
    <x v="0"/>
    <n v="2317013004"/>
    <s v="12035 RUNNYMEDE ST   W  91605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0"/>
    <n v="4103021029"/>
    <s v="7130 S KITTYHAWK AVE 1-17"/>
    <s v="5+"/>
    <x v="0"/>
    <n v="2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35"/>
  </r>
  <r>
    <x v="57"/>
    <x v="0"/>
    <n v="2114004023"/>
    <s v="20247 W SATICOY ST"/>
    <s v="5+"/>
    <x v="0"/>
    <n v="0"/>
    <n v="0"/>
    <n v="0"/>
    <n v="0"/>
    <n v="0"/>
    <n v="0"/>
    <x v="0"/>
    <n v="0"/>
    <n v="4"/>
    <n v="0"/>
    <n v="0"/>
    <n v="0"/>
    <n v="0"/>
    <n v="0"/>
    <n v="0"/>
    <n v="0"/>
    <n v="0"/>
    <n v="0"/>
    <x v="0"/>
    <n v="55"/>
    <s v="10.300000000000001"/>
  </r>
  <r>
    <x v="57"/>
    <x v="0"/>
    <n v="2747011051"/>
    <s v="21300 DEVONSHIRE ST   W  91311"/>
    <s v="5+"/>
    <x v="0"/>
    <n v="0"/>
    <n v="0"/>
    <n v="99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0"/>
    <n v="4257006033"/>
    <s v="11701 W GATEWAY BLVD 1-73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n v="0"/>
  </r>
  <r>
    <x v="57"/>
    <x v="0"/>
    <n v="4262009002"/>
    <s v="11600 W SANTA MONICA BLVD"/>
    <s v="5+"/>
    <x v="0"/>
    <n v="0"/>
    <n v="0"/>
    <n v="0"/>
    <n v="0"/>
    <n v="0"/>
    <n v="0"/>
    <x v="25"/>
    <n v="0"/>
    <n v="0"/>
    <n v="0"/>
    <n v="0"/>
    <n v="0"/>
    <n v="0"/>
    <n v="0"/>
    <n v="0"/>
    <n v="0"/>
    <n v="0"/>
    <n v="0"/>
    <x v="0"/>
    <n v="55"/>
    <n v="35"/>
  </r>
  <r>
    <x v="57"/>
    <x v="0"/>
    <n v="5154005007"/>
    <s v="245 S WESTLAKE AVE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131"/>
    <x v="5"/>
    <s v="057 205302201"/>
    <s v="2012 Berkeley Way"/>
    <s v="5+"/>
    <x v="0"/>
    <n v="53"/>
    <n v="0"/>
    <n v="54"/>
    <n v="0"/>
    <n v="34"/>
    <n v="0"/>
    <x v="0"/>
    <n v="0"/>
    <n v="0"/>
    <n v="0"/>
    <n v="0"/>
    <n v="0"/>
    <n v="0"/>
    <n v="0"/>
    <n v="0"/>
    <n v="0"/>
    <n v="0"/>
    <n v="0"/>
    <x v="0"/>
    <n v="55"/>
    <n v="0"/>
  </r>
  <r>
    <x v="62"/>
    <x v="1"/>
    <n v="3948002"/>
    <s v="98 PENNSYLVANIA AVE"/>
    <s v="5+"/>
    <x v="0"/>
    <n v="6"/>
    <n v="0"/>
    <n v="1"/>
    <n v="0"/>
    <n v="2"/>
    <n v="0"/>
    <x v="0"/>
    <n v="0"/>
    <n v="0"/>
    <n v="0"/>
    <n v="0"/>
    <n v="0"/>
    <n v="0"/>
    <n v="0"/>
    <n v="0"/>
    <n v="0"/>
    <n v="0"/>
    <n v="0"/>
    <x v="0"/>
    <n v="99"/>
    <s v="48.799999999999997"/>
  </r>
  <r>
    <x v="62"/>
    <x v="1"/>
    <s v="0835004"/>
    <s v="30 VAN NESS AV"/>
    <s v="5+"/>
    <x v="0"/>
    <n v="0"/>
    <n v="0"/>
    <n v="0"/>
    <n v="0"/>
    <n v="0"/>
    <n v="0"/>
    <x v="0"/>
    <n v="0"/>
    <n v="33"/>
    <n v="0"/>
    <n v="17"/>
    <n v="0"/>
    <n v="0"/>
    <n v="0"/>
    <n v="0"/>
    <n v="0"/>
    <n v="0"/>
    <n v="0"/>
    <x v="1"/>
    <n v="99"/>
    <n v="0"/>
  </r>
  <r>
    <x v="162"/>
    <x v="3"/>
    <s v="077 0447 014 06"/>
    <s v="1188 E 14th St"/>
    <s v="5+"/>
    <x v="0"/>
    <n v="0"/>
    <n v="0"/>
    <n v="0"/>
    <n v="0"/>
    <n v="10"/>
    <n v="0"/>
    <x v="0"/>
    <n v="0"/>
    <n v="0"/>
    <n v="0"/>
    <n v="10"/>
    <n v="0"/>
    <n v="0"/>
    <n v="0"/>
    <n v="0"/>
    <n v="0"/>
    <n v="0"/>
    <n v="0"/>
    <x v="1"/>
    <n v="55"/>
    <n v="0"/>
  </r>
  <r>
    <x v="131"/>
    <x v="1"/>
    <s v="056 198304201"/>
    <s v="2147 San Pablo Ave"/>
    <s v="5+"/>
    <x v="0"/>
    <n v="1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43"/>
  </r>
  <r>
    <x v="131"/>
    <x v="1"/>
    <s v="057 205300500"/>
    <s v="2067 University Ave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0"/>
    <n v="1000"/>
    <n v="33"/>
  </r>
  <r>
    <x v="131"/>
    <x v="1"/>
    <s v="054 178101501"/>
    <s v="2527 San Pablo Ave"/>
    <s v="5+"/>
    <x v="0"/>
    <n v="0"/>
    <n v="0"/>
    <n v="0"/>
    <n v="0"/>
    <n v="0"/>
    <n v="0"/>
    <x v="21"/>
    <n v="0"/>
    <n v="25"/>
    <n v="0"/>
    <n v="0"/>
    <n v="0"/>
    <n v="0"/>
    <n v="0"/>
    <n v="0"/>
    <n v="0"/>
    <n v="0"/>
    <n v="0"/>
    <x v="0"/>
    <n v="55"/>
    <n v="35"/>
  </r>
  <r>
    <x v="124"/>
    <x v="3"/>
    <s v="037-041-024"/>
    <s v="825 DE LA VINA ST, SANTA BARBARA, CA 93101"/>
    <s v="5+"/>
    <x v="0"/>
    <n v="0"/>
    <n v="0"/>
    <n v="0"/>
    <n v="0"/>
    <n v="2"/>
    <n v="0"/>
    <x v="0"/>
    <n v="0"/>
    <n v="0"/>
    <n v="0"/>
    <n v="2"/>
    <n v="0"/>
    <n v="0"/>
    <n v="0"/>
    <n v="0"/>
    <n v="0"/>
    <n v="0"/>
    <n v="0"/>
    <x v="1"/>
    <m/>
    <n v="0"/>
  </r>
  <r>
    <x v="62"/>
    <x v="1"/>
    <n v="3777107"/>
    <s v="530 BRANNAN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31"/>
    <x v="5"/>
    <s v="058 218300100"/>
    <s v="1601 Oxford Street"/>
    <s v="5+"/>
    <x v="0"/>
    <n v="0"/>
    <n v="0"/>
    <n v="3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1"/>
    <x v="5"/>
    <s v="057 204600803"/>
    <s v="2131 University Av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75"/>
    <x v="3"/>
    <n v="178411017"/>
    <s v="1910 N MAIN ST"/>
    <s v="5+"/>
    <x v="0"/>
    <n v="0"/>
    <n v="0"/>
    <n v="0"/>
    <n v="0"/>
    <n v="0"/>
    <n v="0"/>
    <x v="0"/>
    <n v="0"/>
    <n v="0"/>
    <n v="0"/>
    <n v="0"/>
    <n v="0"/>
    <n v="11"/>
    <n v="0"/>
    <n v="0"/>
    <n v="0"/>
    <n v="0"/>
    <n v="0"/>
    <x v="0"/>
    <n v="55"/>
    <n v="35"/>
  </r>
  <r>
    <x v="62"/>
    <x v="1"/>
    <n v="3148001"/>
    <s v="4570 MISSION ST"/>
    <s v="5+"/>
    <x v="0"/>
    <n v="0"/>
    <n v="0"/>
    <n v="12"/>
    <n v="0"/>
    <n v="5"/>
    <n v="0"/>
    <x v="0"/>
    <n v="0"/>
    <n v="0"/>
    <n v="0"/>
    <n v="0"/>
    <n v="0"/>
    <n v="0"/>
    <n v="0"/>
    <n v="0"/>
    <n v="0"/>
    <n v="0"/>
    <n v="0"/>
    <x v="1"/>
    <n v="99"/>
    <n v="0"/>
  </r>
  <r>
    <x v="134"/>
    <x v="3"/>
    <n v="1560180485"/>
    <s v="2791 SOMIS RD, SOMIS, CA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0 SOMIS RD, SOMIS, CA"/>
    <s v="5+"/>
    <x v="0"/>
    <n v="0"/>
    <n v="0"/>
    <n v="0"/>
    <n v="0"/>
    <n v="0"/>
    <n v="0"/>
    <x v="0"/>
    <n v="0"/>
    <n v="8"/>
    <n v="0"/>
    <n v="0"/>
    <n v="0"/>
    <n v="0"/>
    <n v="0"/>
    <n v="0"/>
    <n v="0"/>
    <n v="0"/>
    <n v="0"/>
    <x v="0"/>
    <n v="1000"/>
    <n v="80"/>
  </r>
  <r>
    <x v="62"/>
    <x v="3"/>
    <s v="0350002"/>
    <s v="1028 MARKET ST"/>
    <s v="5+"/>
    <x v="0"/>
    <n v="0"/>
    <n v="0"/>
    <n v="0"/>
    <n v="0"/>
    <n v="0"/>
    <n v="0"/>
    <x v="0"/>
    <n v="0"/>
    <n v="0"/>
    <n v="0"/>
    <n v="0"/>
    <n v="0"/>
    <n v="0"/>
    <n v="0"/>
    <n v="25"/>
    <n v="0"/>
    <n v="0"/>
    <n v="0"/>
    <x v="1"/>
    <m/>
    <n v="0"/>
  </r>
  <r>
    <x v="62"/>
    <x v="3"/>
    <n v="3548033"/>
    <s v="1863 MISSION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4"/>
    <n v="0"/>
    <x v="1"/>
    <m/>
    <n v="0"/>
  </r>
  <r>
    <x v="131"/>
    <x v="5"/>
    <s v="058 212701403"/>
    <s v="1740 San Pablo Av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31"/>
    <x v="5"/>
    <s v="057 202502300"/>
    <s v="2009 Addison St"/>
    <s v="5+"/>
    <x v="0"/>
    <n v="45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31"/>
    <x v="5"/>
    <s v="056 197700605"/>
    <s v="2100 San Pablo Av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31"/>
    <x v="5"/>
    <s v="055 183700300"/>
    <s v="2597 Telegraph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m/>
    <n v="0"/>
  </r>
  <r>
    <x v="131"/>
    <x v="5"/>
    <s v="052 156317900"/>
    <s v="2714 Alcatraz Av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1"/>
    <n v="6954018"/>
    <s v="65 OCEAN AV"/>
    <s v="5+"/>
    <x v="0"/>
    <n v="0"/>
    <n v="0"/>
    <n v="0"/>
    <n v="0"/>
    <n v="0"/>
    <n v="0"/>
    <x v="0"/>
    <n v="0"/>
    <n v="0"/>
    <n v="0"/>
    <n v="0"/>
    <n v="0"/>
    <n v="0"/>
    <n v="0"/>
    <n v="34"/>
    <n v="0"/>
    <n v="14"/>
    <n v="0"/>
    <x v="0"/>
    <n v="99"/>
    <n v="135"/>
  </r>
  <r>
    <x v="62"/>
    <x v="1"/>
    <s v="0306007"/>
    <s v="440 GEARY ST"/>
    <s v="5+"/>
    <x v="0"/>
    <n v="0"/>
    <n v="0"/>
    <n v="0"/>
    <n v="0"/>
    <n v="0"/>
    <n v="0"/>
    <x v="0"/>
    <n v="0"/>
    <n v="0"/>
    <n v="0"/>
    <n v="0"/>
    <n v="0"/>
    <n v="121"/>
    <n v="0"/>
    <n v="0"/>
    <n v="0"/>
    <n v="0"/>
    <n v="0"/>
    <x v="0"/>
    <n v="99"/>
    <n v="35"/>
  </r>
  <r>
    <x v="23"/>
    <x v="2"/>
    <s v="018-850-017"/>
    <s v="13070 Firsh Camp Way_x000a_13058 Fish Camp Way_x000a_13042 Fish Camp Way_x000a_12959 Winter Camp Way_x000a_13051 Sawmill Road_x000a_13033 Sawmill Road"/>
    <s v="5+"/>
    <x v="0"/>
    <n v="24"/>
    <n v="0"/>
    <n v="23"/>
    <n v="0"/>
    <n v="0"/>
    <n v="0"/>
    <x v="35"/>
    <n v="0"/>
    <n v="23"/>
    <n v="0"/>
    <n v="0"/>
    <n v="0"/>
    <n v="0"/>
    <n v="0"/>
    <n v="0"/>
    <n v="0"/>
    <n v="0"/>
    <n v="0"/>
    <x v="1"/>
    <n v="1000"/>
    <n v="0"/>
  </r>
  <r>
    <x v="57"/>
    <x v="0"/>
    <n v="5147011024"/>
    <s v="803 E 5TH ST"/>
    <s v="5+"/>
    <x v="0"/>
    <n v="9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0"/>
    <n v="5024008025"/>
    <s v="3600 STOCKER ST   W  90008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62"/>
    <x v="1"/>
    <s v="0741003"/>
    <s v="530 Turk Street"/>
    <s v="5+"/>
    <x v="0"/>
    <n v="7"/>
    <n v="0"/>
    <n v="9"/>
    <n v="0"/>
    <n v="8"/>
    <n v="0"/>
    <x v="0"/>
    <n v="0"/>
    <n v="0"/>
    <n v="0"/>
    <n v="0"/>
    <n v="0"/>
    <n v="0"/>
    <n v="0"/>
    <n v="0"/>
    <n v="0"/>
    <n v="0"/>
    <n v="0"/>
    <x v="0"/>
    <n v="99"/>
    <s v="15.800000000000001"/>
  </r>
  <r>
    <x v="62"/>
    <x v="1"/>
    <n v="3537074"/>
    <s v="67 BELCHER ST"/>
    <s v="5+"/>
    <x v="1"/>
    <n v="2"/>
    <n v="0"/>
    <n v="2"/>
    <n v="0"/>
    <n v="1"/>
    <n v="0"/>
    <x v="0"/>
    <n v="0"/>
    <n v="0"/>
    <n v="0"/>
    <n v="0"/>
    <n v="0"/>
    <n v="0"/>
    <n v="0"/>
    <n v="0"/>
    <n v="0"/>
    <n v="0"/>
    <n v="0"/>
    <x v="0"/>
    <n v="99"/>
    <s v="47.600000000000001"/>
  </r>
  <r>
    <x v="62"/>
    <x v="1"/>
    <n v="3726101"/>
    <s v="580 MINNA ST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99"/>
    <n v="37.5"/>
  </r>
  <r>
    <x v="8"/>
    <x v="3"/>
    <n v="5303730100"/>
    <s v="3046 NIMITZ BL Unit 1-9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0"/>
    <n v="55"/>
    <n v="100"/>
  </r>
  <r>
    <x v="127"/>
    <x v="3"/>
    <s v="201-0-213-080, -090, -100"/>
    <s v="536-538 Meta Street"/>
    <s v="5+"/>
    <x v="0"/>
    <n v="8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62"/>
    <x v="1"/>
    <s v="0573011"/>
    <s v="1570 PACIFIC AV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7"/>
    <n v="0"/>
    <x v="0"/>
    <n v="99"/>
    <n v="23"/>
  </r>
  <r>
    <x v="176"/>
    <x v="3"/>
    <s v="066 -2760-024-01"/>
    <s v="755 Cleveland"/>
    <s v="5+"/>
    <x v="0"/>
    <n v="32"/>
    <n v="0"/>
    <n v="29"/>
    <n v="0"/>
    <n v="0"/>
    <n v="0"/>
    <x v="31"/>
    <n v="0"/>
    <n v="29"/>
    <n v="0"/>
    <n v="0"/>
    <n v="0"/>
    <n v="0"/>
    <n v="0"/>
    <n v="0"/>
    <n v="0"/>
    <n v="0"/>
    <n v="0"/>
    <x v="0"/>
    <n v="1000"/>
    <n v="27"/>
  </r>
  <r>
    <x v="78"/>
    <x v="3"/>
    <n v="41208065"/>
    <s v="300 RAILWAY AVE"/>
    <s v="5+"/>
    <x v="0"/>
    <n v="0"/>
    <n v="0"/>
    <n v="0"/>
    <n v="0"/>
    <n v="0"/>
    <n v="0"/>
    <x v="0"/>
    <n v="0"/>
    <n v="0"/>
    <n v="0"/>
    <n v="0"/>
    <n v="0"/>
    <n v="7"/>
    <n v="0"/>
    <n v="0"/>
    <n v="0"/>
    <n v="0"/>
    <n v="0"/>
    <x v="0"/>
    <n v="55"/>
    <n v="25"/>
  </r>
  <r>
    <x v="78"/>
    <x v="3"/>
    <n v="41230045"/>
    <s v="523 UNION AVE, CAMPBELL, CA 95008"/>
    <s v="5+"/>
    <x v="1"/>
    <n v="0"/>
    <n v="0"/>
    <n v="0"/>
    <n v="0"/>
    <n v="1"/>
    <n v="0"/>
    <x v="0"/>
    <n v="0"/>
    <n v="0"/>
    <n v="0"/>
    <n v="0"/>
    <n v="0"/>
    <n v="0"/>
    <n v="0"/>
    <n v="0"/>
    <n v="0"/>
    <n v="0"/>
    <n v="0"/>
    <x v="0"/>
    <n v="45"/>
    <n v="0"/>
  </r>
  <r>
    <x v="124"/>
    <x v="1"/>
    <s v="039-202-013"/>
    <s v="528 W FIGUEROA St, SANTA BARBARA, CA 93101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56"/>
    <x v="1"/>
    <s v="71-0291-10-4"/>
    <s v="2005 STANFORD ST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0"/>
    <m/>
    <n v="20"/>
  </r>
  <r>
    <x v="56"/>
    <x v="1"/>
    <s v="74-1373-13-28"/>
    <s v="2851 CATHWOOD LN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1"/>
    <n v="0"/>
    <x v="0"/>
    <n v="1000"/>
    <n v="20"/>
  </r>
  <r>
    <x v="56"/>
    <x v="1"/>
    <s v="71-0288-01-2"/>
    <s v="1777 CLEMENT AVE"/>
    <s v="5+"/>
    <x v="0"/>
    <n v="16"/>
    <n v="0"/>
    <n v="12"/>
    <n v="0"/>
    <n v="21"/>
    <n v="0"/>
    <x v="45"/>
    <n v="0"/>
    <n v="12"/>
    <n v="0"/>
    <n v="21"/>
    <n v="0"/>
    <n v="16"/>
    <n v="0"/>
    <n v="12"/>
    <n v="0"/>
    <n v="21"/>
    <n v="0"/>
    <x v="0"/>
    <n v="59"/>
    <n v="20"/>
  </r>
  <r>
    <x v="62"/>
    <x v="1"/>
    <s v="0345002"/>
    <s v="145 LEAVENWORTH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99"/>
    <n v="0"/>
  </r>
  <r>
    <x v="159"/>
    <x v="1"/>
    <s v="5723-009-056"/>
    <s v="218 N EL MOLINO AVE/709 E WALNUT ST"/>
    <s v="5+"/>
    <x v="0"/>
    <n v="0"/>
    <n v="0"/>
    <n v="0"/>
    <n v="0"/>
    <n v="0"/>
    <n v="0"/>
    <x v="0"/>
    <n v="0"/>
    <n v="0"/>
    <n v="0"/>
    <n v="0"/>
    <n v="0"/>
    <n v="10"/>
    <n v="0"/>
    <n v="0"/>
    <n v="0"/>
    <n v="0"/>
    <n v="0"/>
    <x v="1"/>
    <n v="1000"/>
    <n v="0"/>
  </r>
  <r>
    <x v="177"/>
    <x v="3"/>
    <n v="4733048"/>
    <s v="620 S CENTRAL AVE"/>
    <s v="5+"/>
    <x v="0"/>
    <n v="0"/>
    <n v="0"/>
    <n v="12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78"/>
    <x v="3"/>
    <s v="116-160-023"/>
    <s v="1600 Northcrest Drive"/>
    <s v="5+"/>
    <x v="0"/>
    <n v="0"/>
    <n v="0"/>
    <n v="4"/>
    <n v="0"/>
    <n v="0"/>
    <n v="11"/>
    <x v="0"/>
    <n v="0"/>
    <n v="0"/>
    <n v="0"/>
    <n v="0"/>
    <n v="0"/>
    <n v="0"/>
    <n v="0"/>
    <n v="0"/>
    <n v="0"/>
    <n v="0"/>
    <n v="0"/>
    <x v="0"/>
    <m/>
    <n v="26"/>
  </r>
  <r>
    <x v="124"/>
    <x v="1"/>
    <s v="017-252-009"/>
    <s v="210 S VOLUNTARIO St, SANTA BARBARA, CA 93103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20"/>
  </r>
  <r>
    <x v="85"/>
    <x v="4"/>
    <s v="208-860-099"/>
    <s v="38108 Via Vicenza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0"/>
    <n v="0"/>
  </r>
  <r>
    <x v="85"/>
    <x v="4"/>
    <s v="280-860-013"/>
    <s v="71106 Via Vicenza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0"/>
    <n v="0"/>
  </r>
  <r>
    <x v="85"/>
    <x v="4"/>
    <n v="222270047"/>
    <s v="17225 Bollinger Canyon Rd."/>
    <s v="5+"/>
    <x v="0"/>
    <n v="0"/>
    <n v="0"/>
    <n v="0"/>
    <n v="0"/>
    <n v="0"/>
    <n v="0"/>
    <x v="0"/>
    <n v="0"/>
    <n v="0"/>
    <n v="0"/>
    <n v="0"/>
    <n v="0"/>
    <n v="11"/>
    <n v="0"/>
    <n v="46"/>
    <n v="0"/>
    <n v="90"/>
    <n v="0"/>
    <x v="1"/>
    <n v="20"/>
    <n v="0"/>
  </r>
  <r>
    <x v="143"/>
    <x v="1"/>
    <n v="1471950300"/>
    <s v="901 PIER VIEW WAY"/>
    <s v="5+"/>
    <x v="0"/>
    <n v="0"/>
    <n v="0"/>
    <n v="7"/>
    <n v="0"/>
    <n v="0"/>
    <n v="0"/>
    <x v="0"/>
    <n v="0"/>
    <n v="0"/>
    <n v="0"/>
    <n v="0"/>
    <n v="0"/>
    <n v="0"/>
    <n v="0"/>
    <n v="0"/>
    <n v="0"/>
    <n v="0"/>
    <n v="0"/>
    <x v="0"/>
    <n v="55"/>
    <n v="10"/>
  </r>
  <r>
    <x v="143"/>
    <x v="1"/>
    <n v="1510104400"/>
    <s v="563 GREENBRIER DR"/>
    <s v="5+"/>
    <x v="0"/>
    <n v="60"/>
    <n v="0"/>
    <n v="0"/>
    <n v="0"/>
    <n v="0"/>
    <n v="0"/>
    <x v="61"/>
    <n v="0"/>
    <n v="0"/>
    <n v="0"/>
    <n v="0"/>
    <n v="0"/>
    <n v="0"/>
    <n v="0"/>
    <n v="0"/>
    <n v="0"/>
    <n v="0"/>
    <n v="0"/>
    <x v="0"/>
    <n v="55"/>
    <n v="286"/>
  </r>
  <r>
    <x v="133"/>
    <x v="2"/>
    <n v="5755030035"/>
    <s v="3756 E Colorado Boulevard, Pasadena CA 91107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28"/>
    <x v="1"/>
    <s v="080 005704100"/>
    <s v="16060 E 14TH ST, SAN LEANDRO, CA 94578"/>
    <s v="5+"/>
    <x v="0"/>
    <n v="0"/>
    <n v="0"/>
    <n v="0"/>
    <n v="0"/>
    <n v="0"/>
    <n v="0"/>
    <x v="69"/>
    <n v="0"/>
    <n v="43"/>
    <n v="0"/>
    <n v="0"/>
    <n v="0"/>
    <n v="0"/>
    <n v="0"/>
    <n v="0"/>
    <n v="0"/>
    <n v="0"/>
    <n v="0"/>
    <x v="0"/>
    <n v="55"/>
    <n v="35"/>
  </r>
  <r>
    <x v="110"/>
    <x v="1"/>
    <n v="694310006"/>
    <s v="36101 VITALIA WAY"/>
    <s v="5+"/>
    <x v="0"/>
    <n v="0"/>
    <n v="0"/>
    <n v="0"/>
    <n v="0"/>
    <n v="0"/>
    <n v="0"/>
    <x v="21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x v="17"/>
    <n v="0"/>
    <n v="2"/>
    <n v="0"/>
    <n v="2"/>
    <n v="0"/>
    <n v="0"/>
    <n v="0"/>
    <n v="0"/>
    <n v="0"/>
    <n v="0"/>
    <n v="0"/>
    <x v="1"/>
    <n v="55"/>
    <n v="0"/>
  </r>
  <r>
    <x v="133"/>
    <x v="1"/>
    <n v="6086020063"/>
    <s v="12225 Avalon Boulevard, Los Angeles CA 90061"/>
    <s v="5+"/>
    <x v="0"/>
    <n v="0"/>
    <n v="0"/>
    <n v="0"/>
    <n v="0"/>
    <n v="0"/>
    <n v="0"/>
    <x v="0"/>
    <n v="0"/>
    <n v="0"/>
    <n v="0"/>
    <n v="0"/>
    <n v="0"/>
    <n v="0"/>
    <n v="0"/>
    <n v="66"/>
    <n v="0"/>
    <n v="0"/>
    <n v="0"/>
    <x v="0"/>
    <n v="55"/>
    <n v="126"/>
  </r>
  <r>
    <x v="110"/>
    <x v="1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x v="13"/>
    <n v="0"/>
    <n v="5"/>
    <n v="0"/>
    <n v="0"/>
    <n v="0"/>
    <n v="0"/>
    <n v="0"/>
    <n v="0"/>
    <n v="0"/>
    <n v="0"/>
    <n v="0"/>
    <x v="1"/>
    <n v="55"/>
    <n v="0"/>
  </r>
  <r>
    <x v="56"/>
    <x v="1"/>
    <s v="71-0291-10"/>
    <s v="2103¬†STANFORD ST"/>
    <s v="5+"/>
    <x v="1"/>
    <n v="0"/>
    <n v="0"/>
    <n v="1"/>
    <n v="0"/>
    <n v="0"/>
    <n v="0"/>
    <x v="0"/>
    <n v="0"/>
    <n v="1"/>
    <n v="0"/>
    <n v="0"/>
    <n v="0"/>
    <n v="0"/>
    <n v="0"/>
    <n v="0"/>
    <n v="0"/>
    <n v="0"/>
    <n v="0"/>
    <x v="0"/>
    <m/>
    <n v="20"/>
  </r>
  <r>
    <x v="56"/>
    <x v="1"/>
    <s v="74-1373-13-29"/>
    <s v="401 MARTIN MARINER ST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0"/>
    <m/>
    <n v="20"/>
  </r>
  <r>
    <x v="56"/>
    <x v="1"/>
    <s v="74-1373-16-8"/>
    <s v="2830 TRADEWIND DR"/>
    <s v="5+"/>
    <x v="1"/>
    <n v="1"/>
    <n v="0"/>
    <n v="0"/>
    <n v="0"/>
    <n v="1"/>
    <n v="0"/>
    <x v="3"/>
    <n v="0"/>
    <n v="0"/>
    <n v="0"/>
    <n v="1"/>
    <n v="0"/>
    <n v="1"/>
    <n v="0"/>
    <n v="0"/>
    <n v="0"/>
    <n v="1"/>
    <n v="0"/>
    <x v="0"/>
    <n v="1000"/>
    <n v="20"/>
  </r>
  <r>
    <x v="133"/>
    <x v="1"/>
    <n v="4038022017"/>
    <s v="10609 S Inglewood Avenue, Inglewood CA 90304"/>
    <s v="5+"/>
    <x v="0"/>
    <n v="0"/>
    <n v="0"/>
    <n v="0"/>
    <n v="0"/>
    <n v="0"/>
    <n v="0"/>
    <x v="0"/>
    <n v="0"/>
    <n v="0"/>
    <n v="0"/>
    <n v="0"/>
    <n v="0"/>
    <n v="0"/>
    <n v="0"/>
    <n v="2"/>
    <n v="0"/>
    <n v="0"/>
    <n v="0"/>
    <x v="0"/>
    <n v="55"/>
    <n v="20"/>
  </r>
  <r>
    <x v="133"/>
    <x v="1"/>
    <n v="6181023035"/>
    <s v="15814 S Butler Avenue, Compton CA 90221"/>
    <s v="5+"/>
    <x v="0"/>
    <n v="10"/>
    <n v="0"/>
    <n v="9"/>
    <n v="0"/>
    <n v="0"/>
    <n v="0"/>
    <x v="0"/>
    <n v="0"/>
    <n v="0"/>
    <n v="0"/>
    <n v="0"/>
    <n v="0"/>
    <n v="0"/>
    <n v="0"/>
    <n v="0"/>
    <n v="0"/>
    <n v="0"/>
    <n v="0"/>
    <x v="0"/>
    <n v="55"/>
    <n v="260"/>
  </r>
  <r>
    <x v="131"/>
    <x v="1"/>
    <s v="058 212701403"/>
    <s v="1740 San Pablo"/>
    <s v="5+"/>
    <x v="0"/>
    <n v="6"/>
    <n v="0"/>
    <n v="37"/>
    <n v="0"/>
    <n v="10"/>
    <n v="0"/>
    <x v="0"/>
    <n v="0"/>
    <n v="0"/>
    <n v="0"/>
    <n v="0"/>
    <n v="0"/>
    <n v="0"/>
    <n v="0"/>
    <n v="0"/>
    <n v="0"/>
    <n v="0"/>
    <n v="0"/>
    <x v="0"/>
    <n v="55"/>
    <n v="80"/>
  </r>
  <r>
    <x v="131"/>
    <x v="1"/>
    <s v="056 200300100"/>
    <s v="1598 University Ave"/>
    <s v="5+"/>
    <x v="0"/>
    <n v="2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179"/>
    <x v="0"/>
    <s v="079-072-120"/>
    <s v="4388 Alpine"/>
    <s v="5+"/>
    <x v="0"/>
    <n v="0"/>
    <n v="0"/>
    <n v="11"/>
    <n v="0"/>
    <n v="0"/>
    <n v="0"/>
    <x v="0"/>
    <n v="0"/>
    <n v="0"/>
    <n v="0"/>
    <n v="0"/>
    <n v="0"/>
    <n v="0"/>
    <n v="0"/>
    <n v="0"/>
    <n v="0"/>
    <n v="0"/>
    <n v="0"/>
    <x v="0"/>
    <m/>
    <n v="80"/>
  </r>
  <r>
    <x v="124"/>
    <x v="3"/>
    <s v="037-212-022"/>
    <s v="410 STATE ST, SANTA BARBARA, CA 93101"/>
    <s v="5+"/>
    <x v="0"/>
    <n v="0"/>
    <n v="0"/>
    <n v="0"/>
    <n v="0"/>
    <n v="8"/>
    <n v="0"/>
    <x v="0"/>
    <n v="0"/>
    <n v="0"/>
    <n v="0"/>
    <n v="8"/>
    <n v="0"/>
    <n v="0"/>
    <n v="0"/>
    <n v="0"/>
    <n v="0"/>
    <n v="0"/>
    <n v="0"/>
    <x v="1"/>
    <m/>
    <n v="0"/>
  </r>
  <r>
    <x v="124"/>
    <x v="3"/>
    <s v="057-240-051"/>
    <s v="220 N LA CUMBRE Rd, SANTA BARBARA, CA 93110"/>
    <s v="5+"/>
    <x v="0"/>
    <n v="24"/>
    <n v="0"/>
    <n v="24"/>
    <n v="0"/>
    <n v="0"/>
    <n v="0"/>
    <x v="0"/>
    <n v="0"/>
    <n v="0"/>
    <n v="0"/>
    <n v="0"/>
    <n v="0"/>
    <n v="0"/>
    <n v="0"/>
    <n v="0"/>
    <n v="0"/>
    <n v="0"/>
    <n v="0"/>
    <x v="0"/>
    <n v="1000"/>
    <n v="100"/>
  </r>
  <r>
    <x v="133"/>
    <x v="1"/>
    <s v="6152002021- 6152002900- 6152002901"/>
    <s v="12617 S Willowbrook Avenue, Compton CA 90222"/>
    <s v="5+"/>
    <x v="0"/>
    <n v="0"/>
    <n v="0"/>
    <n v="50"/>
    <n v="0"/>
    <n v="0"/>
    <n v="0"/>
    <x v="0"/>
    <n v="0"/>
    <n v="0"/>
    <n v="0"/>
    <n v="0"/>
    <n v="0"/>
    <n v="0"/>
    <n v="0"/>
    <n v="0"/>
    <n v="0"/>
    <n v="0"/>
    <n v="0"/>
    <x v="0"/>
    <n v="55"/>
    <n v="37"/>
  </r>
  <r>
    <x v="131"/>
    <x v="5"/>
    <s v="053 162301201"/>
    <s v="1331 Ashby Ave.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31"/>
    <x v="5"/>
    <s v="055 183700100"/>
    <s v="2556 Telegraph Av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31"/>
    <x v="5"/>
    <s v="055 187701902"/>
    <s v="2580 Bancroft Way"/>
    <s v="5+"/>
    <x v="0"/>
    <n v="1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2"/>
    <x v="1"/>
    <n v="6526012"/>
    <s v="3260 26TH ST"/>
    <s v="5+"/>
    <x v="0"/>
    <n v="2"/>
    <n v="0"/>
    <n v="2"/>
    <n v="0"/>
    <n v="2"/>
    <n v="0"/>
    <x v="0"/>
    <n v="0"/>
    <n v="0"/>
    <n v="0"/>
    <n v="0"/>
    <n v="0"/>
    <n v="0"/>
    <n v="0"/>
    <n v="0"/>
    <n v="0"/>
    <n v="0"/>
    <n v="0"/>
    <x v="0"/>
    <n v="99"/>
    <s v="44.799999999999997"/>
  </r>
  <r>
    <x v="62"/>
    <x v="1"/>
    <n v="5869014"/>
    <s v="4199 MISSION ST"/>
    <s v="5+"/>
    <x v="0"/>
    <n v="0"/>
    <n v="0"/>
    <n v="4"/>
    <n v="0"/>
    <n v="4"/>
    <n v="0"/>
    <x v="0"/>
    <n v="0"/>
    <n v="0"/>
    <n v="0"/>
    <n v="0"/>
    <n v="0"/>
    <n v="0"/>
    <n v="0"/>
    <n v="0"/>
    <n v="0"/>
    <n v="0"/>
    <n v="0"/>
    <x v="1"/>
    <n v="99"/>
    <n v="0"/>
  </r>
  <r>
    <x v="62"/>
    <x v="1"/>
    <s v="4023004A"/>
    <s v="2750 19TH ST"/>
    <s v="5+"/>
    <x v="0"/>
    <n v="0"/>
    <n v="0"/>
    <n v="0"/>
    <n v="0"/>
    <n v="0"/>
    <n v="0"/>
    <x v="0"/>
    <n v="0"/>
    <n v="0"/>
    <n v="0"/>
    <n v="0"/>
    <n v="0"/>
    <n v="0"/>
    <n v="0"/>
    <n v="11"/>
    <n v="0"/>
    <n v="0"/>
    <n v="0"/>
    <x v="1"/>
    <n v="99"/>
    <n v="0"/>
  </r>
  <r>
    <x v="62"/>
    <x v="1"/>
    <s v="0527004"/>
    <s v="2525 VAN NESS AV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99"/>
    <n v="0"/>
  </r>
  <r>
    <x v="62"/>
    <x v="1"/>
    <s v="0345017"/>
    <s v="361 TURK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99"/>
    <n v="0"/>
  </r>
  <r>
    <x v="104"/>
    <x v="0"/>
    <s v="810 66 012"/>
    <s v="1520 Hecker Pass Hwy"/>
    <s v="5+"/>
    <x v="0"/>
    <n v="20"/>
    <n v="0"/>
    <n v="79"/>
    <n v="0"/>
    <n v="0"/>
    <n v="0"/>
    <x v="0"/>
    <n v="0"/>
    <n v="0"/>
    <n v="0"/>
    <n v="0"/>
    <n v="0"/>
    <n v="0"/>
    <n v="0"/>
    <n v="0"/>
    <n v="0"/>
    <n v="0"/>
    <n v="0"/>
    <x v="0"/>
    <n v="55"/>
    <n v="100"/>
  </r>
  <r>
    <x v="104"/>
    <x v="0"/>
    <s v="790 21 041"/>
    <s v="975 1ST ST"/>
    <s v="5+"/>
    <x v="0"/>
    <n v="0"/>
    <n v="0"/>
    <n v="0"/>
    <n v="0"/>
    <n v="0"/>
    <n v="0"/>
    <x v="69"/>
    <n v="0"/>
    <n v="83"/>
    <n v="0"/>
    <n v="0"/>
    <n v="1"/>
    <n v="0"/>
    <n v="0"/>
    <n v="0"/>
    <n v="0"/>
    <n v="0"/>
    <n v="0"/>
    <x v="0"/>
    <n v="55"/>
    <n v="100"/>
  </r>
  <r>
    <x v="48"/>
    <x v="1"/>
    <s v="0319-501-11"/>
    <s v="Ave D/Poplar St"/>
    <s v="5+"/>
    <x v="0"/>
    <n v="0"/>
    <n v="0"/>
    <n v="3"/>
    <n v="0"/>
    <n v="0"/>
    <n v="13"/>
    <x v="0"/>
    <n v="0"/>
    <n v="0"/>
    <n v="0"/>
    <n v="0"/>
    <n v="0"/>
    <n v="0"/>
    <n v="0"/>
    <n v="0"/>
    <n v="0"/>
    <n v="0"/>
    <n v="0"/>
    <x v="0"/>
    <n v="55"/>
    <n v="32"/>
  </r>
  <r>
    <x v="133"/>
    <x v="1"/>
    <n v="4147009021"/>
    <s v="13727 S Inglewood Avenue, Hawthorne CA 90250"/>
    <s v="5+"/>
    <x v="0"/>
    <n v="10"/>
    <n v="0"/>
    <n v="6"/>
    <n v="0"/>
    <n v="0"/>
    <n v="0"/>
    <x v="0"/>
    <n v="0"/>
    <n v="0"/>
    <n v="0"/>
    <n v="0"/>
    <n v="0"/>
    <n v="0"/>
    <n v="0"/>
    <n v="0"/>
    <n v="0"/>
    <n v="0"/>
    <n v="0"/>
    <x v="0"/>
    <n v="55"/>
    <n v="88.5"/>
  </r>
  <r>
    <x v="176"/>
    <x v="3"/>
    <s v="065 -2625-001-00"/>
    <s v="1600 Solano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1000"/>
    <n v="50"/>
  </r>
  <r>
    <x v="124"/>
    <x v="1"/>
    <s v="039-222-029"/>
    <s v="115 W ANAPAMU ST, SANTA BARBARA, CA"/>
    <s v="5+"/>
    <x v="0"/>
    <n v="0"/>
    <n v="0"/>
    <n v="0"/>
    <n v="0"/>
    <n v="0"/>
    <n v="0"/>
    <x v="0"/>
    <n v="0"/>
    <n v="34"/>
    <n v="0"/>
    <n v="0"/>
    <n v="0"/>
    <n v="0"/>
    <n v="0"/>
    <n v="0"/>
    <n v="0"/>
    <n v="0"/>
    <n v="0"/>
    <x v="0"/>
    <n v="55"/>
    <n v="50"/>
  </r>
  <r>
    <x v="124"/>
    <x v="1"/>
    <s v="031-271-008"/>
    <s v="425 SANTA BARBARA St, SANTA BARBARA, CA 93101"/>
    <s v="5+"/>
    <x v="0"/>
    <n v="2"/>
    <n v="0"/>
    <n v="0"/>
    <n v="0"/>
    <n v="1"/>
    <n v="0"/>
    <x v="0"/>
    <n v="0"/>
    <n v="0"/>
    <n v="0"/>
    <n v="0"/>
    <n v="0"/>
    <n v="0"/>
    <n v="0"/>
    <n v="0"/>
    <n v="0"/>
    <n v="0"/>
    <n v="0"/>
    <x v="0"/>
    <n v="55"/>
    <n v="20"/>
  </r>
  <r>
    <x v="56"/>
    <x v="1"/>
    <s v="71-0291-10"/>
    <s v="2250 STANFORD ST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0"/>
    <m/>
    <n v="20"/>
  </r>
  <r>
    <x v="56"/>
    <x v="1"/>
    <s v="74-1373-13-29"/>
    <s v="450 SENTINEL DR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0"/>
    <m/>
    <n v="20"/>
  </r>
  <r>
    <x v="133"/>
    <x v="1"/>
    <n v="4071019035"/>
    <s v="3127 W 147th Street, Gardena CA 90249"/>
    <s v="5+"/>
    <x v="0"/>
    <n v="0"/>
    <n v="0"/>
    <n v="31"/>
    <n v="0"/>
    <n v="0"/>
    <n v="0"/>
    <x v="0"/>
    <n v="0"/>
    <n v="0"/>
    <n v="0"/>
    <n v="0"/>
    <n v="0"/>
    <n v="0"/>
    <n v="0"/>
    <n v="0"/>
    <n v="0"/>
    <n v="0"/>
    <n v="0"/>
    <x v="0"/>
    <n v="55"/>
    <s v="143.80000000000001"/>
  </r>
  <r>
    <x v="133"/>
    <x v="1"/>
    <n v="6338014024"/>
    <s v="6032 E Olympic Boulevard, Los Angeles CA 90022"/>
    <s v="5+"/>
    <x v="0"/>
    <n v="0"/>
    <n v="0"/>
    <n v="11"/>
    <n v="0"/>
    <n v="0"/>
    <n v="0"/>
    <x v="0"/>
    <n v="0"/>
    <n v="0"/>
    <n v="0"/>
    <n v="0"/>
    <n v="0"/>
    <n v="0"/>
    <n v="0"/>
    <n v="0"/>
    <n v="0"/>
    <n v="0"/>
    <n v="0"/>
    <x v="0"/>
    <n v="55"/>
    <s v="166.69999999999999"/>
  </r>
  <r>
    <x v="133"/>
    <x v="1"/>
    <n v="6077011036"/>
    <s v="11208 S Western Avenue, Los Angeles CA 90047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53.600000000000001"/>
  </r>
  <r>
    <x v="133"/>
    <x v="1"/>
    <n v="8571010042"/>
    <s v="4064 E Live Oak Avenue #201, Arcadia CA 91006"/>
    <s v="5+"/>
    <x v="0"/>
    <n v="0"/>
    <n v="0"/>
    <n v="0"/>
    <n v="0"/>
    <n v="0"/>
    <n v="0"/>
    <x v="42"/>
    <n v="0"/>
    <n v="0"/>
    <n v="0"/>
    <n v="0"/>
    <n v="0"/>
    <n v="0"/>
    <n v="0"/>
    <n v="0"/>
    <n v="0"/>
    <n v="0"/>
    <n v="0"/>
    <x v="0"/>
    <n v="55"/>
    <n v="40.5"/>
  </r>
  <r>
    <x v="133"/>
    <x v="1"/>
    <n v="3103010047"/>
    <s v="4856 W Avenue L-14 Lancaster CA 93536"/>
    <s v="5+"/>
    <x v="0"/>
    <n v="0"/>
    <n v="0"/>
    <n v="0"/>
    <n v="0"/>
    <n v="0"/>
    <n v="0"/>
    <x v="66"/>
    <n v="0"/>
    <n v="0"/>
    <n v="0"/>
    <n v="0"/>
    <n v="0"/>
    <n v="0"/>
    <n v="0"/>
    <n v="0"/>
    <n v="0"/>
    <n v="0"/>
    <n v="0"/>
    <x v="0"/>
    <n v="55"/>
    <n v="89"/>
  </r>
  <r>
    <x v="36"/>
    <x v="3"/>
    <s v="537-0852-001-08; 537-0852-002-09; &amp; 092-0100-005"/>
    <s v="8787 Enterprise Driv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36"/>
    <x v="3"/>
    <s v="537-0852-001-08; 537-0852-002-09; &amp; 092-0100-005"/>
    <s v="8787 Enterprise Drive"/>
    <s v="5+"/>
    <x v="0"/>
    <n v="47"/>
    <n v="0"/>
    <n v="23"/>
    <n v="0"/>
    <n v="20"/>
    <n v="0"/>
    <x v="0"/>
    <n v="0"/>
    <n v="0"/>
    <n v="0"/>
    <n v="0"/>
    <n v="0"/>
    <n v="0"/>
    <n v="0"/>
    <n v="0"/>
    <n v="0"/>
    <n v="0"/>
    <n v="0"/>
    <x v="0"/>
    <m/>
    <n v="0"/>
  </r>
  <r>
    <x v="65"/>
    <x v="2"/>
    <s v="3148-041-001"/>
    <s v="1752 East Avenue J-4"/>
    <s v="5+"/>
    <x v="0"/>
    <n v="0"/>
    <n v="0"/>
    <n v="27"/>
    <n v="237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1"/>
    <n v="6148006020"/>
    <m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60.5"/>
  </r>
  <r>
    <x v="133"/>
    <x v="1"/>
    <n v="6021019013"/>
    <s v="7220 Maie Avenue, Los Angeles CA 90001"/>
    <s v="5+"/>
    <x v="0"/>
    <n v="2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8"/>
  </r>
  <r>
    <x v="133"/>
    <x v="1"/>
    <n v="6086020063"/>
    <s v="12225 Avalon Boulevard, Los Angeles CA 90061"/>
    <s v="5+"/>
    <x v="0"/>
    <n v="0"/>
    <n v="0"/>
    <n v="0"/>
    <n v="0"/>
    <n v="0"/>
    <n v="0"/>
    <x v="0"/>
    <n v="0"/>
    <n v="0"/>
    <n v="0"/>
    <n v="0"/>
    <n v="0"/>
    <n v="0"/>
    <n v="0"/>
    <n v="21"/>
    <n v="0"/>
    <n v="0"/>
    <n v="0"/>
    <x v="0"/>
    <n v="55"/>
    <n v="126"/>
  </r>
  <r>
    <x v="166"/>
    <x v="1"/>
    <s v="71-405-38"/>
    <s v="2050 5th Street"/>
    <s v="5+"/>
    <x v="0"/>
    <n v="19"/>
    <n v="0"/>
    <n v="19"/>
    <n v="0"/>
    <n v="0"/>
    <n v="0"/>
    <x v="13"/>
    <n v="0"/>
    <n v="19"/>
    <n v="0"/>
    <n v="0"/>
    <n v="0"/>
    <n v="19"/>
    <n v="0"/>
    <n v="19"/>
    <n v="0"/>
    <n v="0"/>
    <n v="0"/>
    <x v="1"/>
    <n v="1000"/>
    <n v="0"/>
  </r>
  <r>
    <x v="166"/>
    <x v="1"/>
    <s v="069-530-030-000"/>
    <s v="2555 Research Park Dr."/>
    <s v="5+"/>
    <x v="0"/>
    <n v="10"/>
    <n v="0"/>
    <n v="0"/>
    <n v="0"/>
    <n v="0"/>
    <n v="0"/>
    <x v="7"/>
    <n v="0"/>
    <n v="0"/>
    <n v="0"/>
    <n v="0"/>
    <n v="190"/>
    <n v="0"/>
    <n v="0"/>
    <n v="0"/>
    <n v="0"/>
    <n v="0"/>
    <n v="0"/>
    <x v="1"/>
    <m/>
    <n v="0"/>
  </r>
  <r>
    <x v="133"/>
    <x v="1"/>
    <n v="5828026005"/>
    <s v="2439 N Lincoln Avenue, Altadena CA 91001"/>
    <s v="5+"/>
    <x v="0"/>
    <n v="0"/>
    <n v="0"/>
    <n v="0"/>
    <n v="0"/>
    <n v="0"/>
    <n v="0"/>
    <x v="87"/>
    <n v="0"/>
    <n v="4"/>
    <n v="0"/>
    <n v="0"/>
    <n v="0"/>
    <n v="0"/>
    <n v="0"/>
    <n v="0"/>
    <n v="0"/>
    <n v="0"/>
    <n v="0"/>
    <x v="0"/>
    <n v="55"/>
    <n v="233"/>
  </r>
  <r>
    <x v="133"/>
    <x v="1"/>
    <s v="4036016014, 4036016013"/>
    <s v="10503 Hawthorne Boulevard, Inglewood CA 90304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5"/>
  </r>
  <r>
    <x v="80"/>
    <x v="3"/>
    <s v="402-023-002, 402-023-003, 402-023-007"/>
    <s v="600 Roble Ave"/>
    <s v="5+"/>
    <x v="0"/>
    <n v="0"/>
    <n v="0"/>
    <n v="0"/>
    <n v="0"/>
    <n v="0"/>
    <n v="0"/>
    <x v="14"/>
    <n v="0"/>
    <n v="135"/>
    <n v="0"/>
    <n v="37"/>
    <n v="0"/>
    <n v="0"/>
    <n v="0"/>
    <n v="0"/>
    <n v="0"/>
    <n v="0"/>
    <n v="0"/>
    <x v="0"/>
    <n v="55"/>
    <s v="77.200000000000003"/>
  </r>
  <r>
    <x v="180"/>
    <x v="1"/>
    <s v="045320170;045320220"/>
    <s v="11 El Camino Real"/>
    <s v="5+"/>
    <x v="0"/>
    <n v="24"/>
    <n v="0"/>
    <n v="12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38"/>
    <x v="1"/>
    <s v="006-171-02"/>
    <s v="247 HIGH ST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35"/>
  </r>
  <r>
    <x v="38"/>
    <x v="1"/>
    <s v="011-041-63"/>
    <s v="1800 SOQUEL AVE"/>
    <s v="5+"/>
    <x v="0"/>
    <n v="7"/>
    <n v="0"/>
    <n v="6"/>
    <n v="0"/>
    <n v="0"/>
    <n v="0"/>
    <x v="0"/>
    <n v="0"/>
    <n v="0"/>
    <n v="0"/>
    <n v="0"/>
    <n v="0"/>
    <n v="0"/>
    <n v="0"/>
    <n v="0"/>
    <n v="0"/>
    <n v="0"/>
    <n v="0"/>
    <x v="0"/>
    <n v="1000"/>
    <n v="25"/>
  </r>
  <r>
    <x v="38"/>
    <x v="1"/>
    <s v="003-011-06"/>
    <s v="415 NATURAL BRIDGES DR"/>
    <s v="5+"/>
    <x v="0"/>
    <n v="0"/>
    <n v="0"/>
    <n v="0"/>
    <n v="0"/>
    <n v="0"/>
    <n v="0"/>
    <x v="15"/>
    <n v="0"/>
    <n v="0"/>
    <n v="0"/>
    <n v="0"/>
    <n v="0"/>
    <n v="0"/>
    <n v="0"/>
    <n v="0"/>
    <n v="0"/>
    <n v="0"/>
    <n v="0"/>
    <x v="1"/>
    <n v="1000"/>
    <n v="0"/>
  </r>
  <r>
    <x v="133"/>
    <x v="1"/>
    <n v="8761012017"/>
    <s v="18811 Colima Road, Rowland Heights CA 91748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5"/>
  </r>
  <r>
    <x v="133"/>
    <x v="1"/>
    <n v="5330006005"/>
    <s v="273 S Sierra Madre Boulevard, Pasadena CA 91107"/>
    <s v="5+"/>
    <x v="0"/>
    <n v="4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51"/>
  </r>
  <r>
    <x v="134"/>
    <x v="3"/>
    <n v="1560180285"/>
    <s v="2789 SOMIS RD SOMIS, CA 93066"/>
    <s v="5+"/>
    <x v="0"/>
    <n v="60"/>
    <n v="0"/>
    <n v="140"/>
    <n v="0"/>
    <n v="0"/>
    <n v="0"/>
    <x v="0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802 SOMIS RD, SOMIS, CA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0"/>
    <n v="1000"/>
    <n v="80"/>
  </r>
  <r>
    <x v="57"/>
    <x v="0"/>
    <n v="4207004023"/>
    <s v="9900 W VENICE BLVD 1-54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n v="35"/>
  </r>
  <r>
    <x v="57"/>
    <x v="0"/>
    <n v="5546026022"/>
    <s v="6220 W SELMA AVE"/>
    <s v="5+"/>
    <x v="0"/>
    <n v="0"/>
    <n v="0"/>
    <n v="0"/>
    <n v="0"/>
    <n v="0"/>
    <n v="0"/>
    <x v="21"/>
    <n v="0"/>
    <n v="0"/>
    <n v="0"/>
    <n v="7"/>
    <n v="0"/>
    <n v="0"/>
    <n v="0"/>
    <n v="0"/>
    <n v="0"/>
    <n v="0"/>
    <n v="0"/>
    <x v="0"/>
    <n v="55"/>
    <n v="14"/>
  </r>
  <r>
    <x v="57"/>
    <x v="0"/>
    <n v="2360030017"/>
    <s v="4406 N FULTON AVE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0"/>
    <n v="2558024022"/>
    <s v="10218 N FERNGLEN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0"/>
    <n v="5068021010"/>
    <s v="1563 S FAIRFAX AVE 1-10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0"/>
    <n v="5406015046"/>
    <s v="1011 N EVERETT ST Building A; 1011 N EVERETT ST Building B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0"/>
  </r>
  <r>
    <x v="78"/>
    <x v="3"/>
    <n v="41208061"/>
    <s v="200 - 212 MALLEY WY (7 UNITS) BUILDING 1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45"/>
    <n v="0"/>
  </r>
  <r>
    <x v="134"/>
    <x v="3"/>
    <n v="1560180485"/>
    <s v="2795 SOMIS RD, SOMIS, CA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4 SOMIS RD, SOMIS, CA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0"/>
    <n v="1000"/>
    <n v="80"/>
  </r>
  <r>
    <x v="181"/>
    <x v="5"/>
    <s v="094-010-840"/>
    <s v="53 Triton Point Lane"/>
    <s v="5+"/>
    <x v="0"/>
    <n v="0"/>
    <n v="0"/>
    <n v="0"/>
    <n v="0"/>
    <n v="0"/>
    <n v="0"/>
    <x v="0"/>
    <n v="0"/>
    <n v="0"/>
    <n v="0"/>
    <n v="0"/>
    <n v="0"/>
    <n v="8"/>
    <n v="0"/>
    <n v="31"/>
    <n v="0"/>
    <n v="9"/>
    <n v="0"/>
    <x v="1"/>
    <n v="55"/>
    <n v="0"/>
  </r>
  <r>
    <x v="105"/>
    <x v="3"/>
    <s v="017-080-150"/>
    <s v="10 MIRALUNA DR"/>
    <s v="5+"/>
    <x v="0"/>
    <n v="0"/>
    <n v="0"/>
    <n v="0"/>
    <n v="0"/>
    <n v="0"/>
    <n v="0"/>
    <x v="0"/>
    <n v="0"/>
    <n v="0"/>
    <n v="0"/>
    <n v="0"/>
    <n v="0"/>
    <n v="0"/>
    <n v="0"/>
    <n v="3"/>
    <n v="0"/>
    <n v="2"/>
    <n v="0"/>
    <x v="1"/>
    <n v="55"/>
    <n v="0"/>
  </r>
  <r>
    <x v="96"/>
    <x v="1"/>
    <s v="40407150T"/>
    <s v="7521 N CHESTNUT AVE BLDG 114"/>
    <s v="5+"/>
    <x v="0"/>
    <n v="0"/>
    <n v="0"/>
    <n v="0"/>
    <n v="0"/>
    <n v="0"/>
    <n v="0"/>
    <x v="0"/>
    <n v="7"/>
    <n v="0"/>
    <n v="5"/>
    <n v="0"/>
    <n v="0"/>
    <n v="0"/>
    <n v="0"/>
    <n v="0"/>
    <n v="0"/>
    <n v="0"/>
    <n v="0"/>
    <x v="0"/>
    <m/>
    <n v="52"/>
  </r>
  <r>
    <x v="57"/>
    <x v="0"/>
    <n v="5544025009"/>
    <s v="1657 WESTERN AVE  N  90027"/>
    <s v="5+"/>
    <x v="0"/>
    <n v="0"/>
    <n v="0"/>
    <n v="158"/>
    <n v="0"/>
    <n v="4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0"/>
    <n v="5547004048"/>
    <s v="1818 N CHEROKEE AVE"/>
    <s v="5+"/>
    <x v="0"/>
    <n v="21"/>
    <n v="0"/>
    <n v="0"/>
    <n v="0"/>
    <n v="0"/>
    <n v="0"/>
    <x v="50"/>
    <n v="0"/>
    <n v="0"/>
    <n v="0"/>
    <n v="0"/>
    <n v="0"/>
    <n v="0"/>
    <n v="0"/>
    <n v="0"/>
    <n v="0"/>
    <n v="0"/>
    <n v="0"/>
    <x v="0"/>
    <n v="55"/>
    <n v="0"/>
  </r>
  <r>
    <x v="57"/>
    <x v="0"/>
    <n v="2238014003"/>
    <s v="13853 W VICTORY BLVD"/>
    <s v="5+"/>
    <x v="0"/>
    <n v="0"/>
    <n v="0"/>
    <n v="0"/>
    <n v="0"/>
    <n v="0"/>
    <n v="0"/>
    <x v="0"/>
    <n v="0"/>
    <n v="4"/>
    <n v="0"/>
    <n v="0"/>
    <n v="0"/>
    <n v="0"/>
    <n v="0"/>
    <n v="0"/>
    <n v="0"/>
    <n v="0"/>
    <n v="0"/>
    <x v="0"/>
    <n v="55"/>
    <n v="35"/>
  </r>
  <r>
    <x v="57"/>
    <x v="0"/>
    <n v="5550025014"/>
    <s v="7520 W SUNSET BLVD; 7566 W SUNSET BLVD"/>
    <s v="5+"/>
    <x v="0"/>
    <n v="0"/>
    <n v="0"/>
    <n v="0"/>
    <n v="0"/>
    <n v="0"/>
    <n v="0"/>
    <x v="15"/>
    <n v="0"/>
    <n v="0"/>
    <n v="0"/>
    <n v="0"/>
    <n v="0"/>
    <n v="0"/>
    <n v="0"/>
    <n v="0"/>
    <n v="0"/>
    <n v="0"/>
    <n v="0"/>
    <x v="0"/>
    <n v="55"/>
    <n v="35"/>
  </r>
  <r>
    <x v="57"/>
    <x v="0"/>
    <n v="4234015028"/>
    <s v="3705 S MCLAUGHLIN AVE 1-21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0"/>
    <n v="4262003011"/>
    <s v="11701 W SANTA MONICA BLVD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57"/>
    <x v="0"/>
    <n v="5442024045"/>
    <s v="2908 N ALLESANDRO ST #1-#36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0"/>
  </r>
  <r>
    <x v="119"/>
    <x v="0"/>
    <s v="049-1504-008"/>
    <s v="1225 65th Street"/>
    <s v="5+"/>
    <x v="0"/>
    <n v="1"/>
    <n v="0"/>
    <n v="1"/>
    <n v="0"/>
    <n v="2"/>
    <n v="0"/>
    <x v="0"/>
    <n v="0"/>
    <n v="0"/>
    <n v="0"/>
    <n v="0"/>
    <n v="0"/>
    <n v="0"/>
    <n v="0"/>
    <n v="0"/>
    <n v="0"/>
    <n v="0"/>
    <n v="0"/>
    <x v="0"/>
    <n v="55"/>
    <n v="60"/>
  </r>
  <r>
    <x v="57"/>
    <x v="0"/>
    <n v="5094008047"/>
    <s v="696 S NEW HAMPSHIRE AVE"/>
    <s v="5+"/>
    <x v="0"/>
    <n v="0"/>
    <n v="0"/>
    <n v="0"/>
    <n v="0"/>
    <n v="0"/>
    <n v="0"/>
    <x v="37"/>
    <n v="0"/>
    <n v="0"/>
    <n v="0"/>
    <n v="0"/>
    <n v="0"/>
    <n v="0"/>
    <n v="0"/>
    <n v="0"/>
    <n v="0"/>
    <n v="0"/>
    <n v="0"/>
    <x v="0"/>
    <n v="55"/>
    <n v="35"/>
  </r>
  <r>
    <x v="57"/>
    <x v="0"/>
    <n v="5534019018"/>
    <s v="5814 W LA MIRADA AVE 1-13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35"/>
  </r>
  <r>
    <x v="57"/>
    <x v="0"/>
    <n v="7455025019"/>
    <s v="921 S BEACON ST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0"/>
    <n v="55"/>
    <n v="0"/>
  </r>
  <r>
    <x v="57"/>
    <x v="0"/>
    <n v="2330014028"/>
    <s v="6120 N WOODMAN AVE #1-16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0"/>
    <n v="2506033039"/>
    <s v="12647 N BRADLEY AVE 1-8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159"/>
    <x v="1"/>
    <s v="5738-014-003"/>
    <s v="130-140 MAR VISTA AVE  _x000a_PASADENA, CA 91106"/>
    <s v="5+"/>
    <x v="0"/>
    <n v="2"/>
    <n v="0"/>
    <n v="0"/>
    <n v="0"/>
    <n v="1"/>
    <n v="0"/>
    <x v="0"/>
    <n v="0"/>
    <n v="0"/>
    <n v="0"/>
    <n v="0"/>
    <n v="0"/>
    <n v="0"/>
    <n v="0"/>
    <n v="0"/>
    <n v="0"/>
    <n v="0"/>
    <n v="0"/>
    <x v="1"/>
    <n v="45"/>
    <n v="0"/>
  </r>
  <r>
    <x v="159"/>
    <x v="1"/>
    <s v="5738-015-130"/>
    <s v="256 N MICHIGAN AVE PASADENA, CA 91106"/>
    <s v="5+"/>
    <x v="0"/>
    <n v="2"/>
    <n v="0"/>
    <n v="0"/>
    <n v="0"/>
    <n v="3"/>
    <n v="0"/>
    <x v="0"/>
    <n v="0"/>
    <n v="0"/>
    <n v="0"/>
    <n v="0"/>
    <n v="0"/>
    <n v="0"/>
    <n v="0"/>
    <n v="0"/>
    <n v="0"/>
    <n v="0"/>
    <n v="0"/>
    <x v="1"/>
    <n v="45"/>
    <n v="0"/>
  </r>
  <r>
    <x v="160"/>
    <x v="1"/>
    <n v="8313008028"/>
    <s v="Village South"/>
    <s v="5+"/>
    <x v="0"/>
    <n v="0"/>
    <n v="0"/>
    <n v="0"/>
    <n v="0"/>
    <n v="88"/>
    <n v="0"/>
    <x v="0"/>
    <n v="0"/>
    <n v="0"/>
    <n v="0"/>
    <n v="0"/>
    <n v="0"/>
    <n v="0"/>
    <n v="0"/>
    <n v="0"/>
    <n v="0"/>
    <n v="0"/>
    <n v="0"/>
    <x v="1"/>
    <m/>
    <n v="0"/>
  </r>
  <r>
    <x v="110"/>
    <x v="1"/>
    <n v="694310006"/>
    <s v="36101 VITALIA WAY"/>
    <s v="5+"/>
    <x v="0"/>
    <n v="0"/>
    <n v="0"/>
    <n v="0"/>
    <n v="0"/>
    <n v="0"/>
    <n v="0"/>
    <x v="21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x v="12"/>
    <n v="0"/>
    <n v="18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x v="12"/>
    <n v="0"/>
    <n v="18"/>
    <n v="0"/>
    <n v="0"/>
    <n v="0"/>
    <n v="0"/>
    <n v="0"/>
    <n v="0"/>
    <n v="0"/>
    <n v="0"/>
    <n v="0"/>
    <x v="1"/>
    <n v="55"/>
    <n v="0"/>
  </r>
  <r>
    <x v="78"/>
    <x v="4"/>
    <n v="30534061"/>
    <s v="2305 S WINCHESTER BL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0"/>
  </r>
  <r>
    <x v="131"/>
    <x v="1"/>
    <s v="057 206101000"/>
    <s v="1717 University Ave"/>
    <s v="5+"/>
    <x v="0"/>
    <n v="3"/>
    <n v="0"/>
    <n v="0"/>
    <n v="0"/>
    <n v="0"/>
    <n v="0"/>
    <x v="0"/>
    <n v="0"/>
    <n v="0"/>
    <n v="0"/>
    <n v="0"/>
    <n v="0"/>
    <n v="3"/>
    <n v="0"/>
    <n v="0"/>
    <n v="0"/>
    <n v="0"/>
    <n v="0"/>
    <x v="0"/>
    <n v="1000"/>
    <n v="50"/>
  </r>
  <r>
    <x v="131"/>
    <x v="1"/>
    <s v="055 187602101"/>
    <s v="2538 Durant Ave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3"/>
  </r>
  <r>
    <x v="131"/>
    <x v="1"/>
    <s v="052 155400400"/>
    <s v="3120-30 Shattuck"/>
    <s v="5+"/>
    <x v="1"/>
    <n v="0"/>
    <n v="0"/>
    <n v="33"/>
    <n v="0"/>
    <n v="0"/>
    <n v="0"/>
    <x v="0"/>
    <n v="0"/>
    <n v="0"/>
    <n v="0"/>
    <n v="0"/>
    <n v="0"/>
    <n v="0"/>
    <n v="0"/>
    <n v="0"/>
    <n v="0"/>
    <n v="0"/>
    <n v="0"/>
    <x v="0"/>
    <n v="55"/>
    <n v="5"/>
  </r>
  <r>
    <x v="32"/>
    <x v="3"/>
    <n v="4292005029"/>
    <s v="601  WILSHIRE BLVD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1"/>
    <m/>
    <n v="0"/>
  </r>
  <r>
    <x v="32"/>
    <x v="3"/>
    <n v="4291022012"/>
    <s v="711  COLORADO AVE"/>
    <s v="5+"/>
    <x v="0"/>
    <n v="0"/>
    <n v="0"/>
    <n v="0"/>
    <n v="0"/>
    <n v="0"/>
    <n v="0"/>
    <x v="84"/>
    <n v="0"/>
    <n v="0"/>
    <n v="0"/>
    <n v="39"/>
    <n v="0"/>
    <n v="0"/>
    <n v="0"/>
    <n v="0"/>
    <n v="0"/>
    <n v="0"/>
    <n v="0"/>
    <x v="1"/>
    <n v="55"/>
    <n v="0"/>
  </r>
  <r>
    <x v="182"/>
    <x v="3"/>
    <n v="38912020"/>
    <s v="18764 COX AV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32.5"/>
  </r>
  <r>
    <x v="18"/>
    <x v="3"/>
    <s v="241-020-037"/>
    <s v="50 Woodbury Highlands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45"/>
    <n v="0"/>
  </r>
  <r>
    <x v="152"/>
    <x v="3"/>
    <s v="125-580-16"/>
    <s v="517 VALLEY OAKS CIRCLE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1000"/>
    <n v="0"/>
  </r>
  <r>
    <x v="131"/>
    <x v="0"/>
    <s v="055 182201303"/>
    <s v="2015 Blake"/>
    <s v="5+"/>
    <x v="0"/>
    <n v="9"/>
    <n v="0"/>
    <n v="2"/>
    <n v="0"/>
    <n v="0"/>
    <n v="0"/>
    <x v="0"/>
    <n v="0"/>
    <n v="0"/>
    <n v="0"/>
    <n v="0"/>
    <n v="0"/>
    <n v="0"/>
    <n v="0"/>
    <n v="0"/>
    <n v="0"/>
    <n v="0"/>
    <n v="0"/>
    <x v="0"/>
    <m/>
    <n v="35"/>
  </r>
  <r>
    <x v="82"/>
    <x v="4"/>
    <s v="02604314"/>
    <s v="2606 PAUL MINNIE AVE, SANTA CRUZ, CA 95062-1727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82"/>
    <x v="4"/>
    <s v="03205136"/>
    <s v="3911 PORTOLA DR, SANTA CRUZ, CA 95062"/>
    <s v="5+"/>
    <x v="0"/>
    <n v="4"/>
    <n v="0"/>
    <n v="0"/>
    <n v="0"/>
    <n v="0"/>
    <n v="1"/>
    <x v="0"/>
    <n v="0"/>
    <n v="0"/>
    <n v="0"/>
    <n v="0"/>
    <n v="0"/>
    <n v="0"/>
    <n v="0"/>
    <n v="0"/>
    <n v="0"/>
    <n v="0"/>
    <n v="0"/>
    <x v="0"/>
    <n v="55"/>
    <n v="0"/>
  </r>
  <r>
    <x v="22"/>
    <x v="3"/>
    <s v="8567-010-015"/>
    <s v="11730 Ramona"/>
    <s v="5+"/>
    <x v="0"/>
    <n v="3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144"/>
  </r>
  <r>
    <x v="134"/>
    <x v="3"/>
    <n v="1560180485"/>
    <s v="2800 SOMIS RD, SOMIS, CA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0"/>
    <n v="1000"/>
    <n v="80"/>
  </r>
  <r>
    <x v="103"/>
    <x v="1"/>
    <s v="Tract 18148 Lots 100, 101, 102, 103, 104, 105"/>
    <s v="32037 Paseo Rama, 27033, 27029, 27025, 27021 Via Caminata, &amp; 32048 Paseo Vienta"/>
    <s v="5+"/>
    <x v="1"/>
    <n v="0"/>
    <n v="0"/>
    <n v="0"/>
    <n v="0"/>
    <n v="0"/>
    <n v="0"/>
    <x v="0"/>
    <n v="0"/>
    <n v="0"/>
    <n v="0"/>
    <n v="4"/>
    <n v="0"/>
    <n v="0"/>
    <n v="0"/>
    <n v="0"/>
    <n v="0"/>
    <n v="4"/>
    <n v="0"/>
    <x v="0"/>
    <n v="30"/>
    <n v="0"/>
  </r>
  <r>
    <x v="183"/>
    <x v="4"/>
    <s v="058-833-022"/>
    <s v="1000 MEADOWS DR #5"/>
    <s v="5+"/>
    <x v="0"/>
    <n v="8"/>
    <n v="0"/>
    <n v="12"/>
    <n v="0"/>
    <n v="0"/>
    <n v="0"/>
    <x v="42"/>
    <n v="0"/>
    <n v="12"/>
    <n v="0"/>
    <n v="0"/>
    <n v="0"/>
    <n v="8"/>
    <n v="0"/>
    <n v="0"/>
    <n v="0"/>
    <n v="0"/>
    <n v="0"/>
    <x v="1"/>
    <n v="55"/>
    <n v="0"/>
  </r>
  <r>
    <x v="183"/>
    <x v="4"/>
    <s v="058-833-026"/>
    <s v="1000 MEADOWS DR #4"/>
    <s v="5+"/>
    <x v="0"/>
    <n v="0"/>
    <n v="0"/>
    <n v="16"/>
    <n v="0"/>
    <n v="0"/>
    <n v="0"/>
    <x v="0"/>
    <n v="0"/>
    <n v="16"/>
    <n v="0"/>
    <n v="0"/>
    <n v="0"/>
    <n v="0"/>
    <n v="0"/>
    <n v="16"/>
    <n v="0"/>
    <n v="0"/>
    <n v="0"/>
    <x v="1"/>
    <n v="55"/>
    <n v="0"/>
  </r>
  <r>
    <x v="114"/>
    <x v="0"/>
    <s v="424-56-056"/>
    <s v="14225 Walker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m/>
    <n v="0"/>
  </r>
  <r>
    <x v="124"/>
    <x v="3"/>
    <s v="037-131-001"/>
    <s v="630 CHAPALA St, SANTA BARBARA, CA 93101"/>
    <s v="5+"/>
    <x v="0"/>
    <n v="0"/>
    <n v="0"/>
    <n v="0"/>
    <n v="0"/>
    <n v="4"/>
    <n v="0"/>
    <x v="0"/>
    <n v="0"/>
    <n v="0"/>
    <n v="0"/>
    <n v="0"/>
    <n v="0"/>
    <n v="0"/>
    <n v="0"/>
    <n v="0"/>
    <n v="0"/>
    <n v="0"/>
    <n v="0"/>
    <x v="1"/>
    <m/>
    <n v="0"/>
  </r>
  <r>
    <x v="131"/>
    <x v="5"/>
    <s v="055 187500800"/>
    <s v="2510 Channing Way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31"/>
    <x v="5"/>
    <s v="054 178101501"/>
    <s v="2527 San Pablo"/>
    <s v="5+"/>
    <x v="0"/>
    <n v="13"/>
    <n v="0"/>
    <n v="2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62"/>
    <x v="1"/>
    <s v="8719C001"/>
    <s v="1070 Bridgeview Wy"/>
    <s v="5+"/>
    <x v="0"/>
    <n v="0"/>
    <n v="0"/>
    <n v="0"/>
    <n v="0"/>
    <n v="0"/>
    <n v="0"/>
    <x v="0"/>
    <n v="0"/>
    <n v="0"/>
    <n v="0"/>
    <n v="69"/>
    <n v="0"/>
    <n v="0"/>
    <n v="0"/>
    <n v="0"/>
    <n v="0"/>
    <n v="0"/>
    <n v="0"/>
    <x v="1"/>
    <n v="99"/>
    <n v="0"/>
  </r>
  <r>
    <x v="62"/>
    <x v="1"/>
    <n v="3576001"/>
    <s v="2100 MISSION ST"/>
    <s v="5+"/>
    <x v="0"/>
    <n v="0"/>
    <n v="0"/>
    <n v="0"/>
    <n v="0"/>
    <n v="0"/>
    <n v="0"/>
    <x v="0"/>
    <n v="0"/>
    <n v="8"/>
    <n v="0"/>
    <n v="0"/>
    <n v="0"/>
    <n v="0"/>
    <n v="0"/>
    <n v="0"/>
    <n v="0"/>
    <n v="0"/>
    <n v="0"/>
    <x v="1"/>
    <n v="99"/>
    <n v="0"/>
  </r>
  <r>
    <x v="62"/>
    <x v="1"/>
    <n v="3596099"/>
    <s v="811 VALENCIA ST"/>
    <s v="5+"/>
    <x v="0"/>
    <n v="0"/>
    <n v="0"/>
    <n v="0"/>
    <n v="0"/>
    <n v="0"/>
    <n v="0"/>
    <x v="0"/>
    <n v="0"/>
    <n v="2"/>
    <n v="0"/>
    <n v="0"/>
    <n v="0"/>
    <n v="0"/>
    <n v="0"/>
    <n v="0"/>
    <n v="0"/>
    <n v="0"/>
    <n v="0"/>
    <x v="1"/>
    <n v="99"/>
    <n v="0"/>
  </r>
  <r>
    <x v="57"/>
    <x v="0"/>
    <n v="4250008010"/>
    <s v="11600 NATIONAL BLVD W  90064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0"/>
    <n v="5544025032"/>
    <s v="5504 W HOLLYWOOD BLVD"/>
    <s v="5+"/>
    <x v="0"/>
    <n v="0"/>
    <n v="0"/>
    <n v="64"/>
    <n v="0"/>
    <n v="14"/>
    <n v="0"/>
    <x v="0"/>
    <n v="0"/>
    <n v="64"/>
    <n v="0"/>
    <n v="14"/>
    <n v="0"/>
    <n v="0"/>
    <n v="0"/>
    <n v="0"/>
    <n v="0"/>
    <n v="0"/>
    <n v="0"/>
    <x v="0"/>
    <n v="55"/>
    <n v="145"/>
  </r>
  <r>
    <x v="57"/>
    <x v="0"/>
    <n v="2214025014"/>
    <s v="7700 N WOODMAN AVE 1-239"/>
    <s v="5+"/>
    <x v="0"/>
    <n v="0"/>
    <n v="0"/>
    <n v="0"/>
    <n v="0"/>
    <n v="0"/>
    <n v="0"/>
    <x v="0"/>
    <n v="0"/>
    <n v="56"/>
    <n v="0"/>
    <n v="0"/>
    <n v="0"/>
    <n v="0"/>
    <n v="0"/>
    <n v="0"/>
    <n v="0"/>
    <n v="0"/>
    <n v="0"/>
    <x v="0"/>
    <n v="55"/>
    <n v="0"/>
  </r>
  <r>
    <x v="57"/>
    <x v="0"/>
    <n v="5076019027"/>
    <s v="1216 MENLO AVE  S  90006"/>
    <s v="5+"/>
    <x v="0"/>
    <n v="0"/>
    <n v="0"/>
    <n v="12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0"/>
    <n v="2239006043"/>
    <s v="13724 W VICTORY BLVD #1 -#67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19"/>
  </r>
  <r>
    <x v="57"/>
    <x v="0"/>
    <n v="2353002012"/>
    <s v="5147-5149 N BAKMAN AVE"/>
    <s v="5+"/>
    <x v="0"/>
    <n v="0"/>
    <n v="0"/>
    <n v="0"/>
    <n v="0"/>
    <n v="0"/>
    <n v="0"/>
    <x v="17"/>
    <n v="0"/>
    <n v="1"/>
    <n v="0"/>
    <n v="0"/>
    <n v="0"/>
    <n v="0"/>
    <n v="0"/>
    <n v="0"/>
    <n v="0"/>
    <n v="0"/>
    <n v="0"/>
    <x v="0"/>
    <n v="55"/>
    <n v="0"/>
  </r>
  <r>
    <x v="57"/>
    <x v="0"/>
    <n v="2353017012"/>
    <s v="11168 W MORRISON ST 1-12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0"/>
    <n v="5179019900"/>
    <s v="3401-3415 E 1ST ST"/>
    <s v="5+"/>
    <x v="0"/>
    <n v="0"/>
    <n v="0"/>
    <n v="0"/>
    <n v="0"/>
    <n v="0"/>
    <n v="0"/>
    <x v="57"/>
    <n v="0"/>
    <n v="0"/>
    <n v="0"/>
    <n v="0"/>
    <n v="0"/>
    <n v="0"/>
    <n v="0"/>
    <n v="0"/>
    <n v="0"/>
    <n v="0"/>
    <n v="0"/>
    <x v="0"/>
    <n v="55"/>
    <n v="0"/>
  </r>
  <r>
    <x v="62"/>
    <x v="1"/>
    <n v="6973039"/>
    <s v="2340 SAN JOSE AV"/>
    <s v="5+"/>
    <x v="0"/>
    <n v="0"/>
    <n v="0"/>
    <n v="0"/>
    <n v="0"/>
    <n v="0"/>
    <n v="0"/>
    <x v="0"/>
    <n v="0"/>
    <n v="0"/>
    <n v="0"/>
    <n v="0"/>
    <n v="0"/>
    <n v="88"/>
    <n v="0"/>
    <n v="24"/>
    <n v="0"/>
    <n v="18"/>
    <n v="0"/>
    <x v="0"/>
    <n v="99"/>
    <n v="34"/>
  </r>
  <r>
    <x v="62"/>
    <x v="1"/>
    <n v="8901002"/>
    <s v="1 AVENUE OF THE PALMS *"/>
    <s v="5+"/>
    <x v="0"/>
    <n v="0"/>
    <n v="0"/>
    <n v="0"/>
    <n v="0"/>
    <n v="0"/>
    <n v="0"/>
    <x v="0"/>
    <n v="0"/>
    <n v="0"/>
    <n v="0"/>
    <n v="0"/>
    <n v="0"/>
    <n v="0"/>
    <n v="0"/>
    <n v="105"/>
    <n v="0"/>
    <n v="0"/>
    <n v="0"/>
    <x v="1"/>
    <n v="99"/>
    <n v="0"/>
  </r>
  <r>
    <x v="62"/>
    <x v="1"/>
    <s v="4591C674"/>
    <s v="52 KIRKWOOD AV"/>
    <s v="5+"/>
    <x v="1"/>
    <n v="0"/>
    <n v="0"/>
    <n v="0"/>
    <n v="0"/>
    <n v="0"/>
    <n v="0"/>
    <x v="0"/>
    <n v="0"/>
    <n v="0"/>
    <n v="0"/>
    <n v="0"/>
    <n v="0"/>
    <n v="0"/>
    <n v="0"/>
    <n v="9"/>
    <n v="0"/>
    <n v="0"/>
    <n v="0"/>
    <x v="1"/>
    <n v="99"/>
    <n v="0"/>
  </r>
  <r>
    <x v="120"/>
    <x v="1"/>
    <s v="585-08201-"/>
    <s v="PACIFICA AND GATEWAY"/>
    <s v="5+"/>
    <x v="0"/>
    <n v="28"/>
    <n v="0"/>
    <n v="0"/>
    <n v="0"/>
    <n v="81"/>
    <n v="0"/>
    <x v="0"/>
    <n v="0"/>
    <n v="0"/>
    <n v="0"/>
    <n v="0"/>
    <n v="0"/>
    <n v="0"/>
    <n v="0"/>
    <n v="0"/>
    <n v="0"/>
    <n v="0"/>
    <n v="0"/>
    <x v="0"/>
    <m/>
    <n v="20"/>
  </r>
  <r>
    <x v="56"/>
    <x v="1"/>
    <s v="72-383-04"/>
    <s v="1501 BUENA VISTA AVE"/>
    <s v="5+"/>
    <x v="0"/>
    <n v="0"/>
    <n v="0"/>
    <n v="0"/>
    <n v="0"/>
    <n v="24"/>
    <n v="0"/>
    <x v="0"/>
    <n v="0"/>
    <n v="0"/>
    <n v="0"/>
    <n v="24"/>
    <n v="0"/>
    <n v="0"/>
    <n v="0"/>
    <n v="0"/>
    <n v="0"/>
    <n v="24"/>
    <n v="0"/>
    <x v="0"/>
    <n v="1000"/>
    <n v="20"/>
  </r>
  <r>
    <x v="43"/>
    <x v="3"/>
    <s v="505-182-010, 505-182-004"/>
    <s v="1479 N. Palm Canyon Dr"/>
    <s v="5+"/>
    <x v="0"/>
    <n v="32"/>
    <n v="0"/>
    <n v="37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27"/>
    <x v="5"/>
    <s v="946 462300900"/>
    <s v="3363 STREAMSIDE CI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8"/>
    <n v="0"/>
    <x v="1"/>
    <n v="1000"/>
    <n v="0"/>
  </r>
  <r>
    <x v="10"/>
    <x v="1"/>
    <s v="220-32-059"/>
    <s v="3049 El Camino Real, SANTA CLARA, CA 95051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m/>
    <n v="0"/>
  </r>
  <r>
    <x v="10"/>
    <x v="1"/>
    <s v="097-46-020"/>
    <s v="2223 CALLE DE LUNA, SANTA CLARA, CA 95054"/>
    <s v="5+"/>
    <x v="0"/>
    <n v="0"/>
    <n v="0"/>
    <n v="0"/>
    <n v="0"/>
    <n v="0"/>
    <n v="0"/>
    <x v="3"/>
    <n v="0"/>
    <n v="7"/>
    <n v="0"/>
    <n v="13"/>
    <n v="0"/>
    <n v="0"/>
    <n v="0"/>
    <n v="0"/>
    <n v="0"/>
    <n v="0"/>
    <n v="0"/>
    <x v="1"/>
    <n v="55"/>
    <n v="0"/>
  </r>
  <r>
    <x v="143"/>
    <x v="5"/>
    <n v="1602701200"/>
    <s v="3271 SEA COVE WAY"/>
    <s v="5+"/>
    <x v="0"/>
    <n v="0"/>
    <n v="0"/>
    <n v="0"/>
    <n v="0"/>
    <n v="0"/>
    <n v="0"/>
    <x v="0"/>
    <n v="0"/>
    <n v="0"/>
    <n v="0"/>
    <n v="0"/>
    <n v="0"/>
    <n v="10"/>
    <n v="0"/>
    <n v="0"/>
    <n v="0"/>
    <n v="0"/>
    <n v="0"/>
    <x v="1"/>
    <m/>
    <n v="0"/>
  </r>
  <r>
    <x v="143"/>
    <x v="5"/>
    <n v="1602701200"/>
    <s v="3229 MISSION COVE"/>
    <s v="5+"/>
    <x v="0"/>
    <n v="0"/>
    <n v="0"/>
    <n v="0"/>
    <n v="0"/>
    <n v="0"/>
    <n v="0"/>
    <x v="0"/>
    <n v="0"/>
    <n v="0"/>
    <n v="0"/>
    <n v="0"/>
    <n v="0"/>
    <n v="138"/>
    <n v="0"/>
    <n v="0"/>
    <n v="0"/>
    <n v="0"/>
    <n v="0"/>
    <x v="1"/>
    <m/>
    <n v="0"/>
  </r>
  <r>
    <x v="18"/>
    <x v="5"/>
    <s v="243-150-017"/>
    <s v="210 Lafayette Circle"/>
    <s v="5+"/>
    <x v="1"/>
    <n v="0"/>
    <n v="0"/>
    <n v="0"/>
    <n v="0"/>
    <n v="2"/>
    <n v="0"/>
    <x v="0"/>
    <n v="0"/>
    <n v="0"/>
    <n v="0"/>
    <n v="0"/>
    <n v="0"/>
    <n v="0"/>
    <n v="0"/>
    <n v="0"/>
    <n v="0"/>
    <n v="0"/>
    <n v="0"/>
    <x v="1"/>
    <m/>
    <n v="0"/>
  </r>
  <r>
    <x v="133"/>
    <x v="5"/>
    <n v="6009010031"/>
    <s v="1708 E 61st Street, Los Angeles CA 90001"/>
    <s v="5+"/>
    <x v="0"/>
    <n v="5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1"/>
    <n v="0"/>
    <s v="1510  PARKMOOR AV  , SAN JOSE CA 95128"/>
    <s v="5+"/>
    <x v="0"/>
    <n v="0"/>
    <n v="0"/>
    <n v="0"/>
    <n v="0"/>
    <n v="0"/>
    <n v="0"/>
    <x v="74"/>
    <n v="0"/>
    <n v="15"/>
    <n v="0"/>
    <n v="0"/>
    <n v="0"/>
    <n v="0"/>
    <n v="0"/>
    <n v="0"/>
    <n v="0"/>
    <n v="0"/>
    <n v="0"/>
    <x v="0"/>
    <n v="55"/>
    <n v="0"/>
  </r>
  <r>
    <x v="138"/>
    <x v="1"/>
    <s v="007-140-07ST"/>
    <s v="1501 Clyde Fannon Rd Bldg J"/>
    <s v="5+"/>
    <x v="0"/>
    <n v="0"/>
    <n v="0"/>
    <n v="0"/>
    <n v="0"/>
    <n v="0"/>
    <n v="0"/>
    <x v="0"/>
    <n v="0"/>
    <n v="8"/>
    <n v="0"/>
    <n v="0"/>
    <n v="0"/>
    <n v="0"/>
    <n v="0"/>
    <n v="0"/>
    <n v="0"/>
    <n v="0"/>
    <n v="0"/>
    <x v="0"/>
    <m/>
    <n v="26"/>
  </r>
  <r>
    <x v="133"/>
    <x v="1"/>
    <n v="6026031030"/>
    <s v="2111 E Firestone Boulevard, Los Angeles CA 90002"/>
    <s v="5+"/>
    <x v="0"/>
    <n v="0"/>
    <n v="0"/>
    <n v="0"/>
    <n v="0"/>
    <n v="0"/>
    <n v="0"/>
    <x v="49"/>
    <n v="0"/>
    <n v="42"/>
    <n v="0"/>
    <n v="0"/>
    <n v="0"/>
    <n v="0"/>
    <n v="0"/>
    <n v="0"/>
    <n v="0"/>
    <n v="0"/>
    <n v="0"/>
    <x v="0"/>
    <n v="55"/>
    <n v="487"/>
  </r>
  <r>
    <x v="169"/>
    <x v="5"/>
    <s v="005-131-038"/>
    <s v="122 Brown"/>
    <s v="5+"/>
    <x v="0"/>
    <n v="3"/>
    <n v="0"/>
    <n v="8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78"/>
    <x v="3"/>
    <n v="41208061"/>
    <s v="228 - 246 RAILWAY AVE (10 UNITS) BUILDING 4"/>
    <s v="5+"/>
    <x v="1"/>
    <n v="0"/>
    <n v="0"/>
    <n v="0"/>
    <n v="0"/>
    <n v="0"/>
    <n v="0"/>
    <x v="0"/>
    <n v="0"/>
    <n v="0"/>
    <n v="0"/>
    <n v="0"/>
    <n v="0"/>
    <n v="1"/>
    <n v="0"/>
    <n v="1"/>
    <n v="0"/>
    <n v="0"/>
    <n v="0"/>
    <x v="0"/>
    <n v="0"/>
    <n v="25"/>
  </r>
  <r>
    <x v="133"/>
    <x v="1"/>
    <n v="5802029081"/>
    <s v="2906 Fairmount Avenue #1, La Crescenta CA 91214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13"/>
  </r>
  <r>
    <x v="56"/>
    <x v="4"/>
    <s v="74-1377-4"/>
    <s v="171 W ATLANTIC AVE"/>
    <s v="5+"/>
    <x v="0"/>
    <n v="31"/>
    <n v="0"/>
    <n v="28"/>
    <n v="0"/>
    <n v="0"/>
    <n v="0"/>
    <x v="30"/>
    <n v="0"/>
    <n v="28"/>
    <n v="0"/>
    <n v="0"/>
    <n v="0"/>
    <n v="0"/>
    <n v="0"/>
    <n v="0"/>
    <n v="0"/>
    <n v="0"/>
    <n v="0"/>
    <x v="0"/>
    <n v="1000"/>
    <n v="0"/>
  </r>
  <r>
    <x v="138"/>
    <x v="1"/>
    <s v="007-140-07ST"/>
    <s v="1501 Clyde Fannon Rd Bldg K"/>
    <s v="5+"/>
    <x v="0"/>
    <n v="0"/>
    <n v="0"/>
    <n v="0"/>
    <n v="0"/>
    <n v="0"/>
    <n v="0"/>
    <x v="0"/>
    <n v="0"/>
    <n v="8"/>
    <n v="0"/>
    <n v="0"/>
    <n v="0"/>
    <n v="0"/>
    <n v="0"/>
    <n v="0"/>
    <n v="0"/>
    <n v="0"/>
    <n v="0"/>
    <x v="0"/>
    <m/>
    <n v="26"/>
  </r>
  <r>
    <x v="28"/>
    <x v="5"/>
    <s v="024-180-100"/>
    <s v="200 Rollins Road"/>
    <s v="5+"/>
    <x v="0"/>
    <n v="24"/>
    <n v="0"/>
    <n v="55"/>
    <n v="0"/>
    <n v="21"/>
    <n v="0"/>
    <x v="0"/>
    <n v="0"/>
    <n v="0"/>
    <n v="0"/>
    <n v="0"/>
    <n v="0"/>
    <n v="0"/>
    <n v="0"/>
    <n v="0"/>
    <n v="0"/>
    <n v="0"/>
    <n v="0"/>
    <x v="1"/>
    <n v="55"/>
    <n v="0"/>
  </r>
  <r>
    <x v="28"/>
    <x v="5"/>
    <s v="024-154-200"/>
    <s v="200 El Camino Real"/>
    <s v="5+"/>
    <x v="0"/>
    <n v="0"/>
    <n v="0"/>
    <n v="45"/>
    <n v="0"/>
    <n v="22"/>
    <n v="0"/>
    <x v="0"/>
    <n v="0"/>
    <n v="0"/>
    <n v="0"/>
    <n v="0"/>
    <n v="0"/>
    <n v="0"/>
    <n v="0"/>
    <n v="0"/>
    <n v="0"/>
    <n v="0"/>
    <n v="0"/>
    <x v="1"/>
    <n v="55"/>
    <n v="0"/>
  </r>
  <r>
    <x v="78"/>
    <x v="3"/>
    <n v="41208061"/>
    <s v="201 - 209 MALLEY WY (5 UNITS) BUILDING 2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45"/>
    <n v="0"/>
  </r>
  <r>
    <x v="133"/>
    <x v="1"/>
    <n v="6009029060"/>
    <s v="1725 E Florence Avenue, Los Angeles CA 90001"/>
    <s v="5+"/>
    <x v="0"/>
    <n v="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5"/>
  </r>
  <r>
    <x v="184"/>
    <x v="5"/>
    <s v="096-101-30"/>
    <s v="14041 Locust St.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2"/>
    <x v="2"/>
    <s v="071-0190-061-0000"/>
    <s v="BIDWELL PLACE"/>
    <s v="5+"/>
    <x v="0"/>
    <n v="8"/>
    <n v="0"/>
    <n v="6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80"/>
    <x v="1"/>
    <s v="049360060;050220020;050220170;050220160"/>
    <s v="808 Alameda De Las Pulgas"/>
    <s v="5+"/>
    <x v="1"/>
    <n v="0"/>
    <n v="0"/>
    <n v="1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38"/>
    <x v="1"/>
    <s v="004-124-34"/>
    <s v="1811 MISSION ST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35"/>
  </r>
  <r>
    <x v="69"/>
    <x v="2"/>
    <s v="040-311-014"/>
    <m/>
    <s v="5+"/>
    <x v="0"/>
    <n v="0"/>
    <n v="0"/>
    <n v="0"/>
    <n v="0"/>
    <n v="1"/>
    <n v="0"/>
    <x v="0"/>
    <n v="0"/>
    <n v="0"/>
    <n v="0"/>
    <n v="0"/>
    <n v="0"/>
    <n v="0"/>
    <n v="0"/>
    <n v="0"/>
    <n v="0"/>
    <n v="0"/>
    <n v="0"/>
    <x v="1"/>
    <m/>
    <n v="0"/>
  </r>
  <r>
    <x v="141"/>
    <x v="1"/>
    <s v="839-161-17"/>
    <s v="28813 Los Alisos, Unit 6"/>
    <s v="5+"/>
    <x v="1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85"/>
    <x v="2"/>
    <s v="031-292-064-000"/>
    <s v="16242 EAST GARRISON DR, EAST GARRISON, CA 93933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45"/>
    <n v="0"/>
  </r>
  <r>
    <x v="139"/>
    <x v="2"/>
    <s v="134-132-070"/>
    <s v="3422 Santa Rosa Ave, Santa Rosa CA 95407"/>
    <s v="5+"/>
    <x v="0"/>
    <n v="0"/>
    <n v="0"/>
    <n v="0"/>
    <n v="0"/>
    <n v="0"/>
    <n v="0"/>
    <x v="0"/>
    <n v="0"/>
    <n v="15"/>
    <n v="0"/>
    <n v="0"/>
    <n v="0"/>
    <n v="0"/>
    <n v="0"/>
    <n v="0"/>
    <n v="0"/>
    <n v="0"/>
    <n v="0"/>
    <x v="0"/>
    <n v="55"/>
    <n v="0"/>
  </r>
  <r>
    <x v="17"/>
    <x v="0"/>
    <s v="007-313-19"/>
    <s v="2239 W Fifth St"/>
    <s v="5+"/>
    <x v="0"/>
    <n v="0"/>
    <n v="0"/>
    <n v="0"/>
    <n v="0"/>
    <n v="0"/>
    <n v="0"/>
    <x v="0"/>
    <n v="0"/>
    <n v="0"/>
    <n v="0"/>
    <n v="0"/>
    <n v="0"/>
    <n v="20"/>
    <n v="0"/>
    <n v="30"/>
    <n v="0"/>
    <n v="0"/>
    <n v="0"/>
    <x v="1"/>
    <n v="55"/>
    <n v="0"/>
  </r>
  <r>
    <x v="17"/>
    <x v="0"/>
    <s v="398-303-04"/>
    <s v="801 E Santa Ana Blvd"/>
    <s v="5+"/>
    <x v="0"/>
    <n v="16"/>
    <n v="0"/>
    <n v="0"/>
    <n v="0"/>
    <n v="0"/>
    <n v="0"/>
    <x v="45"/>
    <n v="0"/>
    <n v="0"/>
    <n v="0"/>
    <n v="0"/>
    <n v="0"/>
    <n v="0"/>
    <n v="0"/>
    <n v="0"/>
    <n v="0"/>
    <n v="0"/>
    <n v="0"/>
    <x v="0"/>
    <n v="55"/>
    <n v="70"/>
  </r>
  <r>
    <x v="31"/>
    <x v="5"/>
    <n v="-3730"/>
    <s v="815  COTATI TR 1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3945"/>
    <s v="808  JULIAN TR 3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20565063"/>
    <s v="895 DE GUIGNE DR 3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1"/>
    <n v="0"/>
    <x v="1"/>
    <n v="30"/>
    <n v="0"/>
  </r>
  <r>
    <x v="31"/>
    <x v="5"/>
    <n v="20946041"/>
    <s v="124  MAIDENHAIR TR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947034"/>
    <s v="149  IVORY PALM TR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908049"/>
    <s v="137  JEFFREY TR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57"/>
    <s v="556  SAN MARTIN TR 2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37"/>
    <s v="885  DE GUIGNE DR 2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23"/>
    <s v="541  SAN MARCOS TR 1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42"/>
    <x v="2"/>
    <s v="128-181-001"/>
    <s v="1269 Broadway"/>
    <s v="5+"/>
    <x v="0"/>
    <n v="7"/>
    <n v="0"/>
    <n v="1"/>
    <n v="0"/>
    <n v="0"/>
    <n v="0"/>
    <x v="3"/>
    <n v="0"/>
    <n v="3"/>
    <n v="0"/>
    <n v="0"/>
    <n v="0"/>
    <n v="0"/>
    <n v="0"/>
    <n v="0"/>
    <n v="0"/>
    <n v="0"/>
    <n v="0"/>
    <x v="0"/>
    <m/>
    <n v="0"/>
  </r>
  <r>
    <x v="42"/>
    <x v="2"/>
    <s v="128-181-001"/>
    <s v="1269 Broadway"/>
    <s v="5+"/>
    <x v="0"/>
    <n v="7"/>
    <n v="0"/>
    <n v="1"/>
    <n v="0"/>
    <n v="0"/>
    <n v="0"/>
    <x v="3"/>
    <n v="0"/>
    <n v="1"/>
    <n v="0"/>
    <n v="0"/>
    <n v="0"/>
    <n v="0"/>
    <n v="0"/>
    <n v="0"/>
    <n v="0"/>
    <n v="0"/>
    <n v="0"/>
    <x v="0"/>
    <m/>
    <n v="0"/>
  </r>
  <r>
    <x v="42"/>
    <x v="2"/>
    <s v="128-181-001"/>
    <s v="1269 Broadway"/>
    <s v="5+"/>
    <x v="0"/>
    <n v="5"/>
    <n v="0"/>
    <n v="1"/>
    <n v="0"/>
    <n v="0"/>
    <n v="0"/>
    <x v="3"/>
    <n v="0"/>
    <n v="1"/>
    <n v="0"/>
    <n v="0"/>
    <n v="0"/>
    <n v="0"/>
    <n v="0"/>
    <n v="0"/>
    <n v="0"/>
    <n v="0"/>
    <n v="0"/>
    <x v="0"/>
    <m/>
    <n v="0"/>
  </r>
  <r>
    <x v="42"/>
    <x v="2"/>
    <s v="128-181-001"/>
    <s v="12690 Broadway"/>
    <s v="5+"/>
    <x v="0"/>
    <n v="7"/>
    <n v="0"/>
    <n v="1"/>
    <n v="0"/>
    <n v="0"/>
    <n v="0"/>
    <x v="3"/>
    <n v="0"/>
    <n v="1"/>
    <n v="0"/>
    <n v="0"/>
    <n v="0"/>
    <n v="0"/>
    <n v="0"/>
    <n v="0"/>
    <n v="0"/>
    <n v="0"/>
    <n v="0"/>
    <x v="0"/>
    <m/>
    <n v="0"/>
  </r>
  <r>
    <x v="186"/>
    <x v="5"/>
    <s v="078C-0438-019-01"/>
    <s v="Mission Blvd/Valle Vista/Dixon Street/Industrial Pkwy"/>
    <s v="5+"/>
    <x v="1"/>
    <n v="0"/>
    <n v="0"/>
    <n v="20"/>
    <n v="0"/>
    <n v="28"/>
    <n v="0"/>
    <x v="0"/>
    <n v="0"/>
    <n v="0"/>
    <n v="0"/>
    <n v="0"/>
    <n v="0"/>
    <n v="0"/>
    <n v="0"/>
    <n v="0"/>
    <n v="0"/>
    <n v="0"/>
    <n v="0"/>
    <x v="1"/>
    <n v="1000"/>
    <n v="0"/>
  </r>
  <r>
    <x v="54"/>
    <x v="5"/>
    <n v="55170320"/>
    <s v="3640 Haven Ave - Building A"/>
    <s v="5+"/>
    <x v="0"/>
    <n v="0"/>
    <n v="0"/>
    <n v="0"/>
    <n v="0"/>
    <n v="0"/>
    <n v="0"/>
    <x v="0"/>
    <n v="0"/>
    <n v="0"/>
    <n v="0"/>
    <n v="0"/>
    <n v="0"/>
    <n v="10"/>
    <n v="0"/>
    <n v="4"/>
    <n v="0"/>
    <n v="0"/>
    <n v="0"/>
    <x v="1"/>
    <m/>
    <n v="0"/>
  </r>
  <r>
    <x v="37"/>
    <x v="3"/>
    <s v="163-171-039"/>
    <s v="295 Shiloh Road"/>
    <s v="5+"/>
    <x v="0"/>
    <n v="0"/>
    <n v="0"/>
    <n v="17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87"/>
    <x v="0"/>
    <n v="5345004006"/>
    <s v="101 S Chapel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88"/>
    <x v="3"/>
    <n v="60237018"/>
    <s v="1176 Ramona Ave"/>
    <s v="5+"/>
    <x v="0"/>
    <n v="0"/>
    <n v="0"/>
    <n v="3"/>
    <n v="0"/>
    <n v="0"/>
    <n v="0"/>
    <x v="0"/>
    <n v="0"/>
    <n v="3"/>
    <n v="0"/>
    <n v="0"/>
    <n v="16"/>
    <n v="0"/>
    <n v="0"/>
    <n v="0"/>
    <n v="0"/>
    <n v="0"/>
    <n v="0"/>
    <x v="0"/>
    <n v="30"/>
    <n v="35"/>
  </r>
  <r>
    <x v="189"/>
    <x v="1"/>
    <s v="159-121-26"/>
    <s v="18750 Delaware St"/>
    <s v="5+"/>
    <x v="0"/>
    <n v="0"/>
    <n v="0"/>
    <n v="0"/>
    <n v="0"/>
    <n v="0"/>
    <n v="0"/>
    <x v="0"/>
    <n v="0"/>
    <n v="70"/>
    <n v="0"/>
    <n v="0"/>
    <n v="0"/>
    <n v="0"/>
    <n v="0"/>
    <n v="0"/>
    <n v="0"/>
    <n v="0"/>
    <n v="0"/>
    <x v="0"/>
    <n v="55"/>
    <n v="48"/>
  </r>
  <r>
    <x v="190"/>
    <x v="4"/>
    <n v="6320091375"/>
    <s v="1196 Patricia Ave"/>
    <s v="5+"/>
    <x v="0"/>
    <n v="0"/>
    <n v="0"/>
    <n v="0"/>
    <n v="0"/>
    <n v="0"/>
    <n v="0"/>
    <x v="0"/>
    <n v="0"/>
    <n v="0"/>
    <n v="0"/>
    <n v="0"/>
    <n v="0"/>
    <n v="5"/>
    <n v="0"/>
    <n v="0"/>
    <n v="0"/>
    <n v="0"/>
    <n v="60"/>
    <x v="0"/>
    <m/>
    <n v="0"/>
  </r>
  <r>
    <x v="133"/>
    <x v="0"/>
    <n v="5381035029"/>
    <s v="6343 Rosemead Boulevard_x000a_San Gabriel, CA 91775"/>
    <s v="5+"/>
    <x v="0"/>
    <n v="1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133"/>
    <x v="0"/>
    <n v="5810008001"/>
    <s v="2434 Foothill Boulevard_x000a_La Crescenta, CA 91214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25"/>
  </r>
  <r>
    <x v="191"/>
    <x v="1"/>
    <s v="411-041-009"/>
    <s v="1820 Rumrill"/>
    <s v="5+"/>
    <x v="0"/>
    <n v="0"/>
    <n v="0"/>
    <n v="40"/>
    <n v="0"/>
    <n v="0"/>
    <n v="0"/>
    <x v="0"/>
    <n v="0"/>
    <n v="0"/>
    <n v="0"/>
    <n v="0"/>
    <n v="0"/>
    <n v="0"/>
    <n v="0"/>
    <n v="0"/>
    <n v="0"/>
    <n v="0"/>
    <n v="0"/>
    <x v="0"/>
    <m/>
    <n v="80"/>
  </r>
  <r>
    <x v="136"/>
    <x v="1"/>
    <n v="43060101"/>
    <s v="784 W Holland Ave"/>
    <s v="5+"/>
    <x v="0"/>
    <n v="0"/>
    <n v="0"/>
    <n v="0"/>
    <n v="0"/>
    <n v="0"/>
    <n v="0"/>
    <x v="0"/>
    <n v="0"/>
    <n v="0"/>
    <n v="0"/>
    <n v="0"/>
    <n v="0"/>
    <n v="73"/>
    <n v="0"/>
    <n v="0"/>
    <n v="0"/>
    <n v="0"/>
    <n v="2"/>
    <x v="0"/>
    <n v="55"/>
    <n v="0"/>
  </r>
  <r>
    <x v="131"/>
    <x v="3"/>
    <s v="055 188000700"/>
    <s v="2435 HASTE"/>
    <s v="5+"/>
    <x v="0"/>
    <n v="5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1000"/>
    <n v="50"/>
  </r>
  <r>
    <x v="134"/>
    <x v="3"/>
    <n v="1560180485"/>
    <s v="2803 SOMIS RD, SOMIS, CA"/>
    <s v="5+"/>
    <x v="0"/>
    <n v="0"/>
    <n v="0"/>
    <n v="0"/>
    <n v="0"/>
    <n v="0"/>
    <n v="0"/>
    <x v="35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797 SOMIS RD, SOMIS, CA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0"/>
    <n v="1000"/>
    <n v="80"/>
  </r>
  <r>
    <x v="38"/>
    <x v="5"/>
    <s v="007-021-06"/>
    <s v="711 PACIFIC AVE"/>
    <s v="5+"/>
    <x v="0"/>
    <n v="1"/>
    <n v="0"/>
    <n v="0"/>
    <n v="6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151"/>
    <x v="5"/>
    <m/>
    <s v="1418 Mauro Pietro Bldg 3"/>
    <s v="5+"/>
    <x v="1"/>
    <n v="0"/>
    <n v="0"/>
    <n v="0"/>
    <n v="0"/>
    <n v="0"/>
    <n v="0"/>
    <x v="0"/>
    <n v="0"/>
    <n v="1"/>
    <n v="0"/>
    <n v="3"/>
    <n v="0"/>
    <n v="0"/>
    <n v="0"/>
    <n v="0"/>
    <n v="0"/>
    <n v="0"/>
    <n v="0"/>
    <x v="1"/>
    <m/>
    <n v="0"/>
  </r>
  <r>
    <x v="152"/>
    <x v="5"/>
    <s v="157-970-04"/>
    <s v="801 State Access Rd."/>
    <s v="5+"/>
    <x v="0"/>
    <n v="0"/>
    <n v="0"/>
    <n v="0"/>
    <n v="0"/>
    <n v="0"/>
    <n v="0"/>
    <x v="12"/>
    <n v="0"/>
    <n v="4"/>
    <n v="0"/>
    <n v="0"/>
    <n v="39"/>
    <n v="0"/>
    <n v="0"/>
    <n v="0"/>
    <n v="0"/>
    <n v="0"/>
    <n v="0"/>
    <x v="1"/>
    <m/>
    <n v="0"/>
  </r>
  <r>
    <x v="75"/>
    <x v="4"/>
    <s v="012232140"/>
    <s v="645 Baden Ave"/>
    <s v="5+"/>
    <x v="1"/>
    <n v="0"/>
    <n v="0"/>
    <n v="0"/>
    <n v="0"/>
    <n v="2"/>
    <n v="0"/>
    <x v="0"/>
    <n v="0"/>
    <n v="0"/>
    <n v="0"/>
    <n v="0"/>
    <n v="0"/>
    <n v="0"/>
    <n v="0"/>
    <n v="0"/>
    <n v="0"/>
    <n v="0"/>
    <n v="0"/>
    <x v="1"/>
    <n v="55"/>
    <n v="0"/>
  </r>
  <r>
    <x v="75"/>
    <x v="4"/>
    <s v="093312050; 093312060"/>
    <s v="1051 Mission Road"/>
    <s v="5+"/>
    <x v="0"/>
    <n v="55"/>
    <n v="0"/>
    <n v="103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38"/>
    <x v="1"/>
    <s v="005-151-46"/>
    <s v="530 FRONT ST"/>
    <s v="5+"/>
    <x v="0"/>
    <n v="28"/>
    <n v="0"/>
    <n v="9"/>
    <n v="0"/>
    <n v="0"/>
    <n v="0"/>
    <x v="0"/>
    <n v="0"/>
    <n v="0"/>
    <n v="0"/>
    <n v="0"/>
    <n v="0"/>
    <n v="0"/>
    <n v="0"/>
    <n v="0"/>
    <n v="0"/>
    <n v="0"/>
    <n v="0"/>
    <x v="0"/>
    <n v="1000"/>
    <n v="50"/>
  </r>
  <r>
    <x v="38"/>
    <x v="1"/>
    <s v="009-234-25"/>
    <s v="915 WATER ST"/>
    <s v="5+"/>
    <x v="0"/>
    <n v="1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50"/>
  </r>
  <r>
    <x v="180"/>
    <x v="1"/>
    <n v="51361050"/>
    <s v="1383 Laurel St"/>
    <s v="5+"/>
    <x v="1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38"/>
    <x v="1"/>
    <s v="010-012-29"/>
    <s v="515 SOQUEL AVE"/>
    <s v="5+"/>
    <x v="0"/>
    <n v="4"/>
    <n v="0"/>
    <n v="3"/>
    <n v="0"/>
    <n v="0"/>
    <n v="0"/>
    <x v="0"/>
    <n v="0"/>
    <n v="0"/>
    <n v="0"/>
    <n v="0"/>
    <n v="0"/>
    <n v="0"/>
    <n v="0"/>
    <n v="0"/>
    <n v="0"/>
    <n v="0"/>
    <n v="0"/>
    <x v="0"/>
    <n v="1000"/>
    <n v="35"/>
  </r>
  <r>
    <x v="38"/>
    <x v="1"/>
    <s v="008-181-23"/>
    <s v="150 FELKER ST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187"/>
    <x v="0"/>
    <n v="5337001001"/>
    <s v="300 E Alhambra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30"/>
    <x v="4"/>
    <s v="3009-024-935"/>
    <s v="931 E AVENUE Q-12"/>
    <s v="5+"/>
    <x v="0"/>
    <n v="0"/>
    <n v="0"/>
    <n v="0"/>
    <n v="0"/>
    <n v="0"/>
    <n v="0"/>
    <x v="0"/>
    <n v="0"/>
    <n v="0"/>
    <n v="0"/>
    <n v="0"/>
    <n v="0"/>
    <n v="39"/>
    <n v="0"/>
    <n v="40"/>
    <n v="0"/>
    <n v="1"/>
    <n v="0"/>
    <x v="0"/>
    <n v="85"/>
    <n v="0"/>
  </r>
  <r>
    <x v="62"/>
    <x v="4"/>
    <n v="3532013"/>
    <s v="344 14th Street / 1463 Stevenson Street"/>
    <s v="5+"/>
    <x v="0"/>
    <n v="5"/>
    <n v="0"/>
    <n v="1"/>
    <n v="0"/>
    <n v="2"/>
    <n v="0"/>
    <x v="0"/>
    <n v="0"/>
    <n v="0"/>
    <n v="0"/>
    <n v="0"/>
    <n v="0"/>
    <n v="0"/>
    <n v="0"/>
    <n v="0"/>
    <n v="0"/>
    <n v="0"/>
    <n v="0"/>
    <x v="0"/>
    <m/>
    <n v="0"/>
  </r>
  <r>
    <x v="62"/>
    <x v="4"/>
    <n v="6571012"/>
    <s v="3314 CESAR CHAVEZ ST"/>
    <s v="5+"/>
    <x v="1"/>
    <n v="0"/>
    <n v="0"/>
    <n v="6"/>
    <n v="0"/>
    <n v="2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n v="3593001"/>
    <s v="3101 19TH ST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2"/>
    <x v="4"/>
    <s v="0744010"/>
    <s v="950 GOUGH ST"/>
    <s v="5+"/>
    <x v="0"/>
    <n v="0"/>
    <n v="0"/>
    <n v="0"/>
    <n v="0"/>
    <n v="0"/>
    <n v="0"/>
    <x v="0"/>
    <n v="0"/>
    <n v="0"/>
    <n v="0"/>
    <n v="11"/>
    <n v="0"/>
    <n v="0"/>
    <n v="0"/>
    <n v="0"/>
    <n v="0"/>
    <n v="0"/>
    <n v="0"/>
    <x v="1"/>
    <m/>
    <n v="0"/>
  </r>
  <r>
    <x v="181"/>
    <x v="5"/>
    <s v="094-010-860"/>
    <s v="551-565 Pilgrim Drive"/>
    <s v="5+"/>
    <x v="0"/>
    <n v="2"/>
    <n v="0"/>
    <n v="2"/>
    <n v="0"/>
    <n v="10"/>
    <n v="0"/>
    <x v="0"/>
    <n v="0"/>
    <n v="0"/>
    <n v="0"/>
    <n v="0"/>
    <n v="0"/>
    <n v="0"/>
    <n v="0"/>
    <n v="0"/>
    <n v="0"/>
    <n v="0"/>
    <n v="0"/>
    <x v="1"/>
    <n v="99"/>
    <n v="0"/>
  </r>
  <r>
    <x v="184"/>
    <x v="5"/>
    <s v="203-311-13, 24, &amp; 16"/>
    <s v="13800-13832 Milton Ave."/>
    <s v="5+"/>
    <x v="0"/>
    <n v="0"/>
    <n v="0"/>
    <n v="4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2"/>
    <x v="4"/>
    <s v="0331001A"/>
    <s v="229 ELLIS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32"/>
    <x v="0"/>
    <s v="4274-021-015"/>
    <s v="2033 Virginia"/>
    <s v="5+"/>
    <x v="0"/>
    <n v="0"/>
    <n v="0"/>
    <n v="4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62"/>
    <x v="4"/>
    <n v="8710007"/>
    <s v="718 LONG BRIDGE ST"/>
    <s v="5+"/>
    <x v="0"/>
    <n v="0"/>
    <n v="0"/>
    <n v="0"/>
    <n v="0"/>
    <n v="0"/>
    <n v="0"/>
    <x v="0"/>
    <n v="0"/>
    <n v="0"/>
    <n v="0"/>
    <n v="0"/>
    <n v="0"/>
    <n v="7"/>
    <n v="0"/>
    <n v="22"/>
    <n v="0"/>
    <n v="7"/>
    <n v="0"/>
    <x v="1"/>
    <m/>
    <n v="0"/>
  </r>
  <r>
    <x v="62"/>
    <x v="4"/>
    <n v="3504030"/>
    <s v="1699 MARKET ST"/>
    <s v="5+"/>
    <x v="1"/>
    <n v="0"/>
    <n v="0"/>
    <n v="0"/>
    <n v="0"/>
    <n v="0"/>
    <n v="0"/>
    <x v="0"/>
    <n v="0"/>
    <n v="0"/>
    <n v="0"/>
    <n v="0"/>
    <n v="0"/>
    <n v="0"/>
    <n v="0"/>
    <n v="19"/>
    <n v="0"/>
    <n v="0"/>
    <n v="0"/>
    <x v="1"/>
    <m/>
    <n v="0"/>
  </r>
  <r>
    <x v="62"/>
    <x v="4"/>
    <n v="3542041"/>
    <s v="2100 MARKET ST"/>
    <s v="5+"/>
    <x v="0"/>
    <n v="0"/>
    <n v="0"/>
    <n v="0"/>
    <n v="0"/>
    <n v="0"/>
    <n v="0"/>
    <x v="0"/>
    <n v="0"/>
    <n v="0"/>
    <n v="0"/>
    <n v="0"/>
    <n v="0"/>
    <n v="0"/>
    <n v="0"/>
    <n v="8"/>
    <n v="0"/>
    <n v="0"/>
    <n v="0"/>
    <x v="1"/>
    <m/>
    <n v="0"/>
  </r>
  <r>
    <x v="62"/>
    <x v="4"/>
    <n v="3639001"/>
    <s v="2600 HARRISON ST"/>
    <s v="5+"/>
    <x v="0"/>
    <n v="0"/>
    <n v="0"/>
    <n v="0"/>
    <n v="0"/>
    <n v="0"/>
    <n v="0"/>
    <x v="0"/>
    <n v="0"/>
    <n v="0"/>
    <n v="0"/>
    <n v="0"/>
    <n v="0"/>
    <n v="0"/>
    <n v="0"/>
    <n v="33"/>
    <n v="0"/>
    <n v="0"/>
    <n v="0"/>
    <x v="1"/>
    <m/>
    <n v="0"/>
  </r>
  <r>
    <x v="62"/>
    <x v="4"/>
    <s v="0667008"/>
    <s v="1452 BUSH ST"/>
    <s v="5+"/>
    <x v="0"/>
    <n v="0"/>
    <n v="0"/>
    <n v="0"/>
    <n v="0"/>
    <n v="0"/>
    <n v="0"/>
    <x v="0"/>
    <n v="0"/>
    <n v="0"/>
    <n v="0"/>
    <n v="0"/>
    <n v="0"/>
    <n v="0"/>
    <n v="0"/>
    <n v="2"/>
    <n v="0"/>
    <n v="1"/>
    <n v="0"/>
    <x v="1"/>
    <m/>
    <n v="0"/>
  </r>
  <r>
    <x v="62"/>
    <x v="4"/>
    <s v="0028014"/>
    <s v="1255 COLUMBUS AV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n v="1450008"/>
    <s v="369 18TH AV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35"/>
    <x v="0"/>
    <n v="2033204900"/>
    <s v="1040 CARLSBAD VILLAGE DR"/>
    <s v="5+"/>
    <x v="0"/>
    <n v="0"/>
    <n v="0"/>
    <n v="0"/>
    <n v="0"/>
    <n v="0"/>
    <n v="0"/>
    <x v="0"/>
    <n v="0"/>
    <n v="0"/>
    <n v="0"/>
    <n v="0"/>
    <n v="0"/>
    <n v="0"/>
    <n v="0"/>
    <n v="16"/>
    <n v="0"/>
    <n v="0"/>
    <n v="0"/>
    <x v="0"/>
    <m/>
    <n v="35"/>
  </r>
  <r>
    <x v="35"/>
    <x v="0"/>
    <n v="1683601600"/>
    <s v="2615 CANNON RD"/>
    <s v="5+"/>
    <x v="0"/>
    <n v="0"/>
    <n v="0"/>
    <n v="0"/>
    <n v="0"/>
    <n v="0"/>
    <n v="0"/>
    <x v="0"/>
    <n v="0"/>
    <n v="0"/>
    <n v="0"/>
    <n v="0"/>
    <n v="0"/>
    <n v="0"/>
    <n v="0"/>
    <n v="20"/>
    <n v="0"/>
    <n v="0"/>
    <n v="35"/>
    <x v="1"/>
    <m/>
    <n v="0"/>
  </r>
  <r>
    <x v="53"/>
    <x v="5"/>
    <s v="035-010-071"/>
    <s v="1137 B St"/>
    <s v="5+"/>
    <x v="0"/>
    <n v="30"/>
    <n v="0"/>
    <n v="89"/>
    <n v="0"/>
    <n v="0"/>
    <n v="0"/>
    <x v="0"/>
    <n v="0"/>
    <n v="0"/>
    <n v="0"/>
    <n v="0"/>
    <n v="0"/>
    <n v="0"/>
    <n v="0"/>
    <n v="0"/>
    <n v="0"/>
    <n v="0"/>
    <n v="0"/>
    <x v="1"/>
    <n v="0"/>
    <n v="0"/>
  </r>
  <r>
    <x v="57"/>
    <x v="0"/>
    <n v="2419017013"/>
    <s v="5120 N CAHUENGA BLVD UNITS: 1-7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35"/>
  </r>
  <r>
    <x v="57"/>
    <x v="0"/>
    <n v="5154001020"/>
    <s v="1800 W BEVERLY BLVD"/>
    <s v="5+"/>
    <x v="0"/>
    <n v="0"/>
    <n v="0"/>
    <n v="0"/>
    <n v="0"/>
    <n v="0"/>
    <n v="0"/>
    <x v="50"/>
    <n v="0"/>
    <n v="0"/>
    <n v="0"/>
    <n v="0"/>
    <n v="0"/>
    <n v="0"/>
    <n v="0"/>
    <n v="0"/>
    <n v="0"/>
    <n v="0"/>
    <n v="0"/>
    <x v="0"/>
    <n v="55"/>
    <n v="33"/>
  </r>
  <r>
    <x v="96"/>
    <x v="3"/>
    <n v="44310410"/>
    <s v="3039 N BLACKSTONE AVE"/>
    <s v="5+"/>
    <x v="0"/>
    <n v="0"/>
    <n v="0"/>
    <n v="0"/>
    <n v="0"/>
    <n v="0"/>
    <n v="0"/>
    <x v="12"/>
    <n v="0"/>
    <n v="22"/>
    <n v="0"/>
    <n v="0"/>
    <n v="0"/>
    <n v="0"/>
    <n v="0"/>
    <n v="0"/>
    <n v="0"/>
    <n v="0"/>
    <n v="0"/>
    <x v="0"/>
    <n v="55"/>
    <n v="255"/>
  </r>
  <r>
    <x v="44"/>
    <x v="3"/>
    <n v="0"/>
    <s v="253 RACE ST"/>
    <s v="5+"/>
    <x v="0"/>
    <n v="0"/>
    <n v="0"/>
    <n v="0"/>
    <n v="0"/>
    <n v="0"/>
    <n v="0"/>
    <x v="51"/>
    <n v="0"/>
    <n v="62"/>
    <n v="0"/>
    <n v="0"/>
    <n v="0"/>
    <n v="0"/>
    <n v="0"/>
    <n v="0"/>
    <n v="0"/>
    <n v="0"/>
    <n v="0"/>
    <x v="1"/>
    <n v="55"/>
    <n v="0"/>
  </r>
  <r>
    <x v="45"/>
    <x v="0"/>
    <n v="148170001"/>
    <s v="3010 DEL HOMBRE WALNUT CREEK, CA"/>
    <s v="5+"/>
    <x v="0"/>
    <n v="0"/>
    <n v="0"/>
    <n v="0"/>
    <n v="0"/>
    <n v="0"/>
    <n v="0"/>
    <x v="28"/>
    <n v="0"/>
    <n v="0"/>
    <n v="0"/>
    <n v="24"/>
    <n v="0"/>
    <n v="0"/>
    <n v="0"/>
    <n v="0"/>
    <n v="0"/>
    <n v="0"/>
    <n v="0"/>
    <x v="0"/>
    <n v="55"/>
    <n v="20"/>
  </r>
  <r>
    <x v="44"/>
    <x v="3"/>
    <n v="46422032"/>
    <s v="605 BLOSSOM HILL RD"/>
    <s v="5+"/>
    <x v="0"/>
    <n v="62"/>
    <n v="0"/>
    <n v="2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3"/>
    <n v="28805045"/>
    <s v="2350 BASCOM AV"/>
    <s v="5+"/>
    <x v="0"/>
    <n v="0"/>
    <n v="0"/>
    <n v="12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3"/>
    <n v="26420079"/>
    <s v="486 W SAN CARLOS ST"/>
    <s v="5+"/>
    <x v="0"/>
    <n v="1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0"/>
    <x v="0"/>
    <n v="1123210"/>
    <s v="21 G ST"/>
    <s v="5+"/>
    <x v="0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m/>
    <n v="0"/>
  </r>
  <r>
    <x v="60"/>
    <x v="0"/>
    <n v="1401305"/>
    <s v="1200 IRWIN ST"/>
    <s v="5+"/>
    <x v="0"/>
    <n v="0"/>
    <n v="0"/>
    <n v="0"/>
    <n v="0"/>
    <n v="0"/>
    <n v="0"/>
    <x v="0"/>
    <n v="0"/>
    <n v="0"/>
    <n v="0"/>
    <n v="0"/>
    <n v="0"/>
    <n v="1"/>
    <n v="0"/>
    <n v="1"/>
    <n v="0"/>
    <n v="0"/>
    <n v="0"/>
    <x v="1"/>
    <m/>
    <n v="0"/>
  </r>
  <r>
    <x v="57"/>
    <x v="0"/>
    <n v="6012004047"/>
    <s v="6501 BROADWAY  S  90003"/>
    <s v="5+"/>
    <x v="0"/>
    <n v="0"/>
    <n v="0"/>
    <n v="39"/>
    <n v="0"/>
    <n v="11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0"/>
    <n v="2135038011"/>
    <s v="20120 W SHERMAN WAY 1-91"/>
    <s v="5+"/>
    <x v="0"/>
    <n v="0"/>
    <n v="0"/>
    <n v="0"/>
    <n v="0"/>
    <n v="0"/>
    <n v="0"/>
    <x v="82"/>
    <n v="0"/>
    <n v="0"/>
    <n v="0"/>
    <n v="0"/>
    <n v="0"/>
    <n v="0"/>
    <n v="0"/>
    <n v="0"/>
    <n v="0"/>
    <n v="0"/>
    <n v="0"/>
    <x v="0"/>
    <n v="55"/>
    <n v="0"/>
  </r>
  <r>
    <x v="192"/>
    <x v="5"/>
    <s v="8581-038-002"/>
    <s v="3035 Adelia Av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93"/>
    <x v="5"/>
    <s v="APN not available"/>
    <s v="15110 &amp;15120 Badillo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0"/>
    <m/>
    <n v="0"/>
  </r>
  <r>
    <x v="48"/>
    <x v="5"/>
    <s v="0318-235-24"/>
    <s v="County Line Road and 5th Street"/>
    <s v="5+"/>
    <x v="0"/>
    <n v="19"/>
    <n v="0"/>
    <n v="77"/>
    <n v="0"/>
    <n v="0"/>
    <n v="0"/>
    <x v="13"/>
    <n v="0"/>
    <n v="77"/>
    <n v="0"/>
    <n v="0"/>
    <n v="0"/>
    <n v="0"/>
    <n v="0"/>
    <n v="0"/>
    <n v="0"/>
    <n v="0"/>
    <n v="0"/>
    <x v="0"/>
    <n v="55"/>
    <n v="0"/>
  </r>
  <r>
    <x v="57"/>
    <x v="0"/>
    <n v="4259019008"/>
    <s v="12101 W OLYMPIC BLVD"/>
    <s v="5+"/>
    <x v="0"/>
    <n v="0"/>
    <n v="0"/>
    <n v="0"/>
    <n v="0"/>
    <n v="0"/>
    <n v="0"/>
    <x v="30"/>
    <n v="0"/>
    <n v="0"/>
    <n v="0"/>
    <n v="0"/>
    <n v="0"/>
    <n v="0"/>
    <n v="0"/>
    <n v="0"/>
    <n v="0"/>
    <n v="0"/>
    <n v="0"/>
    <x v="0"/>
    <n v="55"/>
    <n v="0"/>
  </r>
  <r>
    <x v="57"/>
    <x v="0"/>
    <n v="5520017010"/>
    <s v="4055 W OAKWOOD AVE"/>
    <s v="5+"/>
    <x v="0"/>
    <n v="0"/>
    <n v="0"/>
    <n v="0"/>
    <n v="0"/>
    <n v="0"/>
    <n v="0"/>
    <x v="7"/>
    <n v="0"/>
    <n v="4"/>
    <n v="0"/>
    <n v="0"/>
    <n v="0"/>
    <n v="0"/>
    <n v="0"/>
    <n v="0"/>
    <n v="0"/>
    <n v="0"/>
    <n v="0"/>
    <x v="0"/>
    <n v="55"/>
    <n v="70"/>
  </r>
  <r>
    <x v="69"/>
    <x v="1"/>
    <s v="013-151-034"/>
    <s v="2845 SCHOOLHOUSE LN_x000a_CAMBRIA, CA 93428"/>
    <s v="5+"/>
    <x v="0"/>
    <n v="24"/>
    <n v="0"/>
    <n v="9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33"/>
    <x v="5"/>
    <s v="026-240-290"/>
    <s v="1028 Carolan Ave"/>
    <s v="5+"/>
    <x v="0"/>
    <n v="0"/>
    <n v="0"/>
    <n v="0"/>
    <n v="0"/>
    <n v="29"/>
    <n v="0"/>
    <x v="0"/>
    <n v="0"/>
    <n v="0"/>
    <n v="0"/>
    <n v="29"/>
    <n v="0"/>
    <n v="0"/>
    <n v="0"/>
    <n v="0"/>
    <n v="0"/>
    <n v="0"/>
    <n v="0"/>
    <x v="0"/>
    <n v="25"/>
    <n v="0"/>
  </r>
  <r>
    <x v="75"/>
    <x v="4"/>
    <s v="012311260"/>
    <s v="310 Miller Ave"/>
    <s v="5+"/>
    <x v="0"/>
    <n v="0"/>
    <n v="0"/>
    <n v="0"/>
    <n v="0"/>
    <n v="0"/>
    <n v="0"/>
    <x v="0"/>
    <n v="0"/>
    <n v="0"/>
    <n v="0"/>
    <n v="0"/>
    <n v="0"/>
    <n v="81"/>
    <n v="0"/>
    <n v="0"/>
    <n v="0"/>
    <n v="0"/>
    <n v="0"/>
    <x v="0"/>
    <n v="55"/>
    <n v="0"/>
  </r>
  <r>
    <x v="42"/>
    <x v="3"/>
    <s v="126-061-001"/>
    <s v="19910 Fifth Street West"/>
    <s v="5+"/>
    <x v="1"/>
    <n v="0"/>
    <n v="0"/>
    <n v="1"/>
    <n v="0"/>
    <n v="2"/>
    <n v="0"/>
    <x v="0"/>
    <n v="0"/>
    <n v="0"/>
    <n v="0"/>
    <n v="0"/>
    <n v="0"/>
    <n v="0"/>
    <n v="0"/>
    <n v="0"/>
    <n v="0"/>
    <n v="0"/>
    <n v="0"/>
    <x v="1"/>
    <m/>
    <n v="0"/>
  </r>
  <r>
    <x v="194"/>
    <x v="4"/>
    <n v="513340059"/>
    <s v="11965 SAN PABLO AVE"/>
    <s v="5+"/>
    <x v="0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95"/>
    <x v="5"/>
    <s v="678-060-001, -002, -003, -004, -005, -049, -050, -051, -052, -053"/>
    <s v="30600 LANDAU BLVD"/>
    <s v="5+"/>
    <x v="0"/>
    <n v="0"/>
    <n v="0"/>
    <n v="6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33"/>
    <x v="0"/>
    <s v="029-112-350"/>
    <s v="1418 Bellevue Ave"/>
    <s v="5+"/>
    <x v="1"/>
    <n v="0"/>
    <n v="0"/>
    <n v="0"/>
    <n v="0"/>
    <n v="2"/>
    <n v="0"/>
    <x v="0"/>
    <n v="0"/>
    <n v="0"/>
    <n v="0"/>
    <n v="0"/>
    <n v="0"/>
    <n v="0"/>
    <n v="0"/>
    <n v="0"/>
    <n v="0"/>
    <n v="0"/>
    <n v="0"/>
    <x v="0"/>
    <n v="55"/>
    <n v="67"/>
  </r>
  <r>
    <x v="33"/>
    <x v="0"/>
    <s v="025-169-380"/>
    <s v="1 Adrian Ct"/>
    <s v="5+"/>
    <x v="0"/>
    <n v="0"/>
    <n v="0"/>
    <n v="0"/>
    <n v="0"/>
    <n v="0"/>
    <n v="0"/>
    <x v="0"/>
    <n v="0"/>
    <n v="38"/>
    <n v="0"/>
    <n v="0"/>
    <n v="0"/>
    <n v="0"/>
    <n v="0"/>
    <n v="0"/>
    <n v="0"/>
    <n v="0"/>
    <n v="0"/>
    <x v="0"/>
    <n v="55"/>
    <n v="34"/>
  </r>
  <r>
    <x v="120"/>
    <x v="5"/>
    <n v="43521101"/>
    <s v="1000 SYNERGY  IRVINE, CA 92614"/>
    <s v="5+"/>
    <x v="0"/>
    <n v="0"/>
    <n v="0"/>
    <n v="0"/>
    <n v="0"/>
    <n v="0"/>
    <n v="0"/>
    <x v="0"/>
    <n v="0"/>
    <n v="0"/>
    <n v="0"/>
    <n v="0"/>
    <n v="0"/>
    <n v="26"/>
    <n v="0"/>
    <n v="1"/>
    <n v="0"/>
    <n v="17"/>
    <n v="0"/>
    <x v="0"/>
    <n v="30"/>
    <n v="0"/>
  </r>
  <r>
    <x v="38"/>
    <x v="1"/>
    <s v="010-551-13"/>
    <s v="314 JESSIE ST"/>
    <s v="5+"/>
    <x v="0"/>
    <n v="0"/>
    <n v="0"/>
    <n v="0"/>
    <n v="0"/>
    <n v="0"/>
    <n v="0"/>
    <x v="10"/>
    <n v="0"/>
    <n v="26"/>
    <n v="0"/>
    <n v="0"/>
    <n v="0"/>
    <n v="0"/>
    <n v="0"/>
    <n v="0"/>
    <n v="0"/>
    <n v="0"/>
    <n v="0"/>
    <x v="0"/>
    <n v="1000"/>
    <n v="0"/>
  </r>
  <r>
    <x v="194"/>
    <x v="5"/>
    <s v="504-170-022"/>
    <s v="512 El Cerrito Plaza"/>
    <s v="5+"/>
    <x v="1"/>
    <n v="0"/>
    <n v="0"/>
    <n v="0"/>
    <n v="0"/>
    <n v="0"/>
    <n v="0"/>
    <x v="0"/>
    <n v="0"/>
    <n v="0"/>
    <n v="0"/>
    <n v="0"/>
    <n v="0"/>
    <n v="0"/>
    <n v="0"/>
    <n v="5"/>
    <n v="0"/>
    <n v="10"/>
    <n v="0"/>
    <x v="1"/>
    <m/>
    <n v="0"/>
  </r>
  <r>
    <x v="188"/>
    <x v="5"/>
    <n v="60237018"/>
    <s v="1176 Ramona Ave"/>
    <s v="5+"/>
    <x v="0"/>
    <n v="0"/>
    <n v="0"/>
    <n v="3"/>
    <n v="0"/>
    <n v="0"/>
    <n v="0"/>
    <x v="0"/>
    <n v="0"/>
    <n v="0"/>
    <n v="0"/>
    <n v="0"/>
    <n v="0"/>
    <n v="0"/>
    <n v="0"/>
    <n v="0"/>
    <n v="0"/>
    <n v="0"/>
    <n v="0"/>
    <x v="0"/>
    <n v="30"/>
    <n v="0"/>
  </r>
  <r>
    <x v="87"/>
    <x v="5"/>
    <s v="059-080-012"/>
    <s v="111 American Canyon Rd"/>
    <s v="5+"/>
    <x v="0"/>
    <n v="8"/>
    <n v="0"/>
    <n v="8"/>
    <n v="0"/>
    <n v="0"/>
    <n v="0"/>
    <x v="42"/>
    <n v="0"/>
    <n v="8"/>
    <n v="0"/>
    <n v="0"/>
    <n v="0"/>
    <n v="0"/>
    <n v="0"/>
    <n v="0"/>
    <n v="0"/>
    <n v="0"/>
    <n v="0"/>
    <x v="1"/>
    <n v="20"/>
    <n v="0"/>
  </r>
  <r>
    <x v="33"/>
    <x v="5"/>
    <s v="029-224-270"/>
    <s v="150 Park Rd"/>
    <s v="5+"/>
    <x v="0"/>
    <n v="12"/>
    <n v="0"/>
    <n v="108"/>
    <n v="0"/>
    <n v="12"/>
    <n v="0"/>
    <x v="0"/>
    <n v="0"/>
    <n v="0"/>
    <n v="0"/>
    <n v="0"/>
    <n v="0"/>
    <n v="0"/>
    <n v="0"/>
    <n v="0"/>
    <n v="0"/>
    <n v="0"/>
    <n v="0"/>
    <x v="0"/>
    <n v="55"/>
    <n v="0"/>
  </r>
  <r>
    <x v="99"/>
    <x v="5"/>
    <n v="1574015000"/>
    <s v="Tyler and Pearl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27"/>
    <x v="5"/>
    <s v="094 001901700"/>
    <s v="251 KOTTINGER DR"/>
    <s v="5+"/>
    <x v="0"/>
    <n v="0"/>
    <n v="0"/>
    <n v="0"/>
    <n v="0"/>
    <n v="0"/>
    <n v="0"/>
    <x v="36"/>
    <n v="0"/>
    <n v="5"/>
    <n v="0"/>
    <n v="0"/>
    <n v="0"/>
    <n v="0"/>
    <n v="0"/>
    <n v="0"/>
    <n v="0"/>
    <n v="0"/>
    <n v="0"/>
    <x v="1"/>
    <n v="75"/>
    <n v="0"/>
  </r>
  <r>
    <x v="27"/>
    <x v="5"/>
    <s v="946 462300900"/>
    <s v="3399 STREAMSIDE CI"/>
    <s v="5+"/>
    <x v="0"/>
    <n v="0"/>
    <n v="0"/>
    <n v="0"/>
    <n v="0"/>
    <n v="0"/>
    <n v="0"/>
    <x v="0"/>
    <n v="0"/>
    <n v="0"/>
    <n v="0"/>
    <n v="0"/>
    <n v="0"/>
    <n v="0"/>
    <n v="0"/>
    <n v="8"/>
    <n v="0"/>
    <n v="0"/>
    <n v="0"/>
    <x v="1"/>
    <n v="1000"/>
    <n v="0"/>
  </r>
  <r>
    <x v="78"/>
    <x v="3"/>
    <n v="30534061"/>
    <s v="2305 S WINCHESTER BL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0"/>
  </r>
  <r>
    <x v="78"/>
    <x v="3"/>
    <n v="27930043"/>
    <s v="601 ALMARIDA DR, CAMPBELL, CA 95008"/>
    <s v="5+"/>
    <x v="0"/>
    <n v="2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45"/>
    <n v="35"/>
  </r>
  <r>
    <x v="78"/>
    <x v="5"/>
    <n v="30534061"/>
    <s v="2305 S WINCHESTER BL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0"/>
  </r>
  <r>
    <x v="84"/>
    <x v="0"/>
    <s v="025-431-16"/>
    <s v="1255 Martin Street"/>
    <s v="5+"/>
    <x v="0"/>
    <n v="0"/>
    <n v="0"/>
    <n v="24"/>
    <n v="0"/>
    <n v="0"/>
    <n v="0"/>
    <x v="0"/>
    <n v="0"/>
    <n v="24"/>
    <n v="0"/>
    <n v="0"/>
    <n v="0"/>
    <n v="0"/>
    <n v="0"/>
    <n v="24"/>
    <n v="0"/>
    <n v="0"/>
    <n v="0"/>
    <x v="0"/>
    <n v="30"/>
    <n v="100"/>
  </r>
  <r>
    <x v="15"/>
    <x v="0"/>
    <s v="025 071201400"/>
    <s v="2700 INTERNATIONAL BLVD"/>
    <s v="5+"/>
    <x v="1"/>
    <n v="30"/>
    <n v="0"/>
    <n v="44"/>
    <n v="0"/>
    <n v="0"/>
    <n v="0"/>
    <x v="0"/>
    <n v="0"/>
    <n v="0"/>
    <n v="0"/>
    <n v="0"/>
    <n v="0"/>
    <n v="0"/>
    <n v="0"/>
    <n v="0"/>
    <n v="0"/>
    <n v="0"/>
    <n v="0"/>
    <x v="0"/>
    <n v="55"/>
    <n v="6"/>
  </r>
  <r>
    <x v="15"/>
    <x v="0"/>
    <s v="021 022300301"/>
    <s v="347 E 18TH ST"/>
    <s v="5+"/>
    <x v="1"/>
    <n v="0"/>
    <n v="0"/>
    <n v="3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0"/>
    <s v="020 015301501"/>
    <s v="1440 23RD AVE"/>
    <s v="5+"/>
    <x v="1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0"/>
    <s v="020 010900603"/>
    <s v="2040 SOLANO WY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0"/>
    <n v="55"/>
    <n v="0"/>
  </r>
  <r>
    <x v="127"/>
    <x v="0"/>
    <s v="139-0-080-335"/>
    <s v="1357 Althea Court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96"/>
    <x v="5"/>
    <s v="300-221-33-00"/>
    <s v="941 Camino del Mar"/>
    <s v="5+"/>
    <x v="1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75"/>
    <x v="4"/>
    <s v="012334130"/>
    <s v="200 Linden Ave"/>
    <s v="5+"/>
    <x v="1"/>
    <n v="0"/>
    <n v="0"/>
    <n v="0"/>
    <n v="0"/>
    <n v="0"/>
    <n v="0"/>
    <x v="0"/>
    <n v="0"/>
    <n v="0"/>
    <n v="0"/>
    <n v="19"/>
    <n v="0"/>
    <n v="0"/>
    <n v="0"/>
    <n v="0"/>
    <n v="0"/>
    <n v="0"/>
    <n v="0"/>
    <x v="1"/>
    <n v="55"/>
    <n v="0"/>
  </r>
  <r>
    <x v="2"/>
    <x v="4"/>
    <s v="5675-025-006"/>
    <s v="518 E Windsor Rd"/>
    <s v="5+"/>
    <x v="1"/>
    <n v="0"/>
    <n v="0"/>
    <n v="0"/>
    <n v="0"/>
    <n v="9"/>
    <n v="0"/>
    <x v="0"/>
    <n v="0"/>
    <n v="0"/>
    <n v="0"/>
    <n v="9"/>
    <n v="0"/>
    <n v="0"/>
    <n v="0"/>
    <n v="0"/>
    <n v="0"/>
    <n v="0"/>
    <n v="0"/>
    <x v="0"/>
    <n v="55"/>
    <n v="0"/>
  </r>
  <r>
    <x v="2"/>
    <x v="4"/>
    <s v="5637-004-030"/>
    <s v="352-358 W. Milford St."/>
    <s v="5+"/>
    <x v="0"/>
    <n v="4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176"/>
    <x v="0"/>
    <s v="066-2797-009-02"/>
    <s v="540 San Pablo"/>
    <s v="5+"/>
    <x v="0"/>
    <n v="2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50"/>
  </r>
  <r>
    <x v="131"/>
    <x v="2"/>
    <s v="057 206101000"/>
    <s v="1717 University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31"/>
    <x v="2"/>
    <n v="57205302201"/>
    <s v="2012 Berkeley Way"/>
    <s v="5+"/>
    <x v="0"/>
    <n v="53"/>
    <n v="0"/>
    <n v="88"/>
    <n v="0"/>
    <n v="0"/>
    <n v="0"/>
    <x v="51"/>
    <n v="0"/>
    <n v="88"/>
    <n v="0"/>
    <n v="0"/>
    <n v="0"/>
    <n v="0"/>
    <n v="0"/>
    <n v="0"/>
    <n v="0"/>
    <n v="0"/>
    <n v="0"/>
    <x v="0"/>
    <m/>
    <n v="0"/>
  </r>
  <r>
    <x v="131"/>
    <x v="2"/>
    <s v="053 163300101"/>
    <s v="3000 San Pablo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13"/>
    <x v="4"/>
    <n v="51200025"/>
    <s v="18TH &amp; HOLUB LANE"/>
    <s v="5+"/>
    <x v="0"/>
    <n v="91"/>
    <n v="0"/>
    <n v="299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54"/>
    <x v="5"/>
    <n v="61422370"/>
    <s v="1540 El Camino Real"/>
    <s v="5+"/>
    <x v="0"/>
    <n v="0"/>
    <n v="0"/>
    <n v="5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54"/>
    <x v="5"/>
    <n v="61401010"/>
    <s v="409 Glenwood Ave"/>
    <s v="5+"/>
    <x v="0"/>
    <n v="0"/>
    <n v="0"/>
    <n v="1"/>
    <n v="0"/>
    <n v="0"/>
    <n v="4"/>
    <x v="0"/>
    <n v="0"/>
    <n v="0"/>
    <n v="0"/>
    <n v="0"/>
    <n v="0"/>
    <n v="0"/>
    <n v="0"/>
    <n v="0"/>
    <n v="0"/>
    <n v="0"/>
    <n v="0"/>
    <x v="1"/>
    <m/>
    <n v="0"/>
  </r>
  <r>
    <x v="78"/>
    <x v="4"/>
    <n v="41208061"/>
    <s v="228 - 246 RAILWAY AVE (10 UNITS) BUILDING 4"/>
    <s v="5+"/>
    <x v="1"/>
    <n v="0"/>
    <n v="0"/>
    <n v="0"/>
    <n v="0"/>
    <n v="0"/>
    <n v="0"/>
    <x v="0"/>
    <n v="0"/>
    <n v="0"/>
    <n v="0"/>
    <n v="0"/>
    <n v="0"/>
    <n v="1"/>
    <n v="0"/>
    <n v="1"/>
    <n v="0"/>
    <n v="0"/>
    <n v="0"/>
    <x v="0"/>
    <n v="0"/>
    <n v="0"/>
  </r>
  <r>
    <x v="40"/>
    <x v="5"/>
    <s v="099 005601002"/>
    <s v="101 APRICOT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27"/>
    <x v="5"/>
    <s v="941 277801100"/>
    <s v="5777 GIBRALTAR DR"/>
    <s v="5+"/>
    <x v="0"/>
    <n v="0"/>
    <n v="0"/>
    <n v="0"/>
    <n v="0"/>
    <n v="0"/>
    <n v="0"/>
    <x v="0"/>
    <n v="0"/>
    <n v="0"/>
    <n v="0"/>
    <n v="0"/>
    <n v="0"/>
    <n v="29"/>
    <n v="0"/>
    <n v="0"/>
    <n v="0"/>
    <n v="0"/>
    <n v="0"/>
    <x v="1"/>
    <n v="1000"/>
    <n v="0"/>
  </r>
  <r>
    <x v="27"/>
    <x v="5"/>
    <s v="946 462300900"/>
    <s v="3405 STREAMSIDE CI"/>
    <s v="5+"/>
    <x v="0"/>
    <n v="0"/>
    <n v="0"/>
    <n v="0"/>
    <n v="0"/>
    <n v="0"/>
    <n v="0"/>
    <x v="0"/>
    <n v="0"/>
    <n v="0"/>
    <n v="0"/>
    <n v="0"/>
    <n v="0"/>
    <n v="7"/>
    <n v="0"/>
    <n v="0"/>
    <n v="0"/>
    <n v="0"/>
    <n v="0"/>
    <x v="1"/>
    <n v="1000"/>
    <n v="0"/>
  </r>
  <r>
    <x v="27"/>
    <x v="5"/>
    <s v="094 001901700"/>
    <s v="245 KOTTINGER DR"/>
    <s v="5+"/>
    <x v="0"/>
    <n v="0"/>
    <n v="0"/>
    <n v="0"/>
    <n v="0"/>
    <n v="0"/>
    <n v="0"/>
    <x v="0"/>
    <n v="0"/>
    <n v="5"/>
    <n v="0"/>
    <n v="0"/>
    <n v="0"/>
    <n v="0"/>
    <n v="0"/>
    <n v="0"/>
    <n v="0"/>
    <n v="0"/>
    <n v="0"/>
    <x v="1"/>
    <n v="75"/>
    <n v="0"/>
  </r>
  <r>
    <x v="91"/>
    <x v="4"/>
    <s v="16341004, 05, 29, 30, 46, 47, &amp; 48"/>
    <s v="464 &amp; 468 Los Angeles Drive"/>
    <s v="5+"/>
    <x v="0"/>
    <n v="11"/>
    <n v="0"/>
    <n v="24"/>
    <n v="0"/>
    <n v="0"/>
    <n v="0"/>
    <x v="0"/>
    <n v="0"/>
    <n v="0"/>
    <n v="0"/>
    <n v="0"/>
    <n v="0"/>
    <n v="0"/>
    <n v="0"/>
    <n v="0"/>
    <n v="0"/>
    <n v="0"/>
    <n v="0"/>
    <x v="0"/>
    <n v="99"/>
    <n v="0"/>
  </r>
  <r>
    <x v="188"/>
    <x v="1"/>
    <s v="060-237018-"/>
    <s v="1176 Ramona Ave"/>
    <s v="5+"/>
    <x v="0"/>
    <n v="0"/>
    <n v="0"/>
    <n v="3"/>
    <n v="0"/>
    <n v="0"/>
    <n v="0"/>
    <x v="0"/>
    <n v="0"/>
    <n v="3"/>
    <n v="0"/>
    <n v="0"/>
    <n v="16"/>
    <n v="0"/>
    <n v="0"/>
    <n v="0"/>
    <n v="0"/>
    <n v="0"/>
    <n v="0"/>
    <x v="0"/>
    <m/>
    <n v="35"/>
  </r>
  <r>
    <x v="188"/>
    <x v="1"/>
    <s v="060-242057-"/>
    <s v="1206 W Grand"/>
    <s v="5+"/>
    <x v="0"/>
    <n v="35"/>
    <n v="0"/>
    <n v="17"/>
    <n v="1"/>
    <n v="0"/>
    <n v="0"/>
    <x v="0"/>
    <n v="0"/>
    <n v="0"/>
    <n v="0"/>
    <n v="0"/>
    <n v="0"/>
    <n v="0"/>
    <n v="0"/>
    <n v="0"/>
    <n v="0"/>
    <n v="0"/>
    <n v="0"/>
    <x v="0"/>
    <m/>
    <n v="71"/>
  </r>
  <r>
    <x v="188"/>
    <x v="1"/>
    <s v="060-357-016"/>
    <s v="1211 Baden Avenue"/>
    <s v="5+"/>
    <x v="1"/>
    <n v="0"/>
    <n v="0"/>
    <n v="0"/>
    <n v="0"/>
    <n v="1"/>
    <n v="0"/>
    <x v="0"/>
    <n v="0"/>
    <n v="0"/>
    <n v="0"/>
    <n v="0"/>
    <n v="0"/>
    <n v="0"/>
    <n v="0"/>
    <n v="0"/>
    <n v="0"/>
    <n v="0"/>
    <n v="0"/>
    <x v="0"/>
    <m/>
    <n v="5"/>
  </r>
  <r>
    <x v="78"/>
    <x v="4"/>
    <n v="41208061"/>
    <s v="201 - 209 MALLEY WY (5 UNITS) BUILDING 2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45"/>
    <n v="0"/>
  </r>
  <r>
    <x v="143"/>
    <x v="5"/>
    <n v="1472305800"/>
    <s v="402 N WEITZEL ST"/>
    <s v="5+"/>
    <x v="0"/>
    <n v="0"/>
    <n v="0"/>
    <n v="0"/>
    <n v="0"/>
    <n v="0"/>
    <n v="0"/>
    <x v="0"/>
    <n v="0"/>
    <n v="0"/>
    <n v="0"/>
    <n v="0"/>
    <n v="0"/>
    <n v="32"/>
    <n v="0"/>
    <n v="0"/>
    <n v="0"/>
    <n v="0"/>
    <n v="0"/>
    <x v="0"/>
    <m/>
    <n v="0"/>
  </r>
  <r>
    <x v="147"/>
    <x v="5"/>
    <s v="018-372-14"/>
    <s v="511 OHLONE PARKWAY"/>
    <s v="5+"/>
    <x v="1"/>
    <n v="0"/>
    <n v="0"/>
    <n v="10"/>
    <n v="0"/>
    <n v="10"/>
    <n v="0"/>
    <x v="0"/>
    <n v="0"/>
    <n v="0"/>
    <n v="0"/>
    <n v="0"/>
    <n v="0"/>
    <n v="0"/>
    <n v="0"/>
    <n v="0"/>
    <n v="0"/>
    <n v="0"/>
    <n v="0"/>
    <x v="1"/>
    <n v="45"/>
    <n v="0"/>
  </r>
  <r>
    <x v="143"/>
    <x v="5"/>
    <n v="1602701200"/>
    <s v="3259 SEA COVE WAY"/>
    <s v="5+"/>
    <x v="0"/>
    <n v="0"/>
    <n v="0"/>
    <n v="0"/>
    <n v="0"/>
    <n v="0"/>
    <n v="0"/>
    <x v="0"/>
    <n v="0"/>
    <n v="0"/>
    <n v="0"/>
    <n v="0"/>
    <n v="0"/>
    <n v="10"/>
    <n v="0"/>
    <n v="0"/>
    <n v="0"/>
    <n v="0"/>
    <n v="0"/>
    <x v="1"/>
    <m/>
    <n v="0"/>
  </r>
  <r>
    <x v="143"/>
    <x v="5"/>
    <n v="1602701200"/>
    <s v="3263 SEA COVE WAY"/>
    <s v="5+"/>
    <x v="0"/>
    <n v="0"/>
    <n v="0"/>
    <n v="0"/>
    <n v="0"/>
    <n v="0"/>
    <n v="0"/>
    <x v="0"/>
    <n v="0"/>
    <n v="0"/>
    <n v="0"/>
    <n v="0"/>
    <n v="0"/>
    <n v="10"/>
    <n v="0"/>
    <n v="0"/>
    <n v="0"/>
    <n v="0"/>
    <n v="0"/>
    <x v="1"/>
    <m/>
    <n v="0"/>
  </r>
  <r>
    <x v="133"/>
    <x v="5"/>
    <n v="4038022017"/>
    <s v="10609 S Inglewood Avenue, Inglewood CA 90304"/>
    <s v="5+"/>
    <x v="0"/>
    <n v="0"/>
    <n v="0"/>
    <n v="3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5"/>
    <n v="6077011040"/>
    <s v="1755 W Imperial Highway"/>
    <s v="5+"/>
    <x v="0"/>
    <n v="0"/>
    <n v="0"/>
    <n v="0"/>
    <n v="0"/>
    <n v="0"/>
    <n v="0"/>
    <x v="33"/>
    <n v="0"/>
    <n v="0"/>
    <n v="0"/>
    <n v="0"/>
    <n v="0"/>
    <n v="0"/>
    <n v="0"/>
    <n v="0"/>
    <n v="0"/>
    <n v="0"/>
    <n v="0"/>
    <x v="0"/>
    <n v="55"/>
    <n v="0"/>
  </r>
  <r>
    <x v="97"/>
    <x v="4"/>
    <n v="2294711200"/>
    <s v="343 E 2nd Ave"/>
    <s v="5+"/>
    <x v="0"/>
    <n v="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38"/>
    <x v="1"/>
    <s v="008-162-19"/>
    <s v="801 RIVER ST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1000"/>
    <n v="0"/>
  </r>
  <r>
    <x v="38"/>
    <x v="1"/>
    <s v="005-151-52"/>
    <s v="508/418 FRONT ST"/>
    <s v="5+"/>
    <x v="1"/>
    <n v="0"/>
    <n v="0"/>
    <n v="0"/>
    <n v="0"/>
    <n v="0"/>
    <n v="0"/>
    <x v="11"/>
    <n v="0"/>
    <n v="5"/>
    <n v="0"/>
    <n v="0"/>
    <n v="0"/>
    <n v="0"/>
    <n v="0"/>
    <n v="0"/>
    <n v="0"/>
    <n v="0"/>
    <n v="0"/>
    <x v="1"/>
    <n v="1000"/>
    <n v="0"/>
  </r>
  <r>
    <x v="197"/>
    <x v="3"/>
    <n v="31710155"/>
    <s v="13098 Poway Rd."/>
    <s v="5+"/>
    <x v="0"/>
    <n v="0"/>
    <n v="0"/>
    <n v="0"/>
    <n v="0"/>
    <n v="0"/>
    <n v="0"/>
    <x v="0"/>
    <n v="0"/>
    <n v="0"/>
    <n v="0"/>
    <n v="0"/>
    <n v="0"/>
    <n v="14"/>
    <n v="0"/>
    <n v="29"/>
    <n v="0"/>
    <n v="0"/>
    <n v="1"/>
    <x v="0"/>
    <n v="55"/>
    <n v="0"/>
  </r>
  <r>
    <x v="8"/>
    <x v="5"/>
    <n v="5342101200"/>
    <s v="1425 C ST"/>
    <s v="5+"/>
    <x v="0"/>
    <n v="0"/>
    <n v="0"/>
    <n v="0"/>
    <n v="0"/>
    <n v="0"/>
    <n v="0"/>
    <x v="24"/>
    <n v="0"/>
    <n v="0"/>
    <n v="0"/>
    <n v="0"/>
    <n v="0"/>
    <n v="0"/>
    <n v="0"/>
    <n v="0"/>
    <n v="0"/>
    <n v="0"/>
    <n v="0"/>
    <x v="1"/>
    <m/>
    <n v="0"/>
  </r>
  <r>
    <x v="133"/>
    <x v="5"/>
    <n v="6021015018"/>
    <s v="7321 Miramonte Boulevard, Los Angeles CA 90001"/>
    <s v="5+"/>
    <x v="0"/>
    <n v="4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5"/>
    <s v="4036016016 4036016033"/>
    <s v="10505-10507 Hawthorne Boulevard, Inglewood CA 90304"/>
    <s v="5+"/>
    <x v="0"/>
    <n v="0"/>
    <n v="0"/>
    <n v="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49"/>
    <x v="5"/>
    <s v="TR | 8180 | 5 | 5 | 0 |"/>
    <s v="4373 MODOC TER"/>
    <s v="5+"/>
    <x v="1"/>
    <n v="0"/>
    <n v="0"/>
    <n v="0"/>
    <n v="0"/>
    <n v="0"/>
    <n v="0"/>
    <x v="0"/>
    <n v="0"/>
    <n v="0"/>
    <n v="0"/>
    <n v="8"/>
    <n v="0"/>
    <n v="0"/>
    <n v="0"/>
    <n v="0"/>
    <n v="0"/>
    <n v="0"/>
    <n v="0"/>
    <x v="1"/>
    <n v="30"/>
    <n v="0"/>
  </r>
  <r>
    <x v="149"/>
    <x v="5"/>
    <s v="519 131000504"/>
    <s v="44728 Old Warm Springs Blvd"/>
    <s v="5+"/>
    <x v="0"/>
    <n v="0"/>
    <n v="0"/>
    <n v="0"/>
    <n v="0"/>
    <n v="0"/>
    <n v="0"/>
    <x v="59"/>
    <n v="0"/>
    <n v="68"/>
    <n v="0"/>
    <n v="0"/>
    <n v="0"/>
    <n v="0"/>
    <n v="0"/>
    <n v="0"/>
    <n v="0"/>
    <n v="0"/>
    <n v="0"/>
    <x v="1"/>
    <n v="55"/>
    <n v="0"/>
  </r>
  <r>
    <x v="133"/>
    <x v="5"/>
    <s v="8031005029 8031005092 8031005093"/>
    <s v="13865 Leffingwell Road, Whittier CA 90604 13869 Leffingwell Road, Whittier CA 90604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7"/>
    <x v="5"/>
    <s v="094 001901700"/>
    <s v="247 KOTTINGER DR"/>
    <s v="5+"/>
    <x v="0"/>
    <n v="0"/>
    <n v="0"/>
    <n v="0"/>
    <n v="0"/>
    <n v="0"/>
    <n v="0"/>
    <x v="0"/>
    <n v="0"/>
    <n v="6"/>
    <n v="0"/>
    <n v="0"/>
    <n v="0"/>
    <n v="0"/>
    <n v="0"/>
    <n v="0"/>
    <n v="0"/>
    <n v="0"/>
    <n v="0"/>
    <x v="1"/>
    <n v="75"/>
    <n v="0"/>
  </r>
  <r>
    <x v="8"/>
    <x v="5"/>
    <n v="6661700800"/>
    <s v="392 Sycamore Road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5"/>
    <n v="4456421200"/>
    <s v="3922-3932 Park Blvd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5"/>
    <n v="43655222"/>
    <s v="5548 Riley Street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5"/>
    <n v="5343350900"/>
    <s v="1035-1045 E Street"/>
    <s v="5+"/>
    <x v="0"/>
    <n v="1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87"/>
    <x v="2"/>
    <s v="5357-008-020"/>
    <s v="1501 S 2nd St"/>
    <s v="5+"/>
    <x v="1"/>
    <n v="0"/>
    <n v="0"/>
    <n v="0"/>
    <n v="1"/>
    <n v="0"/>
    <n v="0"/>
    <x v="0"/>
    <n v="0"/>
    <n v="0"/>
    <n v="0"/>
    <n v="0"/>
    <n v="0"/>
    <n v="0"/>
    <n v="0"/>
    <n v="0"/>
    <n v="1"/>
    <n v="0"/>
    <n v="0"/>
    <x v="0"/>
    <n v="55"/>
    <n v="0"/>
  </r>
  <r>
    <x v="79"/>
    <x v="0"/>
    <n v="35401450"/>
    <s v="1 WATERS PARK DR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x v="0"/>
    <n v="0"/>
    <n v="2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x v="0"/>
    <n v="0"/>
    <n v="2"/>
    <n v="0"/>
    <n v="0"/>
    <n v="0"/>
    <n v="0"/>
    <n v="0"/>
    <n v="0"/>
    <n v="0"/>
    <n v="0"/>
    <n v="0"/>
    <x v="1"/>
    <n v="1000"/>
    <n v="0"/>
  </r>
  <r>
    <x v="24"/>
    <x v="3"/>
    <s v="2449-037-011"/>
    <s v="777  N FRONT ST"/>
    <s v="5+"/>
    <x v="0"/>
    <n v="0"/>
    <n v="0"/>
    <n v="0"/>
    <n v="0"/>
    <n v="0"/>
    <n v="0"/>
    <x v="0"/>
    <n v="0"/>
    <n v="0"/>
    <n v="0"/>
    <n v="35"/>
    <n v="0"/>
    <n v="0"/>
    <n v="0"/>
    <n v="0"/>
    <n v="0"/>
    <n v="35"/>
    <n v="0"/>
    <x v="1"/>
    <n v="55"/>
    <n v="0"/>
  </r>
  <r>
    <x v="95"/>
    <x v="3"/>
    <n v="72625061"/>
    <s v="18326 VILLANOVA LN"/>
    <s v="5+"/>
    <x v="0"/>
    <n v="0"/>
    <n v="0"/>
    <n v="0"/>
    <n v="0"/>
    <n v="0"/>
    <n v="0"/>
    <x v="5"/>
    <n v="0"/>
    <n v="0"/>
    <n v="0"/>
    <n v="0"/>
    <n v="15"/>
    <n v="0"/>
    <n v="0"/>
    <n v="0"/>
    <n v="0"/>
    <n v="0"/>
    <n v="0"/>
    <x v="1"/>
    <n v="55"/>
    <n v="0"/>
  </r>
  <r>
    <x v="95"/>
    <x v="3"/>
    <n v="72625061"/>
    <s v="18310 PALOMARES LN"/>
    <s v="5+"/>
    <x v="0"/>
    <n v="0"/>
    <n v="0"/>
    <n v="0"/>
    <n v="0"/>
    <n v="0"/>
    <n v="0"/>
    <x v="12"/>
    <n v="0"/>
    <n v="0"/>
    <n v="0"/>
    <n v="0"/>
    <n v="14"/>
    <n v="0"/>
    <n v="0"/>
    <n v="0"/>
    <n v="0"/>
    <n v="0"/>
    <n v="0"/>
    <x v="1"/>
    <n v="55"/>
    <n v="0"/>
  </r>
  <r>
    <x v="95"/>
    <x v="3"/>
    <n v="72636059"/>
    <s v="18740 MINER LN"/>
    <s v="5+"/>
    <x v="0"/>
    <n v="0"/>
    <n v="0"/>
    <n v="0"/>
    <n v="0"/>
    <n v="0"/>
    <n v="0"/>
    <x v="17"/>
    <n v="0"/>
    <n v="30"/>
    <n v="0"/>
    <n v="0"/>
    <n v="0"/>
    <n v="0"/>
    <n v="0"/>
    <n v="0"/>
    <n v="0"/>
    <n v="0"/>
    <n v="0"/>
    <x v="0"/>
    <n v="55"/>
    <n v="80"/>
  </r>
  <r>
    <x v="95"/>
    <x v="3"/>
    <n v="77904075"/>
    <s v="15450 WATSONVILLE RD"/>
    <s v="5+"/>
    <x v="0"/>
    <n v="0"/>
    <n v="0"/>
    <n v="0"/>
    <n v="0"/>
    <n v="0"/>
    <n v="0"/>
    <x v="35"/>
    <n v="0"/>
    <n v="0"/>
    <n v="0"/>
    <n v="0"/>
    <n v="0"/>
    <n v="0"/>
    <n v="0"/>
    <n v="0"/>
    <n v="0"/>
    <n v="0"/>
    <n v="0"/>
    <x v="0"/>
    <n v="55"/>
    <n v="0"/>
  </r>
  <r>
    <x v="43"/>
    <x v="4"/>
    <s v="501-031-026"/>
    <s v="SEC N. Indian Canyon Drive &amp; E. San Rafael Drive"/>
    <s v="5+"/>
    <x v="0"/>
    <n v="24"/>
    <n v="0"/>
    <n v="3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60"/>
    <x v="5"/>
    <s v="01125612"/>
    <s v="809 B ST"/>
    <s v="5+"/>
    <x v="0"/>
    <n v="4"/>
    <n v="0"/>
    <n v="2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60"/>
    <x v="5"/>
    <s v="01127501"/>
    <s v="980 LINCOLN AVE"/>
    <s v="5+"/>
    <x v="0"/>
    <n v="0"/>
    <n v="0"/>
    <n v="0"/>
    <n v="0"/>
    <n v="0"/>
    <n v="0"/>
    <x v="3"/>
    <n v="0"/>
    <n v="1"/>
    <n v="0"/>
    <n v="0"/>
    <n v="0"/>
    <n v="0"/>
    <n v="0"/>
    <n v="0"/>
    <n v="0"/>
    <n v="0"/>
    <n v="0"/>
    <x v="1"/>
    <n v="55"/>
    <n v="0"/>
  </r>
  <r>
    <x v="66"/>
    <x v="0"/>
    <n v="4015029004"/>
    <s v="201 N LA BREA AV"/>
    <s v="5+"/>
    <x v="0"/>
    <n v="7"/>
    <n v="0"/>
    <n v="0"/>
    <n v="0"/>
    <n v="0"/>
    <n v="0"/>
    <x v="14"/>
    <n v="0"/>
    <n v="0"/>
    <n v="0"/>
    <n v="0"/>
    <n v="0"/>
    <n v="7"/>
    <n v="0"/>
    <n v="0"/>
    <n v="0"/>
    <n v="0"/>
    <n v="0"/>
    <x v="0"/>
    <n v="55"/>
    <n v="5"/>
  </r>
  <r>
    <x v="13"/>
    <x v="5"/>
    <n v="4691430900"/>
    <s v="7472-7474 El Cajon Blvd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6"/>
    <x v="4"/>
    <s v="72-383-4"/>
    <s v="1501 BUENA VISTA AVE"/>
    <s v="5+"/>
    <x v="0"/>
    <n v="0"/>
    <n v="0"/>
    <n v="0"/>
    <n v="0"/>
    <n v="24"/>
    <n v="0"/>
    <x v="0"/>
    <n v="0"/>
    <n v="0"/>
    <n v="0"/>
    <n v="24"/>
    <n v="0"/>
    <n v="0"/>
    <n v="0"/>
    <n v="0"/>
    <n v="0"/>
    <n v="0"/>
    <n v="0"/>
    <x v="0"/>
    <n v="1000"/>
    <n v="0"/>
  </r>
  <r>
    <x v="27"/>
    <x v="4"/>
    <s v="946 168000203"/>
    <s v="3701 NEVADA ST"/>
    <s v="5+"/>
    <x v="0"/>
    <n v="0"/>
    <n v="0"/>
    <n v="0"/>
    <n v="0"/>
    <n v="0"/>
    <n v="0"/>
    <x v="43"/>
    <n v="0"/>
    <n v="6"/>
    <n v="0"/>
    <n v="0"/>
    <n v="0"/>
    <n v="0"/>
    <n v="0"/>
    <n v="0"/>
    <n v="0"/>
    <n v="0"/>
    <n v="0"/>
    <x v="1"/>
    <n v="1000"/>
    <n v="0"/>
  </r>
  <r>
    <x v="81"/>
    <x v="2"/>
    <n v="63201290"/>
    <s v="2331 UNIVERSITY"/>
    <s v="5+"/>
    <x v="1"/>
    <n v="0"/>
    <n v="0"/>
    <n v="4"/>
    <n v="0"/>
    <n v="3"/>
    <n v="0"/>
    <x v="0"/>
    <n v="0"/>
    <n v="0"/>
    <n v="0"/>
    <n v="0"/>
    <n v="0"/>
    <n v="0"/>
    <n v="0"/>
    <n v="0"/>
    <n v="0"/>
    <n v="0"/>
    <n v="0"/>
    <x v="1"/>
    <n v="1000"/>
    <n v="0"/>
  </r>
  <r>
    <x v="120"/>
    <x v="4"/>
    <n v="44501307"/>
    <s v="3100 MARTIN"/>
    <s v="5+"/>
    <x v="0"/>
    <n v="0"/>
    <n v="0"/>
    <n v="0"/>
    <n v="0"/>
    <n v="0"/>
    <n v="0"/>
    <x v="29"/>
    <n v="0"/>
    <n v="0"/>
    <n v="0"/>
    <n v="11"/>
    <n v="0"/>
    <n v="0"/>
    <n v="0"/>
    <n v="0"/>
    <n v="0"/>
    <n v="0"/>
    <n v="0"/>
    <x v="0"/>
    <n v="30"/>
    <n v="0"/>
  </r>
  <r>
    <x v="84"/>
    <x v="5"/>
    <s v="025-431-16"/>
    <s v="1255 Martin Street"/>
    <s v="5+"/>
    <x v="0"/>
    <n v="0"/>
    <n v="0"/>
    <n v="24"/>
    <n v="0"/>
    <n v="0"/>
    <n v="0"/>
    <x v="0"/>
    <n v="0"/>
    <n v="24"/>
    <n v="0"/>
    <n v="0"/>
    <n v="0"/>
    <n v="0"/>
    <n v="0"/>
    <n v="0"/>
    <n v="0"/>
    <n v="0"/>
    <n v="0"/>
    <x v="0"/>
    <n v="30"/>
    <n v="0"/>
  </r>
  <r>
    <x v="198"/>
    <x v="5"/>
    <s v="2069-011-005, 2069-011-006"/>
    <s v="4240 Las Virgenes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35"/>
    <n v="0"/>
  </r>
  <r>
    <x v="198"/>
    <x v="5"/>
    <s v="2068-005-012 &amp; 2068-005-011"/>
    <s v="23480 Park Sorrento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78"/>
    <x v="4"/>
    <n v="41208065"/>
    <s v="300 RAILWAY AVE"/>
    <s v="5+"/>
    <x v="0"/>
    <n v="0"/>
    <n v="0"/>
    <n v="0"/>
    <n v="0"/>
    <n v="0"/>
    <n v="0"/>
    <x v="0"/>
    <n v="0"/>
    <n v="0"/>
    <n v="0"/>
    <n v="0"/>
    <n v="0"/>
    <n v="7"/>
    <n v="0"/>
    <n v="0"/>
    <n v="0"/>
    <n v="0"/>
    <n v="0"/>
    <x v="0"/>
    <n v="55"/>
    <n v="0"/>
  </r>
  <r>
    <x v="78"/>
    <x v="4"/>
    <n v="41208061"/>
    <s v="200 - 212 MALLEY WY (7 UNITS) BUILDING 1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45"/>
    <n v="0"/>
  </r>
  <r>
    <x v="95"/>
    <x v="5"/>
    <n v="81736034"/>
    <s v="16800 MONTEREY RD"/>
    <s v="5+"/>
    <x v="0"/>
    <n v="31"/>
    <n v="0"/>
    <n v="8"/>
    <n v="0"/>
    <n v="0"/>
    <n v="0"/>
    <x v="30"/>
    <n v="0"/>
    <n v="8"/>
    <n v="0"/>
    <n v="0"/>
    <n v="0"/>
    <n v="0"/>
    <n v="0"/>
    <n v="0"/>
    <n v="0"/>
    <n v="0"/>
    <n v="0"/>
    <x v="0"/>
    <n v="55"/>
    <n v="0"/>
  </r>
  <r>
    <x v="199"/>
    <x v="1"/>
    <s v="091-060-019"/>
    <s v="1801 Boxheart Drive"/>
    <s v="5+"/>
    <x v="0"/>
    <n v="10"/>
    <n v="0"/>
    <n v="5"/>
    <n v="0"/>
    <n v="5"/>
    <n v="0"/>
    <x v="7"/>
    <n v="0"/>
    <n v="5"/>
    <n v="0"/>
    <n v="5"/>
    <n v="0"/>
    <n v="0"/>
    <n v="0"/>
    <n v="0"/>
    <n v="0"/>
    <n v="0"/>
    <n v="0"/>
    <x v="0"/>
    <n v="55"/>
    <n v="20"/>
  </r>
  <r>
    <x v="133"/>
    <x v="0"/>
    <n v="6059018010"/>
    <s v="1406 W 105th Street_x000a_Los Angeles, CA 90047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72"/>
    <x v="1"/>
    <n v="6443100500"/>
    <s v="0 Santa Victoria Road"/>
    <s v="5+"/>
    <x v="0"/>
    <n v="0"/>
    <n v="0"/>
    <n v="96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26"/>
    <x v="4"/>
    <s v="153-24-005"/>
    <s v="777 West Middlefield Road"/>
    <s v="5+"/>
    <x v="0"/>
    <n v="0"/>
    <n v="0"/>
    <n v="0"/>
    <n v="0"/>
    <n v="144"/>
    <n v="0"/>
    <x v="0"/>
    <n v="0"/>
    <n v="0"/>
    <n v="0"/>
    <n v="0"/>
    <n v="0"/>
    <n v="0"/>
    <n v="0"/>
    <n v="0"/>
    <n v="0"/>
    <n v="0"/>
    <n v="0"/>
    <x v="1"/>
    <n v="55"/>
    <n v="0"/>
  </r>
  <r>
    <x v="26"/>
    <x v="4"/>
    <s v="154-02-001"/>
    <s v="1720 Villa Street"/>
    <s v="5+"/>
    <x v="0"/>
    <n v="0"/>
    <n v="0"/>
    <n v="34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27"/>
    <x v="5"/>
    <s v="094 001901700"/>
    <s v="249 KOTTINGER DR"/>
    <s v="5+"/>
    <x v="0"/>
    <n v="0"/>
    <n v="0"/>
    <n v="0"/>
    <n v="0"/>
    <n v="0"/>
    <n v="0"/>
    <x v="0"/>
    <n v="0"/>
    <n v="7"/>
    <n v="0"/>
    <n v="0"/>
    <n v="0"/>
    <n v="0"/>
    <n v="0"/>
    <n v="0"/>
    <n v="0"/>
    <n v="0"/>
    <n v="0"/>
    <x v="1"/>
    <n v="75"/>
    <n v="0"/>
  </r>
  <r>
    <x v="27"/>
    <x v="5"/>
    <s v="946 168000203"/>
    <s v="3701 NEVADA ST"/>
    <s v="5+"/>
    <x v="0"/>
    <n v="23"/>
    <n v="0"/>
    <n v="6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161"/>
    <x v="5"/>
    <s v="011-050-044"/>
    <m/>
    <s v="5+"/>
    <x v="0"/>
    <n v="0"/>
    <n v="0"/>
    <n v="12"/>
    <n v="0"/>
    <n v="0"/>
    <n v="66"/>
    <x v="0"/>
    <n v="0"/>
    <n v="0"/>
    <n v="0"/>
    <n v="0"/>
    <n v="0"/>
    <n v="0"/>
    <n v="0"/>
    <n v="0"/>
    <n v="0"/>
    <n v="0"/>
    <n v="0"/>
    <x v="0"/>
    <n v="55"/>
    <n v="0"/>
  </r>
  <r>
    <x v="200"/>
    <x v="1"/>
    <s v="024-071-69"/>
    <s v="5400 Gaddy Lane, KELSEYVILLE, CA 95451"/>
    <s v="5+"/>
    <x v="0"/>
    <n v="0"/>
    <n v="0"/>
    <n v="69"/>
    <n v="0"/>
    <n v="0"/>
    <n v="0"/>
    <x v="0"/>
    <n v="0"/>
    <n v="69"/>
    <n v="0"/>
    <n v="0"/>
    <n v="0"/>
    <n v="0"/>
    <n v="0"/>
    <n v="0"/>
    <n v="0"/>
    <n v="0"/>
    <n v="0"/>
    <x v="0"/>
    <n v="55"/>
    <n v="20"/>
  </r>
  <r>
    <x v="201"/>
    <x v="4"/>
    <s v="260-131-02"/>
    <s v="735 Santa Fe Dr."/>
    <s v="5+"/>
    <x v="1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0"/>
    <n v="5232022003"/>
    <s v="230 S Eastman Avenue_x000a_Los Angeles, CA 90063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66"/>
  </r>
  <r>
    <x v="133"/>
    <x v="0"/>
    <n v="5387039035"/>
    <s v="5622 Walnut Grove Avenue_x000a_San Gabriel, CA 91776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75"/>
  </r>
  <r>
    <x v="18"/>
    <x v="5"/>
    <s v="243-040-035"/>
    <s v="1000 Dewing Avenu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7"/>
    <n v="0"/>
    <x v="1"/>
    <m/>
    <n v="0"/>
  </r>
  <r>
    <x v="40"/>
    <x v="5"/>
    <s v="099 005600901"/>
    <s v="202 PLUM TREE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5"/>
    <n v="0"/>
  </r>
  <r>
    <x v="32"/>
    <x v="5"/>
    <n v="4282027018"/>
    <s v="1437 Lincoln Blvd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32"/>
    <x v="5"/>
    <n v="4267019030"/>
    <s v="2822 Santa Monica Blvd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33"/>
    <x v="0"/>
    <n v="4140004039"/>
    <s v="11814 Aviation Boulevard  Inglewood, CA 90304"/>
    <s v="5+"/>
    <x v="0"/>
    <n v="0"/>
    <n v="0"/>
    <n v="0"/>
    <n v="0"/>
    <n v="0"/>
    <n v="0"/>
    <x v="14"/>
    <n v="0"/>
    <n v="0"/>
    <n v="0"/>
    <n v="0"/>
    <n v="0"/>
    <n v="0"/>
    <n v="0"/>
    <n v="0"/>
    <n v="0"/>
    <n v="0"/>
    <n v="0"/>
    <x v="0"/>
    <n v="55"/>
    <n v="20"/>
  </r>
  <r>
    <x v="133"/>
    <x v="0"/>
    <n v="8228033080"/>
    <s v="11237 Gladhill Road_x000a_Whittier, CA 90604"/>
    <s v="5+"/>
    <x v="1"/>
    <n v="0"/>
    <n v="0"/>
    <n v="0"/>
    <n v="0"/>
    <n v="0"/>
    <n v="0"/>
    <x v="0"/>
    <n v="0"/>
    <n v="2"/>
    <n v="0"/>
    <n v="0"/>
    <n v="0"/>
    <n v="0"/>
    <n v="0"/>
    <n v="0"/>
    <n v="0"/>
    <n v="0"/>
    <n v="0"/>
    <x v="0"/>
    <n v="55"/>
    <n v="32"/>
  </r>
  <r>
    <x v="133"/>
    <x v="0"/>
    <n v="6027008035"/>
    <s v="1619 Firestone Boulevard  Los Angeles, CA 90001"/>
    <s v="5+"/>
    <x v="0"/>
    <n v="0"/>
    <n v="0"/>
    <n v="0"/>
    <n v="0"/>
    <n v="0"/>
    <n v="0"/>
    <x v="0"/>
    <n v="0"/>
    <n v="2"/>
    <n v="0"/>
    <n v="0"/>
    <n v="0"/>
    <n v="0"/>
    <n v="0"/>
    <n v="0"/>
    <n v="0"/>
    <n v="0"/>
    <n v="0"/>
    <x v="0"/>
    <n v="55"/>
    <n v="150"/>
  </r>
  <r>
    <x v="133"/>
    <x v="0"/>
    <n v="5250017904"/>
    <s v="4655 E 3rd Street  Los Angeles, CA 90022"/>
    <s v="5+"/>
    <x v="0"/>
    <n v="0"/>
    <n v="0"/>
    <n v="0"/>
    <n v="0"/>
    <n v="0"/>
    <n v="0"/>
    <x v="40"/>
    <n v="0"/>
    <n v="0"/>
    <n v="0"/>
    <n v="0"/>
    <n v="0"/>
    <n v="0"/>
    <n v="0"/>
    <n v="0"/>
    <n v="0"/>
    <n v="0"/>
    <n v="0"/>
    <x v="0"/>
    <n v="99"/>
    <n v="270"/>
  </r>
  <r>
    <x v="127"/>
    <x v="4"/>
    <s v="222-0-011-270; -280"/>
    <s v="5567 SAVIERS RD"/>
    <s v="5+"/>
    <x v="0"/>
    <n v="0"/>
    <n v="0"/>
    <n v="0"/>
    <n v="0"/>
    <n v="0"/>
    <n v="0"/>
    <x v="0"/>
    <n v="0"/>
    <n v="0"/>
    <n v="0"/>
    <n v="0"/>
    <n v="0"/>
    <n v="8"/>
    <n v="0"/>
    <n v="0"/>
    <n v="0"/>
    <n v="0"/>
    <n v="0"/>
    <x v="0"/>
    <n v="55"/>
    <n v="0"/>
  </r>
  <r>
    <x v="119"/>
    <x v="4"/>
    <s v="049-0951-004-02; 049-0951-005-01; 049-0951-006-01; 049-0951-007; 012-0951-011"/>
    <s v="3706 San Pablo Ave"/>
    <s v="5+"/>
    <x v="0"/>
    <n v="0"/>
    <n v="0"/>
    <n v="0"/>
    <n v="0"/>
    <n v="0"/>
    <n v="0"/>
    <x v="0"/>
    <n v="0"/>
    <n v="0"/>
    <n v="0"/>
    <n v="0"/>
    <n v="0"/>
    <n v="46"/>
    <n v="0"/>
    <n v="14"/>
    <n v="0"/>
    <n v="0"/>
    <n v="0"/>
    <x v="1"/>
    <n v="55"/>
    <n v="0"/>
  </r>
  <r>
    <x v="160"/>
    <x v="4"/>
    <n v="8305020001"/>
    <s v="501 W. Foothill Blvd."/>
    <s v="5+"/>
    <x v="1"/>
    <n v="0"/>
    <n v="0"/>
    <n v="0"/>
    <n v="0"/>
    <n v="0"/>
    <n v="0"/>
    <x v="0"/>
    <n v="0"/>
    <n v="0"/>
    <n v="0"/>
    <n v="0"/>
    <n v="16"/>
    <n v="0"/>
    <n v="0"/>
    <n v="0"/>
    <n v="0"/>
    <n v="0"/>
    <n v="0"/>
    <x v="1"/>
    <m/>
    <n v="0"/>
  </r>
  <r>
    <x v="133"/>
    <x v="0"/>
    <n v="4036016033"/>
    <s v="10505 Hawthorne Boulevard  Inglewood, CA 90304"/>
    <s v="5+"/>
    <x v="0"/>
    <n v="0"/>
    <n v="0"/>
    <n v="0"/>
    <n v="0"/>
    <n v="0"/>
    <n v="0"/>
    <x v="0"/>
    <n v="0"/>
    <n v="5"/>
    <n v="0"/>
    <n v="0"/>
    <n v="0"/>
    <n v="0"/>
    <n v="0"/>
    <n v="0"/>
    <n v="0"/>
    <n v="0"/>
    <n v="0"/>
    <x v="0"/>
    <n v="55"/>
    <n v="35"/>
  </r>
  <r>
    <x v="127"/>
    <x v="4"/>
    <s v="222-0-011-270; -280"/>
    <s v="5557 SAVIERS RD"/>
    <s v="5+"/>
    <x v="0"/>
    <n v="0"/>
    <n v="0"/>
    <n v="0"/>
    <n v="0"/>
    <n v="0"/>
    <n v="0"/>
    <x v="0"/>
    <n v="0"/>
    <n v="0"/>
    <n v="0"/>
    <n v="0"/>
    <n v="0"/>
    <n v="8"/>
    <n v="0"/>
    <n v="0"/>
    <n v="0"/>
    <n v="0"/>
    <n v="0"/>
    <x v="0"/>
    <n v="55"/>
    <n v="0"/>
  </r>
  <r>
    <x v="38"/>
    <x v="5"/>
    <s v="008-044-02"/>
    <s v="1930 OCEAN ST EXT"/>
    <s v="5+"/>
    <x v="1"/>
    <n v="0"/>
    <n v="0"/>
    <n v="6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17"/>
    <x v="4"/>
    <s v="398-328-01"/>
    <s v="114 E. Fifth St."/>
    <s v="5+"/>
    <x v="0"/>
    <n v="1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43"/>
    <x v="5"/>
    <n v="1602701200"/>
    <s v="3267 SEA COVE WAY"/>
    <s v="5+"/>
    <x v="0"/>
    <n v="0"/>
    <n v="0"/>
    <n v="0"/>
    <n v="0"/>
    <n v="0"/>
    <n v="0"/>
    <x v="0"/>
    <n v="0"/>
    <n v="0"/>
    <n v="0"/>
    <n v="0"/>
    <n v="0"/>
    <n v="10"/>
    <n v="0"/>
    <n v="0"/>
    <n v="0"/>
    <n v="0"/>
    <n v="0"/>
    <x v="1"/>
    <m/>
    <n v="0"/>
  </r>
  <r>
    <x v="133"/>
    <x v="5"/>
    <n v="4038025005"/>
    <s v="10501 S Buford Avenue, Inglewood CA 90304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534034012"/>
    <s v="5801 CAMERFORD AVE  W  90038"/>
    <s v="5+"/>
    <x v="0"/>
    <n v="4"/>
    <n v="0"/>
    <n v="1"/>
    <n v="0"/>
    <n v="0"/>
    <n v="0"/>
    <x v="5"/>
    <n v="0"/>
    <n v="1"/>
    <n v="0"/>
    <n v="0"/>
    <n v="0"/>
    <n v="0"/>
    <n v="0"/>
    <n v="0"/>
    <n v="0"/>
    <n v="0"/>
    <n v="0"/>
    <x v="0"/>
    <n v="55"/>
    <n v="0"/>
  </r>
  <r>
    <x v="57"/>
    <x v="2"/>
    <n v="2416028030"/>
    <s v="5232 WILLOW CREST AVE  N  91601"/>
    <s v="5+"/>
    <x v="0"/>
    <n v="1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2"/>
    <n v="2366025017"/>
    <s v="11201 VENTURA BLVD W  91604"/>
    <s v="5+"/>
    <x v="0"/>
    <n v="1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2360030017"/>
    <s v="13267 MOORPARK ST   W  91423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068021010"/>
    <s v="1563 FAIRFAX AVE  S  90019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4323013900"/>
    <s v="11010 SANTA MONICA BLVD W  90025"/>
    <s v="5+"/>
    <x v="0"/>
    <n v="0"/>
    <n v="0"/>
    <n v="5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024017009"/>
    <s v="4242 CRENSHAW BLVD S  90008"/>
    <s v="5+"/>
    <x v="0"/>
    <n v="1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126019009"/>
    <s v="2528 S GRAND AVE"/>
    <s v="5+"/>
    <x v="0"/>
    <n v="0"/>
    <n v="0"/>
    <n v="0"/>
    <n v="0"/>
    <n v="0"/>
    <n v="0"/>
    <x v="36"/>
    <n v="0"/>
    <n v="0"/>
    <n v="0"/>
    <n v="0"/>
    <n v="0"/>
    <n v="0"/>
    <n v="0"/>
    <n v="0"/>
    <n v="0"/>
    <n v="0"/>
    <n v="0"/>
    <x v="0"/>
    <n v="55"/>
    <n v="0"/>
  </r>
  <r>
    <x v="57"/>
    <x v="2"/>
    <n v="5051005902"/>
    <s v="4314 W ADAMS BLVD"/>
    <s v="5+"/>
    <x v="0"/>
    <n v="0"/>
    <n v="0"/>
    <n v="0"/>
    <n v="0"/>
    <n v="0"/>
    <n v="0"/>
    <x v="68"/>
    <n v="0"/>
    <n v="0"/>
    <n v="0"/>
    <n v="0"/>
    <n v="0"/>
    <n v="0"/>
    <n v="0"/>
    <n v="0"/>
    <n v="0"/>
    <n v="0"/>
    <n v="0"/>
    <x v="0"/>
    <n v="55"/>
    <n v="0"/>
  </r>
  <r>
    <x v="119"/>
    <x v="4"/>
    <s v="049-1556-001"/>
    <s v="6301 Shellmound St"/>
    <s v="5+"/>
    <x v="0"/>
    <n v="0"/>
    <n v="0"/>
    <n v="0"/>
    <n v="0"/>
    <n v="0"/>
    <n v="0"/>
    <x v="0"/>
    <n v="0"/>
    <n v="0"/>
    <n v="0"/>
    <n v="0"/>
    <n v="0"/>
    <n v="0"/>
    <n v="0"/>
    <n v="8"/>
    <n v="0"/>
    <n v="9"/>
    <n v="0"/>
    <x v="1"/>
    <n v="55"/>
    <n v="0"/>
  </r>
  <r>
    <x v="50"/>
    <x v="5"/>
    <s v="5288-004-057"/>
    <s v="8449 Earle Avenue"/>
    <s v="5+"/>
    <x v="0"/>
    <n v="0"/>
    <n v="0"/>
    <n v="6"/>
    <n v="0"/>
    <n v="0"/>
    <n v="29"/>
    <x v="0"/>
    <n v="0"/>
    <n v="0"/>
    <n v="0"/>
    <n v="0"/>
    <n v="0"/>
    <n v="0"/>
    <n v="0"/>
    <n v="0"/>
    <n v="0"/>
    <n v="0"/>
    <n v="0"/>
    <x v="0"/>
    <n v="55"/>
    <n v="0"/>
  </r>
  <r>
    <x v="1"/>
    <x v="3"/>
    <s v="039-0011-013-0000"/>
    <s v="4550 LE DONNE DR, BLDG# 3_x000a_SACRAMENTO, CA 95823"/>
    <s v="5+"/>
    <x v="0"/>
    <n v="0"/>
    <n v="0"/>
    <n v="0"/>
    <n v="0"/>
    <n v="0"/>
    <n v="0"/>
    <x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9_x000a_SACRAMENTO, CA 95823"/>
    <s v="5+"/>
    <x v="0"/>
    <n v="0"/>
    <n v="0"/>
    <n v="0"/>
    <n v="0"/>
    <n v="0"/>
    <n v="0"/>
    <x v="0"/>
    <n v="0"/>
    <n v="6"/>
    <n v="0"/>
    <n v="0"/>
    <n v="0"/>
    <n v="0"/>
    <n v="0"/>
    <n v="0"/>
    <n v="0"/>
    <n v="0"/>
    <n v="0"/>
    <x v="0"/>
    <m/>
    <n v="58"/>
  </r>
  <r>
    <x v="10"/>
    <x v="3"/>
    <s v="294-39-010"/>
    <s v="3945 Stevens Creek BL, SANTA CLARA, CA"/>
    <s v="5+"/>
    <x v="0"/>
    <n v="0"/>
    <n v="0"/>
    <n v="58"/>
    <n v="0"/>
    <n v="0"/>
    <n v="0"/>
    <x v="0"/>
    <n v="0"/>
    <n v="58"/>
    <n v="0"/>
    <n v="0"/>
    <n v="0"/>
    <n v="0"/>
    <n v="0"/>
    <n v="0"/>
    <n v="0"/>
    <n v="0"/>
    <n v="0"/>
    <x v="0"/>
    <m/>
    <n v="0"/>
  </r>
  <r>
    <x v="10"/>
    <x v="3"/>
    <s v="224-48-004"/>
    <s v="1465 EL CAMINO REAL, SANTA CLARA, CA 95050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20"/>
    <n v="0"/>
  </r>
  <r>
    <x v="127"/>
    <x v="4"/>
    <s v="222-0-011-270; -280"/>
    <s v="5537 SAVIERS RD"/>
    <s v="5+"/>
    <x v="0"/>
    <n v="0"/>
    <n v="0"/>
    <n v="0"/>
    <n v="0"/>
    <n v="0"/>
    <n v="0"/>
    <x v="0"/>
    <n v="0"/>
    <n v="0"/>
    <n v="0"/>
    <n v="0"/>
    <n v="0"/>
    <n v="8"/>
    <n v="0"/>
    <n v="0"/>
    <n v="0"/>
    <n v="0"/>
    <n v="0"/>
    <x v="0"/>
    <n v="55"/>
    <n v="0"/>
  </r>
  <r>
    <x v="57"/>
    <x v="2"/>
    <n v="5049016067"/>
    <s v="5181 W ADAMS BLVD"/>
    <s v="5+"/>
    <x v="0"/>
    <n v="0"/>
    <n v="0"/>
    <n v="0"/>
    <n v="0"/>
    <n v="0"/>
    <n v="0"/>
    <x v="21"/>
    <n v="0"/>
    <n v="0"/>
    <n v="0"/>
    <n v="0"/>
    <n v="0"/>
    <n v="0"/>
    <n v="0"/>
    <n v="0"/>
    <n v="0"/>
    <n v="0"/>
    <n v="0"/>
    <x v="0"/>
    <n v="55"/>
    <n v="0"/>
  </r>
  <r>
    <x v="38"/>
    <x v="5"/>
    <s v="010-072-78"/>
    <s v="1024 SOQUEL AVE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57"/>
    <x v="2"/>
    <n v="5143020024"/>
    <s v="1230 W INGRAHAM ST"/>
    <s v="5+"/>
    <x v="0"/>
    <n v="0"/>
    <n v="0"/>
    <n v="0"/>
    <n v="0"/>
    <n v="0"/>
    <n v="0"/>
    <x v="88"/>
    <n v="0"/>
    <n v="0"/>
    <n v="0"/>
    <n v="0"/>
    <n v="0"/>
    <n v="0"/>
    <n v="0"/>
    <n v="0"/>
    <n v="0"/>
    <n v="0"/>
    <n v="0"/>
    <x v="0"/>
    <n v="55"/>
    <n v="0"/>
  </r>
  <r>
    <x v="86"/>
    <x v="0"/>
    <s v="6105-009-008, 009"/>
    <s v="15717 &amp; 15725 S. Normandie Ave"/>
    <s v="5+"/>
    <x v="1"/>
    <n v="0"/>
    <n v="0"/>
    <n v="3"/>
    <n v="0"/>
    <n v="0"/>
    <n v="0"/>
    <x v="0"/>
    <n v="0"/>
    <n v="0"/>
    <n v="0"/>
    <n v="0"/>
    <n v="0"/>
    <n v="0"/>
    <n v="0"/>
    <n v="0"/>
    <n v="0"/>
    <n v="0"/>
    <n v="0"/>
    <x v="0"/>
    <m/>
    <n v="23"/>
  </r>
  <r>
    <x v="71"/>
    <x v="3"/>
    <s v="4236-020-006"/>
    <s v="12727 Washington"/>
    <s v="5+"/>
    <x v="0"/>
    <n v="5"/>
    <n v="0"/>
    <n v="0"/>
    <n v="0"/>
    <n v="11"/>
    <n v="0"/>
    <x v="0"/>
    <n v="0"/>
    <n v="0"/>
    <n v="0"/>
    <n v="0"/>
    <n v="0"/>
    <n v="0"/>
    <n v="0"/>
    <n v="0"/>
    <n v="0"/>
    <n v="0"/>
    <n v="0"/>
    <x v="0"/>
    <m/>
    <n v="50"/>
  </r>
  <r>
    <x v="57"/>
    <x v="2"/>
    <n v="6070016003"/>
    <s v="11408 S CENTRAL AVE"/>
    <s v="5+"/>
    <x v="0"/>
    <n v="63"/>
    <n v="0"/>
    <n v="0"/>
    <n v="0"/>
    <n v="0"/>
    <n v="0"/>
    <x v="32"/>
    <n v="0"/>
    <n v="0"/>
    <n v="0"/>
    <n v="0"/>
    <n v="0"/>
    <n v="0"/>
    <n v="0"/>
    <n v="0"/>
    <n v="0"/>
    <n v="0"/>
    <n v="0"/>
    <x v="0"/>
    <n v="55"/>
    <n v="0"/>
  </r>
  <r>
    <x v="57"/>
    <x v="2"/>
    <n v="5078007024"/>
    <s v="954 S CATALINA ST 1-19"/>
    <s v="5+"/>
    <x v="0"/>
    <n v="0"/>
    <n v="0"/>
    <n v="0"/>
    <n v="0"/>
    <n v="0"/>
    <n v="0"/>
    <x v="0"/>
    <n v="0"/>
    <n v="3"/>
    <n v="0"/>
    <n v="0"/>
    <n v="0"/>
    <n v="0"/>
    <n v="0"/>
    <n v="0"/>
    <n v="0"/>
    <n v="0"/>
    <n v="0"/>
    <x v="0"/>
    <n v="55"/>
    <n v="0"/>
  </r>
  <r>
    <x v="57"/>
    <x v="2"/>
    <n v="5051006016"/>
    <s v="4220 W MONT CLAIR ST"/>
    <s v="5+"/>
    <x v="0"/>
    <n v="0"/>
    <n v="0"/>
    <n v="0"/>
    <n v="0"/>
    <n v="0"/>
    <n v="0"/>
    <x v="5"/>
    <n v="0"/>
    <n v="41"/>
    <n v="0"/>
    <n v="0"/>
    <n v="0"/>
    <n v="0"/>
    <n v="0"/>
    <n v="0"/>
    <n v="0"/>
    <n v="0"/>
    <n v="0"/>
    <x v="0"/>
    <n v="55"/>
    <n v="0"/>
  </r>
  <r>
    <x v="57"/>
    <x v="2"/>
    <n v="6046019930"/>
    <s v="2062 E 99TH PL 101-523"/>
    <s v="5+"/>
    <x v="0"/>
    <n v="0"/>
    <n v="0"/>
    <n v="0"/>
    <n v="0"/>
    <n v="0"/>
    <n v="0"/>
    <x v="28"/>
    <n v="0"/>
    <n v="58"/>
    <n v="0"/>
    <n v="7"/>
    <n v="0"/>
    <n v="0"/>
    <n v="0"/>
    <n v="0"/>
    <n v="0"/>
    <n v="0"/>
    <n v="0"/>
    <x v="0"/>
    <n v="55"/>
    <n v="0"/>
  </r>
  <r>
    <x v="32"/>
    <x v="0"/>
    <s v="4266-001-045"/>
    <s v="3223  WILSHIRE BLVD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1"/>
    <n v="99"/>
    <n v="0"/>
  </r>
  <r>
    <x v="151"/>
    <x v="5"/>
    <m/>
    <s v="1418 Mauro Pietro  Bldg2"/>
    <s v="5+"/>
    <x v="1"/>
    <n v="0"/>
    <n v="0"/>
    <n v="0"/>
    <n v="0"/>
    <n v="0"/>
    <n v="0"/>
    <x v="0"/>
    <n v="0"/>
    <n v="2"/>
    <n v="0"/>
    <n v="1"/>
    <n v="0"/>
    <n v="0"/>
    <n v="0"/>
    <n v="0"/>
    <n v="0"/>
    <n v="0"/>
    <n v="0"/>
    <x v="1"/>
    <m/>
    <n v="0"/>
  </r>
  <r>
    <x v="186"/>
    <x v="3"/>
    <s v="415-0180-076-00; 415-0180-075-00; 415-0180-074-00"/>
    <s v="21502 Foothill Blvd; 1435 Grove Way"/>
    <s v="5+"/>
    <x v="0"/>
    <n v="75"/>
    <n v="0"/>
    <n v="20"/>
    <n v="0"/>
    <n v="0"/>
    <n v="0"/>
    <x v="0"/>
    <n v="0"/>
    <n v="0"/>
    <n v="0"/>
    <n v="0"/>
    <n v="0"/>
    <n v="0"/>
    <n v="0"/>
    <n v="0"/>
    <n v="0"/>
    <n v="0"/>
    <n v="0"/>
    <x v="0"/>
    <n v="55"/>
    <n v="56"/>
  </r>
  <r>
    <x v="149"/>
    <x v="5"/>
    <s v="501 093002002"/>
    <s v="4101 Mowry Ave"/>
    <s v="5+"/>
    <x v="0"/>
    <n v="118"/>
    <n v="0"/>
    <n v="1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32"/>
    <x v="0"/>
    <s v="4267-018-026"/>
    <s v="2906 Santa Monica Blvd"/>
    <s v="5+"/>
    <x v="0"/>
    <n v="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149"/>
    <x v="5"/>
    <s v="TR | 8180 | 4 | 4 | 0 |"/>
    <s v="4372 MODOC TER"/>
    <s v="5+"/>
    <x v="1"/>
    <n v="0"/>
    <n v="0"/>
    <n v="0"/>
    <n v="0"/>
    <n v="0"/>
    <n v="0"/>
    <x v="0"/>
    <n v="0"/>
    <n v="0"/>
    <n v="0"/>
    <n v="8"/>
    <n v="0"/>
    <n v="0"/>
    <n v="0"/>
    <n v="0"/>
    <n v="0"/>
    <n v="0"/>
    <n v="0"/>
    <x v="1"/>
    <n v="30"/>
    <n v="0"/>
  </r>
  <r>
    <x v="133"/>
    <x v="0"/>
    <n v="8404002029"/>
    <s v="19545 E Cienega Avenue_x000a_Covina, CA 91724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7"/>
  </r>
  <r>
    <x v="133"/>
    <x v="0"/>
    <n v="3103024019"/>
    <s v="4018 W Avenue L_x000a_Lancaster, CA 93536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30"/>
  </r>
  <r>
    <x v="133"/>
    <x v="0"/>
    <n v="5828027022"/>
    <s v="2439 N Lincoln Avenue_x000a_Altadena, CA 91001"/>
    <s v="5+"/>
    <x v="0"/>
    <n v="88"/>
    <n v="0"/>
    <n v="6"/>
    <n v="0"/>
    <n v="0"/>
    <n v="0"/>
    <x v="0"/>
    <n v="0"/>
    <n v="0"/>
    <n v="0"/>
    <n v="0"/>
    <n v="0"/>
    <n v="0"/>
    <n v="0"/>
    <n v="0"/>
    <n v="0"/>
    <n v="0"/>
    <n v="0"/>
    <x v="0"/>
    <n v="55"/>
    <n v="392"/>
  </r>
  <r>
    <x v="186"/>
    <x v="3"/>
    <s v="453-0090-014-00"/>
    <s v="Manon Ave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30"/>
  </r>
  <r>
    <x v="60"/>
    <x v="0"/>
    <s v="011-256-12"/>
    <s v="815 B Street"/>
    <s v="5+"/>
    <x v="0"/>
    <n v="0"/>
    <n v="0"/>
    <n v="0"/>
    <n v="0"/>
    <n v="0"/>
    <n v="0"/>
    <x v="0"/>
    <n v="0"/>
    <n v="0"/>
    <n v="0"/>
    <n v="0"/>
    <n v="0"/>
    <n v="4"/>
    <n v="0"/>
    <n v="2"/>
    <n v="0"/>
    <n v="0"/>
    <n v="0"/>
    <x v="0"/>
    <m/>
    <s v="36.700000000000003"/>
  </r>
  <r>
    <x v="202"/>
    <x v="0"/>
    <n v="56022238"/>
    <s v="1821 C Avenue"/>
    <s v="5+"/>
    <x v="0"/>
    <n v="0"/>
    <n v="0"/>
    <n v="0"/>
    <n v="0"/>
    <n v="0"/>
    <n v="0"/>
    <x v="0"/>
    <n v="0"/>
    <n v="1"/>
    <n v="0"/>
    <n v="0"/>
    <n v="0"/>
    <n v="0"/>
    <n v="0"/>
    <n v="1"/>
    <n v="0"/>
    <n v="0"/>
    <n v="0"/>
    <x v="0"/>
    <n v="55"/>
    <n v="24.5"/>
  </r>
  <r>
    <x v="120"/>
    <x v="5"/>
    <n v="43505250"/>
    <s v="17275 DERIAN AVE  IRVINE, CA 92614"/>
    <s v="5+"/>
    <x v="0"/>
    <n v="0"/>
    <n v="0"/>
    <n v="0"/>
    <n v="0"/>
    <n v="0"/>
    <n v="0"/>
    <x v="0"/>
    <n v="0"/>
    <n v="0"/>
    <n v="0"/>
    <n v="0"/>
    <n v="0"/>
    <n v="79"/>
    <n v="0"/>
    <n v="0"/>
    <n v="0"/>
    <n v="0"/>
    <n v="0"/>
    <x v="0"/>
    <n v="99"/>
    <n v="0"/>
  </r>
  <r>
    <x v="106"/>
    <x v="5"/>
    <n v="6690050135"/>
    <s v="299 E Thousand Oaks Blvd"/>
    <s v="5+"/>
    <x v="0"/>
    <n v="11"/>
    <n v="0"/>
    <n v="0"/>
    <n v="0"/>
    <n v="0"/>
    <n v="131"/>
    <x v="0"/>
    <n v="0"/>
    <n v="0"/>
    <n v="0"/>
    <n v="0"/>
    <n v="0"/>
    <n v="0"/>
    <n v="0"/>
    <n v="0"/>
    <n v="0"/>
    <n v="0"/>
    <n v="0"/>
    <x v="0"/>
    <m/>
    <n v="0"/>
  </r>
  <r>
    <x v="120"/>
    <x v="5"/>
    <n v="59113111"/>
    <s v="VTTM 18165"/>
    <s v="5+"/>
    <x v="0"/>
    <n v="106"/>
    <n v="0"/>
    <n v="0"/>
    <n v="0"/>
    <n v="37"/>
    <n v="0"/>
    <x v="0"/>
    <n v="0"/>
    <n v="0"/>
    <n v="0"/>
    <n v="0"/>
    <n v="0"/>
    <n v="0"/>
    <n v="0"/>
    <n v="0"/>
    <n v="0"/>
    <n v="0"/>
    <n v="0"/>
    <x v="0"/>
    <m/>
    <n v="0"/>
  </r>
  <r>
    <x v="151"/>
    <x v="4"/>
    <n v="7143015"/>
    <s v="215 Weller Street"/>
    <s v="5+"/>
    <x v="0"/>
    <n v="0"/>
    <n v="0"/>
    <n v="27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4"/>
    <n v="4445121200"/>
    <s v="4186 04TH AV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153"/>
    <x v="4"/>
    <s v="126-164-051, -054"/>
    <s v="1313-1321 Galindo Street"/>
    <s v="5+"/>
    <x v="0"/>
    <n v="53"/>
    <n v="0"/>
    <n v="8"/>
    <n v="0"/>
    <n v="0"/>
    <n v="0"/>
    <x v="0"/>
    <n v="0"/>
    <n v="0"/>
    <n v="0"/>
    <n v="0"/>
    <n v="0"/>
    <n v="0"/>
    <n v="0"/>
    <n v="0"/>
    <n v="0"/>
    <n v="0"/>
    <n v="0"/>
    <x v="0"/>
    <n v="57"/>
    <n v="0"/>
  </r>
  <r>
    <x v="133"/>
    <x v="0"/>
    <n v="3103010047"/>
    <s v="4856 W Avenue L-14_x000a_Quartz Hill, CA 93536"/>
    <s v="5+"/>
    <x v="0"/>
    <n v="3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89"/>
  </r>
  <r>
    <x v="133"/>
    <x v="0"/>
    <n v="5248003008"/>
    <s v="5010 E 3rd Street_x000a_Los Angeles, CA 90022"/>
    <s v="5+"/>
    <x v="0"/>
    <n v="17"/>
    <n v="0"/>
    <n v="42"/>
    <n v="0"/>
    <n v="0"/>
    <n v="0"/>
    <x v="0"/>
    <n v="0"/>
    <n v="0"/>
    <n v="0"/>
    <n v="0"/>
    <n v="0"/>
    <n v="0"/>
    <n v="0"/>
    <n v="0"/>
    <n v="0"/>
    <n v="0"/>
    <n v="0"/>
    <x v="0"/>
    <n v="55"/>
    <n v="245"/>
  </r>
  <r>
    <x v="133"/>
    <x v="0"/>
    <n v="8571010042"/>
    <s v="4064 E Live Oak Avenue Unit: 201_x000a_Arcadia, CA 91006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41"/>
  </r>
  <r>
    <x v="79"/>
    <x v="4"/>
    <s v="035200180"/>
    <s v="420 STATION PARK CIR"/>
    <s v="5+"/>
    <x v="0"/>
    <n v="0"/>
    <n v="0"/>
    <n v="0"/>
    <n v="0"/>
    <n v="0"/>
    <n v="0"/>
    <x v="58"/>
    <n v="0"/>
    <n v="0"/>
    <n v="0"/>
    <n v="0"/>
    <n v="0"/>
    <n v="0"/>
    <n v="0"/>
    <n v="0"/>
    <n v="0"/>
    <n v="0"/>
    <n v="0"/>
    <x v="1"/>
    <n v="1000"/>
    <n v="0"/>
  </r>
  <r>
    <x v="79"/>
    <x v="4"/>
    <s v="034182160"/>
    <s v="405 E 4TH AVE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1"/>
    <n v="1000"/>
    <n v="0"/>
  </r>
  <r>
    <x v="79"/>
    <x v="4"/>
    <s v="032322130 and 032322200"/>
    <s v="303 Baldwin Ave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202"/>
    <x v="1"/>
    <s v="557-120-25-00"/>
    <s v="630 R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m/>
    <n v="25"/>
  </r>
  <r>
    <x v="180"/>
    <x v="4"/>
    <n v="50074090"/>
    <s v="560 El Camino Real"/>
    <s v="5+"/>
    <x v="1"/>
    <n v="0"/>
    <n v="0"/>
    <n v="1"/>
    <n v="0"/>
    <n v="1"/>
    <n v="0"/>
    <x v="0"/>
    <n v="0"/>
    <n v="0"/>
    <n v="0"/>
    <n v="0"/>
    <n v="0"/>
    <n v="0"/>
    <n v="0"/>
    <n v="0"/>
    <n v="0"/>
    <n v="0"/>
    <n v="0"/>
    <x v="1"/>
    <n v="45"/>
    <n v="0"/>
  </r>
  <r>
    <x v="133"/>
    <x v="0"/>
    <n v="8171001047"/>
    <s v="11202 Whittier Boulevard_x000a_Whittier, CA 90606"/>
    <s v="5+"/>
    <x v="0"/>
    <n v="0"/>
    <n v="0"/>
    <n v="12"/>
    <n v="0"/>
    <n v="0"/>
    <n v="0"/>
    <x v="0"/>
    <n v="0"/>
    <n v="0"/>
    <n v="0"/>
    <n v="0"/>
    <n v="0"/>
    <n v="0"/>
    <n v="0"/>
    <n v="0"/>
    <n v="0"/>
    <n v="0"/>
    <n v="0"/>
    <x v="0"/>
    <n v="55"/>
    <n v="44"/>
  </r>
  <r>
    <x v="78"/>
    <x v="2"/>
    <n v="30534061"/>
    <s v="2305 S WINCHESTER BL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0"/>
  </r>
  <r>
    <x v="190"/>
    <x v="5"/>
    <n v="6440080735"/>
    <s v="4862 &amp; 4864 E. Cochran St.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0"/>
  </r>
  <r>
    <x v="133"/>
    <x v="0"/>
    <n v="8206010077"/>
    <s v="162 S 3rd Avenue  La Puente, CA 91746"/>
    <s v="5+"/>
    <x v="0"/>
    <n v="0"/>
    <n v="0"/>
    <n v="0"/>
    <n v="0"/>
    <n v="0"/>
    <n v="0"/>
    <x v="0"/>
    <n v="0"/>
    <n v="70"/>
    <n v="0"/>
    <n v="10"/>
    <n v="0"/>
    <n v="0"/>
    <n v="0"/>
    <n v="0"/>
    <n v="0"/>
    <n v="0"/>
    <n v="0"/>
    <x v="0"/>
    <n v="55"/>
    <n v="61"/>
  </r>
  <r>
    <x v="143"/>
    <x v="3"/>
    <n v="1471930800"/>
    <s v="712 SEAGAZE DR"/>
    <s v="5+"/>
    <x v="0"/>
    <n v="0"/>
    <n v="0"/>
    <n v="12"/>
    <n v="0"/>
    <n v="0"/>
    <n v="0"/>
    <x v="0"/>
    <n v="0"/>
    <n v="0"/>
    <n v="0"/>
    <n v="0"/>
    <n v="0"/>
    <n v="0"/>
    <n v="0"/>
    <n v="0"/>
    <n v="0"/>
    <n v="0"/>
    <n v="0"/>
    <x v="0"/>
    <m/>
    <s v="0.10000000000000001"/>
  </r>
  <r>
    <x v="91"/>
    <x v="4"/>
    <s v="176-300-54 &amp; 55"/>
    <s v="751 E. Vista Way"/>
    <s v="5+"/>
    <x v="0"/>
    <n v="0"/>
    <n v="0"/>
    <n v="0"/>
    <n v="0"/>
    <n v="0"/>
    <n v="0"/>
    <x v="0"/>
    <n v="0"/>
    <n v="11"/>
    <n v="0"/>
    <n v="0"/>
    <n v="0"/>
    <n v="0"/>
    <n v="0"/>
    <n v="0"/>
    <n v="0"/>
    <n v="0"/>
    <n v="0"/>
    <x v="1"/>
    <n v="55"/>
    <n v="0"/>
  </r>
  <r>
    <x v="203"/>
    <x v="0"/>
    <s v="051-210-019"/>
    <s v="Elm Ln."/>
    <s v="5+"/>
    <x v="0"/>
    <n v="0"/>
    <n v="0"/>
    <n v="16"/>
    <n v="0"/>
    <n v="0"/>
    <n v="154"/>
    <x v="0"/>
    <n v="0"/>
    <n v="0"/>
    <n v="0"/>
    <n v="0"/>
    <n v="0"/>
    <n v="0"/>
    <n v="0"/>
    <n v="0"/>
    <n v="0"/>
    <n v="0"/>
    <n v="0"/>
    <x v="0"/>
    <n v="55"/>
    <n v="10"/>
  </r>
  <r>
    <x v="204"/>
    <x v="4"/>
    <s v="175-014-003"/>
    <s v="256 S SACRAMENTO ST"/>
    <s v="5+"/>
    <x v="0"/>
    <n v="0"/>
    <n v="0"/>
    <n v="0"/>
    <n v="0"/>
    <n v="0"/>
    <n v="0"/>
    <x v="0"/>
    <n v="0"/>
    <n v="0"/>
    <n v="0"/>
    <n v="0"/>
    <n v="0"/>
    <n v="5"/>
    <n v="0"/>
    <n v="0"/>
    <n v="0"/>
    <n v="0"/>
    <n v="0"/>
    <x v="0"/>
    <m/>
    <n v="0"/>
  </r>
  <r>
    <x v="205"/>
    <x v="3"/>
    <n v="944330005"/>
    <s v="43513 VENTANA STREET"/>
    <s v="5+"/>
    <x v="0"/>
    <n v="0"/>
    <n v="0"/>
    <n v="0"/>
    <n v="0"/>
    <n v="0"/>
    <n v="0"/>
    <x v="6"/>
    <n v="0"/>
    <n v="22"/>
    <n v="0"/>
    <n v="0"/>
    <n v="1"/>
    <n v="0"/>
    <n v="0"/>
    <n v="0"/>
    <n v="0"/>
    <n v="0"/>
    <n v="0"/>
    <x v="1"/>
    <n v="55"/>
    <n v="0"/>
  </r>
  <r>
    <x v="204"/>
    <x v="4"/>
    <s v="175-014-003"/>
    <s v="236 S SACRAMENTO ST"/>
    <s v="5+"/>
    <x v="0"/>
    <n v="0"/>
    <n v="0"/>
    <n v="0"/>
    <n v="0"/>
    <n v="0"/>
    <n v="0"/>
    <x v="0"/>
    <n v="0"/>
    <n v="0"/>
    <n v="0"/>
    <n v="0"/>
    <n v="0"/>
    <n v="5"/>
    <n v="0"/>
    <n v="0"/>
    <n v="0"/>
    <n v="0"/>
    <n v="0"/>
    <x v="0"/>
    <m/>
    <n v="0"/>
  </r>
  <r>
    <x v="133"/>
    <x v="0"/>
    <n v="8031005029"/>
    <s v="13865 Leffingwell Road  Whittier, CA 90604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35"/>
  </r>
  <r>
    <x v="133"/>
    <x v="0"/>
    <n v="8030002900"/>
    <s v="14433 Leffingwell Road  Whittier, CA 90604"/>
    <s v="5+"/>
    <x v="0"/>
    <n v="0"/>
    <n v="0"/>
    <n v="0"/>
    <n v="0"/>
    <n v="0"/>
    <n v="0"/>
    <x v="0"/>
    <n v="0"/>
    <n v="26"/>
    <n v="0"/>
    <n v="0"/>
    <n v="0"/>
    <n v="0"/>
    <n v="0"/>
    <n v="0"/>
    <n v="0"/>
    <n v="0"/>
    <n v="0"/>
    <x v="0"/>
    <n v="55"/>
    <n v="35"/>
  </r>
  <r>
    <x v="160"/>
    <x v="4"/>
    <n v="8315009044"/>
    <s v="365 W. San Jose Avenue"/>
    <s v="5+"/>
    <x v="1"/>
    <n v="0"/>
    <n v="0"/>
    <n v="0"/>
    <n v="0"/>
    <n v="0"/>
    <n v="2"/>
    <x v="0"/>
    <n v="0"/>
    <n v="0"/>
    <n v="0"/>
    <n v="0"/>
    <n v="0"/>
    <n v="0"/>
    <n v="0"/>
    <n v="0"/>
    <n v="0"/>
    <n v="0"/>
    <n v="0"/>
    <x v="0"/>
    <m/>
    <n v="0"/>
  </r>
  <r>
    <x v="38"/>
    <x v="5"/>
    <s v="001-172-04"/>
    <s v="335 GOLF CLUB DR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17"/>
    <x v="4"/>
    <s v="198-281-25"/>
    <s v="3417 W. Fifth St.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27"/>
    <x v="4"/>
    <s v="222-0-011-270; -280"/>
    <s v="5527 SAVIERS RD"/>
    <s v="5+"/>
    <x v="0"/>
    <n v="0"/>
    <n v="0"/>
    <n v="0"/>
    <n v="0"/>
    <n v="0"/>
    <n v="0"/>
    <x v="0"/>
    <n v="0"/>
    <n v="0"/>
    <n v="0"/>
    <n v="0"/>
    <n v="0"/>
    <n v="8"/>
    <n v="0"/>
    <n v="0"/>
    <n v="0"/>
    <n v="0"/>
    <n v="0"/>
    <x v="0"/>
    <n v="55"/>
    <n v="0"/>
  </r>
  <r>
    <x v="127"/>
    <x v="4"/>
    <s v="222-0-011-270; -280"/>
    <s v="5547 SAVIERS RD"/>
    <s v="5+"/>
    <x v="0"/>
    <n v="0"/>
    <n v="0"/>
    <n v="0"/>
    <n v="0"/>
    <n v="0"/>
    <n v="0"/>
    <x v="0"/>
    <n v="0"/>
    <n v="0"/>
    <n v="0"/>
    <n v="0"/>
    <n v="0"/>
    <n v="7"/>
    <n v="0"/>
    <n v="0"/>
    <n v="0"/>
    <n v="0"/>
    <n v="0"/>
    <x v="0"/>
    <n v="55"/>
    <n v="0"/>
  </r>
  <r>
    <x v="38"/>
    <x v="5"/>
    <s v="010-031-76"/>
    <s v="630 WATER ST"/>
    <s v="5+"/>
    <x v="0"/>
    <n v="0"/>
    <n v="0"/>
    <n v="0"/>
    <n v="0"/>
    <n v="0"/>
    <n v="0"/>
    <x v="0"/>
    <n v="0"/>
    <n v="13"/>
    <n v="6"/>
    <n v="0"/>
    <n v="1"/>
    <n v="0"/>
    <n v="0"/>
    <n v="0"/>
    <n v="0"/>
    <n v="0"/>
    <n v="0"/>
    <x v="1"/>
    <n v="1000"/>
    <n v="0"/>
  </r>
  <r>
    <x v="46"/>
    <x v="0"/>
    <n v="16741066"/>
    <s v="389 FIRST STREET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0"/>
    <n v="55"/>
    <n v="0"/>
  </r>
  <r>
    <x v="147"/>
    <x v="0"/>
    <n v="1649102"/>
    <s v="141 MILES LANE"/>
    <s v="5+"/>
    <x v="0"/>
    <n v="0"/>
    <n v="72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69"/>
  </r>
  <r>
    <x v="149"/>
    <x v="4"/>
    <s v="518 131003418"/>
    <s v="45025 S Grimmer Blvd"/>
    <s v="5+"/>
    <x v="1"/>
    <n v="0"/>
    <n v="0"/>
    <n v="0"/>
    <n v="0"/>
    <n v="0"/>
    <n v="0"/>
    <x v="67"/>
    <n v="0"/>
    <n v="28"/>
    <n v="0"/>
    <n v="1"/>
    <n v="0"/>
    <n v="0"/>
    <n v="0"/>
    <n v="0"/>
    <n v="0"/>
    <n v="0"/>
    <n v="0"/>
    <x v="0"/>
    <n v="55"/>
    <n v="0"/>
  </r>
  <r>
    <x v="149"/>
    <x v="4"/>
    <s v="518 131003418"/>
    <s v="45108 Tom Blalock St"/>
    <s v="5+"/>
    <x v="1"/>
    <n v="0"/>
    <n v="0"/>
    <n v="0"/>
    <n v="0"/>
    <n v="0"/>
    <n v="0"/>
    <x v="69"/>
    <n v="0"/>
    <n v="24"/>
    <n v="0"/>
    <n v="1"/>
    <n v="0"/>
    <n v="0"/>
    <n v="0"/>
    <n v="0"/>
    <n v="0"/>
    <n v="0"/>
    <n v="0"/>
    <x v="0"/>
    <n v="55"/>
    <n v="0"/>
  </r>
  <r>
    <x v="206"/>
    <x v="4"/>
    <s v="Not Available"/>
    <s v="400 W Central Ave 101-104,201-206 301-310"/>
    <s v="5+"/>
    <x v="1"/>
    <n v="0"/>
    <n v="0"/>
    <n v="0"/>
    <n v="0"/>
    <n v="20"/>
    <n v="0"/>
    <x v="0"/>
    <n v="0"/>
    <n v="0"/>
    <n v="0"/>
    <n v="20"/>
    <n v="0"/>
    <n v="0"/>
    <n v="0"/>
    <n v="0"/>
    <n v="0"/>
    <n v="0"/>
    <n v="0"/>
    <x v="1"/>
    <m/>
    <n v="0"/>
  </r>
  <r>
    <x v="203"/>
    <x v="3"/>
    <s v="051-220-005"/>
    <s v="5301 Elm Lane"/>
    <s v="5+"/>
    <x v="0"/>
    <n v="0"/>
    <n v="0"/>
    <n v="0"/>
    <n v="0"/>
    <n v="0"/>
    <n v="0"/>
    <x v="0"/>
    <n v="0"/>
    <n v="16"/>
    <n v="0"/>
    <n v="0"/>
    <n v="154"/>
    <n v="0"/>
    <n v="0"/>
    <n v="0"/>
    <n v="0"/>
    <n v="0"/>
    <n v="0"/>
    <x v="0"/>
    <n v="55"/>
    <n v="10"/>
  </r>
  <r>
    <x v="186"/>
    <x v="0"/>
    <s v="078C-0626-00309,  078C-0626-003-16,  078C-0626-001-07,  078C-0641-010-01, 078C-0635-013-03, 078C0640-007-06, 078C-0641-001-00"/>
    <s v="No address"/>
    <s v="5+"/>
    <x v="0"/>
    <n v="2"/>
    <n v="0"/>
    <n v="136"/>
    <n v="0"/>
    <n v="36"/>
    <n v="0"/>
    <x v="0"/>
    <n v="0"/>
    <n v="0"/>
    <n v="0"/>
    <n v="0"/>
    <n v="0"/>
    <n v="0"/>
    <n v="0"/>
    <n v="0"/>
    <n v="0"/>
    <n v="0"/>
    <n v="0"/>
    <x v="0"/>
    <n v="1000"/>
    <n v="19"/>
  </r>
  <r>
    <x v="186"/>
    <x v="0"/>
    <s v="078C-0438-990-217"/>
    <s v="29243 Mission Blvd"/>
    <s v="5+"/>
    <x v="0"/>
    <n v="0"/>
    <n v="0"/>
    <n v="0"/>
    <n v="0"/>
    <n v="0"/>
    <n v="0"/>
    <x v="0"/>
    <n v="0"/>
    <n v="0"/>
    <n v="0"/>
    <n v="0"/>
    <n v="0"/>
    <n v="0"/>
    <n v="0"/>
    <n v="10"/>
    <n v="0"/>
    <n v="0"/>
    <n v="0"/>
    <x v="1"/>
    <n v="1000"/>
    <n v="0"/>
  </r>
  <r>
    <x v="32"/>
    <x v="0"/>
    <s v="4282-032-003"/>
    <s v="1512 Euclid St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32"/>
    <x v="0"/>
    <s v="4291-022-026"/>
    <s v="710 Broadway"/>
    <s v="5+"/>
    <x v="0"/>
    <n v="32"/>
    <n v="0"/>
    <n v="25"/>
    <n v="0"/>
    <n v="27"/>
    <n v="0"/>
    <x v="0"/>
    <n v="0"/>
    <n v="0"/>
    <n v="0"/>
    <n v="0"/>
    <n v="0"/>
    <n v="0"/>
    <n v="0"/>
    <n v="0"/>
    <n v="0"/>
    <n v="0"/>
    <n v="0"/>
    <x v="1"/>
    <n v="55"/>
    <n v="0"/>
  </r>
  <r>
    <x v="86"/>
    <x v="0"/>
    <n v="6113016031"/>
    <s v="1341 W Gardena Blvd"/>
    <s v="5+"/>
    <x v="1"/>
    <n v="1"/>
    <n v="0"/>
    <n v="0"/>
    <n v="0"/>
    <n v="0"/>
    <n v="0"/>
    <x v="3"/>
    <n v="0"/>
    <n v="0"/>
    <n v="0"/>
    <n v="0"/>
    <n v="0"/>
    <n v="0"/>
    <n v="0"/>
    <n v="0"/>
    <n v="0"/>
    <n v="0"/>
    <n v="0"/>
    <x v="0"/>
    <m/>
    <n v="40"/>
  </r>
  <r>
    <x v="8"/>
    <x v="5"/>
    <n v="6774200200"/>
    <s v="7901 CIVITA BL"/>
    <s v="5+"/>
    <x v="0"/>
    <n v="0"/>
    <n v="0"/>
    <n v="0"/>
    <n v="0"/>
    <n v="0"/>
    <n v="0"/>
    <x v="81"/>
    <n v="0"/>
    <n v="140"/>
    <n v="0"/>
    <n v="0"/>
    <n v="0"/>
    <n v="0"/>
    <n v="0"/>
    <n v="0"/>
    <n v="0"/>
    <n v="0"/>
    <n v="0"/>
    <x v="1"/>
    <m/>
    <n v="0"/>
  </r>
  <r>
    <x v="8"/>
    <x v="5"/>
    <n v="4441102300"/>
    <s v="4305 03RD AV"/>
    <s v="5+"/>
    <x v="0"/>
    <n v="0"/>
    <n v="0"/>
    <n v="0"/>
    <n v="0"/>
    <n v="0"/>
    <n v="0"/>
    <x v="89"/>
    <n v="0"/>
    <n v="0"/>
    <n v="0"/>
    <n v="0"/>
    <n v="0"/>
    <n v="0"/>
    <n v="0"/>
    <n v="0"/>
    <n v="0"/>
    <n v="0"/>
    <n v="0"/>
    <x v="0"/>
    <m/>
    <n v="0"/>
  </r>
  <r>
    <x v="15"/>
    <x v="3"/>
    <s v="005 047900301"/>
    <s v="3419 SAN PABLO AVE, Oakland, CA 94608"/>
    <s v="5+"/>
    <x v="0"/>
    <n v="30"/>
    <n v="0"/>
    <n v="29"/>
    <n v="0"/>
    <n v="0"/>
    <n v="0"/>
    <x v="0"/>
    <n v="0"/>
    <n v="0"/>
    <n v="0"/>
    <n v="0"/>
    <n v="0"/>
    <n v="0"/>
    <n v="0"/>
    <n v="0"/>
    <n v="0"/>
    <n v="0"/>
    <n v="0"/>
    <x v="0"/>
    <n v="55"/>
    <s v="9.0999999999999996"/>
  </r>
  <r>
    <x v="15"/>
    <x v="3"/>
    <s v="008 067000100"/>
    <s v="2359 HARRISON ST, OAKLAND, CA 94612"/>
    <s v="5+"/>
    <x v="0"/>
    <n v="0"/>
    <n v="0"/>
    <n v="0"/>
    <n v="0"/>
    <n v="0"/>
    <n v="0"/>
    <x v="11"/>
    <n v="0"/>
    <n v="0"/>
    <n v="0"/>
    <n v="0"/>
    <n v="0"/>
    <n v="0"/>
    <n v="0"/>
    <n v="0"/>
    <n v="0"/>
    <n v="0"/>
    <n v="0"/>
    <x v="0"/>
    <n v="55"/>
    <n v="20"/>
  </r>
  <r>
    <x v="45"/>
    <x v="0"/>
    <n v="98240064"/>
    <s v="3600-3628 WILLOW PASS RD BAY POINT"/>
    <s v="5+"/>
    <x v="0"/>
    <n v="0"/>
    <n v="0"/>
    <n v="0"/>
    <n v="0"/>
    <n v="0"/>
    <n v="0"/>
    <x v="0"/>
    <n v="0"/>
    <n v="0"/>
    <n v="0"/>
    <n v="0"/>
    <n v="0"/>
    <n v="20"/>
    <n v="0"/>
    <n v="171"/>
    <n v="0"/>
    <n v="0"/>
    <n v="0"/>
    <x v="0"/>
    <n v="55"/>
    <n v="10"/>
  </r>
  <r>
    <x v="8"/>
    <x v="5"/>
    <n v="6450407500"/>
    <s v="5235 CALLE DORADO"/>
    <s v="5+"/>
    <x v="0"/>
    <n v="0"/>
    <n v="0"/>
    <n v="0"/>
    <n v="0"/>
    <n v="0"/>
    <n v="0"/>
    <x v="3"/>
    <n v="0"/>
    <n v="12"/>
    <n v="0"/>
    <n v="0"/>
    <n v="0"/>
    <n v="0"/>
    <n v="0"/>
    <n v="0"/>
    <n v="0"/>
    <n v="0"/>
    <n v="0"/>
    <x v="1"/>
    <m/>
    <n v="0"/>
  </r>
  <r>
    <x v="32"/>
    <x v="0"/>
    <s v="4285-027-023"/>
    <s v="2903  LINCOLN BLVD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1"/>
    <n v="99"/>
    <n v="0"/>
  </r>
  <r>
    <x v="71"/>
    <x v="3"/>
    <s v="4207-006-915"/>
    <s v="9763 Culver"/>
    <s v="5+"/>
    <x v="0"/>
    <n v="2"/>
    <n v="0"/>
    <n v="0"/>
    <n v="0"/>
    <n v="4"/>
    <n v="0"/>
    <x v="0"/>
    <n v="0"/>
    <n v="0"/>
    <n v="0"/>
    <n v="0"/>
    <n v="0"/>
    <n v="0"/>
    <n v="0"/>
    <n v="0"/>
    <n v="0"/>
    <n v="0"/>
    <n v="0"/>
    <x v="0"/>
    <m/>
    <n v="50"/>
  </r>
  <r>
    <x v="186"/>
    <x v="3"/>
    <s v="078C-0626-006-01"/>
    <s v="28000 Mission Blvd/28090 Mission Blvd"/>
    <s v="5+"/>
    <x v="0"/>
    <n v="0"/>
    <n v="0"/>
    <n v="0"/>
    <n v="0"/>
    <n v="0"/>
    <n v="0"/>
    <x v="69"/>
    <n v="0"/>
    <n v="31"/>
    <n v="0"/>
    <n v="8"/>
    <n v="0"/>
    <n v="0"/>
    <n v="0"/>
    <n v="0"/>
    <n v="0"/>
    <n v="0"/>
    <n v="0"/>
    <x v="0"/>
    <n v="55"/>
    <n v="20"/>
  </r>
  <r>
    <x v="120"/>
    <x v="5"/>
    <n v="43507214"/>
    <s v="17321 MURPHY AVE 100 IRVINE, CA 92614"/>
    <s v="5+"/>
    <x v="0"/>
    <n v="0"/>
    <n v="0"/>
    <n v="0"/>
    <n v="0"/>
    <n v="0"/>
    <n v="0"/>
    <x v="0"/>
    <n v="0"/>
    <n v="0"/>
    <n v="0"/>
    <n v="0"/>
    <n v="0"/>
    <n v="17"/>
    <n v="0"/>
    <n v="1"/>
    <n v="0"/>
    <n v="11"/>
    <n v="0"/>
    <x v="0"/>
    <n v="30"/>
    <n v="0"/>
  </r>
  <r>
    <x v="8"/>
    <x v="5"/>
    <n v="4714122800"/>
    <s v="4162 Estrella Avenue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5"/>
    <n v="5334210400"/>
    <s v="232 West Ash &amp; 1400 Front St."/>
    <s v="5+"/>
    <x v="0"/>
    <n v="3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5"/>
    <n v="5351560800"/>
    <s v="454 13th Street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5"/>
    <n v="5351802500"/>
    <s v="707 17th Street"/>
    <s v="5+"/>
    <x v="0"/>
    <n v="86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2"/>
    <x v="4"/>
    <s v="5638-001-087"/>
    <s v="515 W. Broadway"/>
    <s v="5+"/>
    <x v="0"/>
    <n v="8"/>
    <n v="0"/>
    <n v="0"/>
    <n v="0"/>
    <n v="0"/>
    <n v="0"/>
    <x v="42"/>
    <n v="0"/>
    <n v="0"/>
    <n v="0"/>
    <n v="0"/>
    <n v="0"/>
    <n v="8"/>
    <n v="0"/>
    <n v="0"/>
    <n v="0"/>
    <n v="0"/>
    <n v="0"/>
    <x v="0"/>
    <n v="55"/>
    <n v="0"/>
  </r>
  <r>
    <x v="91"/>
    <x v="4"/>
    <n v="1753233300"/>
    <s v="815 Civic Center Drive"/>
    <s v="5+"/>
    <x v="0"/>
    <n v="0"/>
    <n v="0"/>
    <n v="0"/>
    <n v="0"/>
    <n v="0"/>
    <n v="0"/>
    <x v="61"/>
    <n v="0"/>
    <n v="20"/>
    <n v="0"/>
    <n v="0"/>
    <n v="0"/>
    <n v="0"/>
    <n v="0"/>
    <n v="0"/>
    <n v="0"/>
    <n v="0"/>
    <n v="0"/>
    <x v="0"/>
    <n v="90"/>
    <n v="0"/>
  </r>
  <r>
    <x v="202"/>
    <x v="0"/>
    <n v="55720015"/>
    <s v="1821 E 9th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m/>
    <n v="25"/>
  </r>
  <r>
    <x v="207"/>
    <x v="0"/>
    <s v="010-464-004"/>
    <s v="421 F ST, BLDG"/>
    <s v="5+"/>
    <x v="0"/>
    <n v="0"/>
    <n v="0"/>
    <n v="0"/>
    <n v="0"/>
    <n v="0"/>
    <n v="0"/>
    <x v="0"/>
    <n v="0"/>
    <n v="15"/>
    <n v="0"/>
    <n v="8"/>
    <n v="51"/>
    <n v="0"/>
    <n v="0"/>
    <n v="0"/>
    <n v="0"/>
    <n v="0"/>
    <n v="0"/>
    <x v="1"/>
    <n v="30"/>
    <n v="0"/>
  </r>
  <r>
    <x v="208"/>
    <x v="2"/>
    <s v="021-163-006"/>
    <s v="969 7th Street"/>
    <s v="5+"/>
    <x v="0"/>
    <n v="0"/>
    <n v="0"/>
    <n v="0"/>
    <n v="0"/>
    <n v="0"/>
    <n v="0"/>
    <x v="24"/>
    <n v="0"/>
    <n v="0"/>
    <n v="0"/>
    <n v="0"/>
    <n v="0"/>
    <n v="0"/>
    <n v="0"/>
    <n v="0"/>
    <n v="0"/>
    <n v="0"/>
    <n v="0"/>
    <x v="0"/>
    <n v="55"/>
    <n v="0"/>
  </r>
  <r>
    <x v="188"/>
    <x v="0"/>
    <n v="60242057"/>
    <s v="1206 W Grand"/>
    <s v="5+"/>
    <x v="0"/>
    <n v="0"/>
    <n v="0"/>
    <n v="53"/>
    <n v="0"/>
    <n v="0"/>
    <n v="0"/>
    <x v="0"/>
    <n v="0"/>
    <n v="0"/>
    <n v="0"/>
    <n v="0"/>
    <n v="0"/>
    <n v="0"/>
    <n v="0"/>
    <n v="0"/>
    <n v="0"/>
    <n v="0"/>
    <n v="0"/>
    <x v="0"/>
    <m/>
    <n v="71"/>
  </r>
  <r>
    <x v="31"/>
    <x v="2"/>
    <n v="-4498"/>
    <s v="1030 INDIAN WELLS AV"/>
    <s v="5+"/>
    <x v="0"/>
    <n v="0"/>
    <n v="0"/>
    <n v="0"/>
    <n v="0"/>
    <n v="0"/>
    <n v="0"/>
    <x v="25"/>
    <n v="0"/>
    <n v="0"/>
    <n v="0"/>
    <n v="0"/>
    <n v="0"/>
    <n v="0"/>
    <n v="0"/>
    <n v="0"/>
    <n v="0"/>
    <n v="0"/>
    <n v="0"/>
    <x v="0"/>
    <n v="55"/>
    <n v="0"/>
  </r>
  <r>
    <x v="149"/>
    <x v="4"/>
    <s v="501 147503206"/>
    <s v="37358 Fremont Boulevard"/>
    <s v="5+"/>
    <x v="1"/>
    <n v="5"/>
    <n v="0"/>
    <n v="5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8"/>
    <x v="5"/>
    <n v="6450407500"/>
    <s v="5215 CALLE DORADO"/>
    <s v="5+"/>
    <x v="0"/>
    <n v="0"/>
    <n v="0"/>
    <n v="0"/>
    <n v="0"/>
    <n v="0"/>
    <n v="0"/>
    <x v="17"/>
    <n v="0"/>
    <n v="12"/>
    <n v="0"/>
    <n v="0"/>
    <n v="0"/>
    <n v="0"/>
    <n v="0"/>
    <n v="0"/>
    <n v="0"/>
    <n v="0"/>
    <n v="0"/>
    <x v="1"/>
    <m/>
    <n v="0"/>
  </r>
  <r>
    <x v="8"/>
    <x v="5"/>
    <n v="6661700800"/>
    <s v="392 SYCAMORE RD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5"/>
    <n v="5395312900"/>
    <s v="1144 30th Street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5"/>
    <n v="5395222500"/>
    <s v="2828 Broadway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5"/>
    <n v="44630325"/>
    <s v="4195 Kansas St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5"/>
    <n v="3064200400"/>
    <s v="8162 1/3 CARMEL MOUNTAIN RD"/>
    <s v="5+"/>
    <x v="0"/>
    <n v="0"/>
    <n v="0"/>
    <n v="47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5"/>
    <n v="5343341000"/>
    <s v="1141 E Street"/>
    <s v="5+"/>
    <x v="1"/>
    <n v="0"/>
    <n v="0"/>
    <n v="15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68"/>
    <x v="3"/>
    <n v="16040105000"/>
    <s v="2557 RIVER OAKS BLVD #120"/>
    <s v="5+"/>
    <x v="0"/>
    <n v="0"/>
    <n v="0"/>
    <n v="8"/>
    <n v="0"/>
    <n v="0"/>
    <n v="0"/>
    <x v="0"/>
    <n v="0"/>
    <n v="8"/>
    <n v="0"/>
    <n v="0"/>
    <n v="0"/>
    <n v="0"/>
    <n v="0"/>
    <n v="0"/>
    <n v="0"/>
    <n v="0"/>
    <n v="0"/>
    <x v="0"/>
    <n v="55"/>
    <n v="0"/>
  </r>
  <r>
    <x v="169"/>
    <x v="0"/>
    <s v="004-530-045"/>
    <s v="2375 Old Sonoma"/>
    <s v="5+"/>
    <x v="0"/>
    <n v="0"/>
    <n v="0"/>
    <n v="0"/>
    <n v="0"/>
    <n v="0"/>
    <n v="0"/>
    <x v="17"/>
    <n v="0"/>
    <n v="8"/>
    <n v="0"/>
    <n v="9"/>
    <n v="0"/>
    <n v="0"/>
    <n v="0"/>
    <n v="0"/>
    <n v="0"/>
    <n v="0"/>
    <n v="0"/>
    <x v="0"/>
    <m/>
    <n v="33"/>
  </r>
  <r>
    <x v="186"/>
    <x v="3"/>
    <s v="431-0004-090-00"/>
    <s v="603 A Street"/>
    <s v="5+"/>
    <x v="0"/>
    <n v="7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45"/>
  </r>
  <r>
    <x v="75"/>
    <x v="0"/>
    <s v="012232140"/>
    <s v="645 Baden Ave"/>
    <s v="5+"/>
    <x v="1"/>
    <n v="0"/>
    <n v="0"/>
    <n v="0"/>
    <n v="0"/>
    <n v="0"/>
    <n v="0"/>
    <x v="0"/>
    <n v="0"/>
    <n v="0"/>
    <n v="0"/>
    <n v="2"/>
    <n v="0"/>
    <n v="0"/>
    <n v="0"/>
    <n v="0"/>
    <n v="0"/>
    <n v="0"/>
    <n v="0"/>
    <x v="1"/>
    <n v="55"/>
    <n v="0"/>
  </r>
  <r>
    <x v="62"/>
    <x v="2"/>
    <s v="0744010"/>
    <s v="950 GOUGH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11"/>
    <n v="0"/>
    <x v="1"/>
    <m/>
    <n v="0"/>
  </r>
  <r>
    <x v="62"/>
    <x v="2"/>
    <s v="3532019B"/>
    <s v="235 VALENCIA ST"/>
    <s v="5+"/>
    <x v="0"/>
    <n v="0"/>
    <n v="0"/>
    <n v="0"/>
    <n v="0"/>
    <n v="0"/>
    <n v="0"/>
    <x v="0"/>
    <n v="0"/>
    <n v="0"/>
    <n v="0"/>
    <n v="0"/>
    <n v="0"/>
    <n v="0"/>
    <n v="0"/>
    <n v="4"/>
    <n v="0"/>
    <n v="1"/>
    <n v="0"/>
    <x v="1"/>
    <m/>
    <n v="0"/>
  </r>
  <r>
    <x v="82"/>
    <x v="5"/>
    <s v="04180102"/>
    <s v="141 APTOS VILLAGE WAY, APTOS , 95003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m/>
    <n v="0"/>
  </r>
  <r>
    <x v="133"/>
    <x v="3"/>
    <n v="6076013028"/>
    <s v="11001 S Vermont Avenue, Los Angeles CA 90044"/>
    <s v="5+"/>
    <x v="0"/>
    <n v="0"/>
    <n v="0"/>
    <n v="0"/>
    <n v="0"/>
    <n v="0"/>
    <n v="0"/>
    <x v="0"/>
    <n v="0"/>
    <n v="21"/>
    <n v="0"/>
    <n v="0"/>
    <n v="0"/>
    <n v="0"/>
    <n v="0"/>
    <n v="0"/>
    <n v="0"/>
    <n v="0"/>
    <n v="0"/>
    <x v="0"/>
    <n v="55"/>
    <n v="315"/>
  </r>
  <r>
    <x v="133"/>
    <x v="3"/>
    <n v="8030002900"/>
    <s v="14433 Leffingwell Road, Whittier CA 90604"/>
    <s v="5+"/>
    <x v="0"/>
    <n v="0"/>
    <n v="0"/>
    <n v="0"/>
    <n v="0"/>
    <n v="0"/>
    <n v="0"/>
    <x v="0"/>
    <n v="0"/>
    <n v="0"/>
    <n v="0"/>
    <n v="0"/>
    <n v="0"/>
    <n v="0"/>
    <n v="0"/>
    <n v="26"/>
    <n v="0"/>
    <n v="0"/>
    <n v="0"/>
    <x v="0"/>
    <n v="55"/>
    <n v="35"/>
  </r>
  <r>
    <x v="133"/>
    <x v="3"/>
    <n v="6149011007"/>
    <s v="1633 E 117th Place, Los Angeles CA 90059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35"/>
  </r>
  <r>
    <x v="39"/>
    <x v="1"/>
    <s v="500-071-12"/>
    <s v="1941 El Camino Real"/>
    <s v="5+"/>
    <x v="0"/>
    <n v="0"/>
    <n v="0"/>
    <n v="0"/>
    <n v="0"/>
    <n v="0"/>
    <n v="0"/>
    <x v="0"/>
    <n v="0"/>
    <n v="0"/>
    <n v="0"/>
    <n v="0"/>
    <n v="0"/>
    <n v="0"/>
    <n v="0"/>
    <n v="8"/>
    <n v="0"/>
    <n v="0"/>
    <n v="0"/>
    <x v="0"/>
    <m/>
    <n v="35"/>
  </r>
  <r>
    <x v="209"/>
    <x v="4"/>
    <n v="52020006"/>
    <s v="580 Westside Blvd."/>
    <s v="5+"/>
    <x v="0"/>
    <n v="10"/>
    <n v="0"/>
    <n v="38"/>
    <n v="0"/>
    <n v="0"/>
    <n v="1"/>
    <x v="7"/>
    <n v="0"/>
    <n v="38"/>
    <n v="0"/>
    <n v="0"/>
    <n v="1"/>
    <n v="10"/>
    <n v="0"/>
    <n v="38"/>
    <n v="0"/>
    <n v="0"/>
    <n v="1"/>
    <x v="0"/>
    <n v="55"/>
    <n v="0"/>
  </r>
  <r>
    <x v="210"/>
    <x v="2"/>
    <s v="007220020"/>
    <s v="36-50 San Bruno Ave"/>
    <s v="5+"/>
    <x v="0"/>
    <n v="1"/>
    <n v="0"/>
    <n v="2"/>
    <n v="0"/>
    <n v="13"/>
    <n v="0"/>
    <x v="0"/>
    <n v="0"/>
    <n v="0"/>
    <n v="0"/>
    <n v="0"/>
    <n v="0"/>
    <n v="0"/>
    <n v="0"/>
    <n v="0"/>
    <n v="0"/>
    <n v="0"/>
    <n v="0"/>
    <x v="0"/>
    <n v="55"/>
    <n v="0"/>
  </r>
  <r>
    <x v="99"/>
    <x v="2"/>
    <s v="001-691-001"/>
    <s v="595 Munras"/>
    <s v="5+"/>
    <x v="0"/>
    <n v="0"/>
    <n v="0"/>
    <n v="1"/>
    <n v="0"/>
    <n v="0"/>
    <n v="1"/>
    <x v="0"/>
    <n v="0"/>
    <n v="1"/>
    <n v="0"/>
    <n v="1"/>
    <n v="0"/>
    <n v="0"/>
    <n v="0"/>
    <n v="0"/>
    <n v="0"/>
    <n v="0"/>
    <n v="0"/>
    <x v="0"/>
    <m/>
    <n v="0"/>
  </r>
  <r>
    <x v="120"/>
    <x v="5"/>
    <n v="58086114"/>
    <s v="VTTM 17723"/>
    <s v="5+"/>
    <x v="0"/>
    <n v="2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3"/>
    <x v="5"/>
    <n v="5531009004"/>
    <s v="1125 Detroit Street"/>
    <s v="5+"/>
    <x v="0"/>
    <n v="0"/>
    <n v="0"/>
    <n v="0"/>
    <n v="0"/>
    <n v="0"/>
    <n v="0"/>
    <x v="0"/>
    <n v="0"/>
    <n v="0"/>
    <n v="0"/>
    <n v="0"/>
    <n v="0"/>
    <n v="22"/>
    <n v="0"/>
    <n v="0"/>
    <n v="0"/>
    <n v="0"/>
    <n v="0"/>
    <x v="0"/>
    <n v="1000"/>
    <n v="0"/>
  </r>
  <r>
    <x v="56"/>
    <x v="2"/>
    <s v="74-1373-102-2"/>
    <s v="601 MARTIN MARINER AVE UNITS 113-119"/>
    <s v="5+"/>
    <x v="1"/>
    <n v="0"/>
    <n v="0"/>
    <n v="0"/>
    <n v="0"/>
    <n v="0"/>
    <n v="0"/>
    <x v="3"/>
    <n v="0"/>
    <n v="1"/>
    <n v="0"/>
    <n v="0"/>
    <n v="0"/>
    <n v="0"/>
    <n v="0"/>
    <n v="0"/>
    <n v="0"/>
    <n v="0"/>
    <n v="0"/>
    <x v="0"/>
    <n v="50"/>
    <n v="0"/>
  </r>
  <r>
    <x v="2"/>
    <x v="4"/>
    <d v="1977-05-06T00:00:00"/>
    <s v="1414 5th St"/>
    <s v="5+"/>
    <x v="0"/>
    <n v="7"/>
    <n v="0"/>
    <n v="53"/>
    <n v="0"/>
    <n v="0"/>
    <n v="0"/>
    <x v="14"/>
    <n v="0"/>
    <n v="53"/>
    <n v="0"/>
    <n v="0"/>
    <n v="0"/>
    <n v="7"/>
    <n v="0"/>
    <n v="53"/>
    <n v="0"/>
    <n v="0"/>
    <n v="0"/>
    <x v="0"/>
    <n v="55"/>
    <n v="0"/>
  </r>
  <r>
    <x v="91"/>
    <x v="4"/>
    <s v="17902201, 02, 05, 06, 07, 24, 23, 25"/>
    <s v="S. Santa Fe Avenue"/>
    <s v="5+"/>
    <x v="0"/>
    <n v="19"/>
    <n v="0"/>
    <n v="25"/>
    <n v="0"/>
    <n v="0"/>
    <n v="0"/>
    <x v="0"/>
    <n v="0"/>
    <n v="0"/>
    <n v="0"/>
    <n v="0"/>
    <n v="0"/>
    <n v="0"/>
    <n v="0"/>
    <n v="0"/>
    <n v="0"/>
    <n v="0"/>
    <n v="0"/>
    <x v="0"/>
    <n v="99"/>
    <n v="0"/>
  </r>
  <r>
    <x v="56"/>
    <x v="2"/>
    <s v="74-1366-9"/>
    <s v="2801 TRADEWIND CT UNITS 7-12"/>
    <s v="5+"/>
    <x v="1"/>
    <n v="0"/>
    <n v="0"/>
    <n v="0"/>
    <n v="0"/>
    <n v="0"/>
    <n v="0"/>
    <x v="3"/>
    <n v="0"/>
    <n v="1"/>
    <n v="0"/>
    <n v="0"/>
    <n v="0"/>
    <n v="0"/>
    <n v="0"/>
    <n v="0"/>
    <n v="0"/>
    <n v="0"/>
    <n v="0"/>
    <x v="0"/>
    <n v="50"/>
    <n v="0"/>
  </r>
  <r>
    <x v="56"/>
    <x v="2"/>
    <s v="74-1366-9"/>
    <s v="451 MITCHELL AVE  UNITS 1-6"/>
    <s v="5+"/>
    <x v="1"/>
    <n v="0"/>
    <n v="0"/>
    <n v="0"/>
    <n v="0"/>
    <n v="0"/>
    <n v="0"/>
    <x v="3"/>
    <n v="0"/>
    <n v="1"/>
    <n v="0"/>
    <n v="0"/>
    <n v="0"/>
    <n v="0"/>
    <n v="0"/>
    <n v="0"/>
    <n v="0"/>
    <n v="0"/>
    <n v="0"/>
    <x v="0"/>
    <m/>
    <n v="0"/>
  </r>
  <r>
    <x v="60"/>
    <x v="0"/>
    <n v="1119306"/>
    <s v="1628 5TH AVE units 1-9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m/>
    <n v="0"/>
  </r>
  <r>
    <x v="141"/>
    <x v="4"/>
    <s v="839-161-16"/>
    <s v="TBD Los Alisos Boulevard"/>
    <s v="5+"/>
    <x v="1"/>
    <n v="5"/>
    <n v="0"/>
    <n v="4"/>
    <n v="0"/>
    <n v="0"/>
    <n v="21"/>
    <x v="0"/>
    <n v="0"/>
    <n v="0"/>
    <n v="0"/>
    <n v="0"/>
    <n v="0"/>
    <n v="0"/>
    <n v="0"/>
    <n v="0"/>
    <n v="0"/>
    <n v="0"/>
    <n v="0"/>
    <x v="1"/>
    <n v="45"/>
    <n v="0"/>
  </r>
  <r>
    <x v="120"/>
    <x v="5"/>
    <n v="58086116"/>
    <s v="VTTM 17723"/>
    <s v="5+"/>
    <x v="0"/>
    <n v="117"/>
    <n v="0"/>
    <n v="0"/>
    <n v="0"/>
    <n v="48"/>
    <n v="0"/>
    <x v="0"/>
    <n v="0"/>
    <n v="0"/>
    <n v="0"/>
    <n v="0"/>
    <n v="0"/>
    <n v="0"/>
    <n v="0"/>
    <n v="0"/>
    <n v="0"/>
    <n v="0"/>
    <n v="0"/>
    <x v="0"/>
    <m/>
    <n v="0"/>
  </r>
  <r>
    <x v="57"/>
    <x v="4"/>
    <n v="5163025009"/>
    <s v="1101 5TH ST   E  90013"/>
    <s v="5+"/>
    <x v="0"/>
    <n v="1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080001005"/>
    <s v="975 MANHATTAN PL   S  90019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347023003"/>
    <s v="5246 HERMITAGE AVE  N  91607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284001016"/>
    <s v="4741 LIBBIT AVE  N  91436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4263008062"/>
    <s v="11750 W WILSHIRE BLVD 1-376"/>
    <s v="5+"/>
    <x v="0"/>
    <n v="0"/>
    <n v="0"/>
    <n v="0"/>
    <n v="0"/>
    <n v="0"/>
    <n v="0"/>
    <x v="45"/>
    <n v="0"/>
    <n v="0"/>
    <n v="0"/>
    <n v="0"/>
    <n v="0"/>
    <n v="0"/>
    <n v="0"/>
    <n v="0"/>
    <n v="0"/>
    <n v="0"/>
    <n v="0"/>
    <x v="0"/>
    <n v="55"/>
    <n v="0"/>
  </r>
  <r>
    <x v="57"/>
    <x v="4"/>
    <n v="4314014002"/>
    <s v="10325 W TABOR ST 1-42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141"/>
    <x v="4"/>
    <s v="839-161-12"/>
    <s v="28715 Los Alisos Boulevard"/>
    <s v="5+"/>
    <x v="1"/>
    <n v="9"/>
    <n v="0"/>
    <n v="7"/>
    <n v="0"/>
    <n v="0"/>
    <n v="3"/>
    <x v="0"/>
    <n v="0"/>
    <n v="0"/>
    <n v="0"/>
    <n v="0"/>
    <n v="0"/>
    <n v="0"/>
    <n v="0"/>
    <n v="0"/>
    <n v="0"/>
    <n v="0"/>
    <n v="0"/>
    <x v="1"/>
    <n v="45"/>
    <n v="0"/>
  </r>
  <r>
    <x v="119"/>
    <x v="2"/>
    <s v="049-15560-001"/>
    <s v="6301 Shellmound Street"/>
    <s v="5+"/>
    <x v="0"/>
    <n v="0"/>
    <n v="0"/>
    <n v="0"/>
    <n v="0"/>
    <n v="0"/>
    <n v="0"/>
    <x v="0"/>
    <n v="0"/>
    <n v="0"/>
    <n v="0"/>
    <n v="0"/>
    <n v="0"/>
    <n v="0"/>
    <n v="0"/>
    <n v="3"/>
    <n v="0"/>
    <n v="5"/>
    <n v="0"/>
    <x v="1"/>
    <n v="55"/>
    <n v="0"/>
  </r>
  <r>
    <x v="120"/>
    <x v="4"/>
    <n v="58049129"/>
    <s v="1103 HAMAL"/>
    <s v="5+"/>
    <x v="0"/>
    <n v="0"/>
    <n v="0"/>
    <n v="0"/>
    <n v="0"/>
    <n v="0"/>
    <n v="0"/>
    <x v="90"/>
    <n v="0"/>
    <n v="11"/>
    <n v="0"/>
    <n v="1"/>
    <n v="0"/>
    <n v="0"/>
    <n v="0"/>
    <n v="0"/>
    <n v="0"/>
    <n v="0"/>
    <n v="0"/>
    <x v="0"/>
    <n v="1000"/>
    <n v="0"/>
  </r>
  <r>
    <x v="57"/>
    <x v="4"/>
    <n v="2332021018"/>
    <s v="12611 W OXNARD ST #1-11"/>
    <s v="5+"/>
    <x v="0"/>
    <n v="0"/>
    <n v="0"/>
    <n v="0"/>
    <n v="0"/>
    <n v="0"/>
    <n v="0"/>
    <x v="17"/>
    <n v="0"/>
    <n v="1"/>
    <n v="0"/>
    <n v="0"/>
    <n v="0"/>
    <n v="0"/>
    <n v="0"/>
    <n v="0"/>
    <n v="0"/>
    <n v="0"/>
    <n v="0"/>
    <x v="0"/>
    <n v="55"/>
    <n v="0"/>
  </r>
  <r>
    <x v="120"/>
    <x v="5"/>
    <n v="58086122"/>
    <s v="1105 HAMAL  IRVINE, CA 92618"/>
    <s v="5+"/>
    <x v="0"/>
    <n v="0"/>
    <n v="0"/>
    <n v="0"/>
    <n v="0"/>
    <n v="0"/>
    <n v="0"/>
    <x v="0"/>
    <n v="0"/>
    <n v="0"/>
    <n v="0"/>
    <n v="0"/>
    <n v="0"/>
    <n v="98"/>
    <n v="0"/>
    <n v="0"/>
    <n v="0"/>
    <n v="58"/>
    <n v="0"/>
    <x v="0"/>
    <n v="1000"/>
    <n v="0"/>
  </r>
  <r>
    <x v="57"/>
    <x v="2"/>
    <n v="6048021020"/>
    <s v="9502 COMPTON AVE  S  90002"/>
    <s v="5+"/>
    <x v="0"/>
    <n v="24"/>
    <n v="0"/>
    <n v="0"/>
    <n v="0"/>
    <n v="0"/>
    <n v="0"/>
    <x v="35"/>
    <n v="0"/>
    <n v="0"/>
    <n v="0"/>
    <n v="0"/>
    <n v="0"/>
    <n v="0"/>
    <n v="0"/>
    <n v="0"/>
    <n v="0"/>
    <n v="0"/>
    <n v="0"/>
    <x v="0"/>
    <n v="55"/>
    <n v="0"/>
  </r>
  <r>
    <x v="57"/>
    <x v="2"/>
    <n v="5092027007"/>
    <s v="726 WILTON PL   S  90005"/>
    <s v="5+"/>
    <x v="0"/>
    <n v="4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4327006008"/>
    <s v="10425 SANTA MONICA BLVD W  90025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101030030"/>
    <s v="5501 MAIN ST   S  90037"/>
    <s v="5+"/>
    <x v="0"/>
    <n v="5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442024045"/>
    <s v="2908 ALLESANDRO ST   N  90039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4234021011"/>
    <s v="11961 VENICE BLVD W  90066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4415018018"/>
    <s v="17346 SUNSET BLVD W  90272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350012031"/>
    <s v="11311 W CHANDLER BLVD"/>
    <s v="5+"/>
    <x v="0"/>
    <n v="0"/>
    <n v="0"/>
    <n v="0"/>
    <n v="0"/>
    <n v="0"/>
    <n v="0"/>
    <x v="58"/>
    <n v="0"/>
    <n v="0"/>
    <n v="0"/>
    <n v="0"/>
    <n v="0"/>
    <n v="0"/>
    <n v="0"/>
    <n v="0"/>
    <n v="0"/>
    <n v="0"/>
    <n v="0"/>
    <x v="0"/>
    <n v="55"/>
    <n v="0"/>
  </r>
  <r>
    <x v="57"/>
    <x v="4"/>
    <n v="5471015005"/>
    <s v="767 N AVENUE 50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119"/>
    <x v="2"/>
    <s v="049-0950-001-00  049-0950-006-01"/>
    <s v="3600-3610-3620 San Pablo Avenue"/>
    <s v="5+"/>
    <x v="0"/>
    <n v="51"/>
    <n v="0"/>
    <n v="38"/>
    <n v="0"/>
    <n v="0"/>
    <n v="0"/>
    <x v="0"/>
    <n v="0"/>
    <n v="0"/>
    <n v="0"/>
    <n v="0"/>
    <n v="0"/>
    <n v="0"/>
    <n v="0"/>
    <n v="0"/>
    <n v="0"/>
    <n v="0"/>
    <n v="0"/>
    <x v="1"/>
    <n v="75"/>
    <n v="0"/>
  </r>
  <r>
    <x v="119"/>
    <x v="2"/>
    <s v="049-1556-008"/>
    <s v="6251 Shellmound Street"/>
    <s v="5+"/>
    <x v="0"/>
    <n v="0"/>
    <n v="0"/>
    <n v="0"/>
    <n v="0"/>
    <n v="0"/>
    <n v="0"/>
    <x v="0"/>
    <n v="0"/>
    <n v="0"/>
    <n v="0"/>
    <n v="0"/>
    <n v="0"/>
    <n v="0"/>
    <n v="0"/>
    <n v="3"/>
    <n v="0"/>
    <n v="4"/>
    <n v="0"/>
    <x v="1"/>
    <n v="55"/>
    <n v="0"/>
  </r>
  <r>
    <x v="70"/>
    <x v="5"/>
    <s v="986-0034-009-00"/>
    <s v="Dublin BLVD"/>
    <s v="5+"/>
    <x v="0"/>
    <n v="0"/>
    <n v="0"/>
    <n v="0"/>
    <n v="0"/>
    <n v="22"/>
    <n v="0"/>
    <x v="0"/>
    <n v="0"/>
    <n v="0"/>
    <n v="0"/>
    <n v="0"/>
    <n v="0"/>
    <n v="0"/>
    <n v="0"/>
    <n v="0"/>
    <n v="0"/>
    <n v="0"/>
    <n v="0"/>
    <x v="1"/>
    <n v="55"/>
    <n v="0"/>
  </r>
  <r>
    <x v="8"/>
    <x v="5"/>
    <n v="4444910400"/>
    <s v="4073 ALBATROSS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m/>
    <n v="0"/>
  </r>
  <r>
    <x v="8"/>
    <x v="5"/>
    <n v="5330722600"/>
    <s v="598 W LAUREL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m/>
    <n v="0"/>
  </r>
  <r>
    <x v="8"/>
    <x v="5"/>
    <n v="5333531000"/>
    <s v="320 W CEDAR ST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m/>
    <n v="0"/>
  </r>
  <r>
    <x v="8"/>
    <x v="5"/>
    <n v="4462330700"/>
    <s v="4224 OHIO ST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m/>
    <n v="0"/>
  </r>
  <r>
    <x v="8"/>
    <x v="5"/>
    <n v="3512702100"/>
    <s v="470 NAUTILUS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m/>
    <n v="0"/>
  </r>
  <r>
    <x v="8"/>
    <x v="5"/>
    <n v="4320110300"/>
    <s v="2293 Dunlop St"/>
    <s v="5+"/>
    <x v="0"/>
    <n v="0"/>
    <n v="0"/>
    <n v="0"/>
    <n v="0"/>
    <n v="0"/>
    <n v="0"/>
    <x v="0"/>
    <n v="0"/>
    <n v="8"/>
    <n v="0"/>
    <n v="0"/>
    <n v="0"/>
    <n v="0"/>
    <n v="0"/>
    <n v="0"/>
    <n v="0"/>
    <n v="0"/>
    <n v="0"/>
    <x v="1"/>
    <m/>
    <n v="0"/>
  </r>
  <r>
    <x v="82"/>
    <x v="5"/>
    <s v="04180104"/>
    <s v="141 APTOS VILLAGE WAY, APTOS , 95003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m/>
    <n v="0"/>
  </r>
  <r>
    <x v="83"/>
    <x v="0"/>
    <s v="030-461-044"/>
    <s v="10165 EL CAMINO REAL"/>
    <s v="5+"/>
    <x v="0"/>
    <n v="0"/>
    <n v="0"/>
    <n v="76"/>
    <n v="0"/>
    <n v="0"/>
    <n v="0"/>
    <x v="0"/>
    <n v="0"/>
    <n v="0"/>
    <n v="0"/>
    <n v="0"/>
    <n v="0"/>
    <n v="0"/>
    <n v="0"/>
    <n v="0"/>
    <n v="0"/>
    <n v="0"/>
    <n v="0"/>
    <x v="0"/>
    <n v="55"/>
    <n v="65"/>
  </r>
  <r>
    <x v="211"/>
    <x v="1"/>
    <n v="9807035"/>
    <s v="10080 GARDEN GROVE BLVD"/>
    <s v="5+"/>
    <x v="0"/>
    <n v="0"/>
    <n v="0"/>
    <n v="0"/>
    <n v="0"/>
    <n v="0"/>
    <n v="0"/>
    <x v="0"/>
    <n v="0"/>
    <n v="0"/>
    <n v="0"/>
    <n v="0"/>
    <n v="0"/>
    <n v="0"/>
    <n v="0"/>
    <n v="118"/>
    <n v="0"/>
    <n v="0"/>
    <n v="0"/>
    <x v="0"/>
    <n v="55"/>
    <n v="35"/>
  </r>
  <r>
    <x v="61"/>
    <x v="2"/>
    <s v="022-083-030"/>
    <s v="801 Fassler"/>
    <s v="5+"/>
    <x v="1"/>
    <n v="2"/>
    <n v="0"/>
    <n v="0"/>
    <n v="0"/>
    <n v="2"/>
    <n v="0"/>
    <x v="0"/>
    <n v="0"/>
    <n v="0"/>
    <n v="0"/>
    <n v="0"/>
    <n v="0"/>
    <n v="0"/>
    <n v="0"/>
    <n v="0"/>
    <n v="0"/>
    <n v="0"/>
    <n v="0"/>
    <x v="0"/>
    <n v="45"/>
    <n v="0"/>
  </r>
  <r>
    <x v="4"/>
    <x v="1"/>
    <s v="003-551-003"/>
    <s v="1601 Osos St_x000a_San Luis Obispo, CA 93401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106"/>
    <x v="1"/>
    <n v="6670113075"/>
    <s v="2150 W Hillcrest Dr"/>
    <s v="5+"/>
    <x v="0"/>
    <n v="30"/>
    <n v="0"/>
    <n v="0"/>
    <n v="0"/>
    <n v="3"/>
    <n v="0"/>
    <x v="0"/>
    <n v="0"/>
    <n v="0"/>
    <n v="0"/>
    <n v="0"/>
    <n v="0"/>
    <n v="0"/>
    <n v="0"/>
    <n v="0"/>
    <n v="0"/>
    <n v="0"/>
    <n v="0"/>
    <x v="0"/>
    <n v="55"/>
    <n v="35"/>
  </r>
  <r>
    <x v="88"/>
    <x v="2"/>
    <s v="8074-024-002, 003, 007"/>
    <s v="14815 Pioneer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12"/>
    <x v="5"/>
    <s v="073-330-022"/>
    <s v="6501 Cobble Lane"/>
    <s v="5+"/>
    <x v="0"/>
    <n v="0"/>
    <n v="0"/>
    <n v="0"/>
    <n v="0"/>
    <n v="0"/>
    <n v="0"/>
    <x v="0"/>
    <n v="0"/>
    <n v="0"/>
    <n v="0"/>
    <n v="0"/>
    <n v="0"/>
    <n v="0"/>
    <n v="0"/>
    <n v="16"/>
    <n v="0"/>
    <n v="0"/>
    <n v="0"/>
    <x v="1"/>
    <m/>
    <n v="0"/>
  </r>
  <r>
    <x v="81"/>
    <x v="2"/>
    <n v="63271090"/>
    <s v="1201 RUNNYMEDE ST."/>
    <s v="5+"/>
    <x v="1"/>
    <n v="0"/>
    <n v="0"/>
    <n v="3"/>
    <n v="0"/>
    <n v="3"/>
    <n v="0"/>
    <x v="0"/>
    <n v="0"/>
    <n v="0"/>
    <n v="0"/>
    <n v="0"/>
    <n v="0"/>
    <n v="0"/>
    <n v="0"/>
    <n v="0"/>
    <n v="0"/>
    <n v="0"/>
    <n v="0"/>
    <x v="1"/>
    <m/>
    <n v="0"/>
  </r>
  <r>
    <x v="38"/>
    <x v="0"/>
    <s v="005-151-50"/>
    <s v="508 FRONT ST"/>
    <s v="5+"/>
    <x v="1"/>
    <n v="15"/>
    <n v="0"/>
    <n v="5"/>
    <n v="0"/>
    <n v="0"/>
    <n v="0"/>
    <x v="0"/>
    <n v="0"/>
    <n v="0"/>
    <n v="0"/>
    <n v="0"/>
    <n v="0"/>
    <n v="0"/>
    <n v="0"/>
    <n v="0"/>
    <n v="0"/>
    <n v="0"/>
    <n v="0"/>
    <x v="0"/>
    <n v="1000"/>
    <s v="31.600000000000001"/>
  </r>
  <r>
    <x v="57"/>
    <x v="2"/>
    <n v="4230006232"/>
    <s v="4091 REDWOOD AVE  S  90066"/>
    <s v="5+"/>
    <x v="0"/>
    <n v="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4006020027"/>
    <s v="6604 WEST BLVD S  90043"/>
    <s v="5+"/>
    <x v="0"/>
    <n v="15"/>
    <n v="0"/>
    <n v="48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7455026051"/>
    <s v="511 HARBOR BLVD S  90731"/>
    <s v="5+"/>
    <x v="0"/>
    <n v="1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060027024"/>
    <s v="NONE NONE 79464"/>
    <s v="5+"/>
    <x v="0"/>
    <n v="0"/>
    <n v="0"/>
    <n v="3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6053006926"/>
    <s v="9402 BROADWAY  S  90003"/>
    <s v="5+"/>
    <x v="0"/>
    <n v="2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040012029"/>
    <s v="3760 NORMANDIE AVE  S  90007"/>
    <s v="5+"/>
    <x v="0"/>
    <n v="1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157023015"/>
    <s v="418 ALVARADO ST   N  90026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2429019009"/>
    <s v="3077 CAHUENGA BLVD N  90068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545014021"/>
    <s v="1333 TAMARIND AVE  N  90028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3"/>
    <x v="5"/>
    <n v="5529008016"/>
    <s v="1028-1030 N. Kings Road"/>
    <s v="5+"/>
    <x v="1"/>
    <n v="0"/>
    <n v="0"/>
    <n v="0"/>
    <n v="0"/>
    <n v="0"/>
    <n v="0"/>
    <x v="0"/>
    <n v="0"/>
    <n v="0"/>
    <n v="0"/>
    <n v="0"/>
    <n v="0"/>
    <n v="2"/>
    <n v="0"/>
    <n v="0"/>
    <n v="0"/>
    <n v="3"/>
    <n v="0"/>
    <x v="0"/>
    <n v="1000"/>
    <n v="0"/>
  </r>
  <r>
    <x v="56"/>
    <x v="2"/>
    <s v="74-1373-2-2"/>
    <s v="2810 FIFTH ST UNITS 132-143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0"/>
    <n v="50"/>
    <n v="0"/>
  </r>
  <r>
    <x v="57"/>
    <x v="2"/>
    <n v="2135032015"/>
    <s v="6817 WINNETKA AVE  N  91306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78"/>
    <x v="5"/>
    <n v="41208065"/>
    <s v="300 RAILWAY AVE"/>
    <s v="5+"/>
    <x v="0"/>
    <n v="0"/>
    <n v="0"/>
    <n v="0"/>
    <n v="0"/>
    <n v="0"/>
    <n v="0"/>
    <x v="0"/>
    <n v="0"/>
    <n v="0"/>
    <n v="0"/>
    <n v="0"/>
    <n v="0"/>
    <n v="7"/>
    <n v="0"/>
    <n v="0"/>
    <n v="0"/>
    <n v="0"/>
    <n v="0"/>
    <x v="0"/>
    <n v="55"/>
    <n v="0"/>
  </r>
  <r>
    <x v="57"/>
    <x v="2"/>
    <n v="2412019026"/>
    <s v="6329 N CLYBOURN AVE"/>
    <s v="5+"/>
    <x v="0"/>
    <n v="0"/>
    <n v="0"/>
    <n v="0"/>
    <n v="0"/>
    <n v="0"/>
    <n v="0"/>
    <x v="80"/>
    <n v="0"/>
    <n v="50"/>
    <n v="0"/>
    <n v="0"/>
    <n v="0"/>
    <n v="0"/>
    <n v="0"/>
    <n v="0"/>
    <n v="0"/>
    <n v="0"/>
    <n v="0"/>
    <x v="0"/>
    <n v="55"/>
    <n v="0"/>
  </r>
  <r>
    <x v="57"/>
    <x v="2"/>
    <n v="5016020006"/>
    <s v="4719 S NORMANDIE AVE"/>
    <s v="5+"/>
    <x v="0"/>
    <n v="42"/>
    <n v="0"/>
    <n v="0"/>
    <n v="0"/>
    <n v="0"/>
    <n v="0"/>
    <x v="67"/>
    <n v="0"/>
    <n v="0"/>
    <n v="0"/>
    <n v="0"/>
    <n v="0"/>
    <n v="0"/>
    <n v="0"/>
    <n v="0"/>
    <n v="0"/>
    <n v="0"/>
    <n v="0"/>
    <x v="0"/>
    <n v="55"/>
    <n v="0"/>
  </r>
  <r>
    <x v="57"/>
    <x v="2"/>
    <n v="2747005022"/>
    <s v="10247 N VARIEL AVE #1-#32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n v="0"/>
  </r>
  <r>
    <x v="57"/>
    <x v="2"/>
    <n v="6074024900"/>
    <s v="283 W IMPERIAL HWY"/>
    <s v="5+"/>
    <x v="0"/>
    <n v="0"/>
    <n v="0"/>
    <n v="0"/>
    <n v="0"/>
    <n v="0"/>
    <n v="0"/>
    <x v="51"/>
    <n v="0"/>
    <n v="0"/>
    <n v="0"/>
    <n v="0"/>
    <n v="0"/>
    <n v="0"/>
    <n v="0"/>
    <n v="0"/>
    <n v="0"/>
    <n v="0"/>
    <n v="0"/>
    <x v="0"/>
    <n v="55"/>
    <n v="0"/>
  </r>
  <r>
    <x v="57"/>
    <x v="2"/>
    <n v="4235013027"/>
    <s v="12444 W VENICE BLVD"/>
    <s v="5+"/>
    <x v="0"/>
    <n v="0"/>
    <n v="0"/>
    <n v="0"/>
    <n v="0"/>
    <n v="0"/>
    <n v="0"/>
    <x v="14"/>
    <n v="0"/>
    <n v="0"/>
    <n v="0"/>
    <n v="0"/>
    <n v="0"/>
    <n v="0"/>
    <n v="0"/>
    <n v="0"/>
    <n v="0"/>
    <n v="0"/>
    <n v="0"/>
    <x v="0"/>
    <n v="55"/>
    <n v="0"/>
  </r>
  <r>
    <x v="57"/>
    <x v="2"/>
    <n v="2224004006"/>
    <s v="16030 W SHERMAN WAY"/>
    <s v="5+"/>
    <x v="0"/>
    <n v="0"/>
    <n v="0"/>
    <n v="0"/>
    <n v="0"/>
    <n v="0"/>
    <n v="0"/>
    <x v="14"/>
    <n v="0"/>
    <n v="0"/>
    <n v="0"/>
    <n v="0"/>
    <n v="0"/>
    <n v="0"/>
    <n v="0"/>
    <n v="0"/>
    <n v="0"/>
    <n v="0"/>
    <n v="0"/>
    <x v="0"/>
    <n v="55"/>
    <n v="0"/>
  </r>
  <r>
    <x v="57"/>
    <x v="2"/>
    <n v="2530008901"/>
    <s v="11800 W KAGEL CANYON ST 1-49"/>
    <s v="5+"/>
    <x v="0"/>
    <n v="0"/>
    <n v="0"/>
    <n v="0"/>
    <n v="0"/>
    <n v="0"/>
    <n v="0"/>
    <x v="0"/>
    <n v="0"/>
    <n v="48"/>
    <n v="0"/>
    <n v="0"/>
    <n v="0"/>
    <n v="0"/>
    <n v="0"/>
    <n v="0"/>
    <n v="0"/>
    <n v="0"/>
    <n v="0"/>
    <x v="0"/>
    <n v="55"/>
    <n v="0"/>
  </r>
  <r>
    <x v="2"/>
    <x v="4"/>
    <s v="5623-005-901"/>
    <s v="1116 Sonora Ave"/>
    <s v="5+"/>
    <x v="0"/>
    <n v="0"/>
    <n v="0"/>
    <n v="5"/>
    <n v="0"/>
    <n v="0"/>
    <n v="0"/>
    <x v="0"/>
    <n v="0"/>
    <n v="5"/>
    <n v="0"/>
    <n v="0"/>
    <n v="0"/>
    <n v="0"/>
    <n v="0"/>
    <n v="0"/>
    <n v="0"/>
    <n v="0"/>
    <n v="0"/>
    <x v="0"/>
    <n v="55"/>
    <n v="0"/>
  </r>
  <r>
    <x v="35"/>
    <x v="4"/>
    <n v="2081951000"/>
    <s v="2514  WEST RANCH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56"/>
    <n v="0"/>
    <x v="1"/>
    <m/>
    <n v="0"/>
  </r>
  <r>
    <x v="15"/>
    <x v="5"/>
    <s v="008 065101801"/>
    <s v="2044 FRANKLIN ST"/>
    <s v="5+"/>
    <x v="0"/>
    <n v="2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7455007903"/>
    <s v="456 W 9TH ST"/>
    <s v="5+"/>
    <x v="0"/>
    <n v="0"/>
    <n v="0"/>
    <n v="0"/>
    <n v="0"/>
    <n v="0"/>
    <n v="0"/>
    <x v="32"/>
    <n v="0"/>
    <n v="27"/>
    <n v="0"/>
    <n v="0"/>
    <n v="0"/>
    <n v="0"/>
    <n v="0"/>
    <n v="0"/>
    <n v="0"/>
    <n v="0"/>
    <n v="0"/>
    <x v="0"/>
    <n v="55"/>
    <n v="0"/>
  </r>
  <r>
    <x v="8"/>
    <x v="5"/>
    <n v="4463031600"/>
    <s v="4128 30TH ST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m/>
    <n v="0"/>
  </r>
  <r>
    <x v="8"/>
    <x v="5"/>
    <n v="5491400300"/>
    <s v="6315 IMPERIAL AV"/>
    <s v="5+"/>
    <x v="0"/>
    <n v="0"/>
    <n v="0"/>
    <n v="0"/>
    <n v="0"/>
    <n v="0"/>
    <n v="0"/>
    <x v="57"/>
    <n v="0"/>
    <n v="0"/>
    <n v="0"/>
    <n v="0"/>
    <n v="0"/>
    <n v="0"/>
    <n v="0"/>
    <n v="0"/>
    <n v="0"/>
    <n v="0"/>
    <n v="0"/>
    <x v="0"/>
    <m/>
    <n v="0"/>
  </r>
  <r>
    <x v="57"/>
    <x v="2"/>
    <n v="2239023014"/>
    <s v="13713 W OXNARD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2"/>
    <n v="5127029904"/>
    <s v="200 E WASHINGTON BLVD"/>
    <s v="5+"/>
    <x v="0"/>
    <n v="0"/>
    <n v="0"/>
    <n v="0"/>
    <n v="0"/>
    <n v="0"/>
    <n v="0"/>
    <x v="29"/>
    <n v="0"/>
    <n v="23"/>
    <n v="0"/>
    <n v="0"/>
    <n v="0"/>
    <n v="0"/>
    <n v="0"/>
    <n v="0"/>
    <n v="0"/>
    <n v="0"/>
    <n v="0"/>
    <x v="0"/>
    <n v="55"/>
    <n v="0"/>
  </r>
  <r>
    <x v="57"/>
    <x v="2"/>
    <n v="2119020901"/>
    <s v="7219 N CANBY AVE 1-26"/>
    <s v="5+"/>
    <x v="0"/>
    <n v="0"/>
    <n v="0"/>
    <n v="0"/>
    <n v="0"/>
    <n v="0"/>
    <n v="0"/>
    <x v="21"/>
    <n v="0"/>
    <n v="12"/>
    <n v="0"/>
    <n v="0"/>
    <n v="0"/>
    <n v="0"/>
    <n v="0"/>
    <n v="0"/>
    <n v="0"/>
    <n v="0"/>
    <n v="0"/>
    <x v="0"/>
    <n v="55"/>
    <n v="0"/>
  </r>
  <r>
    <x v="57"/>
    <x v="2"/>
    <n v="5078012901"/>
    <s v="1035 S BERENDO ST 1-42"/>
    <s v="5+"/>
    <x v="0"/>
    <n v="0"/>
    <n v="0"/>
    <n v="0"/>
    <n v="0"/>
    <n v="0"/>
    <n v="0"/>
    <x v="49"/>
    <n v="0"/>
    <n v="0"/>
    <n v="0"/>
    <n v="0"/>
    <n v="0"/>
    <n v="0"/>
    <n v="0"/>
    <n v="0"/>
    <n v="0"/>
    <n v="0"/>
    <n v="0"/>
    <x v="0"/>
    <n v="55"/>
    <n v="0"/>
  </r>
  <r>
    <x v="211"/>
    <x v="4"/>
    <n v="9701106"/>
    <s v="8218 GARDEN GROVE BLVD"/>
    <s v="5+"/>
    <x v="0"/>
    <n v="0"/>
    <n v="0"/>
    <n v="8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8"/>
    <x v="5"/>
    <n v="4531540100"/>
    <s v="3793-3797 Ray St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5"/>
    <n v="43403117"/>
    <s v="10222 San Diego Mission Rd"/>
    <s v="5+"/>
    <x v="1"/>
    <n v="0"/>
    <n v="0"/>
    <n v="0"/>
    <n v="0"/>
    <n v="0"/>
    <n v="0"/>
    <x v="0"/>
    <n v="0"/>
    <n v="0"/>
    <n v="0"/>
    <n v="6"/>
    <n v="0"/>
    <n v="0"/>
    <n v="0"/>
    <n v="0"/>
    <n v="0"/>
    <n v="0"/>
    <n v="0"/>
    <x v="1"/>
    <m/>
    <n v="0"/>
  </r>
  <r>
    <x v="120"/>
    <x v="4"/>
    <n v="43515126"/>
    <s v="17600 CARTWRIGHT"/>
    <s v="5+"/>
    <x v="0"/>
    <n v="0"/>
    <n v="0"/>
    <n v="0"/>
    <n v="0"/>
    <n v="0"/>
    <n v="0"/>
    <x v="45"/>
    <n v="0"/>
    <n v="1"/>
    <n v="0"/>
    <n v="11"/>
    <n v="0"/>
    <n v="0"/>
    <n v="0"/>
    <n v="0"/>
    <n v="0"/>
    <n v="0"/>
    <n v="0"/>
    <x v="0"/>
    <n v="55"/>
    <n v="0"/>
  </r>
  <r>
    <x v="213"/>
    <x v="4"/>
    <s v="005-060-053"/>
    <s v="4275 MEADE ST"/>
    <s v="5+"/>
    <x v="0"/>
    <n v="30"/>
    <n v="0"/>
    <n v="0"/>
    <n v="0"/>
    <n v="0"/>
    <n v="0"/>
    <x v="46"/>
    <n v="0"/>
    <n v="0"/>
    <n v="0"/>
    <n v="0"/>
    <n v="0"/>
    <n v="0"/>
    <n v="0"/>
    <n v="0"/>
    <n v="0"/>
    <n v="0"/>
    <n v="0"/>
    <x v="0"/>
    <n v="55"/>
    <n v="0"/>
  </r>
  <r>
    <x v="57"/>
    <x v="2"/>
    <n v="6132026030"/>
    <s v="12003 S MAIN ST"/>
    <s v="5+"/>
    <x v="0"/>
    <n v="0"/>
    <n v="0"/>
    <n v="0"/>
    <n v="0"/>
    <n v="0"/>
    <n v="0"/>
    <x v="25"/>
    <n v="0"/>
    <n v="46"/>
    <n v="0"/>
    <n v="0"/>
    <n v="0"/>
    <n v="0"/>
    <n v="0"/>
    <n v="0"/>
    <n v="0"/>
    <n v="0"/>
    <n v="0"/>
    <x v="0"/>
    <n v="55"/>
    <n v="0"/>
  </r>
  <r>
    <x v="57"/>
    <x v="2"/>
    <s v="5445031***"/>
    <s v="2581 E CHAUCER ST BLDG # 3,1-6"/>
    <s v="5+"/>
    <x v="0"/>
    <n v="0"/>
    <n v="0"/>
    <n v="0"/>
    <n v="0"/>
    <n v="0"/>
    <n v="0"/>
    <x v="36"/>
    <n v="0"/>
    <n v="16"/>
    <n v="0"/>
    <n v="0"/>
    <n v="0"/>
    <n v="0"/>
    <n v="0"/>
    <n v="0"/>
    <n v="0"/>
    <n v="0"/>
    <n v="0"/>
    <x v="0"/>
    <n v="55"/>
    <n v="0"/>
  </r>
  <r>
    <x v="3"/>
    <x v="5"/>
    <n v="4336019033"/>
    <s v="8899 BEVERLY BLVD"/>
    <s v="5+"/>
    <x v="0"/>
    <n v="0"/>
    <n v="0"/>
    <n v="0"/>
    <n v="0"/>
    <n v="0"/>
    <n v="0"/>
    <x v="14"/>
    <n v="0"/>
    <n v="0"/>
    <n v="0"/>
    <n v="8"/>
    <n v="0"/>
    <n v="0"/>
    <n v="0"/>
    <n v="0"/>
    <n v="0"/>
    <n v="0"/>
    <n v="0"/>
    <x v="0"/>
    <n v="1000"/>
    <n v="0"/>
  </r>
  <r>
    <x v="113"/>
    <x v="5"/>
    <s v="072011062"/>
    <s v="3701 TABORA DR"/>
    <s v="5+"/>
    <x v="0"/>
    <n v="0"/>
    <n v="0"/>
    <n v="0"/>
    <n v="0"/>
    <n v="0"/>
    <n v="0"/>
    <x v="0"/>
    <n v="0"/>
    <n v="0"/>
    <n v="0"/>
    <n v="0"/>
    <n v="0"/>
    <n v="85"/>
    <n v="0"/>
    <n v="0"/>
    <n v="0"/>
    <n v="0"/>
    <n v="0"/>
    <x v="0"/>
    <n v="55"/>
    <n v="0"/>
  </r>
  <r>
    <x v="120"/>
    <x v="4"/>
    <n v="58049129"/>
    <s v="1102 HAMAL"/>
    <s v="5+"/>
    <x v="0"/>
    <n v="0"/>
    <n v="0"/>
    <n v="0"/>
    <n v="0"/>
    <n v="0"/>
    <n v="0"/>
    <x v="18"/>
    <n v="0"/>
    <n v="12"/>
    <n v="0"/>
    <n v="1"/>
    <n v="0"/>
    <n v="0"/>
    <n v="0"/>
    <n v="0"/>
    <n v="0"/>
    <n v="0"/>
    <n v="0"/>
    <x v="0"/>
    <n v="1000"/>
    <n v="0"/>
  </r>
  <r>
    <x v="119"/>
    <x v="2"/>
    <s v="049-1041-26-15"/>
    <s v="1450 Sherwin Avenue"/>
    <s v="5+"/>
    <x v="0"/>
    <n v="0"/>
    <n v="0"/>
    <n v="0"/>
    <n v="0"/>
    <n v="0"/>
    <n v="0"/>
    <x v="42"/>
    <n v="0"/>
    <n v="8"/>
    <n v="0"/>
    <n v="6"/>
    <n v="0"/>
    <n v="0"/>
    <n v="0"/>
    <n v="0"/>
    <n v="0"/>
    <n v="0"/>
    <n v="0"/>
    <x v="1"/>
    <n v="55"/>
    <n v="0"/>
  </r>
  <r>
    <x v="139"/>
    <x v="5"/>
    <s v="056-201-101"/>
    <s v="400 LOUISE Way, SONOMA CA"/>
    <s v="5+"/>
    <x v="0"/>
    <n v="0"/>
    <n v="0"/>
    <n v="0"/>
    <n v="0"/>
    <n v="0"/>
    <n v="0"/>
    <x v="12"/>
    <n v="0"/>
    <n v="15"/>
    <n v="0"/>
    <n v="0"/>
    <n v="0"/>
    <n v="5"/>
    <n v="0"/>
    <n v="15"/>
    <n v="0"/>
    <n v="0"/>
    <n v="0"/>
    <x v="0"/>
    <m/>
    <n v="0"/>
  </r>
  <r>
    <x v="58"/>
    <x v="4"/>
    <s v="070-222-23"/>
    <s v="3801 Franklin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8"/>
    <x v="5"/>
    <n v="5491400600"/>
    <s v="6325 IMPERIAL AV"/>
    <s v="5+"/>
    <x v="0"/>
    <n v="0"/>
    <n v="0"/>
    <n v="0"/>
    <n v="0"/>
    <n v="0"/>
    <n v="0"/>
    <x v="17"/>
    <n v="0"/>
    <n v="15"/>
    <n v="0"/>
    <n v="0"/>
    <n v="0"/>
    <n v="0"/>
    <n v="0"/>
    <n v="0"/>
    <n v="0"/>
    <n v="0"/>
    <n v="0"/>
    <x v="0"/>
    <m/>
    <n v="0"/>
  </r>
  <r>
    <x v="8"/>
    <x v="5"/>
    <n v="4456310100"/>
    <s v="1445 WASHINGTON ST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m/>
    <n v="0"/>
  </r>
  <r>
    <x v="82"/>
    <x v="5"/>
    <s v="04180106"/>
    <s v="141 APTOS VILLAGE WAY, APTOS , 95003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m/>
    <n v="0"/>
  </r>
  <r>
    <x v="91"/>
    <x v="3"/>
    <s v="1610512600, 1610510600, &amp; 1610512100"/>
    <s v="1150-1564 N Santa Fe Avenue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66"/>
    <x v="0"/>
    <s v="71-405-38"/>
    <s v="2050 5th Street"/>
    <s v="5+"/>
    <x v="0"/>
    <n v="0"/>
    <n v="38"/>
    <n v="0"/>
    <n v="0"/>
    <n v="0"/>
    <n v="0"/>
    <x v="13"/>
    <n v="0"/>
    <n v="19"/>
    <n v="0"/>
    <n v="0"/>
    <n v="0"/>
    <n v="19"/>
    <n v="0"/>
    <n v="19"/>
    <n v="0"/>
    <n v="0"/>
    <n v="0"/>
    <x v="1"/>
    <n v="1000"/>
    <n v="0"/>
  </r>
  <r>
    <x v="112"/>
    <x v="1"/>
    <n v="41042012"/>
    <s v="1650 W Steele Ln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00"/>
  </r>
  <r>
    <x v="57"/>
    <x v="2"/>
    <n v="2565014031"/>
    <s v="10132 COMMERCE AVE  N  91042"/>
    <s v="5+"/>
    <x v="0"/>
    <n v="4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2206035034"/>
    <s v="16015 SHERMAN WAY  W  91406"/>
    <s v="5+"/>
    <x v="0"/>
    <n v="4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547014029"/>
    <s v="1601 LAS PALMAS AVE  N  90028"/>
    <s v="5+"/>
    <x v="0"/>
    <n v="0"/>
    <n v="0"/>
    <n v="69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442025039"/>
    <s v="2957 ALLESANDRO ST   N  90039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6011003066"/>
    <s v="6714 MAIN ST   S  90003"/>
    <s v="5+"/>
    <x v="0"/>
    <n v="5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544023023"/>
    <s v="5525 SUNSET BLVD W  90028"/>
    <s v="5+"/>
    <x v="0"/>
    <n v="6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180002013"/>
    <s v="2423 1ST ST"/>
    <s v="5+"/>
    <x v="0"/>
    <n v="0"/>
    <n v="0"/>
    <n v="0"/>
    <n v="0"/>
    <n v="0"/>
    <n v="0"/>
    <x v="70"/>
    <n v="0"/>
    <n v="0"/>
    <n v="0"/>
    <n v="0"/>
    <n v="1"/>
    <n v="0"/>
    <n v="0"/>
    <n v="0"/>
    <n v="0"/>
    <n v="0"/>
    <n v="0"/>
    <x v="0"/>
    <n v="55"/>
    <n v="0"/>
  </r>
  <r>
    <x v="57"/>
    <x v="5"/>
    <n v="5019026009"/>
    <s v="4050 FIGUEROA ST   S  90037"/>
    <s v="5+"/>
    <x v="0"/>
    <n v="14"/>
    <n v="0"/>
    <n v="0"/>
    <n v="0"/>
    <n v="0"/>
    <n v="0"/>
    <x v="75"/>
    <n v="0"/>
    <n v="0"/>
    <n v="0"/>
    <n v="0"/>
    <n v="1"/>
    <n v="0"/>
    <n v="0"/>
    <n v="0"/>
    <n v="0"/>
    <n v="0"/>
    <n v="0"/>
    <x v="0"/>
    <n v="55"/>
    <n v="0"/>
  </r>
  <r>
    <x v="57"/>
    <x v="5"/>
    <s v="4325025BRK"/>
    <s v="1644 MALCOLM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5586035040"/>
    <s v="5750 HOLLYWOOD BLVD"/>
    <s v="5+"/>
    <x v="0"/>
    <n v="0"/>
    <n v="0"/>
    <n v="0"/>
    <n v="0"/>
    <n v="0"/>
    <n v="0"/>
    <x v="89"/>
    <n v="0"/>
    <n v="0"/>
    <n v="0"/>
    <n v="0"/>
    <n v="0"/>
    <n v="0"/>
    <n v="0"/>
    <n v="0"/>
    <n v="0"/>
    <n v="0"/>
    <n v="0"/>
    <x v="0"/>
    <n v="55"/>
    <n v="0"/>
  </r>
  <r>
    <x v="57"/>
    <x v="5"/>
    <n v="5544019014"/>
    <s v="1525 HOBART BLVD N  90027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2240012012"/>
    <s v="14303 FRIAR ST   W  91401"/>
    <s v="5+"/>
    <x v="0"/>
    <n v="4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4261020002"/>
    <s v="11272 NEBRASKA AVE  W  90025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094024015"/>
    <s v="924 CATALINA ST   S  90006"/>
    <s v="5+"/>
    <x v="0"/>
    <n v="4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4313019046"/>
    <s v="3735 BAGLEY AVE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0"/>
    <n v="55"/>
    <n v="0"/>
  </r>
  <r>
    <x v="57"/>
    <x v="5"/>
    <n v="5473024021"/>
    <s v="3815 AVENUE 43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2347031029"/>
    <s v="12444 CHANDLER BLVD"/>
    <s v="5+"/>
    <x v="0"/>
    <n v="0"/>
    <n v="0"/>
    <n v="0"/>
    <n v="0"/>
    <n v="0"/>
    <n v="0"/>
    <x v="25"/>
    <n v="0"/>
    <n v="0"/>
    <n v="0"/>
    <n v="0"/>
    <n v="0"/>
    <n v="0"/>
    <n v="0"/>
    <n v="0"/>
    <n v="0"/>
    <n v="0"/>
    <n v="0"/>
    <x v="0"/>
    <n v="55"/>
    <n v="0"/>
  </r>
  <r>
    <x v="57"/>
    <x v="5"/>
    <n v="5518002012"/>
    <s v="161 NORMANDIE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2530008901"/>
    <s v="11681 FOOTHILL BLVD W  91342"/>
    <s v="5+"/>
    <x v="0"/>
    <n v="4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2347019010"/>
    <s v="12147 MAGNOLIA BLVD W  91607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2248004026"/>
    <s v="14353 RIVERSIDE DR   W  91423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166033004"/>
    <s v="1800 7TH ST   E  90021"/>
    <s v="5+"/>
    <x v="0"/>
    <n v="1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501021003"/>
    <s v="315 COMMONWEALTH AVE  S  90020"/>
    <s v="5+"/>
    <x v="0"/>
    <n v="2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049016046"/>
    <s v="5181 ADAMS BLVD W  90016"/>
    <s v="5+"/>
    <x v="0"/>
    <n v="1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2125009016"/>
    <s v="6912 RESEDA BLVD N  91335"/>
    <s v="5+"/>
    <x v="0"/>
    <n v="12"/>
    <n v="0"/>
    <n v="0"/>
    <n v="0"/>
    <n v="3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550025014"/>
    <s v="7500 SUNSET BLVD W  90046"/>
    <s v="5+"/>
    <x v="0"/>
    <n v="2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6032005023"/>
    <s v="943 82ND ST   W  90044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078014024"/>
    <s v="2870 OLYMPIC BLVD W  90006"/>
    <s v="5+"/>
    <x v="0"/>
    <n v="1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148011023"/>
    <s v="407 5TH ST   E  90013"/>
    <s v="5+"/>
    <x v="0"/>
    <n v="0"/>
    <n v="0"/>
    <n v="15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143011004"/>
    <s v="1316 LINWOOD AVE  W  90017"/>
    <s v="5+"/>
    <x v="0"/>
    <n v="8"/>
    <n v="0"/>
    <n v="14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111007029"/>
    <s v="4219 BROADWAY  S  90037"/>
    <s v="5+"/>
    <x v="0"/>
    <n v="0"/>
    <n v="0"/>
    <n v="8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4207004023"/>
    <s v="9900 VENICE BLVD W  90232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2654012026"/>
    <s v="8767 PARTHENIA PL   N  91343"/>
    <s v="5+"/>
    <x v="0"/>
    <n v="0"/>
    <n v="0"/>
    <n v="7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7454026011"/>
    <s v="1309 PACIFIC AVE  S  90731"/>
    <s v="5+"/>
    <x v="0"/>
    <n v="1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4237023018"/>
    <s v="2467 LINCOLN BLVD S  90291"/>
    <s v="5+"/>
    <x v="0"/>
    <n v="3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2348010026"/>
    <s v="11829 CHANDLER BLVD W  91607"/>
    <s v="5+"/>
    <x v="0"/>
    <n v="1"/>
    <n v="0"/>
    <n v="2"/>
    <n v="0"/>
    <n v="1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2347020004"/>
    <s v="5235 VANTAGE AVE  N  91607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514012009"/>
    <s v="316 LA CIENEGA BLVD N  90048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4260034036"/>
    <s v="11568 PICO BLVD W  90064"/>
    <s v="5+"/>
    <x v="0"/>
    <n v="3"/>
    <n v="0"/>
    <n v="0"/>
    <n v="0"/>
    <n v="27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6011003062"/>
    <s v="6706 S MAIN ST"/>
    <s v="5+"/>
    <x v="0"/>
    <n v="0"/>
    <n v="0"/>
    <n v="0"/>
    <n v="0"/>
    <n v="0"/>
    <n v="0"/>
    <x v="8"/>
    <n v="0"/>
    <n v="25"/>
    <n v="0"/>
    <n v="0"/>
    <n v="0"/>
    <n v="0"/>
    <n v="0"/>
    <n v="0"/>
    <n v="0"/>
    <n v="0"/>
    <n v="0"/>
    <x v="0"/>
    <n v="55"/>
    <n v="0"/>
  </r>
  <r>
    <x v="57"/>
    <x v="2"/>
    <n v="2338015002"/>
    <s v="11500 W EMELITA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2"/>
    <n v="2604028031"/>
    <s v="12665 N SAN FERNANDO ROAD"/>
    <s v="5+"/>
    <x v="0"/>
    <n v="0"/>
    <n v="0"/>
    <n v="0"/>
    <n v="0"/>
    <n v="0"/>
    <n v="0"/>
    <x v="34"/>
    <n v="0"/>
    <n v="0"/>
    <n v="0"/>
    <n v="0"/>
    <n v="0"/>
    <n v="0"/>
    <n v="0"/>
    <n v="0"/>
    <n v="0"/>
    <n v="0"/>
    <n v="0"/>
    <x v="0"/>
    <n v="55"/>
    <n v="0"/>
  </r>
  <r>
    <x v="57"/>
    <x v="2"/>
    <n v="2138007005"/>
    <s v="6940 N OWENSMOUTH AVE"/>
    <s v="5+"/>
    <x v="0"/>
    <n v="0"/>
    <n v="0"/>
    <n v="0"/>
    <n v="0"/>
    <n v="0"/>
    <n v="0"/>
    <x v="49"/>
    <n v="0"/>
    <n v="38"/>
    <n v="0"/>
    <n v="0"/>
    <n v="0"/>
    <n v="0"/>
    <n v="0"/>
    <n v="0"/>
    <n v="0"/>
    <n v="0"/>
    <n v="0"/>
    <x v="0"/>
    <n v="55"/>
    <n v="0"/>
  </r>
  <r>
    <x v="57"/>
    <x v="2"/>
    <n v="5156006003"/>
    <s v="3200 W TEMPLE ST"/>
    <s v="5+"/>
    <x v="0"/>
    <n v="0"/>
    <n v="0"/>
    <n v="0"/>
    <n v="0"/>
    <n v="0"/>
    <n v="0"/>
    <x v="32"/>
    <n v="0"/>
    <n v="0"/>
    <n v="0"/>
    <n v="0"/>
    <n v="0"/>
    <n v="0"/>
    <n v="0"/>
    <n v="0"/>
    <n v="0"/>
    <n v="0"/>
    <n v="0"/>
    <x v="0"/>
    <n v="55"/>
    <n v="0"/>
  </r>
  <r>
    <x v="57"/>
    <x v="2"/>
    <n v="5501004006"/>
    <s v="235 N HOOVER ST"/>
    <s v="5+"/>
    <x v="0"/>
    <n v="0"/>
    <n v="0"/>
    <n v="0"/>
    <n v="0"/>
    <n v="0"/>
    <n v="0"/>
    <x v="13"/>
    <n v="0"/>
    <n v="0"/>
    <n v="0"/>
    <n v="0"/>
    <n v="0"/>
    <n v="0"/>
    <n v="0"/>
    <n v="0"/>
    <n v="0"/>
    <n v="0"/>
    <n v="0"/>
    <x v="0"/>
    <n v="55"/>
    <n v="0"/>
  </r>
  <r>
    <x v="57"/>
    <x v="2"/>
    <n v="5109023005"/>
    <s v="5125 S AVALON BLVD 1-28"/>
    <s v="5+"/>
    <x v="0"/>
    <n v="0"/>
    <n v="0"/>
    <n v="0"/>
    <n v="0"/>
    <n v="0"/>
    <n v="0"/>
    <x v="0"/>
    <n v="0"/>
    <n v="3"/>
    <n v="0"/>
    <n v="0"/>
    <n v="0"/>
    <n v="0"/>
    <n v="0"/>
    <n v="0"/>
    <n v="0"/>
    <n v="0"/>
    <n v="0"/>
    <x v="0"/>
    <n v="55"/>
    <n v="0"/>
  </r>
  <r>
    <x v="99"/>
    <x v="2"/>
    <s v="013-171-014"/>
    <s v="2200 North Fremont"/>
    <s v="5+"/>
    <x v="0"/>
    <n v="0"/>
    <n v="0"/>
    <n v="4"/>
    <n v="0"/>
    <n v="0"/>
    <n v="4"/>
    <x v="0"/>
    <n v="0"/>
    <n v="0"/>
    <n v="0"/>
    <n v="0"/>
    <n v="0"/>
    <n v="0"/>
    <n v="0"/>
    <n v="0"/>
    <n v="0"/>
    <n v="0"/>
    <n v="0"/>
    <x v="0"/>
    <m/>
    <n v="0"/>
  </r>
  <r>
    <x v="99"/>
    <x v="2"/>
    <s v="001-031--003"/>
    <s v="300 Cannery Row"/>
    <s v="5+"/>
    <x v="1"/>
    <n v="0"/>
    <n v="0"/>
    <n v="1"/>
    <n v="0"/>
    <n v="0"/>
    <n v="1"/>
    <x v="0"/>
    <n v="0"/>
    <n v="0"/>
    <n v="0"/>
    <n v="0"/>
    <n v="0"/>
    <n v="0"/>
    <n v="0"/>
    <n v="0"/>
    <n v="0"/>
    <n v="0"/>
    <n v="0"/>
    <x v="0"/>
    <m/>
    <n v="0"/>
  </r>
  <r>
    <x v="57"/>
    <x v="2"/>
    <n v="2502024020"/>
    <s v="14401 W FOOTHILL BLVD 1-37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57"/>
    <x v="2"/>
    <n v="5160022012"/>
    <s v="424 N FIRMIN ST"/>
    <s v="5+"/>
    <x v="0"/>
    <n v="0"/>
    <n v="0"/>
    <n v="0"/>
    <n v="0"/>
    <n v="0"/>
    <n v="0"/>
    <x v="91"/>
    <n v="0"/>
    <n v="18"/>
    <n v="0"/>
    <n v="0"/>
    <n v="0"/>
    <n v="0"/>
    <n v="0"/>
    <n v="0"/>
    <n v="0"/>
    <n v="0"/>
    <n v="0"/>
    <x v="0"/>
    <n v="55"/>
    <n v="0"/>
  </r>
  <r>
    <x v="57"/>
    <x v="2"/>
    <n v="6046021917"/>
    <s v="2151 E 101ST ST 1-91"/>
    <s v="5+"/>
    <x v="0"/>
    <n v="0"/>
    <n v="0"/>
    <n v="0"/>
    <n v="0"/>
    <n v="0"/>
    <n v="0"/>
    <x v="73"/>
    <n v="0"/>
    <n v="18"/>
    <n v="0"/>
    <n v="0"/>
    <n v="0"/>
    <n v="0"/>
    <n v="0"/>
    <n v="0"/>
    <n v="0"/>
    <n v="0"/>
    <n v="0"/>
    <x v="0"/>
    <n v="55"/>
    <n v="0"/>
  </r>
  <r>
    <x v="112"/>
    <x v="2"/>
    <s v="044051048"/>
    <s v="1024 Kawana Springs RD"/>
    <s v="5+"/>
    <x v="0"/>
    <n v="0"/>
    <n v="0"/>
    <n v="0"/>
    <n v="0"/>
    <n v="0"/>
    <n v="0"/>
    <x v="0"/>
    <n v="0"/>
    <n v="0"/>
    <n v="0"/>
    <n v="0"/>
    <n v="0"/>
    <n v="0"/>
    <n v="0"/>
    <n v="3"/>
    <n v="0"/>
    <n v="0"/>
    <n v="0"/>
    <x v="0"/>
    <n v="55"/>
    <n v="0"/>
  </r>
  <r>
    <x v="57"/>
    <x v="2"/>
    <n v="5543008029"/>
    <s v="4900 W HOLLYWOOD BLVD"/>
    <s v="5+"/>
    <x v="0"/>
    <n v="0"/>
    <n v="0"/>
    <n v="0"/>
    <n v="0"/>
    <n v="0"/>
    <n v="0"/>
    <x v="35"/>
    <n v="0"/>
    <n v="0"/>
    <n v="0"/>
    <n v="0"/>
    <n v="0"/>
    <n v="0"/>
    <n v="0"/>
    <n v="0"/>
    <n v="0"/>
    <n v="0"/>
    <n v="0"/>
    <x v="0"/>
    <n v="55"/>
    <n v="0"/>
  </r>
  <r>
    <x v="45"/>
    <x v="2"/>
    <n v="148170001"/>
    <s v="3010 Del Hombre Walnut Creek, CA"/>
    <s v="5+"/>
    <x v="0"/>
    <n v="12"/>
    <n v="0"/>
    <n v="0"/>
    <n v="0"/>
    <n v="24"/>
    <n v="0"/>
    <x v="0"/>
    <n v="0"/>
    <n v="0"/>
    <n v="0"/>
    <n v="0"/>
    <n v="0"/>
    <n v="0"/>
    <n v="0"/>
    <n v="0"/>
    <n v="0"/>
    <n v="0"/>
    <n v="0"/>
    <x v="0"/>
    <n v="55"/>
    <n v="0"/>
  </r>
  <r>
    <x v="17"/>
    <x v="2"/>
    <s v="402-191-04"/>
    <s v="2112 E First St"/>
    <s v="5+"/>
    <x v="0"/>
    <n v="0"/>
    <n v="0"/>
    <n v="0"/>
    <n v="0"/>
    <n v="0"/>
    <n v="0"/>
    <x v="26"/>
    <n v="0"/>
    <n v="315"/>
    <n v="0"/>
    <n v="0"/>
    <n v="0"/>
    <n v="0"/>
    <n v="0"/>
    <n v="0"/>
    <n v="0"/>
    <n v="0"/>
    <n v="0"/>
    <x v="0"/>
    <n v="55"/>
    <n v="0"/>
  </r>
  <r>
    <x v="54"/>
    <x v="1"/>
    <s v="061430490"/>
    <s v="550 OAK GROVE AVENUE"/>
    <s v="5+"/>
    <x v="0"/>
    <n v="0"/>
    <n v="0"/>
    <n v="0"/>
    <n v="0"/>
    <n v="0"/>
    <n v="0"/>
    <x v="0"/>
    <n v="0"/>
    <n v="0"/>
    <n v="0"/>
    <n v="0"/>
    <n v="0"/>
    <n v="0"/>
    <n v="0"/>
    <n v="14"/>
    <n v="0"/>
    <n v="6"/>
    <n v="0"/>
    <x v="1"/>
    <m/>
    <n v="0"/>
  </r>
  <r>
    <x v="28"/>
    <x v="2"/>
    <s v="012-345-6781"/>
    <s v="126 Rollins Rd."/>
    <s v="5+"/>
    <x v="0"/>
    <n v="0"/>
    <n v="0"/>
    <n v="0"/>
    <n v="0"/>
    <n v="0"/>
    <n v="0"/>
    <x v="0"/>
    <n v="0"/>
    <n v="0"/>
    <n v="0"/>
    <n v="20"/>
    <n v="0"/>
    <n v="0"/>
    <n v="0"/>
    <n v="0"/>
    <n v="0"/>
    <n v="0"/>
    <n v="0"/>
    <x v="1"/>
    <m/>
    <n v="0"/>
  </r>
  <r>
    <x v="57"/>
    <x v="2"/>
    <n v="5210024002"/>
    <s v="1829 HANCOCK ST   N  90031"/>
    <s v="5+"/>
    <x v="0"/>
    <n v="49"/>
    <n v="0"/>
    <n v="4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082026012"/>
    <s v="1141 CRENSHAW BLVD S  90019"/>
    <s v="5+"/>
    <x v="0"/>
    <n v="0"/>
    <n v="0"/>
    <n v="4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442025022"/>
    <s v="2923 ALLESANDRO ST   N  90039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2264016004"/>
    <s v="15027 VENTURA BLVD W  91403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96"/>
    <x v="4"/>
    <s v="300-221-33-00"/>
    <s v="941 Camino del Mar"/>
    <s v="5+"/>
    <x v="1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57"/>
    <x v="2"/>
    <n v="2419017013"/>
    <s v="5120 CAHUENGA BLVD N  91601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6"/>
    <x v="3"/>
    <s v="74-1373-13-39"/>
    <s v="501 MARTIN MARINER AVE"/>
    <s v="5+"/>
    <x v="1"/>
    <n v="0"/>
    <n v="0"/>
    <n v="0"/>
    <n v="0"/>
    <n v="2"/>
    <n v="0"/>
    <x v="0"/>
    <n v="0"/>
    <n v="0"/>
    <n v="0"/>
    <n v="2"/>
    <n v="0"/>
    <n v="0"/>
    <n v="0"/>
    <n v="0"/>
    <n v="0"/>
    <n v="0"/>
    <n v="0"/>
    <x v="0"/>
    <n v="1000"/>
    <n v="20"/>
  </r>
  <r>
    <x v="56"/>
    <x v="3"/>
    <s v="74-1373-13-28"/>
    <s v="2851 CATHWOOD LN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0"/>
    <n v="1000"/>
    <n v="20"/>
  </r>
  <r>
    <x v="127"/>
    <x v="3"/>
    <s v="213-0-090-285"/>
    <s v="2001 Outlet Center Drive"/>
    <s v="5+"/>
    <x v="0"/>
    <n v="36"/>
    <n v="0"/>
    <n v="131"/>
    <n v="0"/>
    <n v="0"/>
    <n v="0"/>
    <x v="0"/>
    <n v="0"/>
    <n v="0"/>
    <n v="0"/>
    <n v="0"/>
    <n v="0"/>
    <n v="0"/>
    <n v="0"/>
    <n v="0"/>
    <n v="0"/>
    <n v="0"/>
    <n v="0"/>
    <x v="0"/>
    <n v="55"/>
    <n v="80"/>
  </r>
  <r>
    <x v="127"/>
    <x v="3"/>
    <s v="202-0-054-075"/>
    <s v="241 W Second Street"/>
    <s v="5+"/>
    <x v="0"/>
    <n v="0"/>
    <n v="0"/>
    <n v="0"/>
    <n v="0"/>
    <n v="0"/>
    <n v="0"/>
    <x v="2"/>
    <n v="0"/>
    <n v="52"/>
    <n v="0"/>
    <n v="0"/>
    <n v="0"/>
    <n v="0"/>
    <n v="0"/>
    <n v="0"/>
    <n v="0"/>
    <n v="0"/>
    <n v="0"/>
    <x v="0"/>
    <m/>
    <n v="0"/>
  </r>
  <r>
    <x v="10"/>
    <x v="4"/>
    <s v="303-17-053"/>
    <s v="1834 Worthington Cir"/>
    <s v="5+"/>
    <x v="0"/>
    <n v="131"/>
    <n v="0"/>
    <n v="32"/>
    <n v="0"/>
    <n v="2"/>
    <n v="0"/>
    <x v="0"/>
    <n v="0"/>
    <n v="0"/>
    <n v="0"/>
    <n v="0"/>
    <n v="0"/>
    <n v="0"/>
    <n v="0"/>
    <n v="0"/>
    <n v="0"/>
    <n v="0"/>
    <n v="0"/>
    <x v="1"/>
    <m/>
    <n v="0"/>
  </r>
  <r>
    <x v="10"/>
    <x v="4"/>
    <s v="097-05-062"/>
    <s v="2323 Calle Del Mundo"/>
    <s v="5+"/>
    <x v="0"/>
    <n v="0"/>
    <n v="0"/>
    <n v="6"/>
    <n v="0"/>
    <n v="28"/>
    <n v="0"/>
    <x v="0"/>
    <n v="0"/>
    <n v="0"/>
    <n v="0"/>
    <n v="0"/>
    <n v="0"/>
    <n v="0"/>
    <n v="0"/>
    <n v="0"/>
    <n v="0"/>
    <n v="0"/>
    <n v="0"/>
    <x v="1"/>
    <m/>
    <n v="0"/>
  </r>
  <r>
    <x v="3"/>
    <x v="5"/>
    <n v="5531003010"/>
    <s v="1155 FULLER AVE"/>
    <s v="5+"/>
    <x v="0"/>
    <n v="0"/>
    <n v="0"/>
    <n v="1"/>
    <n v="0"/>
    <n v="0"/>
    <n v="0"/>
    <x v="0"/>
    <n v="0"/>
    <n v="1"/>
    <n v="0"/>
    <n v="0"/>
    <n v="0"/>
    <n v="0"/>
    <n v="0"/>
    <n v="0"/>
    <n v="0"/>
    <n v="0"/>
    <n v="0"/>
    <x v="0"/>
    <n v="1000"/>
    <n v="0"/>
  </r>
  <r>
    <x v="56"/>
    <x v="2"/>
    <s v="74-1377-1"/>
    <s v="170 CORONADO AVE"/>
    <s v="5+"/>
    <x v="0"/>
    <n v="0"/>
    <n v="0"/>
    <n v="0"/>
    <n v="0"/>
    <n v="0"/>
    <n v="0"/>
    <x v="53"/>
    <n v="0"/>
    <n v="19"/>
    <n v="0"/>
    <n v="0"/>
    <n v="0"/>
    <n v="0"/>
    <n v="0"/>
    <n v="0"/>
    <n v="0"/>
    <n v="0"/>
    <n v="0"/>
    <x v="0"/>
    <n v="50"/>
    <n v="0"/>
  </r>
  <r>
    <x v="64"/>
    <x v="4"/>
    <s v="011-145-005-000"/>
    <s v="300 WASHINGTON BL"/>
    <s v="5+"/>
    <x v="0"/>
    <n v="43"/>
    <n v="0"/>
    <n v="20"/>
    <n v="0"/>
    <n v="0"/>
    <n v="2"/>
    <x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19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1"/>
    <n v="55"/>
    <n v="0"/>
  </r>
  <r>
    <x v="57"/>
    <x v="2"/>
    <n v="5082023002"/>
    <s v="4200 W PICO BLVD"/>
    <s v="5+"/>
    <x v="0"/>
    <n v="0"/>
    <n v="0"/>
    <n v="0"/>
    <n v="0"/>
    <n v="0"/>
    <n v="0"/>
    <x v="51"/>
    <n v="0"/>
    <n v="0"/>
    <n v="0"/>
    <n v="0"/>
    <n v="0"/>
    <n v="0"/>
    <n v="0"/>
    <n v="0"/>
    <n v="0"/>
    <n v="0"/>
    <n v="0"/>
    <x v="0"/>
    <n v="55"/>
    <n v="0"/>
  </r>
  <r>
    <x v="57"/>
    <x v="2"/>
    <n v="5522015010"/>
    <s v="5153 W MAPLEWOOD AVE 1-34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57"/>
    <x v="2"/>
    <n v="5521004020"/>
    <s v="641 N HOBART BLVD #1 - #14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18"/>
    <x v="4"/>
    <s v="233-131-020"/>
    <s v="3235 MT DIABLO CT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2"/>
    <n v="0"/>
    <x v="1"/>
    <n v="45"/>
    <n v="0"/>
  </r>
  <r>
    <x v="85"/>
    <x v="4"/>
    <s v="208-860-166"/>
    <s v="77103 Via Vicenza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0"/>
    <n v="0"/>
  </r>
  <r>
    <x v="149"/>
    <x v="2"/>
    <s v="519 131000504"/>
    <s v="44728 Old Warm Springs Blvd"/>
    <s v="5+"/>
    <x v="0"/>
    <n v="0"/>
    <n v="0"/>
    <n v="0"/>
    <n v="0"/>
    <n v="0"/>
    <n v="0"/>
    <x v="0"/>
    <n v="0"/>
    <n v="0"/>
    <n v="0"/>
    <n v="0"/>
    <n v="0"/>
    <n v="34"/>
    <n v="0"/>
    <n v="68"/>
    <n v="0"/>
    <n v="0"/>
    <n v="0"/>
    <x v="1"/>
    <n v="55"/>
    <n v="0"/>
  </r>
  <r>
    <x v="41"/>
    <x v="4"/>
    <s v="002355007000"/>
    <s v="401 Monterey St C/A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0"/>
  </r>
  <r>
    <x v="41"/>
    <x v="4"/>
    <s v="003131019000"/>
    <s v="40,50, 60 E Rossi St"/>
    <s v="5+"/>
    <x v="0"/>
    <n v="0"/>
    <n v="0"/>
    <n v="0"/>
    <n v="0"/>
    <n v="0"/>
    <n v="0"/>
    <x v="0"/>
    <n v="0"/>
    <n v="0"/>
    <n v="0"/>
    <n v="0"/>
    <n v="0"/>
    <n v="0"/>
    <n v="0"/>
    <n v="49"/>
    <n v="0"/>
    <n v="0"/>
    <n v="0"/>
    <x v="1"/>
    <n v="30"/>
    <n v="0"/>
  </r>
  <r>
    <x v="38"/>
    <x v="2"/>
    <s v="005-041-20"/>
    <s v="1547 PACIFIC AVE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1000"/>
    <n v="0"/>
  </r>
  <r>
    <x v="23"/>
    <x v="0"/>
    <s v="018-850-017"/>
    <s v="13070 Firsh Camp Way_x000a_13058 Fish Camp Way_x000a_13042 Fish Camp Way_x000a_12959 Winter Camp Way_x000a_13051 Sawmill Road_x000a_13033 Sawmill Road"/>
    <s v="5+"/>
    <x v="0"/>
    <n v="0"/>
    <n v="0"/>
    <n v="0"/>
    <n v="0"/>
    <n v="0"/>
    <n v="0"/>
    <x v="0"/>
    <n v="0"/>
    <n v="0"/>
    <n v="0"/>
    <n v="0"/>
    <n v="0"/>
    <n v="24"/>
    <n v="0"/>
    <n v="23"/>
    <n v="0"/>
    <n v="0"/>
    <n v="0"/>
    <x v="1"/>
    <n v="1000"/>
    <n v="0"/>
  </r>
  <r>
    <x v="147"/>
    <x v="0"/>
    <n v="1546102"/>
    <s v="221 AIRPORT BLVD"/>
    <s v="5+"/>
    <x v="1"/>
    <n v="0"/>
    <n v="0"/>
    <n v="4"/>
    <n v="0"/>
    <n v="3"/>
    <n v="0"/>
    <x v="0"/>
    <n v="0"/>
    <n v="4"/>
    <n v="0"/>
    <n v="3"/>
    <n v="0"/>
    <n v="0"/>
    <n v="0"/>
    <n v="0"/>
    <n v="0"/>
    <n v="0"/>
    <n v="0"/>
    <x v="1"/>
    <n v="55"/>
    <n v="0"/>
  </r>
  <r>
    <x v="78"/>
    <x v="2"/>
    <n v="41208065"/>
    <s v="300 RAILWAY AVE"/>
    <s v="5+"/>
    <x v="0"/>
    <n v="0"/>
    <n v="0"/>
    <n v="0"/>
    <n v="0"/>
    <n v="0"/>
    <n v="0"/>
    <x v="0"/>
    <n v="0"/>
    <n v="0"/>
    <n v="0"/>
    <n v="0"/>
    <n v="0"/>
    <n v="7"/>
    <n v="0"/>
    <n v="0"/>
    <n v="0"/>
    <n v="0"/>
    <n v="0"/>
    <x v="0"/>
    <n v="55"/>
    <n v="0"/>
  </r>
  <r>
    <x v="78"/>
    <x v="2"/>
    <n v="41208061"/>
    <s v="200 - 212 MALLEY WY (7 UNITS) BUILDING 1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45"/>
    <n v="0"/>
  </r>
  <r>
    <x v="116"/>
    <x v="2"/>
    <s v="2201000800, see notes"/>
    <s v="340 W MISSION ROAD"/>
    <s v="5+"/>
    <x v="0"/>
    <n v="0"/>
    <n v="0"/>
    <n v="0"/>
    <n v="0"/>
    <n v="0"/>
    <n v="0"/>
    <x v="35"/>
    <n v="0"/>
    <n v="0"/>
    <n v="0"/>
    <n v="0"/>
    <n v="0"/>
    <n v="0"/>
    <n v="0"/>
    <n v="0"/>
    <n v="0"/>
    <n v="0"/>
    <n v="0"/>
    <x v="1"/>
    <n v="55"/>
    <n v="0"/>
  </r>
  <r>
    <x v="116"/>
    <x v="2"/>
    <s v="2201001400, see notes"/>
    <s v="317 RICHMAR AVE"/>
    <s v="5+"/>
    <x v="0"/>
    <n v="0"/>
    <n v="0"/>
    <n v="0"/>
    <n v="0"/>
    <n v="0"/>
    <n v="0"/>
    <x v="21"/>
    <n v="0"/>
    <n v="11"/>
    <n v="0"/>
    <n v="0"/>
    <n v="0"/>
    <n v="0"/>
    <n v="0"/>
    <n v="0"/>
    <n v="0"/>
    <n v="0"/>
    <n v="0"/>
    <x v="1"/>
    <n v="55"/>
    <n v="0"/>
  </r>
  <r>
    <x v="116"/>
    <x v="2"/>
    <s v="2201006700, see notes"/>
    <s v="321 RICHMAR AVE"/>
    <s v="5+"/>
    <x v="0"/>
    <n v="0"/>
    <n v="0"/>
    <n v="0"/>
    <n v="0"/>
    <n v="0"/>
    <n v="0"/>
    <x v="0"/>
    <n v="0"/>
    <n v="23"/>
    <n v="0"/>
    <n v="0"/>
    <n v="0"/>
    <n v="0"/>
    <n v="0"/>
    <n v="0"/>
    <n v="0"/>
    <n v="0"/>
    <n v="0"/>
    <x v="1"/>
    <n v="55"/>
    <n v="0"/>
  </r>
  <r>
    <x v="123"/>
    <x v="0"/>
    <s v="326 27 043"/>
    <s v="21267 STEVENS CREEK BLVD"/>
    <s v="5+"/>
    <x v="0"/>
    <n v="0"/>
    <n v="0"/>
    <n v="0"/>
    <n v="0"/>
    <n v="0"/>
    <n v="0"/>
    <x v="10"/>
    <n v="0"/>
    <n v="14"/>
    <n v="0"/>
    <n v="0"/>
    <n v="0"/>
    <n v="0"/>
    <n v="0"/>
    <n v="0"/>
    <n v="0"/>
    <n v="0"/>
    <n v="0"/>
    <x v="0"/>
    <n v="99"/>
    <s v="9.3000000000000007"/>
  </r>
  <r>
    <x v="0"/>
    <x v="2"/>
    <n v="7269015028"/>
    <s v="200 E. 14th Street"/>
    <s v="5+"/>
    <x v="1"/>
    <n v="0"/>
    <n v="0"/>
    <n v="2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09"/>
    <x v="2"/>
    <s v="561-100-008-3"/>
    <s v="2100 STENMARK DRIVE"/>
    <s v="5+"/>
    <x v="1"/>
    <n v="0"/>
    <n v="0"/>
    <n v="0"/>
    <n v="0"/>
    <n v="67"/>
    <n v="0"/>
    <x v="0"/>
    <n v="0"/>
    <n v="0"/>
    <n v="0"/>
    <n v="0"/>
    <n v="0"/>
    <n v="0"/>
    <n v="0"/>
    <n v="0"/>
    <n v="0"/>
    <n v="0"/>
    <n v="0"/>
    <x v="1"/>
    <m/>
    <n v="0"/>
  </r>
  <r>
    <x v="214"/>
    <x v="4"/>
    <n v="129181120"/>
    <s v="582 ROCKY HILL ROAD"/>
    <s v="5+"/>
    <x v="0"/>
    <n v="0"/>
    <n v="0"/>
    <n v="0"/>
    <n v="0"/>
    <n v="0"/>
    <n v="0"/>
    <x v="0"/>
    <n v="0"/>
    <n v="0"/>
    <n v="0"/>
    <n v="0"/>
    <n v="0"/>
    <n v="0"/>
    <n v="0"/>
    <n v="15"/>
    <n v="0"/>
    <n v="0"/>
    <n v="0"/>
    <x v="0"/>
    <n v="55"/>
    <n v="0"/>
  </r>
  <r>
    <x v="25"/>
    <x v="4"/>
    <n v="8636034"/>
    <s v="2001 Tarob Ct"/>
    <s v="5+"/>
    <x v="1"/>
    <n v="0"/>
    <n v="0"/>
    <n v="0"/>
    <n v="0"/>
    <n v="6"/>
    <n v="0"/>
    <x v="0"/>
    <n v="0"/>
    <n v="0"/>
    <n v="0"/>
    <n v="0"/>
    <n v="0"/>
    <n v="0"/>
    <n v="0"/>
    <n v="0"/>
    <n v="0"/>
    <n v="0"/>
    <n v="0"/>
    <x v="1"/>
    <n v="45"/>
    <n v="0"/>
  </r>
  <r>
    <x v="0"/>
    <x v="1"/>
    <n v="7281005003"/>
    <s v="832 E 5th Street"/>
    <s v="5+"/>
    <x v="0"/>
    <n v="9"/>
    <n v="0"/>
    <n v="0"/>
    <n v="0"/>
    <n v="71"/>
    <n v="0"/>
    <x v="0"/>
    <n v="0"/>
    <n v="0"/>
    <n v="0"/>
    <n v="0"/>
    <n v="0"/>
    <n v="0"/>
    <n v="0"/>
    <n v="0"/>
    <n v="0"/>
    <n v="0"/>
    <n v="0"/>
    <x v="1"/>
    <m/>
    <n v="0"/>
  </r>
  <r>
    <x v="32"/>
    <x v="1"/>
    <n v="4276013030"/>
    <s v="1333 7th St"/>
    <s v="5+"/>
    <x v="0"/>
    <n v="21"/>
    <n v="0"/>
    <n v="17"/>
    <n v="0"/>
    <n v="0"/>
    <n v="0"/>
    <x v="0"/>
    <n v="0"/>
    <n v="0"/>
    <n v="0"/>
    <n v="0"/>
    <n v="0"/>
    <n v="0"/>
    <n v="0"/>
    <n v="0"/>
    <n v="0"/>
    <n v="0"/>
    <n v="0"/>
    <x v="0"/>
    <n v="55"/>
    <n v="26"/>
  </r>
  <r>
    <x v="32"/>
    <x v="1"/>
    <s v="4282-028-018"/>
    <s v="1527 Lincoln Blvd"/>
    <s v="5+"/>
    <x v="0"/>
    <n v="0"/>
    <n v="0"/>
    <n v="0"/>
    <n v="0"/>
    <n v="8"/>
    <n v="0"/>
    <x v="0"/>
    <n v="0"/>
    <n v="0"/>
    <n v="0"/>
    <n v="0"/>
    <n v="0"/>
    <n v="0"/>
    <n v="0"/>
    <n v="0"/>
    <n v="0"/>
    <n v="0"/>
    <n v="0"/>
    <x v="1"/>
    <n v="55"/>
    <n v="0"/>
  </r>
  <r>
    <x v="32"/>
    <x v="1"/>
    <s v="4282-028007-"/>
    <s v="1546  9TH ST"/>
    <s v="5+"/>
    <x v="0"/>
    <n v="0"/>
    <n v="0"/>
    <n v="0"/>
    <n v="0"/>
    <n v="0"/>
    <n v="0"/>
    <x v="0"/>
    <n v="0"/>
    <n v="2"/>
    <n v="0"/>
    <n v="0"/>
    <n v="0"/>
    <n v="0"/>
    <n v="0"/>
    <n v="0"/>
    <n v="0"/>
    <n v="0"/>
    <n v="0"/>
    <x v="1"/>
    <n v="55"/>
    <n v="0"/>
  </r>
  <r>
    <x v="133"/>
    <x v="2"/>
    <n v="6021019013"/>
    <s v="7220 Maie Avenue, Los Angeles CA 90001"/>
    <s v="5+"/>
    <x v="0"/>
    <n v="2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2"/>
    <n v="6076013028"/>
    <s v="11001 S Vermont Avenue, Los Angeles CA 90044"/>
    <s v="5+"/>
    <x v="0"/>
    <n v="0"/>
    <n v="0"/>
    <n v="2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2"/>
    <n v="6009010031"/>
    <s v="1708 E 61st Street_x000a_Los Angeles, CA 90001"/>
    <s v="5+"/>
    <x v="0"/>
    <n v="0"/>
    <n v="0"/>
    <n v="0"/>
    <n v="0"/>
    <n v="0"/>
    <n v="0"/>
    <x v="17"/>
    <n v="0"/>
    <n v="53"/>
    <n v="0"/>
    <n v="0"/>
    <n v="0"/>
    <n v="0"/>
    <n v="0"/>
    <n v="0"/>
    <n v="0"/>
    <n v="0"/>
    <n v="0"/>
    <x v="0"/>
    <n v="55"/>
    <n v="0"/>
  </r>
  <r>
    <x v="215"/>
    <x v="0"/>
    <s v="046031070"/>
    <s v="1325 OLD COUNTY ROAD"/>
    <s v="5+"/>
    <x v="0"/>
    <n v="0"/>
    <n v="0"/>
    <n v="0"/>
    <n v="0"/>
    <n v="0"/>
    <n v="0"/>
    <x v="0"/>
    <n v="0"/>
    <n v="38"/>
    <n v="0"/>
    <n v="0"/>
    <n v="0"/>
    <n v="0"/>
    <n v="0"/>
    <n v="0"/>
    <n v="0"/>
    <n v="0"/>
    <n v="0"/>
    <x v="1"/>
    <n v="99"/>
    <n v="0"/>
  </r>
  <r>
    <x v="46"/>
    <x v="0"/>
    <n v="16741019"/>
    <s v="425 FIRST STREET"/>
    <s v="5+"/>
    <x v="1"/>
    <n v="0"/>
    <n v="0"/>
    <n v="0"/>
    <n v="0"/>
    <n v="0"/>
    <n v="0"/>
    <x v="0"/>
    <n v="0"/>
    <n v="1"/>
    <n v="0"/>
    <n v="2"/>
    <n v="0"/>
    <n v="0"/>
    <n v="0"/>
    <n v="0"/>
    <n v="0"/>
    <n v="0"/>
    <n v="0"/>
    <x v="0"/>
    <n v="55"/>
    <n v="0"/>
  </r>
  <r>
    <x v="32"/>
    <x v="1"/>
    <s v="4276-001-026"/>
    <s v="2501 Wilshire Blvd"/>
    <s v="5+"/>
    <x v="0"/>
    <n v="12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23"/>
    <x v="0"/>
    <s v="326 27 043"/>
    <s v="21267 STEVENS CREEK BLVD"/>
    <s v="5+"/>
    <x v="0"/>
    <n v="0"/>
    <n v="0"/>
    <n v="0"/>
    <n v="0"/>
    <n v="0"/>
    <n v="0"/>
    <x v="14"/>
    <n v="0"/>
    <n v="5"/>
    <n v="0"/>
    <n v="0"/>
    <n v="0"/>
    <n v="0"/>
    <n v="0"/>
    <n v="0"/>
    <n v="0"/>
    <n v="0"/>
    <n v="0"/>
    <x v="0"/>
    <n v="55"/>
    <s v="9.3000000000000007"/>
  </r>
  <r>
    <x v="180"/>
    <x v="4"/>
    <n v="51336140"/>
    <s v="1240 El Camino Real"/>
    <s v="5+"/>
    <x v="1"/>
    <n v="0"/>
    <n v="0"/>
    <n v="0"/>
    <n v="0"/>
    <n v="1"/>
    <n v="0"/>
    <x v="0"/>
    <n v="0"/>
    <n v="0"/>
    <n v="0"/>
    <n v="0"/>
    <n v="0"/>
    <n v="0"/>
    <n v="0"/>
    <n v="0"/>
    <n v="0"/>
    <n v="0"/>
    <n v="0"/>
    <x v="1"/>
    <n v="45"/>
    <n v="0"/>
  </r>
  <r>
    <x v="78"/>
    <x v="2"/>
    <n v="41208061"/>
    <s v="201 - 209 MALLEY WY (5 UNITS) BUILDING 2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45"/>
    <n v="0"/>
  </r>
  <r>
    <x v="57"/>
    <x v="2"/>
    <n v="2654012007"/>
    <s v="8750 SEPULVEDA BLVD N  91343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2565012028"/>
    <s v="10247 HILLHAVEN AVE  N  91042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2"/>
    <n v="5534019011"/>
    <s v="5817 LEXINGTON AVE  W  90038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18"/>
    <x v="3"/>
    <s v="083-090-47S"/>
    <m/>
    <s v="5+"/>
    <x v="0"/>
    <n v="48"/>
    <n v="0"/>
    <n v="32"/>
    <n v="0"/>
    <n v="0"/>
    <n v="0"/>
    <x v="57"/>
    <n v="0"/>
    <n v="32"/>
    <n v="0"/>
    <n v="0"/>
    <n v="0"/>
    <n v="0"/>
    <n v="0"/>
    <n v="0"/>
    <n v="0"/>
    <n v="0"/>
    <n v="0"/>
    <x v="0"/>
    <n v="55"/>
    <n v="0"/>
  </r>
  <r>
    <x v="57"/>
    <x v="2"/>
    <n v="5059003901"/>
    <s v="4347 W ADAMS BLVD"/>
    <s v="5+"/>
    <x v="0"/>
    <n v="0"/>
    <n v="0"/>
    <n v="0"/>
    <n v="0"/>
    <n v="0"/>
    <n v="0"/>
    <x v="12"/>
    <n v="0"/>
    <n v="42"/>
    <n v="0"/>
    <n v="0"/>
    <n v="0"/>
    <n v="0"/>
    <n v="0"/>
    <n v="0"/>
    <n v="0"/>
    <n v="0"/>
    <n v="0"/>
    <x v="0"/>
    <n v="55"/>
    <n v="0"/>
  </r>
  <r>
    <x v="83"/>
    <x v="2"/>
    <s v="029-322-012"/>
    <s v="5802 Traffic Way"/>
    <s v="5+"/>
    <x v="0"/>
    <n v="0"/>
    <n v="0"/>
    <n v="1"/>
    <n v="0"/>
    <n v="0"/>
    <n v="9"/>
    <x v="0"/>
    <n v="0"/>
    <n v="0"/>
    <n v="0"/>
    <n v="0"/>
    <n v="0"/>
    <n v="0"/>
    <n v="0"/>
    <n v="0"/>
    <n v="0"/>
    <n v="0"/>
    <n v="0"/>
    <x v="0"/>
    <n v="55"/>
    <n v="0"/>
  </r>
  <r>
    <x v="147"/>
    <x v="0"/>
    <n v="1824120"/>
    <s v="558 MAIN STREET"/>
    <s v="5+"/>
    <x v="0"/>
    <n v="0"/>
    <n v="1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214"/>
    <x v="4"/>
    <n v="129181120"/>
    <s v="582 ROCKY HILL ROAD"/>
    <s v="5+"/>
    <x v="0"/>
    <n v="0"/>
    <n v="0"/>
    <n v="0"/>
    <n v="0"/>
    <n v="0"/>
    <n v="0"/>
    <x v="0"/>
    <n v="0"/>
    <n v="0"/>
    <n v="0"/>
    <n v="0"/>
    <n v="0"/>
    <n v="0"/>
    <n v="0"/>
    <n v="24"/>
    <n v="0"/>
    <n v="0"/>
    <n v="0"/>
    <x v="0"/>
    <n v="55"/>
    <n v="0"/>
  </r>
  <r>
    <x v="57"/>
    <x v="2"/>
    <n v="5037031023"/>
    <s v="3800 S FIGUEROA ST"/>
    <s v="5+"/>
    <x v="0"/>
    <n v="0"/>
    <n v="0"/>
    <n v="0"/>
    <n v="0"/>
    <n v="0"/>
    <n v="0"/>
    <x v="42"/>
    <n v="0"/>
    <n v="0"/>
    <n v="0"/>
    <n v="0"/>
    <n v="0"/>
    <n v="0"/>
    <n v="0"/>
    <n v="0"/>
    <n v="0"/>
    <n v="0"/>
    <n v="0"/>
    <x v="0"/>
    <n v="55"/>
    <n v="0"/>
  </r>
  <r>
    <x v="57"/>
    <x v="2"/>
    <n v="4240018045"/>
    <s v="718 E ROSE AVE"/>
    <s v="5+"/>
    <x v="0"/>
    <n v="0"/>
    <n v="0"/>
    <n v="0"/>
    <n v="0"/>
    <n v="0"/>
    <n v="0"/>
    <x v="59"/>
    <n v="0"/>
    <n v="0"/>
    <n v="0"/>
    <n v="0"/>
    <n v="0"/>
    <n v="0"/>
    <n v="0"/>
    <n v="0"/>
    <n v="0"/>
    <n v="0"/>
    <n v="0"/>
    <x v="0"/>
    <n v="55"/>
    <n v="0"/>
  </r>
  <r>
    <x v="57"/>
    <x v="2"/>
    <n v="5124034005"/>
    <s v="720 W WASHINGTON BLVD"/>
    <s v="5+"/>
    <x v="0"/>
    <n v="0"/>
    <n v="0"/>
    <n v="0"/>
    <n v="0"/>
    <n v="0"/>
    <n v="0"/>
    <x v="92"/>
    <n v="0"/>
    <n v="0"/>
    <n v="0"/>
    <n v="0"/>
    <n v="0"/>
    <n v="0"/>
    <n v="0"/>
    <n v="0"/>
    <n v="0"/>
    <n v="0"/>
    <n v="0"/>
    <x v="0"/>
    <n v="55"/>
    <n v="0"/>
  </r>
  <r>
    <x v="57"/>
    <x v="2"/>
    <n v="5160009004"/>
    <s v="330 N PATTON ST 1-32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57"/>
    <x v="2"/>
    <n v="5160013039"/>
    <s v="1349 W 1ST ST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0"/>
  </r>
  <r>
    <x v="13"/>
    <x v="4"/>
    <n v="4702301300"/>
    <s v="4949-4999 Baltimore Dr"/>
    <s v="5+"/>
    <x v="0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32"/>
    <x v="3"/>
    <n v="4283013024"/>
    <s v="1413  MICHIGAN AVE"/>
    <s v="5+"/>
    <x v="0"/>
    <n v="0"/>
    <n v="0"/>
    <n v="0"/>
    <n v="0"/>
    <n v="0"/>
    <n v="0"/>
    <x v="65"/>
    <n v="0"/>
    <n v="1"/>
    <n v="0"/>
    <n v="0"/>
    <n v="0"/>
    <n v="0"/>
    <n v="0"/>
    <n v="0"/>
    <n v="0"/>
    <n v="0"/>
    <n v="0"/>
    <x v="1"/>
    <n v="55"/>
    <n v="0"/>
  </r>
  <r>
    <x v="32"/>
    <x v="3"/>
    <s v="4275-025-002"/>
    <s v="1643 20th St"/>
    <s v="5+"/>
    <x v="0"/>
    <n v="0"/>
    <n v="0"/>
    <n v="84"/>
    <n v="0"/>
    <n v="0"/>
    <n v="0"/>
    <x v="0"/>
    <n v="0"/>
    <n v="0"/>
    <n v="0"/>
    <n v="0"/>
    <n v="0"/>
    <n v="0"/>
    <n v="0"/>
    <n v="0"/>
    <n v="0"/>
    <n v="0"/>
    <n v="0"/>
    <x v="0"/>
    <n v="99"/>
    <n v="73"/>
  </r>
  <r>
    <x v="182"/>
    <x v="3"/>
    <n v="38912020"/>
    <s v="18764 COX AV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32.5"/>
  </r>
  <r>
    <x v="18"/>
    <x v="3"/>
    <s v="241-020-036"/>
    <s v="40 Woodbury Highlands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45"/>
    <n v="0"/>
  </r>
  <r>
    <x v="23"/>
    <x v="0"/>
    <s v="019-421-004"/>
    <s v="9848 Donner Pass Road"/>
    <s v="5+"/>
    <x v="0"/>
    <n v="0"/>
    <n v="0"/>
    <n v="0"/>
    <n v="0"/>
    <n v="0"/>
    <n v="0"/>
    <x v="0"/>
    <n v="0"/>
    <n v="0"/>
    <n v="0"/>
    <n v="0"/>
    <n v="0"/>
    <n v="64"/>
    <n v="0"/>
    <n v="12"/>
    <n v="0"/>
    <n v="0"/>
    <n v="0"/>
    <x v="1"/>
    <n v="55"/>
    <n v="0"/>
  </r>
  <r>
    <x v="152"/>
    <x v="3"/>
    <s v="157-970-03"/>
    <s v="705 ROCKVIEW ROAD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1000"/>
    <n v="0"/>
  </r>
  <r>
    <x v="131"/>
    <x v="0"/>
    <s v="053 163300101"/>
    <s v="3000 San Pablo"/>
    <s v="5+"/>
    <x v="0"/>
    <n v="0"/>
    <n v="0"/>
    <n v="0"/>
    <n v="0"/>
    <n v="0"/>
    <n v="0"/>
    <x v="14"/>
    <n v="0"/>
    <n v="0"/>
    <n v="0"/>
    <n v="0"/>
    <n v="0"/>
    <n v="0"/>
    <n v="0"/>
    <n v="0"/>
    <n v="0"/>
    <n v="0"/>
    <n v="0"/>
    <x v="0"/>
    <m/>
    <n v="35"/>
  </r>
  <r>
    <x v="131"/>
    <x v="0"/>
    <s v="052 157408100"/>
    <s v="3031 Telegraph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35"/>
  </r>
  <r>
    <x v="104"/>
    <x v="2"/>
    <s v="790 21 041"/>
    <s v="971 First Street"/>
    <s v="5+"/>
    <x v="0"/>
    <n v="12"/>
    <n v="0"/>
    <n v="117"/>
    <n v="0"/>
    <n v="0"/>
    <n v="1"/>
    <x v="0"/>
    <n v="0"/>
    <n v="0"/>
    <n v="0"/>
    <n v="0"/>
    <n v="0"/>
    <n v="0"/>
    <n v="0"/>
    <n v="0"/>
    <n v="0"/>
    <n v="0"/>
    <n v="0"/>
    <x v="0"/>
    <n v="55"/>
    <n v="0"/>
  </r>
  <r>
    <x v="23"/>
    <x v="4"/>
    <s v="019-420-071"/>
    <s v="10121 Church Street"/>
    <s v="5+"/>
    <x v="0"/>
    <n v="64"/>
    <n v="0"/>
    <n v="12"/>
    <n v="0"/>
    <n v="0"/>
    <n v="0"/>
    <x v="74"/>
    <n v="0"/>
    <n v="12"/>
    <n v="0"/>
    <n v="0"/>
    <n v="0"/>
    <n v="0"/>
    <n v="0"/>
    <n v="0"/>
    <n v="0"/>
    <n v="0"/>
    <n v="0"/>
    <x v="1"/>
    <m/>
    <n v="0"/>
  </r>
  <r>
    <x v="161"/>
    <x v="2"/>
    <s v="011-050-044"/>
    <s v="1855 Lincoln Ave"/>
    <s v="5+"/>
    <x v="0"/>
    <n v="20"/>
    <n v="0"/>
    <n v="30"/>
    <n v="0"/>
    <n v="27"/>
    <n v="0"/>
    <x v="0"/>
    <n v="0"/>
    <n v="0"/>
    <n v="0"/>
    <n v="0"/>
    <n v="0"/>
    <n v="0"/>
    <n v="0"/>
    <n v="0"/>
    <n v="0"/>
    <n v="0"/>
    <n v="0"/>
    <x v="0"/>
    <n v="55"/>
    <n v="0"/>
  </r>
  <r>
    <x v="216"/>
    <x v="2"/>
    <s v="323-231-08"/>
    <s v="18549 ALTRUDY LN, YORBA LINDA, CA"/>
    <s v="5+"/>
    <x v="0"/>
    <n v="0"/>
    <n v="0"/>
    <n v="0"/>
    <n v="0"/>
    <n v="0"/>
    <n v="0"/>
    <x v="0"/>
    <n v="0"/>
    <n v="36"/>
    <n v="0"/>
    <n v="0"/>
    <n v="0"/>
    <n v="0"/>
    <n v="0"/>
    <n v="0"/>
    <n v="0"/>
    <n v="0"/>
    <n v="0"/>
    <x v="0"/>
    <n v="55"/>
    <n v="0"/>
  </r>
  <r>
    <x v="10"/>
    <x v="5"/>
    <s v="269-07-051"/>
    <s v="1368 El Camino Real. Unit 209,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0"/>
    <n v="20"/>
    <n v="0"/>
  </r>
  <r>
    <x v="10"/>
    <x v="5"/>
    <s v="224-77-011"/>
    <s v="1546 Alviso Stree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20"/>
    <n v="0"/>
  </r>
  <r>
    <x v="10"/>
    <x v="5"/>
    <s v="224-77-018"/>
    <s v="1578 Pratt Plac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20"/>
    <n v="0"/>
  </r>
  <r>
    <x v="71"/>
    <x v="4"/>
    <s v="4312-028-025"/>
    <s v="3434 Wesley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25"/>
    <x v="2"/>
    <n v="2606009"/>
    <s v="1724 SUNNYHILLS DR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24"/>
    <x v="2"/>
    <s v="2453-031-022"/>
    <s v="624 South San Fernando Blvd"/>
    <s v="5+"/>
    <x v="0"/>
    <n v="4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7"/>
    <x v="3"/>
    <s v="108-253-21"/>
    <s v="830 S Harbor Blvd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24"/>
    <x v="5"/>
    <s v="5621-021-013"/>
    <s v="610-615 E CEDAR AVE"/>
    <s v="5+"/>
    <x v="0"/>
    <n v="0"/>
    <n v="0"/>
    <n v="8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1"/>
    <x v="4"/>
    <n v="7361003"/>
    <s v="109 Ellis Street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80"/>
    <x v="4"/>
    <n v="50123170"/>
    <s v="1525 San Carlos Ave"/>
    <s v="5+"/>
    <x v="1"/>
    <n v="0"/>
    <n v="0"/>
    <n v="1"/>
    <n v="0"/>
    <n v="2"/>
    <n v="0"/>
    <x v="0"/>
    <n v="0"/>
    <n v="1"/>
    <n v="0"/>
    <n v="2"/>
    <n v="0"/>
    <n v="0"/>
    <n v="0"/>
    <n v="0"/>
    <n v="0"/>
    <n v="0"/>
    <n v="0"/>
    <x v="1"/>
    <n v="45"/>
    <n v="0"/>
  </r>
  <r>
    <x v="197"/>
    <x v="0"/>
    <n v="3171521400"/>
    <s v="12341 Oak Knoll Road"/>
    <s v="5+"/>
    <x v="1"/>
    <n v="0"/>
    <n v="0"/>
    <n v="0"/>
    <n v="0"/>
    <n v="0"/>
    <n v="0"/>
    <x v="0"/>
    <n v="0"/>
    <n v="0"/>
    <n v="0"/>
    <n v="0"/>
    <n v="0"/>
    <n v="33"/>
    <n v="0"/>
    <n v="20"/>
    <n v="0"/>
    <n v="0"/>
    <n v="0"/>
    <x v="1"/>
    <n v="57"/>
    <n v="0"/>
  </r>
  <r>
    <x v="83"/>
    <x v="0"/>
    <s v="030-271-019"/>
    <s v="5880 ARDILLA RD"/>
    <s v="5+"/>
    <x v="0"/>
    <n v="0"/>
    <n v="0"/>
    <n v="32"/>
    <n v="0"/>
    <n v="0"/>
    <n v="0"/>
    <x v="0"/>
    <n v="0"/>
    <n v="0"/>
    <n v="0"/>
    <n v="0"/>
    <n v="0"/>
    <n v="0"/>
    <n v="0"/>
    <n v="0"/>
    <n v="0"/>
    <n v="0"/>
    <n v="0"/>
    <x v="0"/>
    <n v="55"/>
    <n v="18"/>
  </r>
  <r>
    <x v="30"/>
    <x v="3"/>
    <s v="3018-014-074"/>
    <s v="38533 25th Street East"/>
    <s v="5+"/>
    <x v="0"/>
    <n v="0"/>
    <n v="0"/>
    <n v="7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8"/>
    <x v="4"/>
    <s v="233-032-020"/>
    <s v="3408 Mt Diablo Blvd"/>
    <s v="5+"/>
    <x v="1"/>
    <n v="0"/>
    <n v="0"/>
    <n v="0"/>
    <n v="0"/>
    <n v="2"/>
    <n v="0"/>
    <x v="0"/>
    <n v="0"/>
    <n v="0"/>
    <n v="0"/>
    <n v="0"/>
    <n v="0"/>
    <n v="0"/>
    <n v="0"/>
    <n v="0"/>
    <n v="0"/>
    <n v="0"/>
    <n v="0"/>
    <x v="1"/>
    <n v="45"/>
    <n v="0"/>
  </r>
  <r>
    <x v="98"/>
    <x v="4"/>
    <s v="008-072-008,  008-072-009"/>
    <s v="3115 Pine St"/>
    <s v="5+"/>
    <x v="0"/>
    <n v="0"/>
    <n v="0"/>
    <n v="0"/>
    <n v="0"/>
    <n v="0"/>
    <n v="0"/>
    <x v="0"/>
    <n v="0"/>
    <n v="0"/>
    <n v="0"/>
    <n v="0"/>
    <n v="0"/>
    <n v="3"/>
    <n v="0"/>
    <n v="1"/>
    <n v="0"/>
    <n v="0"/>
    <n v="0"/>
    <x v="0"/>
    <m/>
    <n v="0"/>
  </r>
  <r>
    <x v="98"/>
    <x v="4"/>
    <s v="008-072-008,  008-072-009"/>
    <s v="805 32nd St"/>
    <s v="5+"/>
    <x v="0"/>
    <n v="0"/>
    <n v="0"/>
    <n v="0"/>
    <n v="0"/>
    <n v="0"/>
    <n v="0"/>
    <x v="0"/>
    <n v="0"/>
    <n v="0"/>
    <n v="0"/>
    <n v="0"/>
    <n v="0"/>
    <n v="3"/>
    <n v="0"/>
    <n v="1"/>
    <n v="0"/>
    <n v="0"/>
    <n v="0"/>
    <x v="0"/>
    <m/>
    <n v="0"/>
  </r>
  <r>
    <x v="191"/>
    <x v="3"/>
    <n v="416120029"/>
    <s v="2364 Road 20"/>
    <s v="5+"/>
    <x v="0"/>
    <n v="6"/>
    <n v="0"/>
    <n v="0"/>
    <n v="0"/>
    <n v="0"/>
    <n v="8"/>
    <x v="0"/>
    <n v="0"/>
    <n v="0"/>
    <n v="0"/>
    <n v="0"/>
    <n v="0"/>
    <n v="0"/>
    <n v="0"/>
    <n v="0"/>
    <n v="0"/>
    <n v="0"/>
    <n v="0"/>
    <x v="0"/>
    <m/>
    <n v="32.5"/>
  </r>
  <r>
    <x v="217"/>
    <x v="3"/>
    <s v="117-040-053"/>
    <s v="1398 S. Foothill Blvd"/>
    <s v="5+"/>
    <x v="0"/>
    <n v="0"/>
    <n v="0"/>
    <n v="0"/>
    <n v="0"/>
    <n v="0"/>
    <n v="0"/>
    <x v="1"/>
    <n v="0"/>
    <n v="25"/>
    <n v="0"/>
    <n v="0"/>
    <n v="0"/>
    <n v="0"/>
    <n v="0"/>
    <n v="0"/>
    <n v="0"/>
    <n v="0"/>
    <n v="0"/>
    <x v="0"/>
    <n v="55"/>
    <n v="31"/>
  </r>
  <r>
    <x v="168"/>
    <x v="3"/>
    <n v="16040105000"/>
    <s v="2557 RIVER OAKS BLVD #110"/>
    <s v="5+"/>
    <x v="0"/>
    <n v="0"/>
    <n v="0"/>
    <n v="12"/>
    <n v="0"/>
    <n v="0"/>
    <n v="0"/>
    <x v="0"/>
    <n v="0"/>
    <n v="12"/>
    <n v="0"/>
    <n v="0"/>
    <n v="0"/>
    <n v="0"/>
    <n v="0"/>
    <n v="0"/>
    <n v="0"/>
    <n v="0"/>
    <n v="0"/>
    <x v="0"/>
    <n v="55"/>
    <n v="0"/>
  </r>
  <r>
    <x v="85"/>
    <x v="1"/>
    <s v="214-010-125"/>
    <s v="1216 Azure Ct.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5"/>
    <n v="0"/>
  </r>
  <r>
    <x v="85"/>
    <x v="1"/>
    <s v="214-010-033"/>
    <s v="1612 Cinnabar Ct.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211"/>
    <x v="0"/>
    <s v="09725106, 09725107"/>
    <s v="13361 YOCKEY ST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18"/>
    <x v="1"/>
    <s v="067-040-29-00-4"/>
    <s v="400 W MOJAVE VIEW"/>
    <s v="5+"/>
    <x v="0"/>
    <n v="0"/>
    <n v="0"/>
    <n v="0"/>
    <n v="0"/>
    <n v="0"/>
    <n v="0"/>
    <x v="0"/>
    <n v="0"/>
    <n v="0"/>
    <n v="0"/>
    <n v="0"/>
    <n v="0"/>
    <n v="0"/>
    <n v="50"/>
    <n v="0"/>
    <n v="25"/>
    <n v="0"/>
    <n v="1"/>
    <x v="0"/>
    <n v="55"/>
    <n v="2"/>
  </r>
  <r>
    <x v="120"/>
    <x v="1"/>
    <s v="435-14239-"/>
    <s v="17861 CARTWRIGHT RD"/>
    <s v="5+"/>
    <x v="0"/>
    <n v="0"/>
    <n v="0"/>
    <n v="0"/>
    <n v="0"/>
    <n v="0"/>
    <n v="0"/>
    <x v="11"/>
    <n v="0"/>
    <n v="31"/>
    <n v="0"/>
    <n v="13"/>
    <n v="0"/>
    <n v="0"/>
    <n v="0"/>
    <n v="0"/>
    <n v="0"/>
    <n v="0"/>
    <n v="0"/>
    <x v="0"/>
    <n v="1000"/>
    <n v="35"/>
  </r>
  <r>
    <x v="120"/>
    <x v="1"/>
    <s v="435-22107-"/>
    <s v="1100 Steely"/>
    <s v="5+"/>
    <x v="0"/>
    <n v="0"/>
    <n v="0"/>
    <n v="0"/>
    <n v="0"/>
    <n v="0"/>
    <n v="0"/>
    <x v="0"/>
    <n v="0"/>
    <n v="0"/>
    <n v="0"/>
    <n v="0"/>
    <n v="0"/>
    <n v="22"/>
    <n v="0"/>
    <n v="0"/>
    <n v="0"/>
    <n v="14"/>
    <n v="0"/>
    <x v="0"/>
    <n v="55"/>
    <n v="25"/>
  </r>
  <r>
    <x v="10"/>
    <x v="1"/>
    <s v="290-24-071"/>
    <s v="3131 HOMESTEAD RD, SANTA CLARA, CA 95051"/>
    <s v="5+"/>
    <x v="0"/>
    <n v="0"/>
    <n v="0"/>
    <n v="0"/>
    <n v="0"/>
    <n v="0"/>
    <n v="0"/>
    <x v="0"/>
    <n v="0"/>
    <n v="3"/>
    <n v="0"/>
    <n v="8"/>
    <n v="0"/>
    <n v="0"/>
    <n v="0"/>
    <n v="0"/>
    <n v="0"/>
    <n v="0"/>
    <n v="0"/>
    <x v="1"/>
    <n v="55"/>
    <n v="0"/>
  </r>
  <r>
    <x v="44"/>
    <x v="1"/>
    <s v="277-18-021"/>
    <s v="1520 W San Carlos St."/>
    <s v="5+"/>
    <x v="0"/>
    <n v="13"/>
    <n v="0"/>
    <n v="13"/>
    <n v="0"/>
    <n v="25"/>
    <n v="0"/>
    <x v="0"/>
    <n v="0"/>
    <n v="0"/>
    <n v="0"/>
    <n v="0"/>
    <n v="0"/>
    <n v="0"/>
    <n v="0"/>
    <n v="0"/>
    <n v="0"/>
    <n v="0"/>
    <n v="0"/>
    <x v="1"/>
    <n v="99"/>
    <n v="0"/>
  </r>
  <r>
    <x v="44"/>
    <x v="1"/>
    <s v="249-66-040"/>
    <s v="1298 Tripp Ave."/>
    <s v="5+"/>
    <x v="0"/>
    <n v="0"/>
    <n v="0"/>
    <n v="186"/>
    <n v="0"/>
    <n v="47"/>
    <n v="0"/>
    <x v="0"/>
    <n v="0"/>
    <n v="0"/>
    <n v="0"/>
    <n v="0"/>
    <n v="0"/>
    <n v="0"/>
    <n v="0"/>
    <n v="0"/>
    <n v="0"/>
    <n v="0"/>
    <n v="0"/>
    <x v="0"/>
    <m/>
    <n v="500"/>
  </r>
  <r>
    <x v="44"/>
    <x v="1"/>
    <n v="28805045"/>
    <s v="2350 S BASCOM AV  , SAN JOSE CA 95128-0000"/>
    <s v="5+"/>
    <x v="0"/>
    <n v="0"/>
    <n v="0"/>
    <n v="0"/>
    <n v="0"/>
    <n v="0"/>
    <n v="0"/>
    <x v="4"/>
    <n v="0"/>
    <n v="71"/>
    <n v="0"/>
    <n v="25"/>
    <n v="0"/>
    <n v="0"/>
    <n v="0"/>
    <n v="0"/>
    <n v="0"/>
    <n v="0"/>
    <n v="0"/>
    <x v="0"/>
    <n v="55"/>
    <n v="0"/>
  </r>
  <r>
    <x v="44"/>
    <x v="1"/>
    <n v="47212086"/>
    <s v="585  KEYES ST  , SAN JOSE CA 95112"/>
    <s v="5+"/>
    <x v="0"/>
    <n v="0"/>
    <n v="0"/>
    <n v="0"/>
    <n v="0"/>
    <n v="0"/>
    <n v="0"/>
    <x v="93"/>
    <n v="0"/>
    <n v="0"/>
    <n v="0"/>
    <n v="0"/>
    <n v="0"/>
    <n v="0"/>
    <n v="0"/>
    <n v="0"/>
    <n v="0"/>
    <n v="0"/>
    <n v="0"/>
    <x v="0"/>
    <n v="60"/>
    <n v="26"/>
  </r>
  <r>
    <x v="168"/>
    <x v="3"/>
    <n v="16040105000"/>
    <s v="2557 RIVER OAKS BLVD #100"/>
    <s v="5+"/>
    <x v="0"/>
    <n v="0"/>
    <n v="0"/>
    <n v="8"/>
    <n v="0"/>
    <n v="0"/>
    <n v="0"/>
    <x v="0"/>
    <n v="0"/>
    <n v="8"/>
    <n v="0"/>
    <n v="0"/>
    <n v="0"/>
    <n v="0"/>
    <n v="0"/>
    <n v="0"/>
    <n v="0"/>
    <n v="0"/>
    <n v="0"/>
    <x v="0"/>
    <n v="55"/>
    <n v="0"/>
  </r>
  <r>
    <x v="194"/>
    <x v="0"/>
    <n v="504140015"/>
    <s v="6501 FAIRMOUNT AVE"/>
    <s v="5+"/>
    <x v="1"/>
    <n v="0"/>
    <n v="0"/>
    <n v="0"/>
    <n v="0"/>
    <n v="5"/>
    <n v="0"/>
    <x v="0"/>
    <n v="0"/>
    <n v="0"/>
    <n v="0"/>
    <n v="0"/>
    <n v="0"/>
    <n v="0"/>
    <n v="0"/>
    <n v="0"/>
    <n v="0"/>
    <n v="0"/>
    <n v="0"/>
    <x v="1"/>
    <m/>
    <n v="0"/>
  </r>
  <r>
    <x v="219"/>
    <x v="1"/>
    <n v="646070016"/>
    <m/>
    <s v="5+"/>
    <x v="0"/>
    <n v="0"/>
    <n v="0"/>
    <n v="0"/>
    <n v="0"/>
    <n v="74"/>
    <n v="0"/>
    <x v="0"/>
    <n v="0"/>
    <n v="0"/>
    <n v="0"/>
    <n v="0"/>
    <n v="0"/>
    <n v="0"/>
    <n v="0"/>
    <n v="0"/>
    <n v="0"/>
    <n v="0"/>
    <n v="0"/>
    <x v="0"/>
    <n v="55"/>
    <n v="50"/>
  </r>
  <r>
    <x v="215"/>
    <x v="1"/>
    <s v="045163070"/>
    <s v="900 EL CAMINO REAL"/>
    <s v="5+"/>
    <x v="0"/>
    <n v="22"/>
    <n v="0"/>
    <n v="14"/>
    <n v="0"/>
    <n v="0"/>
    <n v="0"/>
    <x v="0"/>
    <n v="0"/>
    <n v="0"/>
    <n v="0"/>
    <n v="0"/>
    <n v="0"/>
    <n v="0"/>
    <n v="0"/>
    <n v="0"/>
    <n v="0"/>
    <n v="0"/>
    <n v="0"/>
    <x v="0"/>
    <n v="55"/>
    <n v="61"/>
  </r>
  <r>
    <x v="1"/>
    <x v="4"/>
    <s v="051-0640-047-0000"/>
    <s v="0 STOCKTON BL, SACRAMENTO, CA 95823"/>
    <s v="5+"/>
    <x v="0"/>
    <n v="75"/>
    <n v="0"/>
    <n v="50"/>
    <n v="0"/>
    <n v="0"/>
    <n v="2"/>
    <x v="0"/>
    <n v="0"/>
    <n v="0"/>
    <n v="0"/>
    <n v="0"/>
    <n v="0"/>
    <n v="0"/>
    <n v="0"/>
    <n v="0"/>
    <n v="0"/>
    <n v="0"/>
    <n v="0"/>
    <x v="0"/>
    <m/>
    <n v="0"/>
  </r>
  <r>
    <x v="91"/>
    <x v="3"/>
    <s v="161-052-02-00"/>
    <s v="1559 N. Santa Fe Ave.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22.5"/>
  </r>
  <r>
    <x v="174"/>
    <x v="0"/>
    <s v="244-361-03"/>
    <s v="4662 Lincoln Ave."/>
    <s v="5+"/>
    <x v="0"/>
    <n v="3"/>
    <n v="0"/>
    <n v="0"/>
    <n v="0"/>
    <n v="0"/>
    <n v="0"/>
    <x v="2"/>
    <n v="0"/>
    <n v="0"/>
    <n v="0"/>
    <n v="0"/>
    <n v="0"/>
    <n v="3"/>
    <n v="0"/>
    <n v="0"/>
    <n v="0"/>
    <n v="0"/>
    <n v="0"/>
    <x v="0"/>
    <n v="55"/>
    <n v="15"/>
  </r>
  <r>
    <x v="214"/>
    <x v="5"/>
    <n v="129181120"/>
    <s v="582 ROCKY HILL ROAD"/>
    <s v="5+"/>
    <x v="0"/>
    <n v="0"/>
    <n v="0"/>
    <n v="0"/>
    <n v="0"/>
    <n v="0"/>
    <n v="0"/>
    <x v="89"/>
    <n v="0"/>
    <n v="24"/>
    <n v="0"/>
    <n v="0"/>
    <n v="1"/>
    <n v="0"/>
    <n v="0"/>
    <n v="0"/>
    <n v="0"/>
    <n v="0"/>
    <n v="0"/>
    <x v="0"/>
    <m/>
    <n v="0"/>
  </r>
  <r>
    <x v="220"/>
    <x v="5"/>
    <s v="038-260-059"/>
    <s v="801 S Corcoran BLD 2B"/>
    <s v="5+"/>
    <x v="0"/>
    <n v="0"/>
    <n v="0"/>
    <n v="0"/>
    <n v="0"/>
    <n v="0"/>
    <n v="0"/>
    <x v="0"/>
    <n v="0"/>
    <n v="8"/>
    <n v="0"/>
    <n v="0"/>
    <n v="0"/>
    <n v="0"/>
    <n v="0"/>
    <n v="0"/>
    <n v="0"/>
    <n v="0"/>
    <n v="0"/>
    <x v="1"/>
    <n v="30"/>
    <n v="0"/>
  </r>
  <r>
    <x v="4"/>
    <x v="4"/>
    <s v="001-114-034"/>
    <s v="1121 Montalban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"/>
    <x v="4"/>
    <s v="004-705-020"/>
    <s v="3530 Ranch House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4"/>
    <x v="4"/>
    <s v="004-705-002"/>
    <s v="3570 Ranch House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4"/>
    <x v="4"/>
    <s v="053-222-007"/>
    <s v="793 Orcutt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5"/>
    <n v="0"/>
  </r>
  <r>
    <x v="4"/>
    <x v="4"/>
    <s v="053-222-007"/>
    <s v="799 Orcutt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5"/>
    <n v="0"/>
  </r>
  <r>
    <x v="139"/>
    <x v="0"/>
    <s v="127-070-012"/>
    <s v="175 west Verano Avenue, Sonoma, CA"/>
    <s v="5+"/>
    <x v="0"/>
    <n v="11"/>
    <n v="0"/>
    <n v="60"/>
    <n v="0"/>
    <n v="0"/>
    <n v="0"/>
    <x v="0"/>
    <n v="0"/>
    <n v="0"/>
    <n v="0"/>
    <n v="0"/>
    <n v="0"/>
    <n v="0"/>
    <n v="0"/>
    <n v="0"/>
    <n v="0"/>
    <n v="0"/>
    <n v="0"/>
    <x v="0"/>
    <m/>
    <n v="10"/>
  </r>
  <r>
    <x v="185"/>
    <x v="2"/>
    <s v="031-292-063-000"/>
    <s v="16238 EAST GARRISON DR, EAST GARRISON, CA 93933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45"/>
    <n v="0"/>
  </r>
  <r>
    <x v="147"/>
    <x v="2"/>
    <s v="016-101-55"/>
    <s v="1205 FREEDOM BLVD."/>
    <s v="5+"/>
    <x v="1"/>
    <n v="1"/>
    <n v="0"/>
    <n v="1"/>
    <n v="0"/>
    <n v="0"/>
    <n v="0"/>
    <x v="3"/>
    <n v="0"/>
    <n v="1"/>
    <n v="0"/>
    <n v="0"/>
    <n v="0"/>
    <n v="1"/>
    <n v="0"/>
    <n v="1"/>
    <n v="0"/>
    <n v="0"/>
    <n v="0"/>
    <x v="1"/>
    <m/>
    <n v="0"/>
  </r>
  <r>
    <x v="159"/>
    <x v="2"/>
    <s v="5726-018-038"/>
    <s v="735 N Orange Grove Blvd"/>
    <s v="5+"/>
    <x v="1"/>
    <n v="0"/>
    <n v="0"/>
    <n v="0"/>
    <n v="0"/>
    <n v="0"/>
    <n v="0"/>
    <x v="0"/>
    <n v="0"/>
    <n v="18"/>
    <n v="0"/>
    <n v="17"/>
    <n v="0"/>
    <n v="0"/>
    <n v="0"/>
    <n v="0"/>
    <n v="0"/>
    <n v="0"/>
    <n v="0"/>
    <x v="1"/>
    <n v="1000"/>
    <n v="0"/>
  </r>
  <r>
    <x v="159"/>
    <x v="2"/>
    <s v="5723-028-033"/>
    <s v="88 N Oakland Ave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1"/>
    <n v="1000"/>
    <n v="0"/>
  </r>
  <r>
    <x v="23"/>
    <x v="0"/>
    <s v="019-410-046"/>
    <s v="11200 Rue Ivy"/>
    <s v="5+"/>
    <x v="0"/>
    <n v="33"/>
    <n v="0"/>
    <n v="34"/>
    <n v="0"/>
    <n v="0"/>
    <n v="0"/>
    <x v="86"/>
    <n v="0"/>
    <n v="34"/>
    <n v="0"/>
    <n v="0"/>
    <n v="0"/>
    <n v="0"/>
    <n v="0"/>
    <n v="0"/>
    <n v="0"/>
    <n v="0"/>
    <n v="0"/>
    <x v="0"/>
    <n v="1000"/>
    <n v="40"/>
  </r>
  <r>
    <x v="23"/>
    <x v="0"/>
    <s v="019-700-006"/>
    <s v="10969 Industrial Way"/>
    <s v="5+"/>
    <x v="0"/>
    <n v="0"/>
    <n v="0"/>
    <n v="1"/>
    <n v="0"/>
    <n v="0"/>
    <n v="2"/>
    <x v="0"/>
    <n v="0"/>
    <n v="0"/>
    <n v="0"/>
    <n v="0"/>
    <n v="0"/>
    <n v="0"/>
    <n v="0"/>
    <n v="0"/>
    <n v="0"/>
    <n v="0"/>
    <n v="0"/>
    <x v="1"/>
    <m/>
    <n v="0"/>
  </r>
  <r>
    <x v="78"/>
    <x v="0"/>
    <n v="41208061"/>
    <s v="201 - 209 MALLEY WY (5 UNITS) BUILDING 2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45"/>
    <n v="0"/>
  </r>
  <r>
    <x v="17"/>
    <x v="0"/>
    <s v="402-181-11"/>
    <s v="2222 E First St"/>
    <s v="5+"/>
    <x v="0"/>
    <n v="0"/>
    <n v="0"/>
    <n v="0"/>
    <n v="0"/>
    <n v="0"/>
    <n v="0"/>
    <x v="0"/>
    <n v="0"/>
    <n v="0"/>
    <n v="0"/>
    <n v="0"/>
    <n v="0"/>
    <n v="42"/>
    <n v="0"/>
    <n v="375"/>
    <n v="0"/>
    <n v="0"/>
    <n v="0"/>
    <x v="0"/>
    <n v="55"/>
    <n v="55"/>
  </r>
  <r>
    <x v="31"/>
    <x v="5"/>
    <n v="11011088"/>
    <s v="160  PERSIAN DR"/>
    <s v="5+"/>
    <x v="1"/>
    <n v="0"/>
    <n v="0"/>
    <n v="0"/>
    <n v="0"/>
    <n v="2"/>
    <n v="0"/>
    <x v="0"/>
    <n v="0"/>
    <n v="0"/>
    <n v="0"/>
    <n v="0"/>
    <n v="0"/>
    <n v="0"/>
    <n v="0"/>
    <n v="0"/>
    <n v="0"/>
    <n v="0"/>
    <n v="0"/>
    <x v="1"/>
    <n v="30"/>
    <n v="0"/>
  </r>
  <r>
    <x v="31"/>
    <x v="5"/>
    <n v="-3662"/>
    <s v="561  SAN PASQUAL TR 3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3666"/>
    <s v="905  DE GUIGNE DR 2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3681"/>
    <s v="919  DELANO TR 4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3694"/>
    <s v="927  DELANO TR 3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3725"/>
    <s v="815  COTATI TR 6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3821"/>
    <s v="814  COTATI TR 5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3911"/>
    <s v="855  DE GUIGNE DR 2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3919"/>
    <s v="840  JULIAN TR 2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20564072"/>
    <s v="810  GRIDLEY TR 2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1"/>
    <n v="0"/>
    <x v="1"/>
    <n v="30"/>
    <n v="0"/>
  </r>
  <r>
    <x v="31"/>
    <x v="5"/>
    <n v="20908061"/>
    <s v="175  JEFFREY TR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908078"/>
    <s v="785 E EVELYN AV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34"/>
    <s v="540  SAN MARCOS TR 2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70"/>
    <s v="835  COTATI TR 8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83"/>
    <x v="0"/>
    <s v="030-461-012"/>
    <s v="10205 EL CAMINO REAL"/>
    <s v="5+"/>
    <x v="0"/>
    <n v="0"/>
    <n v="0"/>
    <n v="2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12"/>
    <x v="2"/>
    <s v="182520088¬†"/>
    <s v="600 Acacia Lane"/>
    <s v="5+"/>
    <x v="0"/>
    <n v="0"/>
    <n v="0"/>
    <n v="0"/>
    <n v="26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83"/>
    <x v="0"/>
    <s v="029-322-012"/>
    <s v="5802 TRAFFIC WAY"/>
    <s v="5+"/>
    <x v="0"/>
    <n v="0"/>
    <n v="0"/>
    <n v="0"/>
    <n v="0"/>
    <n v="0"/>
    <n v="0"/>
    <x v="0"/>
    <n v="0"/>
    <n v="1"/>
    <n v="0"/>
    <n v="0"/>
    <n v="9"/>
    <n v="0"/>
    <n v="0"/>
    <n v="0"/>
    <n v="0"/>
    <n v="0"/>
    <n v="0"/>
    <x v="0"/>
    <m/>
    <n v="11"/>
  </r>
  <r>
    <x v="23"/>
    <x v="2"/>
    <s v="019-420-090"/>
    <s v="10470 E Jibboom Street"/>
    <s v="5+"/>
    <x v="0"/>
    <n v="0"/>
    <n v="0"/>
    <n v="6"/>
    <n v="0"/>
    <n v="0"/>
    <n v="0"/>
    <x v="0"/>
    <n v="0"/>
    <n v="6"/>
    <n v="0"/>
    <n v="0"/>
    <n v="0"/>
    <n v="0"/>
    <n v="0"/>
    <n v="6"/>
    <n v="0"/>
    <n v="0"/>
    <n v="0"/>
    <x v="1"/>
    <n v="1000"/>
    <n v="0"/>
  </r>
  <r>
    <x v="56"/>
    <x v="3"/>
    <s v="74-1373-01-21"/>
    <s v="400 PAWNEE LN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1"/>
    <n v="0"/>
    <x v="0"/>
    <n v="1000"/>
    <n v="20"/>
  </r>
  <r>
    <x v="56"/>
    <x v="3"/>
    <s v="74-1373-10-26"/>
    <s v="2850 CRUSADER ST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0"/>
    <n v="1000"/>
    <n v="20"/>
  </r>
  <r>
    <x v="85"/>
    <x v="4"/>
    <s v="280-860-013"/>
    <s v="73106 Via Vicenza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0"/>
    <n v="0"/>
  </r>
  <r>
    <x v="85"/>
    <x v="4"/>
    <n v="222270047"/>
    <s v="17115 Bollinger Canyon Rd."/>
    <s v="5+"/>
    <x v="0"/>
    <n v="0"/>
    <n v="0"/>
    <n v="0"/>
    <n v="0"/>
    <n v="0"/>
    <n v="0"/>
    <x v="0"/>
    <n v="0"/>
    <n v="0"/>
    <n v="0"/>
    <n v="0"/>
    <n v="0"/>
    <n v="9"/>
    <n v="0"/>
    <n v="36"/>
    <n v="0"/>
    <n v="72"/>
    <n v="0"/>
    <x v="1"/>
    <n v="20"/>
    <n v="0"/>
  </r>
  <r>
    <x v="85"/>
    <x v="4"/>
    <s v="280-860-009"/>
    <s v="32108 Via Vicenza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0"/>
    <n v="0"/>
  </r>
  <r>
    <x v="202"/>
    <x v="3"/>
    <s v="562-072-03"/>
    <s v="129 National City Blvd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35"/>
  </r>
  <r>
    <x v="217"/>
    <x v="2"/>
    <s v="117-040-053 &amp; 117-040-084"/>
    <s v="28195 Old Redwood Hwy"/>
    <s v="5+"/>
    <x v="0"/>
    <n v="34"/>
    <n v="0"/>
    <n v="13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74"/>
    <x v="0"/>
    <n v="37529114"/>
    <s v="525 W STRUCK AVE BLDG. A"/>
    <s v="5+"/>
    <x v="0"/>
    <n v="0"/>
    <n v="0"/>
    <n v="34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79"/>
    <x v="5"/>
    <s v="033-101-160"/>
    <s v="220 N BAYSHORE Blvd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45"/>
    <n v="0"/>
  </r>
  <r>
    <x v="79"/>
    <x v="5"/>
    <s v="035200180"/>
    <s v="1750 S Delaware St"/>
    <s v="5+"/>
    <x v="0"/>
    <n v="0"/>
    <n v="0"/>
    <n v="0"/>
    <n v="0"/>
    <n v="0"/>
    <n v="0"/>
    <x v="0"/>
    <n v="0"/>
    <n v="0"/>
    <n v="0"/>
    <n v="0"/>
    <n v="0"/>
    <n v="12"/>
    <n v="0"/>
    <n v="0"/>
    <n v="0"/>
    <n v="0"/>
    <n v="0"/>
    <x v="1"/>
    <n v="1000"/>
    <n v="0"/>
  </r>
  <r>
    <x v="79"/>
    <x v="5"/>
    <n v="35200120"/>
    <s v="1650 S. DELAWARE ST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221"/>
    <x v="5"/>
    <n v="8377020021"/>
    <s v="2363-2379 First Street"/>
    <s v="5+"/>
    <x v="0"/>
    <n v="2"/>
    <n v="0"/>
    <n v="0"/>
    <n v="0"/>
    <n v="4"/>
    <n v="0"/>
    <x v="17"/>
    <n v="0"/>
    <n v="0"/>
    <n v="0"/>
    <n v="4"/>
    <n v="0"/>
    <n v="0"/>
    <n v="0"/>
    <n v="0"/>
    <n v="0"/>
    <n v="0"/>
    <n v="0"/>
    <x v="1"/>
    <n v="55"/>
    <n v="0"/>
  </r>
  <r>
    <x v="25"/>
    <x v="4"/>
    <n v="8634023"/>
    <s v="91 MONTAGUE EX"/>
    <s v="5+"/>
    <x v="1"/>
    <n v="0"/>
    <n v="0"/>
    <n v="2"/>
    <n v="0"/>
    <n v="10"/>
    <n v="0"/>
    <x v="0"/>
    <n v="0"/>
    <n v="0"/>
    <n v="0"/>
    <n v="0"/>
    <n v="0"/>
    <n v="0"/>
    <n v="0"/>
    <n v="0"/>
    <n v="0"/>
    <n v="0"/>
    <n v="0"/>
    <x v="1"/>
    <n v="45"/>
    <n v="0"/>
  </r>
  <r>
    <x v="113"/>
    <x v="2"/>
    <s v="051200025"/>
    <s v="3542 E 18TH ST"/>
    <s v="5+"/>
    <x v="0"/>
    <n v="0"/>
    <n v="0"/>
    <n v="0"/>
    <n v="0"/>
    <n v="0"/>
    <n v="0"/>
    <x v="12"/>
    <n v="0"/>
    <n v="19"/>
    <n v="0"/>
    <n v="0"/>
    <n v="0"/>
    <n v="0"/>
    <n v="0"/>
    <n v="0"/>
    <n v="0"/>
    <n v="0"/>
    <n v="0"/>
    <x v="0"/>
    <m/>
    <n v="0"/>
  </r>
  <r>
    <x v="113"/>
    <x v="2"/>
    <s v="051200025"/>
    <s v="3562 E 18TH ST"/>
    <s v="5+"/>
    <x v="0"/>
    <n v="0"/>
    <n v="0"/>
    <n v="0"/>
    <n v="0"/>
    <n v="0"/>
    <n v="0"/>
    <x v="12"/>
    <n v="0"/>
    <n v="19"/>
    <n v="0"/>
    <n v="0"/>
    <n v="0"/>
    <n v="0"/>
    <n v="0"/>
    <n v="0"/>
    <n v="0"/>
    <n v="0"/>
    <n v="0"/>
    <x v="0"/>
    <m/>
    <n v="0"/>
  </r>
  <r>
    <x v="79"/>
    <x v="3"/>
    <n v="40031404"/>
    <s v="3069 E Kyne St"/>
    <s v="5+"/>
    <x v="0"/>
    <n v="0"/>
    <n v="0"/>
    <n v="0"/>
    <n v="0"/>
    <n v="0"/>
    <n v="0"/>
    <x v="0"/>
    <n v="0"/>
    <n v="5"/>
    <n v="0"/>
    <n v="0"/>
    <n v="0"/>
    <n v="0"/>
    <n v="0"/>
    <n v="0"/>
    <n v="0"/>
    <n v="0"/>
    <n v="0"/>
    <x v="1"/>
    <n v="1000"/>
    <n v="0"/>
  </r>
  <r>
    <x v="79"/>
    <x v="3"/>
    <n v="35401450"/>
    <s v="150 Waters Park Circl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20"/>
  </r>
  <r>
    <x v="166"/>
    <x v="4"/>
    <s v="071-405-39"/>
    <s v="2100 5th Street"/>
    <s v="5+"/>
    <x v="0"/>
    <n v="0"/>
    <n v="0"/>
    <n v="0"/>
    <n v="0"/>
    <n v="0"/>
    <n v="0"/>
    <x v="0"/>
    <n v="0"/>
    <n v="38"/>
    <n v="0"/>
    <n v="0"/>
    <n v="160"/>
    <n v="0"/>
    <n v="0"/>
    <n v="0"/>
    <n v="0"/>
    <n v="0"/>
    <n v="0"/>
    <x v="1"/>
    <n v="1000"/>
    <n v="0"/>
  </r>
  <r>
    <x v="46"/>
    <x v="0"/>
    <n v="16741078"/>
    <s v="450 FIRST STREET"/>
    <s v="5+"/>
    <x v="1"/>
    <n v="0"/>
    <n v="0"/>
    <n v="0"/>
    <n v="0"/>
    <n v="0"/>
    <n v="0"/>
    <x v="0"/>
    <n v="0"/>
    <n v="1"/>
    <n v="0"/>
    <n v="3"/>
    <n v="0"/>
    <n v="0"/>
    <n v="0"/>
    <n v="0"/>
    <n v="0"/>
    <n v="0"/>
    <n v="0"/>
    <x v="0"/>
    <n v="55"/>
    <n v="0"/>
  </r>
  <r>
    <x v="168"/>
    <x v="3"/>
    <n v="16040105000"/>
    <s v="2557 RIVER OAKS BLVD #116"/>
    <s v="5+"/>
    <x v="0"/>
    <n v="0"/>
    <n v="0"/>
    <n v="8"/>
    <n v="0"/>
    <n v="0"/>
    <n v="0"/>
    <x v="0"/>
    <n v="0"/>
    <n v="8"/>
    <n v="0"/>
    <n v="0"/>
    <n v="0"/>
    <n v="0"/>
    <n v="0"/>
    <n v="0"/>
    <n v="0"/>
    <n v="0"/>
    <n v="0"/>
    <x v="0"/>
    <n v="55"/>
    <n v="0"/>
  </r>
  <r>
    <x v="147"/>
    <x v="0"/>
    <n v="1922641"/>
    <s v="1482 FREEDOM BLVD"/>
    <s v="5+"/>
    <x v="0"/>
    <n v="0"/>
    <n v="53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33"/>
    <x v="2"/>
    <n v="6032013008"/>
    <s v="8530 S Vermont Avenue, Los Angeles CA 90044"/>
    <s v="5+"/>
    <x v="0"/>
    <n v="0"/>
    <n v="0"/>
    <n v="18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2"/>
    <n v="5242007010"/>
    <s v="1161 S Hicks Avenue, Los Angeles 90023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2"/>
    <n v="2210011900"/>
    <s v="14545 Lanark Street, Panorama City CA 91402"/>
    <s v="5+"/>
    <x v="0"/>
    <n v="98"/>
    <n v="0"/>
    <n v="78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2"/>
    <n v="5250017901"/>
    <s v="4639 E. 3rd Street, Los Angeles CA 90022"/>
    <s v="5+"/>
    <x v="0"/>
    <n v="0"/>
    <n v="0"/>
    <n v="78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11"/>
    <x v="2"/>
    <n v="8921320"/>
    <s v="12885 MAIN ST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8"/>
    <x v="2"/>
    <s v="0319-233-58,59"/>
    <s v="5th street between Ave H and County Line Rd"/>
    <s v="5+"/>
    <x v="0"/>
    <n v="0"/>
    <n v="0"/>
    <n v="0"/>
    <n v="0"/>
    <n v="0"/>
    <n v="16"/>
    <x v="0"/>
    <n v="0"/>
    <n v="0"/>
    <n v="0"/>
    <n v="0"/>
    <n v="0"/>
    <n v="0"/>
    <n v="0"/>
    <n v="0"/>
    <n v="0"/>
    <n v="0"/>
    <n v="0"/>
    <x v="0"/>
    <m/>
    <n v="0"/>
  </r>
  <r>
    <x v="48"/>
    <x v="2"/>
    <s v="0318-164-21"/>
    <s v="12790 6th street"/>
    <s v="5+"/>
    <x v="0"/>
    <n v="0"/>
    <n v="0"/>
    <n v="0"/>
    <n v="0"/>
    <n v="0"/>
    <n v="34"/>
    <x v="0"/>
    <n v="0"/>
    <n v="0"/>
    <n v="0"/>
    <n v="0"/>
    <n v="0"/>
    <n v="0"/>
    <n v="0"/>
    <n v="0"/>
    <n v="0"/>
    <n v="0"/>
    <n v="0"/>
    <x v="0"/>
    <m/>
    <n v="0"/>
  </r>
  <r>
    <x v="0"/>
    <x v="3"/>
    <n v="7203002005"/>
    <s v="712 Baker St."/>
    <s v="5+"/>
    <x v="0"/>
    <n v="1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0"/>
    <x v="3"/>
    <n v="7208010023"/>
    <s v="2450 LONG BEACH BLVD"/>
    <s v="5+"/>
    <x v="0"/>
    <n v="0"/>
    <n v="0"/>
    <n v="0"/>
    <n v="0"/>
    <n v="0"/>
    <n v="0"/>
    <x v="58"/>
    <n v="0"/>
    <n v="87"/>
    <n v="0"/>
    <n v="0"/>
    <n v="0"/>
    <n v="0"/>
    <n v="0"/>
    <n v="0"/>
    <n v="0"/>
    <n v="0"/>
    <n v="0"/>
    <x v="0"/>
    <n v="55"/>
    <n v="0"/>
  </r>
  <r>
    <x v="0"/>
    <x v="3"/>
    <n v="7259003038"/>
    <s v="3590E PACIFIC COAST HWY"/>
    <s v="5+"/>
    <x v="0"/>
    <n v="0"/>
    <n v="0"/>
    <n v="0"/>
    <n v="0"/>
    <n v="0"/>
    <n v="0"/>
    <x v="94"/>
    <n v="0"/>
    <n v="0"/>
    <n v="0"/>
    <n v="0"/>
    <n v="0"/>
    <n v="0"/>
    <n v="0"/>
    <n v="0"/>
    <n v="0"/>
    <n v="0"/>
    <n v="0"/>
    <x v="0"/>
    <n v="55"/>
    <n v="0"/>
  </r>
  <r>
    <x v="143"/>
    <x v="0"/>
    <n v="1430402600"/>
    <s v="939 N COAST HWY"/>
    <s v="5+"/>
    <x v="0"/>
    <n v="0"/>
    <n v="0"/>
    <n v="0"/>
    <n v="0"/>
    <n v="0"/>
    <n v="0"/>
    <x v="4"/>
    <n v="0"/>
    <n v="0"/>
    <n v="0"/>
    <n v="0"/>
    <n v="0"/>
    <n v="0"/>
    <n v="0"/>
    <n v="0"/>
    <n v="0"/>
    <n v="0"/>
    <n v="0"/>
    <x v="0"/>
    <n v="55"/>
    <n v="11"/>
  </r>
  <r>
    <x v="75"/>
    <x v="0"/>
    <s v="012334130"/>
    <s v="200 Linden Av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9"/>
    <n v="0"/>
    <x v="1"/>
    <n v="55"/>
    <n v="0"/>
  </r>
  <r>
    <x v="176"/>
    <x v="2"/>
    <s v="067-2832-007-03"/>
    <s v="423 Evelyn"/>
    <s v="5+"/>
    <x v="0"/>
    <n v="1"/>
    <n v="0"/>
    <n v="1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88"/>
    <x v="0"/>
    <n v="60237018"/>
    <s v="1176 Ramona Ave"/>
    <s v="5+"/>
    <x v="0"/>
    <n v="0"/>
    <n v="0"/>
    <n v="3"/>
    <n v="0"/>
    <n v="0"/>
    <n v="0"/>
    <x v="0"/>
    <n v="0"/>
    <n v="3"/>
    <n v="0"/>
    <n v="0"/>
    <n v="16"/>
    <n v="0"/>
    <n v="0"/>
    <n v="0"/>
    <n v="0"/>
    <n v="0"/>
    <n v="0"/>
    <x v="0"/>
    <n v="30"/>
    <n v="0"/>
  </r>
  <r>
    <x v="124"/>
    <x v="0"/>
    <s v="031-201-003"/>
    <s v="116 E COTA ST, SANTA BARBARA, CA"/>
    <s v="5+"/>
    <x v="0"/>
    <n v="0"/>
    <n v="0"/>
    <n v="28"/>
    <n v="0"/>
    <n v="0"/>
    <n v="0"/>
    <x v="0"/>
    <n v="0"/>
    <n v="28"/>
    <n v="0"/>
    <n v="0"/>
    <n v="0"/>
    <n v="0"/>
    <n v="0"/>
    <n v="0"/>
    <n v="0"/>
    <n v="0"/>
    <n v="0"/>
    <x v="0"/>
    <m/>
    <n v="84"/>
  </r>
  <r>
    <x v="215"/>
    <x v="0"/>
    <s v="040290260"/>
    <s v="815 OLD COUNTY RD"/>
    <s v="5+"/>
    <x v="0"/>
    <n v="0"/>
    <n v="0"/>
    <n v="27"/>
    <n v="0"/>
    <n v="0"/>
    <n v="0"/>
    <x v="0"/>
    <n v="0"/>
    <n v="0"/>
    <n v="0"/>
    <n v="0"/>
    <n v="0"/>
    <n v="0"/>
    <n v="0"/>
    <n v="0"/>
    <n v="0"/>
    <n v="0"/>
    <n v="0"/>
    <x v="0"/>
    <n v="99"/>
    <n v="35"/>
  </r>
  <r>
    <x v="65"/>
    <x v="2"/>
    <s v="3107-012-905"/>
    <s v="45258 32nd St W"/>
    <s v="5+"/>
    <x v="0"/>
    <n v="0"/>
    <n v="0"/>
    <n v="0"/>
    <n v="0"/>
    <n v="0"/>
    <n v="0"/>
    <x v="36"/>
    <n v="0"/>
    <n v="0"/>
    <n v="0"/>
    <n v="0"/>
    <n v="0"/>
    <n v="0"/>
    <n v="0"/>
    <n v="0"/>
    <n v="0"/>
    <n v="0"/>
    <n v="0"/>
    <x v="1"/>
    <n v="55"/>
    <n v="0"/>
  </r>
  <r>
    <x v="65"/>
    <x v="2"/>
    <s v="3112-003-013"/>
    <m/>
    <s v="5+"/>
    <x v="0"/>
    <n v="7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"/>
    <x v="2"/>
    <s v="5675-025-006"/>
    <s v="518 E Windsor Rd"/>
    <s v="5+"/>
    <x v="1"/>
    <n v="0"/>
    <n v="0"/>
    <n v="0"/>
    <n v="0"/>
    <n v="9"/>
    <n v="0"/>
    <x v="0"/>
    <n v="0"/>
    <n v="0"/>
    <n v="0"/>
    <n v="9"/>
    <n v="0"/>
    <n v="0"/>
    <n v="0"/>
    <n v="0"/>
    <n v="0"/>
    <n v="0"/>
    <n v="0"/>
    <x v="0"/>
    <n v="30"/>
    <n v="0"/>
  </r>
  <r>
    <x v="211"/>
    <x v="3"/>
    <n v="9722203"/>
    <s v="8722 GARDEN GROVE BLVD"/>
    <s v="5+"/>
    <x v="1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"/>
  </r>
  <r>
    <x v="46"/>
    <x v="4"/>
    <n v="16741066"/>
    <s v="389 First Street"/>
    <s v="5+"/>
    <x v="1"/>
    <n v="0"/>
    <n v="0"/>
    <n v="0"/>
    <n v="0"/>
    <n v="1"/>
    <n v="0"/>
    <x v="0"/>
    <n v="0"/>
    <n v="0"/>
    <n v="0"/>
    <n v="0"/>
    <n v="0"/>
    <n v="0"/>
    <n v="0"/>
    <n v="0"/>
    <n v="0"/>
    <n v="0"/>
    <n v="0"/>
    <x v="1"/>
    <n v="55"/>
    <n v="0"/>
  </r>
  <r>
    <x v="222"/>
    <x v="0"/>
    <m/>
    <s v="210 - 246 Santa Clara Street"/>
    <s v="5+"/>
    <x v="0"/>
    <n v="0"/>
    <n v="0"/>
    <n v="0"/>
    <n v="0"/>
    <n v="0"/>
    <n v="0"/>
    <x v="34"/>
    <n v="0"/>
    <n v="22"/>
    <n v="0"/>
    <n v="0"/>
    <n v="0"/>
    <n v="0"/>
    <n v="0"/>
    <n v="0"/>
    <n v="0"/>
    <n v="0"/>
    <n v="0"/>
    <x v="0"/>
    <n v="55"/>
    <n v="0"/>
  </r>
  <r>
    <x v="59"/>
    <x v="2"/>
    <s v="486-3-29, 486-3-28, 486-3-30, 486-3-35, 486-3-34-3, 486-3-34-4"/>
    <m/>
    <s v="5+"/>
    <x v="0"/>
    <n v="52"/>
    <n v="0"/>
    <n v="22"/>
    <n v="0"/>
    <n v="6"/>
    <n v="0"/>
    <x v="0"/>
    <n v="0"/>
    <n v="0"/>
    <n v="0"/>
    <n v="0"/>
    <n v="0"/>
    <n v="0"/>
    <n v="0"/>
    <n v="0"/>
    <n v="0"/>
    <n v="0"/>
    <n v="0"/>
    <x v="0"/>
    <m/>
    <n v="0"/>
  </r>
  <r>
    <x v="112"/>
    <x v="2"/>
    <n v="183410060"/>
    <s v="5173 HWY 12"/>
    <s v="5+"/>
    <x v="0"/>
    <n v="0"/>
    <n v="99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12"/>
    <x v="2"/>
    <s v="044051048"/>
    <s v="1024 Kawana Springs RD"/>
    <s v="5+"/>
    <x v="0"/>
    <n v="0"/>
    <n v="0"/>
    <n v="0"/>
    <n v="0"/>
    <n v="0"/>
    <n v="0"/>
    <x v="0"/>
    <n v="0"/>
    <n v="3"/>
    <n v="0"/>
    <n v="0"/>
    <n v="0"/>
    <n v="0"/>
    <n v="0"/>
    <n v="3"/>
    <n v="0"/>
    <n v="0"/>
    <n v="0"/>
    <x v="0"/>
    <n v="55"/>
    <n v="0"/>
  </r>
  <r>
    <x v="112"/>
    <x v="2"/>
    <n v="43132043"/>
    <s v="2905 Santa Rosa Avenue"/>
    <s v="5+"/>
    <x v="0"/>
    <n v="0"/>
    <n v="0"/>
    <n v="0"/>
    <n v="154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"/>
    <x v="2"/>
    <s v="5637-004-030"/>
    <s v="352 W. Milford St."/>
    <s v="5+"/>
    <x v="0"/>
    <n v="4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30"/>
    <n v="0"/>
  </r>
  <r>
    <x v="131"/>
    <x v="3"/>
    <s v="057 202401300"/>
    <s v="2099 M L KING JR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1000"/>
    <n v="35"/>
  </r>
  <r>
    <x v="131"/>
    <x v="3"/>
    <s v="057 204600803"/>
    <s v="2131 UNIVERSITY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1000"/>
    <n v="0"/>
  </r>
  <r>
    <x v="131"/>
    <x v="3"/>
    <s v="055 189501805"/>
    <s v="2352 SHATTUCK"/>
    <s v="5+"/>
    <x v="0"/>
    <n v="0"/>
    <n v="0"/>
    <n v="0"/>
    <n v="0"/>
    <n v="0"/>
    <n v="0"/>
    <x v="0"/>
    <n v="0"/>
    <n v="0"/>
    <n v="0"/>
    <n v="0"/>
    <n v="0"/>
    <n v="8"/>
    <n v="0"/>
    <n v="0"/>
    <n v="0"/>
    <n v="0"/>
    <n v="0"/>
    <x v="0"/>
    <n v="1000"/>
    <n v="25"/>
  </r>
  <r>
    <x v="23"/>
    <x v="2"/>
    <s v="019-700-006"/>
    <s v="10969 Industrial Way"/>
    <s v="5+"/>
    <x v="0"/>
    <n v="0"/>
    <n v="0"/>
    <n v="1"/>
    <n v="0"/>
    <n v="0"/>
    <n v="2"/>
    <x v="0"/>
    <n v="0"/>
    <n v="0"/>
    <n v="0"/>
    <n v="0"/>
    <n v="0"/>
    <n v="0"/>
    <n v="0"/>
    <n v="0"/>
    <n v="0"/>
    <n v="0"/>
    <n v="0"/>
    <x v="1"/>
    <m/>
    <n v="0"/>
  </r>
  <r>
    <x v="127"/>
    <x v="3"/>
    <s v="132-0-100-095, 132-0-100-085"/>
    <s v="2700/2750 North Ventura Road"/>
    <s v="5+"/>
    <x v="0"/>
    <n v="16"/>
    <n v="0"/>
    <n v="17"/>
    <n v="0"/>
    <n v="17"/>
    <n v="0"/>
    <x v="0"/>
    <n v="0"/>
    <n v="0"/>
    <n v="0"/>
    <n v="0"/>
    <n v="0"/>
    <n v="0"/>
    <n v="0"/>
    <n v="0"/>
    <n v="0"/>
    <n v="0"/>
    <n v="0"/>
    <x v="1"/>
    <n v="55"/>
    <n v="0"/>
  </r>
  <r>
    <x v="85"/>
    <x v="4"/>
    <s v="208-860-167"/>
    <s v="77109 Via Vicenza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0"/>
    <n v="0"/>
  </r>
  <r>
    <x v="85"/>
    <x v="4"/>
    <s v="208-870-010"/>
    <s v="75106 Via Vicenza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0"/>
    <n v="0"/>
  </r>
  <r>
    <x v="85"/>
    <x v="4"/>
    <s v="208-870-004"/>
    <s v="10103 Almeria Way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0"/>
    <n v="0"/>
  </r>
  <r>
    <x v="85"/>
    <x v="4"/>
    <s v="208-870-003"/>
    <s v="10109 Almeria Way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0"/>
    <n v="0"/>
  </r>
  <r>
    <x v="85"/>
    <x v="4"/>
    <s v="208-870-009"/>
    <s v="75112 Via Vicenza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0"/>
    <n v="0"/>
  </r>
  <r>
    <x v="96"/>
    <x v="1"/>
    <n v="44923202"/>
    <s v="1240 N CRYSTAL AVE"/>
    <s v="5+"/>
    <x v="0"/>
    <n v="0"/>
    <n v="9"/>
    <n v="0"/>
    <n v="0"/>
    <n v="0"/>
    <n v="0"/>
    <x v="0"/>
    <n v="9"/>
    <n v="0"/>
    <n v="0"/>
    <n v="0"/>
    <n v="0"/>
    <n v="0"/>
    <n v="0"/>
    <n v="0"/>
    <n v="0"/>
    <n v="0"/>
    <n v="0"/>
    <x v="0"/>
    <m/>
    <n v="80"/>
  </r>
  <r>
    <x v="62"/>
    <x v="4"/>
    <n v="6959019"/>
    <s v="4840 MISSION ST"/>
    <s v="5+"/>
    <x v="0"/>
    <n v="0"/>
    <n v="0"/>
    <n v="98"/>
    <n v="0"/>
    <n v="37"/>
    <n v="0"/>
    <x v="0"/>
    <n v="0"/>
    <n v="0"/>
    <n v="0"/>
    <n v="0"/>
    <n v="0"/>
    <n v="0"/>
    <n v="0"/>
    <n v="0"/>
    <n v="0"/>
    <n v="0"/>
    <n v="0"/>
    <x v="0"/>
    <m/>
    <n v="0"/>
  </r>
  <r>
    <x v="62"/>
    <x v="4"/>
    <n v="3784181"/>
    <s v="755 BRANNAN ST"/>
    <s v="5+"/>
    <x v="0"/>
    <n v="5"/>
    <n v="0"/>
    <n v="1"/>
    <n v="0"/>
    <n v="2"/>
    <n v="0"/>
    <x v="0"/>
    <n v="0"/>
    <n v="0"/>
    <n v="0"/>
    <n v="0"/>
    <n v="0"/>
    <n v="0"/>
    <n v="0"/>
    <n v="0"/>
    <n v="0"/>
    <n v="0"/>
    <n v="0"/>
    <x v="0"/>
    <m/>
    <n v="0"/>
  </r>
  <r>
    <x v="62"/>
    <x v="4"/>
    <s v="3780004E"/>
    <s v="828 BRANNAN ST"/>
    <s v="5+"/>
    <x v="0"/>
    <n v="0"/>
    <n v="0"/>
    <n v="9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s v="0453002"/>
    <s v="915 NORTH POINT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n v="3737012"/>
    <s v="245 01ST ST"/>
    <s v="5+"/>
    <x v="0"/>
    <n v="0"/>
    <n v="0"/>
    <n v="0"/>
    <n v="0"/>
    <n v="0"/>
    <n v="0"/>
    <x v="95"/>
    <n v="0"/>
    <n v="0"/>
    <n v="0"/>
    <n v="0"/>
    <n v="0"/>
    <n v="149"/>
    <n v="0"/>
    <n v="0"/>
    <n v="0"/>
    <n v="0"/>
    <n v="0"/>
    <x v="1"/>
    <m/>
    <n v="0"/>
  </r>
  <r>
    <x v="62"/>
    <x v="4"/>
    <s v="0342001"/>
    <s v="950 MARKET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n v="3728019"/>
    <s v="1298 HOWARD ST"/>
    <s v="5+"/>
    <x v="0"/>
    <n v="0"/>
    <n v="0"/>
    <n v="0"/>
    <n v="0"/>
    <n v="0"/>
    <n v="0"/>
    <x v="0"/>
    <n v="0"/>
    <n v="0"/>
    <n v="0"/>
    <n v="17"/>
    <n v="0"/>
    <n v="0"/>
    <n v="0"/>
    <n v="0"/>
    <n v="0"/>
    <n v="0"/>
    <n v="0"/>
    <x v="1"/>
    <m/>
    <n v="0"/>
  </r>
  <r>
    <x v="62"/>
    <x v="4"/>
    <n v="1107008"/>
    <s v="2500 TURK BL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s v="0717003"/>
    <s v="719 LARKIN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6"/>
    <n v="0"/>
    <x v="1"/>
    <m/>
    <n v="0"/>
  </r>
  <r>
    <x v="62"/>
    <x v="4"/>
    <s v="0836011"/>
    <s v="22 FRANKLIN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4"/>
    <n v="0"/>
    <x v="1"/>
    <m/>
    <n v="0"/>
  </r>
  <r>
    <x v="62"/>
    <x v="4"/>
    <n v="3510058"/>
    <s v="950 NATOMA ST"/>
    <s v="5+"/>
    <x v="0"/>
    <n v="0"/>
    <n v="0"/>
    <n v="0"/>
    <n v="0"/>
    <n v="0"/>
    <n v="0"/>
    <x v="0"/>
    <n v="0"/>
    <n v="0"/>
    <n v="0"/>
    <n v="0"/>
    <n v="0"/>
    <n v="0"/>
    <n v="0"/>
    <n v="6"/>
    <n v="0"/>
    <n v="0"/>
    <n v="0"/>
    <x v="1"/>
    <m/>
    <n v="0"/>
  </r>
  <r>
    <x v="211"/>
    <x v="6"/>
    <s v="09701106"/>
    <s v="8218 Garden Grove Blvd"/>
    <s v="5+"/>
    <x v="0"/>
    <n v="0"/>
    <n v="0"/>
    <n v="0"/>
    <n v="0"/>
    <n v="0"/>
    <n v="0"/>
    <x v="0"/>
    <n v="0"/>
    <n v="8"/>
    <n v="0"/>
    <n v="0"/>
    <n v="0"/>
    <n v="0"/>
    <n v="0"/>
    <n v="0"/>
    <n v="0"/>
    <n v="0"/>
    <n v="0"/>
    <x v="0"/>
    <n v="55"/>
    <s v="0.28000000000000003"/>
  </r>
  <r>
    <x v="223"/>
    <x v="6"/>
    <s v="380-100-022"/>
    <s v="23379 CATT RD"/>
    <s v="5+"/>
    <x v="0"/>
    <n v="0"/>
    <n v="0"/>
    <n v="0"/>
    <n v="0"/>
    <n v="0"/>
    <n v="0"/>
    <x v="35"/>
    <n v="0"/>
    <n v="0"/>
    <n v="0"/>
    <n v="0"/>
    <n v="0"/>
    <n v="0"/>
    <n v="0"/>
    <n v="0"/>
    <n v="0"/>
    <n v="0"/>
    <n v="0"/>
    <x v="0"/>
    <n v="55"/>
    <s v="8.6999999999999993"/>
  </r>
  <r>
    <x v="28"/>
    <x v="6"/>
    <s v="021-276-330"/>
    <s v="1301 Broadway"/>
    <s v="5+"/>
    <x v="0"/>
    <n v="10"/>
    <n v="0"/>
    <n v="66"/>
    <n v="0"/>
    <n v="19"/>
    <n v="0"/>
    <x v="0"/>
    <n v="0"/>
    <n v="0"/>
    <n v="0"/>
    <n v="0"/>
    <n v="0"/>
    <n v="0"/>
    <n v="0"/>
    <n v="0"/>
    <n v="0"/>
    <n v="0"/>
    <n v="0"/>
    <x v="0"/>
    <m/>
    <n v="0.75"/>
  </r>
  <r>
    <x v="112"/>
    <x v="2"/>
    <s v="010171018"/>
    <s v="3 W 3RD ST"/>
    <s v="5+"/>
    <x v="0"/>
    <n v="57"/>
    <n v="0"/>
    <n v="56"/>
    <n v="16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12"/>
    <x v="2"/>
    <s v="015492019"/>
    <s v="2906 MCBRIDE LN"/>
    <s v="5+"/>
    <x v="0"/>
    <n v="0"/>
    <n v="1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12"/>
    <x v="2"/>
    <s v="044041096"/>
    <s v="500 KAWANA SPRINGS RD"/>
    <s v="5+"/>
    <x v="0"/>
    <n v="0"/>
    <n v="0"/>
    <n v="0"/>
    <n v="0"/>
    <n v="0"/>
    <n v="151"/>
    <x v="0"/>
    <n v="0"/>
    <n v="0"/>
    <n v="0"/>
    <n v="0"/>
    <n v="0"/>
    <n v="0"/>
    <n v="0"/>
    <n v="0"/>
    <n v="0"/>
    <n v="0"/>
    <n v="0"/>
    <x v="0"/>
    <n v="55"/>
    <n v="0"/>
  </r>
  <r>
    <x v="113"/>
    <x v="2"/>
    <s v="051200025"/>
    <s v="3550 E 18TH ST"/>
    <s v="5+"/>
    <x v="0"/>
    <n v="0"/>
    <n v="0"/>
    <n v="0"/>
    <n v="0"/>
    <n v="0"/>
    <n v="0"/>
    <x v="12"/>
    <n v="0"/>
    <n v="19"/>
    <n v="0"/>
    <n v="0"/>
    <n v="0"/>
    <n v="0"/>
    <n v="0"/>
    <n v="0"/>
    <n v="0"/>
    <n v="0"/>
    <n v="0"/>
    <x v="0"/>
    <m/>
    <n v="0"/>
  </r>
  <r>
    <x v="79"/>
    <x v="3"/>
    <n v="35401450"/>
    <s v="100 Waters Park Circl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280 Waters Park Circl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20"/>
  </r>
  <r>
    <x v="56"/>
    <x v="3"/>
    <s v="74-1373-01-25"/>
    <s v="2800 CRUSADER ST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1"/>
    <n v="0"/>
    <x v="0"/>
    <n v="1000"/>
    <n v="20"/>
  </r>
  <r>
    <x v="113"/>
    <x v="2"/>
    <s v="051200025"/>
    <s v="3570 E 18TH ST"/>
    <s v="5+"/>
    <x v="0"/>
    <n v="0"/>
    <n v="0"/>
    <n v="0"/>
    <n v="0"/>
    <n v="0"/>
    <n v="0"/>
    <x v="43"/>
    <n v="0"/>
    <n v="64"/>
    <n v="0"/>
    <n v="0"/>
    <n v="0"/>
    <n v="0"/>
    <n v="0"/>
    <n v="0"/>
    <n v="0"/>
    <n v="0"/>
    <n v="0"/>
    <x v="0"/>
    <m/>
    <n v="0"/>
  </r>
  <r>
    <x v="113"/>
    <x v="2"/>
    <s v="051200025"/>
    <s v="3566 E 18TH ST"/>
    <s v="5+"/>
    <x v="0"/>
    <n v="0"/>
    <n v="0"/>
    <n v="0"/>
    <n v="0"/>
    <n v="0"/>
    <n v="0"/>
    <x v="12"/>
    <n v="0"/>
    <n v="19"/>
    <n v="0"/>
    <n v="0"/>
    <n v="0"/>
    <n v="0"/>
    <n v="0"/>
    <n v="0"/>
    <n v="0"/>
    <n v="0"/>
    <n v="0"/>
    <x v="0"/>
    <m/>
    <n v="0"/>
  </r>
  <r>
    <x v="113"/>
    <x v="2"/>
    <s v="051200025"/>
    <s v="3530 E 18TH ST"/>
    <s v="5+"/>
    <x v="0"/>
    <n v="0"/>
    <n v="0"/>
    <n v="0"/>
    <n v="0"/>
    <n v="0"/>
    <n v="0"/>
    <x v="12"/>
    <n v="0"/>
    <n v="18"/>
    <n v="0"/>
    <n v="0"/>
    <n v="0"/>
    <n v="0"/>
    <n v="0"/>
    <n v="0"/>
    <n v="0"/>
    <n v="0"/>
    <n v="0"/>
    <x v="0"/>
    <m/>
    <n v="0"/>
  </r>
  <r>
    <x v="113"/>
    <x v="2"/>
    <s v="051200025"/>
    <s v="3546 E 18TH ST"/>
    <s v="5+"/>
    <x v="0"/>
    <n v="0"/>
    <n v="0"/>
    <n v="0"/>
    <n v="0"/>
    <n v="0"/>
    <n v="0"/>
    <x v="12"/>
    <n v="0"/>
    <n v="18"/>
    <n v="0"/>
    <n v="0"/>
    <n v="0"/>
    <n v="0"/>
    <n v="0"/>
    <n v="0"/>
    <n v="0"/>
    <n v="0"/>
    <n v="0"/>
    <x v="0"/>
    <m/>
    <n v="0"/>
  </r>
  <r>
    <x v="113"/>
    <x v="2"/>
    <s v="051200025"/>
    <s v="3558 E 18TH ST"/>
    <s v="5+"/>
    <x v="0"/>
    <n v="0"/>
    <n v="0"/>
    <n v="0"/>
    <n v="0"/>
    <n v="0"/>
    <n v="0"/>
    <x v="12"/>
    <n v="0"/>
    <n v="19"/>
    <n v="0"/>
    <n v="0"/>
    <n v="0"/>
    <n v="0"/>
    <n v="0"/>
    <n v="0"/>
    <n v="0"/>
    <n v="0"/>
    <n v="0"/>
    <x v="0"/>
    <m/>
    <n v="0"/>
  </r>
  <r>
    <x v="79"/>
    <x v="3"/>
    <n v="35401450"/>
    <s v="300 Waters Park Circle"/>
    <s v="5+"/>
    <x v="1"/>
    <n v="0"/>
    <n v="0"/>
    <n v="0"/>
    <n v="0"/>
    <n v="0"/>
    <n v="0"/>
    <x v="0"/>
    <n v="0"/>
    <n v="1"/>
    <n v="0"/>
    <n v="0"/>
    <n v="0"/>
    <n v="0"/>
    <n v="0"/>
    <n v="1"/>
    <n v="0"/>
    <n v="0"/>
    <n v="0"/>
    <x v="0"/>
    <n v="1000"/>
    <n v="20"/>
  </r>
  <r>
    <x v="79"/>
    <x v="3"/>
    <n v="35200200"/>
    <s v="420 Station Park Circle"/>
    <s v="5+"/>
    <x v="0"/>
    <n v="0"/>
    <n v="0"/>
    <n v="0"/>
    <n v="0"/>
    <n v="0"/>
    <n v="0"/>
    <x v="58"/>
    <n v="0"/>
    <n v="0"/>
    <n v="0"/>
    <n v="0"/>
    <n v="0"/>
    <n v="11"/>
    <n v="0"/>
    <n v="0"/>
    <n v="0"/>
    <n v="0"/>
    <n v="0"/>
    <x v="1"/>
    <n v="1000"/>
    <n v="0"/>
  </r>
  <r>
    <x v="211"/>
    <x v="4"/>
    <n v="9807072"/>
    <s v="10080 GARDEN GROVE BLVD"/>
    <s v="5+"/>
    <x v="0"/>
    <n v="0"/>
    <n v="0"/>
    <n v="118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"/>
    <x v="4"/>
    <n v="4943001100"/>
    <s v="8525-8585 La Mesa Blvd"/>
    <s v="5+"/>
    <x v="0"/>
    <n v="0"/>
    <n v="0"/>
    <n v="0"/>
    <n v="0"/>
    <n v="0"/>
    <n v="0"/>
    <x v="0"/>
    <n v="0"/>
    <n v="13"/>
    <n v="0"/>
    <n v="0"/>
    <n v="0"/>
    <n v="0"/>
    <n v="0"/>
    <n v="0"/>
    <n v="0"/>
    <n v="0"/>
    <n v="0"/>
    <x v="0"/>
    <n v="55"/>
    <n v="0"/>
  </r>
  <r>
    <x v="32"/>
    <x v="3"/>
    <n v="4283032008"/>
    <s v="1840  17TH ST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18"/>
    <x v="3"/>
    <s v="241-020-031"/>
    <s v="95 Woodbury Highlands Pl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45"/>
    <n v="0"/>
  </r>
  <r>
    <x v="133"/>
    <x v="2"/>
    <n v="6026031030"/>
    <s v="2111 E Firestone Boulevard, Los Angeles CA 90002"/>
    <s v="5+"/>
    <x v="0"/>
    <n v="41"/>
    <n v="0"/>
    <n v="4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6"/>
    <n v="6021019013"/>
    <s v="7220 Maie Avenue, Los Angeles CA 90001"/>
    <s v="5+"/>
    <x v="0"/>
    <n v="0"/>
    <n v="0"/>
    <n v="0"/>
    <n v="0"/>
    <n v="0"/>
    <n v="0"/>
    <x v="43"/>
    <n v="0"/>
    <n v="0"/>
    <n v="0"/>
    <n v="0"/>
    <n v="0"/>
    <n v="0"/>
    <n v="0"/>
    <n v="0"/>
    <n v="0"/>
    <n v="0"/>
    <n v="0"/>
    <x v="0"/>
    <n v="55"/>
    <n v="0.37"/>
  </r>
  <r>
    <x v="133"/>
    <x v="6"/>
    <n v="5235020050"/>
    <s v="4777 Cesar E Chavez Avenue, Los Angeles CA 90022"/>
    <s v="5+"/>
    <x v="0"/>
    <n v="0"/>
    <n v="0"/>
    <n v="8"/>
    <n v="0"/>
    <n v="0"/>
    <n v="0"/>
    <x v="0"/>
    <n v="0"/>
    <n v="0"/>
    <n v="0"/>
    <n v="0"/>
    <n v="0"/>
    <n v="0"/>
    <n v="0"/>
    <n v="0"/>
    <n v="0"/>
    <n v="0"/>
    <n v="0"/>
    <x v="0"/>
    <n v="55"/>
    <s v="2.4399999999999999"/>
  </r>
  <r>
    <x v="133"/>
    <x v="6"/>
    <n v="6047015023"/>
    <s v="9021 S VERMONT AVE LOS ANGELES CA 90044"/>
    <s v="5+"/>
    <x v="0"/>
    <n v="0"/>
    <n v="0"/>
    <n v="5"/>
    <n v="0"/>
    <n v="21"/>
    <n v="0"/>
    <x v="0"/>
    <n v="0"/>
    <n v="0"/>
    <n v="0"/>
    <n v="0"/>
    <n v="0"/>
    <n v="0"/>
    <n v="0"/>
    <n v="0"/>
    <n v="0"/>
    <n v="0"/>
    <n v="0"/>
    <x v="0"/>
    <n v="55"/>
    <n v="3.5"/>
  </r>
  <r>
    <x v="133"/>
    <x v="6"/>
    <n v="5240003009"/>
    <s v="744 S Kern Avenue, Los Angeles CA 90022"/>
    <s v="5+"/>
    <x v="0"/>
    <n v="0"/>
    <n v="0"/>
    <n v="0"/>
    <n v="0"/>
    <n v="36"/>
    <n v="0"/>
    <x v="0"/>
    <n v="0"/>
    <n v="0"/>
    <n v="0"/>
    <n v="0"/>
    <n v="0"/>
    <n v="0"/>
    <n v="0"/>
    <n v="0"/>
    <n v="0"/>
    <n v="0"/>
    <n v="0"/>
    <x v="0"/>
    <n v="55"/>
    <s v="1.5600000000000001"/>
  </r>
  <r>
    <x v="127"/>
    <x v="3"/>
    <s v="201-0-213-110"/>
    <s v="217-235 East Sixth Street"/>
    <s v="5+"/>
    <x v="0"/>
    <n v="0"/>
    <n v="0"/>
    <n v="0"/>
    <n v="0"/>
    <n v="0"/>
    <n v="0"/>
    <x v="96"/>
    <n v="0"/>
    <n v="0"/>
    <n v="0"/>
    <n v="0"/>
    <n v="0"/>
    <n v="0"/>
    <n v="0"/>
    <n v="0"/>
    <n v="0"/>
    <n v="0"/>
    <n v="0"/>
    <x v="0"/>
    <m/>
    <n v="0"/>
  </r>
  <r>
    <x v="44"/>
    <x v="3"/>
    <n v="26415003"/>
    <s v="748 W SAN CARLOS ST"/>
    <s v="5+"/>
    <x v="0"/>
    <n v="0"/>
    <n v="0"/>
    <n v="0"/>
    <n v="0"/>
    <n v="0"/>
    <n v="0"/>
    <x v="0"/>
    <n v="0"/>
    <n v="80"/>
    <n v="0"/>
    <n v="0"/>
    <n v="0"/>
    <n v="0"/>
    <n v="0"/>
    <n v="0"/>
    <n v="0"/>
    <n v="0"/>
    <n v="0"/>
    <x v="0"/>
    <n v="55"/>
    <n v="0"/>
  </r>
  <r>
    <x v="133"/>
    <x v="6"/>
    <n v="6059018011"/>
    <s v="10501 S Normandie Avenue, Los Angeles CA 90044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2.3300000000000001"/>
  </r>
  <r>
    <x v="133"/>
    <x v="2"/>
    <n v="6147016037"/>
    <s v="12630 S Compton Avenue Unit: I, K_x000a_Compton, CA 90222"/>
    <s v="5+"/>
    <x v="0"/>
    <n v="0"/>
    <n v="0"/>
    <n v="0"/>
    <n v="0"/>
    <n v="0"/>
    <n v="0"/>
    <x v="0"/>
    <n v="0"/>
    <n v="5"/>
    <n v="0"/>
    <n v="0"/>
    <n v="0"/>
    <n v="0"/>
    <n v="0"/>
    <n v="0"/>
    <n v="0"/>
    <n v="0"/>
    <n v="0"/>
    <x v="0"/>
    <n v="55"/>
    <n v="0"/>
  </r>
  <r>
    <x v="133"/>
    <x v="2"/>
    <n v="6077011040"/>
    <s v="1755 W Imperial Highway_x000a_Los Angeles, CA 90047"/>
    <s v="5+"/>
    <x v="0"/>
    <n v="0"/>
    <n v="0"/>
    <n v="0"/>
    <n v="0"/>
    <n v="0"/>
    <n v="0"/>
    <x v="0"/>
    <n v="0"/>
    <n v="0"/>
    <n v="0"/>
    <n v="0"/>
    <n v="0"/>
    <n v="0"/>
    <n v="0"/>
    <n v="38"/>
    <n v="0"/>
    <n v="0"/>
    <n v="0"/>
    <x v="0"/>
    <n v="55"/>
    <n v="0"/>
  </r>
  <r>
    <x v="131"/>
    <x v="0"/>
    <s v="060 235400200"/>
    <s v="1200 San Pablo"/>
    <s v="5+"/>
    <x v="0"/>
    <n v="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35"/>
  </r>
  <r>
    <x v="48"/>
    <x v="2"/>
    <s v="0303-133-04"/>
    <s v="12013 5th St"/>
    <s v="5+"/>
    <x v="0"/>
    <n v="0"/>
    <n v="0"/>
    <n v="0"/>
    <n v="0"/>
    <n v="0"/>
    <n v="32"/>
    <x v="0"/>
    <n v="0"/>
    <n v="0"/>
    <n v="0"/>
    <n v="0"/>
    <n v="0"/>
    <n v="0"/>
    <n v="0"/>
    <n v="0"/>
    <n v="0"/>
    <n v="0"/>
    <n v="0"/>
    <x v="0"/>
    <m/>
    <n v="0"/>
  </r>
  <r>
    <x v="82"/>
    <x v="4"/>
    <s v="04181106"/>
    <s v="141  APTOS VILLAGE  WAY, APTOS  CA  95003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1000"/>
    <n v="0"/>
  </r>
  <r>
    <x v="82"/>
    <x v="4"/>
    <s v="04180102"/>
    <s v="141  APTOS VILLAGE  WAY, APTOS  CA  95003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1000"/>
    <n v="0"/>
  </r>
  <r>
    <x v="113"/>
    <x v="2"/>
    <s v="051200025"/>
    <s v="3534 E 18TH ST"/>
    <s v="5+"/>
    <x v="0"/>
    <n v="0"/>
    <n v="0"/>
    <n v="0"/>
    <n v="0"/>
    <n v="0"/>
    <n v="0"/>
    <x v="12"/>
    <n v="0"/>
    <n v="19"/>
    <n v="0"/>
    <n v="0"/>
    <n v="0"/>
    <n v="0"/>
    <n v="0"/>
    <n v="0"/>
    <n v="0"/>
    <n v="0"/>
    <n v="0"/>
    <x v="0"/>
    <m/>
    <n v="0"/>
  </r>
  <r>
    <x v="113"/>
    <x v="2"/>
    <s v="051200025"/>
    <s v="3554 E 18TH ST"/>
    <s v="5+"/>
    <x v="0"/>
    <n v="0"/>
    <n v="0"/>
    <n v="0"/>
    <n v="0"/>
    <n v="0"/>
    <n v="0"/>
    <x v="12"/>
    <n v="0"/>
    <n v="19"/>
    <n v="0"/>
    <n v="0"/>
    <n v="0"/>
    <n v="0"/>
    <n v="0"/>
    <n v="0"/>
    <n v="0"/>
    <n v="0"/>
    <n v="0"/>
    <x v="0"/>
    <m/>
    <n v="0"/>
  </r>
  <r>
    <x v="79"/>
    <x v="3"/>
    <n v="34183060"/>
    <s v="480 E 4th"/>
    <s v="5+"/>
    <x v="0"/>
    <n v="0"/>
    <n v="0"/>
    <n v="0"/>
    <n v="0"/>
    <n v="0"/>
    <n v="0"/>
    <x v="92"/>
    <n v="0"/>
    <n v="102"/>
    <n v="0"/>
    <n v="0"/>
    <n v="0"/>
    <n v="0"/>
    <n v="0"/>
    <n v="0"/>
    <n v="0"/>
    <n v="0"/>
    <n v="0"/>
    <x v="0"/>
    <n v="99"/>
    <n v="80"/>
  </r>
  <r>
    <x v="79"/>
    <x v="3"/>
    <n v="35401450"/>
    <s v="130 Waters Park Circl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20"/>
  </r>
  <r>
    <x v="133"/>
    <x v="2"/>
    <n v="5247024038"/>
    <s v="4652 Gratian Street, Los Angeles CA 90022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2"/>
    <n v="6086020063"/>
    <s v="12225 Avalon Boulevard, Los Angeles CA 90061"/>
    <s v="5+"/>
    <x v="0"/>
    <n v="0"/>
    <n v="0"/>
    <n v="8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2"/>
    <n v="8401021003"/>
    <s v="21332 E Arrow Highway, Covina CA 91724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2"/>
    <n v="7407008018"/>
    <s v="22801 S Vermont Avenue, Torrance CA 90502"/>
    <s v="5+"/>
    <x v="0"/>
    <n v="0"/>
    <n v="0"/>
    <n v="11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2"/>
    <n v="6201023034"/>
    <s v="7602 Pacific Boulevard, Huntington Park CA 90255"/>
    <s v="5+"/>
    <x v="0"/>
    <n v="0"/>
    <n v="0"/>
    <n v="6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2"/>
    <n v="8206010077"/>
    <s v="Valley Blvd. &amp; Workman Mill Road, City of Industry CA 91746"/>
    <s v="5+"/>
    <x v="0"/>
    <n v="0"/>
    <n v="0"/>
    <n v="70"/>
    <n v="0"/>
    <n v="10"/>
    <n v="0"/>
    <x v="0"/>
    <n v="0"/>
    <n v="0"/>
    <n v="0"/>
    <n v="0"/>
    <n v="0"/>
    <n v="0"/>
    <n v="0"/>
    <n v="0"/>
    <n v="0"/>
    <n v="0"/>
    <n v="0"/>
    <x v="0"/>
    <n v="55"/>
    <n v="0"/>
  </r>
  <r>
    <x v="22"/>
    <x v="3"/>
    <s v="8575-019-030"/>
    <s v="3643 Tyler Ave"/>
    <s v="5+"/>
    <x v="0"/>
    <n v="0"/>
    <n v="0"/>
    <n v="0"/>
    <n v="0"/>
    <n v="0"/>
    <n v="0"/>
    <x v="29"/>
    <n v="0"/>
    <n v="35"/>
    <n v="0"/>
    <n v="0"/>
    <n v="0"/>
    <n v="0"/>
    <n v="0"/>
    <n v="0"/>
    <n v="0"/>
    <n v="0"/>
    <n v="0"/>
    <x v="0"/>
    <m/>
    <n v="35"/>
  </r>
  <r>
    <x v="176"/>
    <x v="2"/>
    <s v="067-2813-009-00"/>
    <s v="634 Kains"/>
    <s v="5+"/>
    <x v="1"/>
    <n v="0"/>
    <n v="0"/>
    <n v="1"/>
    <n v="0"/>
    <n v="0"/>
    <n v="0"/>
    <x v="0"/>
    <n v="0"/>
    <n v="1"/>
    <n v="0"/>
    <n v="0"/>
    <n v="0"/>
    <n v="0"/>
    <n v="0"/>
    <n v="0"/>
    <n v="0"/>
    <n v="0"/>
    <n v="0"/>
    <x v="0"/>
    <n v="1000"/>
    <n v="0"/>
  </r>
  <r>
    <x v="49"/>
    <x v="1"/>
    <s v="117-240-028"/>
    <s v="SEC Blosser and West Stowell Road"/>
    <s v="5+"/>
    <x v="0"/>
    <n v="1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0"/>
  </r>
  <r>
    <x v="49"/>
    <x v="1"/>
    <s v="128-067-032"/>
    <s v="502 East Barcellus Avenue"/>
    <s v="5+"/>
    <x v="0"/>
    <n v="0"/>
    <n v="0"/>
    <n v="79"/>
    <n v="0"/>
    <n v="0"/>
    <n v="0"/>
    <x v="0"/>
    <n v="0"/>
    <n v="0"/>
    <n v="0"/>
    <n v="0"/>
    <n v="0"/>
    <n v="0"/>
    <n v="0"/>
    <n v="0"/>
    <n v="0"/>
    <n v="0"/>
    <n v="0"/>
    <x v="0"/>
    <m/>
    <n v="12.5"/>
  </r>
  <r>
    <x v="133"/>
    <x v="2"/>
    <n v="4038025005"/>
    <s v="10501 S Buford Avenue Unit: A, B, C_x000a_Inglewood, CA 90304"/>
    <s v="5+"/>
    <x v="0"/>
    <n v="0"/>
    <n v="0"/>
    <n v="0"/>
    <n v="0"/>
    <n v="0"/>
    <n v="0"/>
    <x v="0"/>
    <n v="0"/>
    <n v="2"/>
    <n v="0"/>
    <n v="0"/>
    <n v="0"/>
    <n v="0"/>
    <n v="0"/>
    <n v="0"/>
    <n v="0"/>
    <n v="0"/>
    <n v="0"/>
    <x v="0"/>
    <n v="55"/>
    <n v="0"/>
  </r>
  <r>
    <x v="143"/>
    <x v="0"/>
    <n v="1531120100"/>
    <s v="1602 S COAST HWY"/>
    <s v="5+"/>
    <x v="1"/>
    <n v="0"/>
    <n v="5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1"/>
  </r>
  <r>
    <x v="133"/>
    <x v="6"/>
    <n v="8404002029"/>
    <s v="19545 E Cienega Avenue, Covina CA 91724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0"/>
    <n v="55"/>
    <n v="0.37"/>
  </r>
  <r>
    <x v="133"/>
    <x v="2"/>
    <n v="8112004086"/>
    <s v="13540 Valley Boulevard, La Puente CA 91746"/>
    <s v="5+"/>
    <x v="0"/>
    <n v="0"/>
    <n v="0"/>
    <n v="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2"/>
    <n v="6056007023"/>
    <s v="1351 W 95th Street, Los Angeles CA 90044"/>
    <s v="5+"/>
    <x v="0"/>
    <n v="0"/>
    <n v="0"/>
    <n v="56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2"/>
    <n v="6149014907"/>
    <s v="11739 Holmes Avenue_x000a_Los Angeles, CA 90059"/>
    <s v="5+"/>
    <x v="0"/>
    <n v="0"/>
    <n v="0"/>
    <n v="0"/>
    <n v="0"/>
    <n v="0"/>
    <n v="0"/>
    <x v="61"/>
    <n v="0"/>
    <n v="0"/>
    <n v="0"/>
    <n v="0"/>
    <n v="0"/>
    <n v="0"/>
    <n v="0"/>
    <n v="0"/>
    <n v="0"/>
    <n v="0"/>
    <n v="0"/>
    <x v="0"/>
    <n v="55"/>
    <n v="0"/>
  </r>
  <r>
    <x v="209"/>
    <x v="6"/>
    <s v="054-640-001 through -028"/>
    <s v="400 San Benito St"/>
    <s v="5+"/>
    <x v="1"/>
    <n v="0"/>
    <n v="0"/>
    <n v="0"/>
    <n v="0"/>
    <n v="0"/>
    <n v="0"/>
    <x v="0"/>
    <n v="0"/>
    <n v="0"/>
    <n v="0"/>
    <n v="0"/>
    <n v="0"/>
    <n v="2"/>
    <n v="0"/>
    <n v="2"/>
    <n v="0"/>
    <n v="0"/>
    <n v="0"/>
    <x v="0"/>
    <n v="55"/>
    <s v="0.20000000000000001"/>
  </r>
  <r>
    <x v="152"/>
    <x v="0"/>
    <s v="157-970-03"/>
    <s v="301 ROCKVIEW RD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1"/>
    <n v="1000"/>
    <n v="0"/>
  </r>
  <r>
    <x v="99"/>
    <x v="0"/>
    <s v="013-171-014"/>
    <s v="2200 North Fremont"/>
    <s v="5+"/>
    <x v="0"/>
    <n v="0"/>
    <n v="0"/>
    <n v="4"/>
    <n v="0"/>
    <n v="0"/>
    <n v="4"/>
    <x v="0"/>
    <n v="0"/>
    <n v="0"/>
    <n v="0"/>
    <n v="0"/>
    <n v="0"/>
    <n v="0"/>
    <n v="0"/>
    <n v="0"/>
    <n v="0"/>
    <n v="0"/>
    <n v="0"/>
    <x v="0"/>
    <m/>
    <n v="0"/>
  </r>
  <r>
    <x v="15"/>
    <x v="0"/>
    <s v="032 210800400"/>
    <s v="3525 LYON AVE"/>
    <s v="5+"/>
    <x v="0"/>
    <n v="3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"/>
    <x v="2"/>
    <n v="5695018044"/>
    <s v="521 W Colorado St."/>
    <s v="5+"/>
    <x v="0"/>
    <n v="5"/>
    <n v="0"/>
    <n v="0"/>
    <n v="0"/>
    <n v="0"/>
    <n v="0"/>
    <x v="12"/>
    <n v="0"/>
    <n v="0"/>
    <n v="0"/>
    <n v="0"/>
    <n v="0"/>
    <n v="5"/>
    <n v="0"/>
    <n v="0"/>
    <n v="0"/>
    <n v="0"/>
    <n v="0"/>
    <x v="0"/>
    <n v="30"/>
    <n v="0"/>
  </r>
  <r>
    <x v="2"/>
    <x v="2"/>
    <s v="5640-022-039"/>
    <s v="3909 San Fernando"/>
    <s v="5+"/>
    <x v="0"/>
    <n v="12"/>
    <n v="0"/>
    <n v="0"/>
    <n v="0"/>
    <n v="0"/>
    <n v="0"/>
    <x v="28"/>
    <n v="0"/>
    <n v="0"/>
    <n v="0"/>
    <n v="0"/>
    <n v="0"/>
    <n v="12"/>
    <n v="0"/>
    <n v="0"/>
    <n v="0"/>
    <n v="0"/>
    <n v="0"/>
    <x v="0"/>
    <n v="30"/>
    <n v="0"/>
  </r>
  <r>
    <x v="112"/>
    <x v="2"/>
    <s v="044051048"/>
    <s v="1032 Kawana Springs RD"/>
    <s v="5+"/>
    <x v="0"/>
    <n v="0"/>
    <n v="0"/>
    <n v="0"/>
    <n v="0"/>
    <n v="0"/>
    <n v="0"/>
    <x v="17"/>
    <n v="0"/>
    <n v="3"/>
    <n v="0"/>
    <n v="0"/>
    <n v="0"/>
    <n v="2"/>
    <n v="0"/>
    <n v="3"/>
    <n v="0"/>
    <n v="0"/>
    <n v="0"/>
    <x v="0"/>
    <n v="55"/>
    <n v="0"/>
  </r>
  <r>
    <x v="112"/>
    <x v="2"/>
    <s v="044051048"/>
    <s v="1036 Kawana Springs RD"/>
    <s v="5+"/>
    <x v="0"/>
    <n v="0"/>
    <n v="0"/>
    <n v="0"/>
    <n v="0"/>
    <n v="0"/>
    <n v="0"/>
    <x v="3"/>
    <n v="0"/>
    <n v="2"/>
    <n v="0"/>
    <n v="0"/>
    <n v="0"/>
    <n v="0"/>
    <n v="0"/>
    <n v="0"/>
    <n v="0"/>
    <n v="0"/>
    <n v="0"/>
    <x v="0"/>
    <n v="55"/>
    <n v="0"/>
  </r>
  <r>
    <x v="112"/>
    <x v="2"/>
    <s v="044051048"/>
    <s v="1040 KAWANA SPRINGS RD"/>
    <s v="5+"/>
    <x v="0"/>
    <n v="0"/>
    <n v="0"/>
    <n v="0"/>
    <n v="0"/>
    <n v="0"/>
    <n v="0"/>
    <x v="3"/>
    <n v="0"/>
    <n v="2"/>
    <n v="0"/>
    <n v="0"/>
    <n v="0"/>
    <n v="0"/>
    <n v="0"/>
    <n v="0"/>
    <n v="0"/>
    <n v="0"/>
    <n v="0"/>
    <x v="0"/>
    <n v="55"/>
    <n v="0"/>
  </r>
  <r>
    <x v="197"/>
    <x v="0"/>
    <n v="31747320"/>
    <s v="13253 Poway Road"/>
    <s v="5+"/>
    <x v="0"/>
    <n v="0"/>
    <n v="0"/>
    <n v="9"/>
    <n v="0"/>
    <n v="0"/>
    <n v="63"/>
    <x v="0"/>
    <n v="0"/>
    <n v="0"/>
    <n v="0"/>
    <n v="0"/>
    <n v="0"/>
    <n v="0"/>
    <n v="0"/>
    <n v="0"/>
    <n v="0"/>
    <n v="0"/>
    <n v="0"/>
    <x v="0"/>
    <m/>
    <n v="29"/>
  </r>
  <r>
    <x v="23"/>
    <x v="2"/>
    <s v="019-421-004"/>
    <s v="9848 Donner Pass Road"/>
    <s v="5+"/>
    <x v="0"/>
    <n v="64"/>
    <n v="0"/>
    <n v="12"/>
    <n v="0"/>
    <n v="0"/>
    <n v="0"/>
    <x v="74"/>
    <n v="0"/>
    <n v="12"/>
    <n v="0"/>
    <n v="0"/>
    <n v="0"/>
    <n v="0"/>
    <n v="0"/>
    <n v="0"/>
    <n v="0"/>
    <n v="0"/>
    <n v="0"/>
    <x v="1"/>
    <n v="55"/>
    <n v="0"/>
  </r>
  <r>
    <x v="23"/>
    <x v="2"/>
    <s v="019-410-046"/>
    <s v="11200 Rue Ivy"/>
    <s v="5+"/>
    <x v="0"/>
    <n v="33"/>
    <n v="0"/>
    <n v="34"/>
    <n v="0"/>
    <n v="0"/>
    <n v="0"/>
    <x v="86"/>
    <n v="0"/>
    <n v="34"/>
    <n v="0"/>
    <n v="0"/>
    <n v="0"/>
    <n v="0"/>
    <n v="0"/>
    <n v="0"/>
    <n v="0"/>
    <n v="0"/>
    <n v="0"/>
    <x v="1"/>
    <n v="1000"/>
    <n v="0"/>
  </r>
  <r>
    <x v="103"/>
    <x v="6"/>
    <s v="668-491-32"/>
    <s v="25642 Camino Del Avion"/>
    <s v="5+"/>
    <x v="1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s v="0.26000000000000001"/>
  </r>
  <r>
    <x v="3"/>
    <x v="6"/>
    <n v="5529014045"/>
    <s v="1006 EDINBURGH AVE WEST HOLLYWOOD, CA 90046"/>
    <s v="5+"/>
    <x v="0"/>
    <n v="2"/>
    <n v="0"/>
    <n v="0"/>
    <n v="0"/>
    <n v="1"/>
    <n v="0"/>
    <x v="0"/>
    <n v="0"/>
    <n v="0"/>
    <n v="0"/>
    <n v="0"/>
    <n v="0"/>
    <n v="0"/>
    <n v="0"/>
    <n v="0"/>
    <n v="0"/>
    <n v="0"/>
    <n v="0"/>
    <x v="0"/>
    <n v="1000"/>
    <n v="0.5"/>
  </r>
  <r>
    <x v="87"/>
    <x v="6"/>
    <s v="059-430-017"/>
    <s v="100 Fran Lemos"/>
    <s v="5+"/>
    <x v="0"/>
    <n v="122"/>
    <n v="0"/>
    <n v="62"/>
    <n v="0"/>
    <n v="2"/>
    <n v="0"/>
    <x v="62"/>
    <n v="0"/>
    <n v="62"/>
    <n v="0"/>
    <n v="2"/>
    <n v="0"/>
    <n v="122"/>
    <n v="0"/>
    <n v="62"/>
    <n v="0"/>
    <n v="2"/>
    <n v="0"/>
    <x v="1"/>
    <n v="55"/>
    <n v="0"/>
  </r>
  <r>
    <x v="201"/>
    <x v="6"/>
    <n v="2546121400"/>
    <s v="1601 San Remo Pl 103, Encinitas, CA 92024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1000"/>
    <n v="0"/>
  </r>
  <r>
    <x v="201"/>
    <x v="6"/>
    <n v="2541440100"/>
    <m/>
    <s v="5+"/>
    <x v="1"/>
    <n v="1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.5"/>
  </r>
  <r>
    <x v="201"/>
    <x v="6"/>
    <n v="2581630700"/>
    <s v="777 Second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s v="0.34999999999999998"/>
  </r>
  <r>
    <x v="201"/>
    <x v="6"/>
    <n v="2546121400"/>
    <s v="1500 Livorno Pl 209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201"/>
    <x v="6"/>
    <n v="2546122214"/>
    <s v="1107 Catania Ct 209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201"/>
    <x v="6"/>
    <n v="2546121968"/>
    <s v="1107 Catania Ct 101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108"/>
    <x v="6"/>
    <s v="046-286-021"/>
    <s v="0 Alder Ave"/>
    <s v="5+"/>
    <x v="0"/>
    <n v="1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.5"/>
  </r>
  <r>
    <x v="43"/>
    <x v="2"/>
    <s v="501-031-026"/>
    <s v="SEC N. Indian Canyon Drive &amp; E. San Rafael Drive"/>
    <s v="5+"/>
    <x v="0"/>
    <n v="24"/>
    <n v="0"/>
    <n v="3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24"/>
    <x v="4"/>
    <s v="018-070-17"/>
    <s v="1802-1816 Sonata Street"/>
    <s v="5+"/>
    <x v="1"/>
    <n v="0"/>
    <n v="0"/>
    <n v="0"/>
    <n v="0"/>
    <n v="0"/>
    <n v="0"/>
    <x v="0"/>
    <n v="0"/>
    <n v="0"/>
    <n v="0"/>
    <n v="2"/>
    <n v="0"/>
    <n v="0"/>
    <n v="0"/>
    <n v="0"/>
    <n v="0"/>
    <n v="2"/>
    <n v="0"/>
    <x v="0"/>
    <n v="0"/>
    <n v="0"/>
  </r>
  <r>
    <x v="64"/>
    <x v="6"/>
    <s v="496-100-027-000"/>
    <s v="3380 PLEASANT GROVE BL, Roseville CA 95747"/>
    <s v="5+"/>
    <x v="0"/>
    <n v="68"/>
    <n v="0"/>
    <n v="281"/>
    <n v="0"/>
    <n v="0"/>
    <n v="1"/>
    <x v="0"/>
    <n v="0"/>
    <n v="0"/>
    <n v="0"/>
    <n v="0"/>
    <n v="0"/>
    <n v="0"/>
    <n v="0"/>
    <n v="0"/>
    <n v="0"/>
    <n v="0"/>
    <n v="0"/>
    <x v="0"/>
    <m/>
    <n v="0.5"/>
  </r>
  <r>
    <x v="201"/>
    <x v="1"/>
    <s v="256-392-06-00, 256-392-11-00, 256-392-12-00"/>
    <s v="158, 184, 186 North Coast Highway 101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s v="0.34999999999999998"/>
  </r>
  <r>
    <x v="225"/>
    <x v="6"/>
    <s v="022-951-06"/>
    <s v="4104 Scotts Valley Drive, Unit 206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45"/>
    <n v="0"/>
  </r>
  <r>
    <x v="85"/>
    <x v="4"/>
    <s v="280-860-013"/>
    <s v="73112 Via Vicenza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0"/>
    <n v="0"/>
  </r>
  <r>
    <x v="127"/>
    <x v="0"/>
    <s v="223-0-090-015, 223-0-041-020"/>
    <s v="5482 Cypress Rd, 5536 Cypress Rd"/>
    <s v="5+"/>
    <x v="0"/>
    <n v="0"/>
    <n v="0"/>
    <n v="148"/>
    <n v="0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127"/>
    <x v="0"/>
    <s v="202-0-054-060"/>
    <s v="155 South A Street"/>
    <s v="5+"/>
    <x v="0"/>
    <n v="3"/>
    <n v="0"/>
    <n v="3"/>
    <n v="0"/>
    <n v="0"/>
    <n v="0"/>
    <x v="0"/>
    <n v="0"/>
    <n v="0"/>
    <n v="0"/>
    <n v="0"/>
    <n v="0"/>
    <n v="0"/>
    <n v="0"/>
    <n v="0"/>
    <n v="0"/>
    <n v="0"/>
    <n v="0"/>
    <x v="1"/>
    <n v="20"/>
    <n v="0"/>
  </r>
  <r>
    <x v="92"/>
    <x v="3"/>
    <s v="201-0300-180-0000"/>
    <s v="3506 HAMMOCK ,SACRAMENTO,CA"/>
    <s v="5+"/>
    <x v="0"/>
    <n v="0"/>
    <n v="0"/>
    <n v="0"/>
    <n v="0"/>
    <n v="0"/>
    <n v="0"/>
    <x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48 HAMMOCK ,SACRAMENTO,CA"/>
    <s v="5+"/>
    <x v="0"/>
    <n v="0"/>
    <n v="0"/>
    <n v="0"/>
    <n v="0"/>
    <n v="0"/>
    <n v="0"/>
    <x v="0"/>
    <n v="0"/>
    <n v="16"/>
    <n v="0"/>
    <n v="0"/>
    <n v="0"/>
    <n v="0"/>
    <n v="0"/>
    <n v="16"/>
    <n v="0"/>
    <n v="0"/>
    <n v="0"/>
    <x v="1"/>
    <n v="55"/>
    <n v="0"/>
  </r>
  <r>
    <x v="65"/>
    <x v="2"/>
    <s v="3107-012-905"/>
    <s v="45258 32nd St W"/>
    <s v="5+"/>
    <x v="0"/>
    <n v="0"/>
    <n v="0"/>
    <n v="0"/>
    <n v="0"/>
    <n v="0"/>
    <n v="0"/>
    <x v="4"/>
    <n v="0"/>
    <n v="0"/>
    <n v="0"/>
    <n v="0"/>
    <n v="0"/>
    <n v="0"/>
    <n v="0"/>
    <n v="0"/>
    <n v="0"/>
    <n v="0"/>
    <n v="0"/>
    <x v="1"/>
    <n v="55"/>
    <n v="0"/>
  </r>
  <r>
    <x v="106"/>
    <x v="2"/>
    <s v="670 -0 -29 0 -42 0"/>
    <s v="77 N CONEJO SCHOOL RD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37"/>
    <x v="0"/>
    <m/>
    <n v="0"/>
  </r>
  <r>
    <x v="92"/>
    <x v="1"/>
    <s v="049-0250-035-0000"/>
    <s v="73 CORAL GABLES ,SACRAMENTO,CA"/>
    <s v="5+"/>
    <x v="0"/>
    <n v="0"/>
    <n v="0"/>
    <n v="0"/>
    <n v="0"/>
    <n v="0"/>
    <n v="0"/>
    <x v="0"/>
    <n v="0"/>
    <n v="0"/>
    <n v="0"/>
    <n v="0"/>
    <n v="0"/>
    <n v="20"/>
    <n v="0"/>
    <n v="0"/>
    <n v="0"/>
    <n v="0"/>
    <n v="0"/>
    <x v="0"/>
    <n v="30"/>
    <n v="0.16"/>
  </r>
  <r>
    <x v="134"/>
    <x v="6"/>
    <n v="238013042"/>
    <s v="100 Santa Rosa Island Dr"/>
    <s v="5+"/>
    <x v="0"/>
    <n v="0"/>
    <n v="0"/>
    <n v="0"/>
    <n v="0"/>
    <n v="0"/>
    <n v="0"/>
    <x v="0"/>
    <n v="0"/>
    <n v="0"/>
    <n v="0"/>
    <n v="0"/>
    <n v="0"/>
    <n v="0"/>
    <n v="0"/>
    <n v="68"/>
    <n v="0"/>
    <n v="0"/>
    <n v="0"/>
    <x v="1"/>
    <n v="45"/>
    <n v="0"/>
  </r>
  <r>
    <x v="134"/>
    <x v="6"/>
    <n v="1560180485"/>
    <s v="2777 SOMIS RD, SOMIS, CA  93066"/>
    <s v="5+"/>
    <x v="0"/>
    <n v="0"/>
    <n v="0"/>
    <n v="0"/>
    <n v="0"/>
    <n v="0"/>
    <n v="0"/>
    <x v="0"/>
    <n v="0"/>
    <n v="0"/>
    <n v="0"/>
    <n v="0"/>
    <n v="0"/>
    <n v="0"/>
    <n v="0"/>
    <n v="11"/>
    <n v="0"/>
    <n v="0"/>
    <n v="0"/>
    <x v="1"/>
    <n v="1000"/>
    <n v="0"/>
  </r>
  <r>
    <x v="134"/>
    <x v="6"/>
    <n v="1560180485"/>
    <s v="2735 SOMIS RD, SOMIS, CA  93066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200025"/>
    <s v="2751 Somis Rd, Somis, CA 93066"/>
    <s v="5+"/>
    <x v="0"/>
    <n v="0"/>
    <n v="0"/>
    <n v="0"/>
    <n v="0"/>
    <n v="0"/>
    <n v="0"/>
    <x v="0"/>
    <n v="0"/>
    <n v="0"/>
    <n v="0"/>
    <n v="0"/>
    <n v="0"/>
    <n v="18"/>
    <n v="0"/>
    <n v="0"/>
    <n v="0"/>
    <n v="0"/>
    <n v="0"/>
    <x v="1"/>
    <n v="1000"/>
    <n v="0"/>
  </r>
  <r>
    <x v="155"/>
    <x v="6"/>
    <n v="216090034"/>
    <s v="3020 Fostoria Way"/>
    <s v="5+"/>
    <x v="0"/>
    <n v="22"/>
    <n v="0"/>
    <n v="2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80"/>
    <x v="3"/>
    <s v="426-391-010"/>
    <s v="1500 Fitzgerald Dr"/>
    <s v="5+"/>
    <x v="0"/>
    <n v="13"/>
    <n v="0"/>
    <n v="14"/>
    <n v="0"/>
    <n v="0"/>
    <n v="0"/>
    <x v="0"/>
    <n v="0"/>
    <n v="0"/>
    <n v="0"/>
    <n v="0"/>
    <n v="0"/>
    <n v="0"/>
    <n v="0"/>
    <n v="0"/>
    <n v="0"/>
    <n v="0"/>
    <n v="0"/>
    <x v="0"/>
    <n v="55"/>
    <s v="25.300000000000001"/>
  </r>
  <r>
    <x v="131"/>
    <x v="2"/>
    <s v="059 231000205"/>
    <s v="1500 San Pablo"/>
    <s v="5+"/>
    <x v="0"/>
    <n v="0"/>
    <n v="0"/>
    <n v="0"/>
    <n v="0"/>
    <n v="0"/>
    <n v="0"/>
    <x v="0"/>
    <n v="0"/>
    <n v="0"/>
    <n v="0"/>
    <n v="0"/>
    <n v="0"/>
    <n v="16"/>
    <n v="0"/>
    <n v="0"/>
    <n v="0"/>
    <n v="0"/>
    <n v="0"/>
    <x v="0"/>
    <m/>
    <n v="0"/>
  </r>
  <r>
    <x v="129"/>
    <x v="6"/>
    <n v="4163008023"/>
    <s v="1701 ARTESIA BLVD¬†"/>
    <s v="5+"/>
    <x v="1"/>
    <n v="1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30"/>
    <s v="0.080000000000000002"/>
  </r>
  <r>
    <x v="131"/>
    <x v="6"/>
    <s v="058 214901904"/>
    <s v="1750 SACRAMENTO St"/>
    <s v="5+"/>
    <x v="0"/>
    <n v="248"/>
    <n v="0"/>
    <n v="133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31"/>
    <x v="6"/>
    <s v="058 217600101"/>
    <s v="1752 Shattuck Ave"/>
    <s v="5+"/>
    <x v="0"/>
    <n v="0"/>
    <n v="0"/>
    <n v="0"/>
    <n v="0"/>
    <n v="0"/>
    <n v="0"/>
    <x v="14"/>
    <n v="0"/>
    <n v="0"/>
    <n v="0"/>
    <n v="0"/>
    <n v="0"/>
    <n v="0"/>
    <n v="0"/>
    <n v="0"/>
    <n v="0"/>
    <n v="0"/>
    <n v="0"/>
    <x v="0"/>
    <m/>
    <n v="0.5"/>
  </r>
  <r>
    <x v="131"/>
    <x v="6"/>
    <s v="055 187602101"/>
    <s v="2538 DURANT Ave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m/>
    <s v="0.23000000000000001"/>
  </r>
  <r>
    <x v="89"/>
    <x v="6"/>
    <s v="149-130-032"/>
    <s v="230-240 Cleaveland Road"/>
    <s v="5+"/>
    <x v="1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17000000000000001"/>
  </r>
  <r>
    <x v="56"/>
    <x v="6"/>
    <s v="71-293-21"/>
    <s v="2051 CLEMENT AVE"/>
    <s v="5+"/>
    <x v="1"/>
    <n v="0"/>
    <n v="0"/>
    <n v="1"/>
    <n v="0"/>
    <n v="1"/>
    <n v="0"/>
    <x v="0"/>
    <n v="0"/>
    <n v="1"/>
    <n v="0"/>
    <n v="1"/>
    <n v="0"/>
    <n v="0"/>
    <n v="0"/>
    <n v="0"/>
    <n v="0"/>
    <n v="0"/>
    <n v="0"/>
    <x v="0"/>
    <n v="59"/>
    <s v="0.20000000000000001"/>
  </r>
  <r>
    <x v="56"/>
    <x v="6"/>
    <s v="72-381-01"/>
    <s v="1646 LARKSPUR ST"/>
    <s v="5+"/>
    <x v="1"/>
    <n v="0"/>
    <n v="0"/>
    <n v="0"/>
    <n v="0"/>
    <n v="2"/>
    <n v="0"/>
    <x v="0"/>
    <n v="0"/>
    <n v="0"/>
    <n v="0"/>
    <n v="2"/>
    <n v="0"/>
    <n v="0"/>
    <n v="0"/>
    <n v="0"/>
    <n v="0"/>
    <n v="0"/>
    <n v="0"/>
    <x v="0"/>
    <n v="59"/>
    <s v="0.20000000000000001"/>
  </r>
  <r>
    <x v="80"/>
    <x v="3"/>
    <s v="401-240-017, 401-240-018"/>
    <s v="2151 Appian Way"/>
    <s v="5+"/>
    <x v="1"/>
    <n v="0"/>
    <n v="0"/>
    <n v="8"/>
    <n v="0"/>
    <n v="23"/>
    <n v="0"/>
    <x v="0"/>
    <n v="0"/>
    <n v="0"/>
    <n v="0"/>
    <n v="0"/>
    <n v="0"/>
    <n v="0"/>
    <n v="0"/>
    <n v="0"/>
    <n v="0"/>
    <n v="0"/>
    <n v="0"/>
    <x v="1"/>
    <n v="55"/>
    <n v="0"/>
  </r>
  <r>
    <x v="80"/>
    <x v="3"/>
    <s v="360-010-029"/>
    <s v="2801 Pinole Valley Rd"/>
    <s v="5+"/>
    <x v="0"/>
    <n v="2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s v="20.800000000000001"/>
  </r>
  <r>
    <x v="46"/>
    <x v="6"/>
    <n v="16741078"/>
    <s v="450 FIRST STREET UNIT 207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10"/>
    <x v="1"/>
    <s v="220-32-059"/>
    <s v="3051 El Camino Real, SANTA CLARA, CA 95051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20"/>
    <n v="0"/>
  </r>
  <r>
    <x v="10"/>
    <x v="1"/>
    <s v="230-60-001"/>
    <s v="350 Chastain Pl, Santa Clara 95050"/>
    <s v="5+"/>
    <x v="0"/>
    <n v="0"/>
    <n v="0"/>
    <n v="21"/>
    <n v="0"/>
    <n v="20"/>
    <n v="0"/>
    <x v="0"/>
    <n v="0"/>
    <n v="0"/>
    <n v="0"/>
    <n v="0"/>
    <n v="0"/>
    <n v="0"/>
    <n v="0"/>
    <n v="0"/>
    <n v="0"/>
    <n v="0"/>
    <n v="0"/>
    <x v="1"/>
    <n v="55"/>
    <n v="0"/>
  </r>
  <r>
    <x v="44"/>
    <x v="1"/>
    <s v="569-10-080"/>
    <s v="1371 Kooser Rd."/>
    <s v="5+"/>
    <x v="0"/>
    <n v="38"/>
    <n v="0"/>
    <n v="15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1"/>
    <n v="43413044"/>
    <s v="1221  LICK AV  , SAN JOSE CA 95110"/>
    <s v="5+"/>
    <x v="0"/>
    <n v="0"/>
    <n v="0"/>
    <n v="0"/>
    <n v="0"/>
    <n v="0"/>
    <n v="0"/>
    <x v="64"/>
    <n v="0"/>
    <n v="67"/>
    <n v="0"/>
    <n v="0"/>
    <n v="0"/>
    <n v="0"/>
    <n v="0"/>
    <n v="0"/>
    <n v="0"/>
    <n v="0"/>
    <n v="0"/>
    <x v="1"/>
    <n v="55"/>
    <n v="0"/>
  </r>
  <r>
    <x v="113"/>
    <x v="2"/>
    <s v="051200025"/>
    <s v="3574 E 18TH ST"/>
    <s v="5+"/>
    <x v="0"/>
    <n v="0"/>
    <n v="0"/>
    <n v="0"/>
    <n v="0"/>
    <n v="0"/>
    <n v="0"/>
    <x v="43"/>
    <n v="0"/>
    <n v="66"/>
    <n v="0"/>
    <n v="0"/>
    <n v="0"/>
    <n v="0"/>
    <n v="0"/>
    <n v="0"/>
    <n v="0"/>
    <n v="0"/>
    <n v="0"/>
    <x v="0"/>
    <m/>
    <n v="0"/>
  </r>
  <r>
    <x v="79"/>
    <x v="3"/>
    <n v="35401450"/>
    <s v="260 Waters Park Circl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160 Waters Park Circl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20"/>
  </r>
  <r>
    <x v="145"/>
    <x v="3"/>
    <s v="5315-009-051"/>
    <s v="815 Fremont Ave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35"/>
    <x v="6"/>
    <n v="1600093295"/>
    <s v="5140 VERDUGO WY"/>
    <s v="5+"/>
    <x v="0"/>
    <n v="1"/>
    <n v="0"/>
    <n v="0"/>
    <n v="0"/>
    <n v="2"/>
    <n v="0"/>
    <x v="3"/>
    <n v="0"/>
    <n v="0"/>
    <n v="0"/>
    <n v="2"/>
    <n v="0"/>
    <n v="0"/>
    <n v="0"/>
    <n v="0"/>
    <n v="0"/>
    <n v="0"/>
    <n v="0"/>
    <x v="0"/>
    <n v="55"/>
    <n v="0"/>
  </r>
  <r>
    <x v="107"/>
    <x v="1"/>
    <s v="083-292-05"/>
    <s v="915 E ORANGEWOOD AVE, ANAHEIM, CA 92802"/>
    <s v="5+"/>
    <x v="0"/>
    <n v="66"/>
    <n v="0"/>
    <n v="35"/>
    <n v="0"/>
    <n v="0"/>
    <n v="0"/>
    <x v="87"/>
    <n v="0"/>
    <n v="35"/>
    <n v="0"/>
    <n v="0"/>
    <n v="0"/>
    <n v="66"/>
    <n v="0"/>
    <n v="35"/>
    <n v="0"/>
    <n v="0"/>
    <n v="0"/>
    <x v="0"/>
    <n v="55"/>
    <n v="0"/>
  </r>
  <r>
    <x v="96"/>
    <x v="1"/>
    <s v="40407150T"/>
    <s v="7521 N CHESTNUT AVE"/>
    <s v="5+"/>
    <x v="0"/>
    <n v="0"/>
    <n v="0"/>
    <n v="0"/>
    <n v="0"/>
    <n v="0"/>
    <n v="0"/>
    <x v="0"/>
    <n v="7"/>
    <n v="0"/>
    <n v="5"/>
    <n v="0"/>
    <n v="0"/>
    <n v="0"/>
    <n v="0"/>
    <n v="0"/>
    <n v="0"/>
    <n v="0"/>
    <n v="0"/>
    <x v="0"/>
    <m/>
    <n v="33"/>
  </r>
  <r>
    <x v="133"/>
    <x v="2"/>
    <n v="6028002033"/>
    <s v="1216 Nadeau Street, Los Angeles CA 90001"/>
    <s v="5+"/>
    <x v="0"/>
    <n v="0"/>
    <n v="0"/>
    <n v="9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26"/>
    <x v="6"/>
    <s v="7359-028-233"/>
    <s v="2325 Crenshaw Blvd"/>
    <s v="5+"/>
    <x v="1"/>
    <n v="2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14999999999999999"/>
  </r>
  <r>
    <x v="227"/>
    <x v="6"/>
    <s v="031-150-059 &amp; 031-150-119"/>
    <s v="131 Nelson Ave"/>
    <s v="5+"/>
    <x v="0"/>
    <n v="0"/>
    <n v="0"/>
    <n v="0"/>
    <n v="0"/>
    <n v="0"/>
    <n v="0"/>
    <x v="0"/>
    <n v="0"/>
    <n v="0"/>
    <n v="0"/>
    <n v="72"/>
    <n v="0"/>
    <n v="0"/>
    <n v="0"/>
    <n v="0"/>
    <n v="0"/>
    <n v="0"/>
    <n v="0"/>
    <x v="0"/>
    <m/>
    <s v="0.34000000000000002"/>
  </r>
  <r>
    <x v="6"/>
    <x v="3"/>
    <s v="073-0-144-130"/>
    <s v="935 E Front St"/>
    <s v="5+"/>
    <x v="0"/>
    <n v="0"/>
    <n v="0"/>
    <n v="14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32"/>
    <x v="3"/>
    <s v="4276-025-062"/>
    <s v="2121 Santa Monica Blvd"/>
    <s v="5+"/>
    <x v="0"/>
    <n v="0"/>
    <n v="0"/>
    <n v="1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82"/>
    <x v="3"/>
    <n v="38912020"/>
    <s v="18764 COX AV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32.5"/>
  </r>
  <r>
    <x v="96"/>
    <x v="1"/>
    <n v="42509213"/>
    <s v="63 W SHAW AVE"/>
    <s v="5+"/>
    <x v="0"/>
    <n v="42"/>
    <n v="0"/>
    <n v="43"/>
    <n v="0"/>
    <n v="0"/>
    <n v="0"/>
    <x v="0"/>
    <n v="0"/>
    <n v="0"/>
    <n v="0"/>
    <n v="0"/>
    <n v="0"/>
    <n v="0"/>
    <n v="0"/>
    <n v="0"/>
    <n v="0"/>
    <n v="0"/>
    <n v="0"/>
    <x v="0"/>
    <n v="55"/>
    <n v="24"/>
  </r>
  <r>
    <x v="152"/>
    <x v="3"/>
    <s v="125-580-16"/>
    <s v="246 VERANDAH AVENUE BLDG 13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1000"/>
    <n v="0"/>
  </r>
  <r>
    <x v="152"/>
    <x v="3"/>
    <s v="125-580-16"/>
    <s v="410 VERANDAH AVE BLD 12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1000"/>
    <n v="0"/>
  </r>
  <r>
    <x v="131"/>
    <x v="0"/>
    <s v="060 244901300"/>
    <s v="1915 Berryman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79"/>
    <x v="0"/>
    <n v="35401450"/>
    <s v="1 WATERS PARK DR"/>
    <s v="5+"/>
    <x v="1"/>
    <n v="0"/>
    <n v="0"/>
    <n v="0"/>
    <n v="0"/>
    <n v="0"/>
    <n v="0"/>
    <x v="0"/>
    <n v="0"/>
    <n v="5"/>
    <n v="0"/>
    <n v="0"/>
    <n v="0"/>
    <n v="0"/>
    <n v="0"/>
    <n v="0"/>
    <n v="0"/>
    <n v="0"/>
    <n v="0"/>
    <x v="1"/>
    <n v="1000"/>
    <n v="0"/>
  </r>
  <r>
    <x v="79"/>
    <x v="0"/>
    <n v="39030340"/>
    <s v="1919 O'FARRELL ST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13"/>
    <x v="0"/>
    <n v="4906603100"/>
    <s v="5220 Wilson St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137"/>
    <x v="6"/>
    <s v="077660022"/>
    <s v="3837 W HOUSTON AVE"/>
    <s v="5+"/>
    <x v="0"/>
    <n v="0"/>
    <n v="0"/>
    <n v="0"/>
    <n v="0"/>
    <n v="0"/>
    <n v="0"/>
    <x v="35"/>
    <n v="0"/>
    <n v="0"/>
    <n v="0"/>
    <n v="0"/>
    <n v="0"/>
    <n v="0"/>
    <n v="0"/>
    <n v="0"/>
    <n v="0"/>
    <n v="0"/>
    <n v="0"/>
    <x v="0"/>
    <m/>
    <n v="0"/>
  </r>
  <r>
    <x v="137"/>
    <x v="6"/>
    <s v="077660022"/>
    <s v="3723 W HOUSTON AVE"/>
    <s v="5+"/>
    <x v="0"/>
    <n v="0"/>
    <n v="0"/>
    <n v="0"/>
    <n v="0"/>
    <n v="0"/>
    <n v="0"/>
    <x v="0"/>
    <n v="0"/>
    <n v="30"/>
    <n v="0"/>
    <n v="0"/>
    <n v="0"/>
    <n v="0"/>
    <n v="0"/>
    <n v="0"/>
    <n v="0"/>
    <n v="0"/>
    <n v="0"/>
    <x v="0"/>
    <m/>
    <n v="0"/>
  </r>
  <r>
    <x v="95"/>
    <x v="3"/>
    <n v="72625061"/>
    <s v="18312 PALOMARES LN"/>
    <s v="5+"/>
    <x v="0"/>
    <n v="0"/>
    <n v="0"/>
    <n v="0"/>
    <n v="0"/>
    <n v="0"/>
    <n v="0"/>
    <x v="12"/>
    <n v="0"/>
    <n v="0"/>
    <n v="0"/>
    <n v="0"/>
    <n v="13"/>
    <n v="0"/>
    <n v="0"/>
    <n v="0"/>
    <n v="0"/>
    <n v="0"/>
    <n v="0"/>
    <x v="1"/>
    <n v="55"/>
    <n v="0"/>
  </r>
  <r>
    <x v="95"/>
    <x v="3"/>
    <n v="72636059"/>
    <s v="18815 MINER LN"/>
    <s v="5+"/>
    <x v="0"/>
    <n v="0"/>
    <n v="0"/>
    <n v="0"/>
    <n v="0"/>
    <n v="0"/>
    <n v="0"/>
    <x v="3"/>
    <n v="0"/>
    <n v="16"/>
    <n v="0"/>
    <n v="0"/>
    <n v="0"/>
    <n v="0"/>
    <n v="0"/>
    <n v="0"/>
    <n v="0"/>
    <n v="0"/>
    <n v="0"/>
    <x v="0"/>
    <n v="55"/>
    <n v="80"/>
  </r>
  <r>
    <x v="95"/>
    <x v="3"/>
    <n v="72636059"/>
    <s v="18825 MINER LN"/>
    <s v="5+"/>
    <x v="0"/>
    <n v="0"/>
    <n v="0"/>
    <n v="0"/>
    <n v="0"/>
    <n v="0"/>
    <n v="0"/>
    <x v="17"/>
    <n v="0"/>
    <n v="16"/>
    <n v="0"/>
    <n v="0"/>
    <n v="0"/>
    <n v="0"/>
    <n v="0"/>
    <n v="0"/>
    <n v="0"/>
    <n v="0"/>
    <n v="0"/>
    <x v="0"/>
    <n v="55"/>
    <n v="80"/>
  </r>
  <r>
    <x v="184"/>
    <x v="2"/>
    <s v="097-121-25"/>
    <s v="14846 Beach BLVD"/>
    <s v="5+"/>
    <x v="0"/>
    <n v="0"/>
    <n v="0"/>
    <n v="0"/>
    <n v="0"/>
    <n v="0"/>
    <n v="0"/>
    <x v="0"/>
    <n v="0"/>
    <n v="0"/>
    <n v="0"/>
    <n v="0"/>
    <n v="0"/>
    <n v="16"/>
    <n v="0"/>
    <n v="0"/>
    <n v="0"/>
    <n v="0"/>
    <n v="0"/>
    <x v="0"/>
    <m/>
    <n v="0"/>
  </r>
  <r>
    <x v="184"/>
    <x v="2"/>
    <s v="096-101-30"/>
    <s v="14041 Locust ST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0"/>
    <m/>
    <n v="0"/>
  </r>
  <r>
    <x v="149"/>
    <x v="0"/>
    <s v="TR 8253"/>
    <s v="3051 Quantum Rd"/>
    <s v="5+"/>
    <x v="0"/>
    <n v="0"/>
    <n v="0"/>
    <n v="0"/>
    <n v="0"/>
    <n v="0"/>
    <n v="0"/>
    <x v="0"/>
    <n v="0"/>
    <n v="0"/>
    <n v="0"/>
    <n v="0"/>
    <n v="0"/>
    <n v="93"/>
    <n v="0"/>
    <n v="194"/>
    <n v="0"/>
    <n v="0"/>
    <n v="0"/>
    <x v="1"/>
    <n v="55"/>
    <n v="0"/>
  </r>
  <r>
    <x v="96"/>
    <x v="1"/>
    <s v="40407150T"/>
    <s v="7521 N CHESTNUT AVE BLDG 101"/>
    <s v="5+"/>
    <x v="0"/>
    <n v="0"/>
    <n v="0"/>
    <n v="0"/>
    <n v="0"/>
    <n v="0"/>
    <n v="0"/>
    <x v="0"/>
    <n v="6"/>
    <n v="0"/>
    <n v="5"/>
    <n v="0"/>
    <n v="0"/>
    <n v="0"/>
    <n v="0"/>
    <n v="0"/>
    <n v="0"/>
    <n v="0"/>
    <n v="0"/>
    <x v="0"/>
    <m/>
    <n v="52"/>
  </r>
  <r>
    <x v="170"/>
    <x v="3"/>
    <s v="004-211-007; 060-230-067"/>
    <s v="Woodmark"/>
    <s v="5+"/>
    <x v="1"/>
    <n v="56"/>
    <n v="0"/>
    <n v="2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28"/>
    <x v="3"/>
    <n v="51080540"/>
    <s v="2134 Sacramento Street"/>
    <s v="5+"/>
    <x v="0"/>
    <n v="0"/>
    <n v="0"/>
    <n v="0"/>
    <n v="0"/>
    <n v="0"/>
    <n v="0"/>
    <x v="85"/>
    <n v="0"/>
    <n v="1"/>
    <n v="0"/>
    <n v="0"/>
    <n v="0"/>
    <n v="0"/>
    <n v="0"/>
    <n v="0"/>
    <n v="0"/>
    <n v="0"/>
    <n v="0"/>
    <x v="0"/>
    <n v="55"/>
    <n v="35"/>
  </r>
  <r>
    <x v="112"/>
    <x v="2"/>
    <s v="010121025"/>
    <s v="80 COLLEGE AVE"/>
    <s v="5+"/>
    <x v="0"/>
    <n v="0"/>
    <n v="0"/>
    <n v="0"/>
    <n v="0"/>
    <n v="0"/>
    <n v="0"/>
    <x v="42"/>
    <n v="45"/>
    <n v="0"/>
    <n v="0"/>
    <n v="0"/>
    <n v="0"/>
    <n v="0"/>
    <n v="0"/>
    <n v="0"/>
    <n v="0"/>
    <n v="0"/>
    <n v="0"/>
    <x v="0"/>
    <n v="55"/>
    <n v="0"/>
  </r>
  <r>
    <x v="2"/>
    <x v="6"/>
    <n v="5695015030"/>
    <s v="423 OAK ST"/>
    <s v="5+"/>
    <x v="0"/>
    <n v="0"/>
    <n v="0"/>
    <n v="2"/>
    <n v="0"/>
    <n v="0"/>
    <n v="0"/>
    <x v="0"/>
    <n v="0"/>
    <n v="2"/>
    <n v="0"/>
    <n v="0"/>
    <n v="0"/>
    <n v="0"/>
    <n v="0"/>
    <n v="2"/>
    <n v="0"/>
    <n v="0"/>
    <n v="0"/>
    <x v="0"/>
    <m/>
    <s v="0.34999999999999998"/>
  </r>
  <r>
    <x v="2"/>
    <x v="6"/>
    <n v="5643006012"/>
    <s v="503 N KENWOOD ST"/>
    <s v="5+"/>
    <x v="0"/>
    <n v="3"/>
    <n v="0"/>
    <n v="0"/>
    <n v="0"/>
    <n v="0"/>
    <n v="0"/>
    <x v="2"/>
    <n v="0"/>
    <n v="0"/>
    <n v="0"/>
    <n v="0"/>
    <n v="0"/>
    <n v="0"/>
    <n v="0"/>
    <n v="0"/>
    <n v="0"/>
    <n v="0"/>
    <n v="0"/>
    <x v="0"/>
    <m/>
    <s v="0.34999999999999998"/>
  </r>
  <r>
    <x v="112"/>
    <x v="2"/>
    <s v="044051048"/>
    <s v="1028 Kawana Springs RD"/>
    <s v="5+"/>
    <x v="0"/>
    <n v="0"/>
    <n v="0"/>
    <n v="0"/>
    <n v="0"/>
    <n v="0"/>
    <n v="0"/>
    <x v="0"/>
    <n v="0"/>
    <n v="0"/>
    <n v="0"/>
    <n v="0"/>
    <n v="0"/>
    <n v="1"/>
    <n v="0"/>
    <n v="2"/>
    <n v="0"/>
    <n v="0"/>
    <n v="0"/>
    <x v="0"/>
    <n v="55"/>
    <n v="0"/>
  </r>
  <r>
    <x v="2"/>
    <x v="6"/>
    <n v="5675030006"/>
    <s v="913 S ADAMS ST"/>
    <s v="5+"/>
    <x v="0"/>
    <n v="2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s v="0.34999999999999998"/>
  </r>
  <r>
    <x v="167"/>
    <x v="6"/>
    <s v="137-200-087"/>
    <s v="10 &amp; 12 McMurray Road"/>
    <s v="5+"/>
    <x v="0"/>
    <n v="0"/>
    <n v="0"/>
    <n v="0"/>
    <n v="0"/>
    <n v="0"/>
    <n v="0"/>
    <x v="90"/>
    <n v="0"/>
    <n v="30"/>
    <n v="0"/>
    <n v="0"/>
    <n v="0"/>
    <n v="0"/>
    <n v="0"/>
    <n v="0"/>
    <n v="0"/>
    <n v="0"/>
    <n v="0"/>
    <x v="0"/>
    <n v="55"/>
    <n v="0.16"/>
  </r>
  <r>
    <x v="159"/>
    <x v="2"/>
    <s v="5723-009-055"/>
    <s v="709 E Walnut St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1"/>
    <n v="1000"/>
    <n v="0"/>
  </r>
  <r>
    <x v="6"/>
    <x v="3"/>
    <s v="073-0-111-010"/>
    <s v="102 S Garden St"/>
    <s v="5+"/>
    <x v="0"/>
    <n v="1"/>
    <n v="0"/>
    <n v="1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"/>
    <x v="3"/>
    <s v="083-0-050-490"/>
    <s v="915 Goodman Ave"/>
    <s v="5+"/>
    <x v="0"/>
    <n v="0"/>
    <n v="0"/>
    <n v="0"/>
    <n v="0"/>
    <n v="4"/>
    <n v="0"/>
    <x v="0"/>
    <n v="0"/>
    <n v="0"/>
    <n v="0"/>
    <n v="0"/>
    <n v="0"/>
    <n v="0"/>
    <n v="0"/>
    <n v="0"/>
    <n v="0"/>
    <n v="0"/>
    <n v="0"/>
    <x v="1"/>
    <m/>
    <n v="0"/>
  </r>
  <r>
    <x v="139"/>
    <x v="2"/>
    <s v="134-132-070"/>
    <s v="3422 Santa Rosa Ave, Santa Rosa CA 95407"/>
    <s v="5+"/>
    <x v="0"/>
    <n v="0"/>
    <n v="0"/>
    <n v="0"/>
    <n v="0"/>
    <n v="0"/>
    <n v="0"/>
    <x v="0"/>
    <n v="0"/>
    <n v="24"/>
    <n v="0"/>
    <n v="0"/>
    <n v="0"/>
    <n v="0"/>
    <n v="0"/>
    <n v="0"/>
    <n v="0"/>
    <n v="0"/>
    <n v="0"/>
    <x v="0"/>
    <n v="55"/>
    <n v="0"/>
  </r>
  <r>
    <x v="229"/>
    <x v="2"/>
    <s v="021-500-007"/>
    <s v="235 W. Cinnamon Dr"/>
    <s v="5+"/>
    <x v="0"/>
    <n v="0"/>
    <n v="0"/>
    <n v="0"/>
    <n v="0"/>
    <n v="0"/>
    <n v="0"/>
    <x v="6"/>
    <n v="0"/>
    <n v="21"/>
    <n v="1"/>
    <n v="0"/>
    <n v="0"/>
    <n v="0"/>
    <n v="0"/>
    <n v="0"/>
    <n v="0"/>
    <n v="0"/>
    <n v="0"/>
    <x v="0"/>
    <m/>
    <n v="0"/>
  </r>
  <r>
    <x v="17"/>
    <x v="0"/>
    <s v="398-328-01"/>
    <s v="500 N Bush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5"/>
    <x v="5"/>
    <s v="229-0-070-210"/>
    <s v="Village Gatway"/>
    <s v="5+"/>
    <x v="0"/>
    <n v="0"/>
    <n v="0"/>
    <n v="0"/>
    <n v="0"/>
    <n v="0"/>
    <n v="0"/>
    <x v="0"/>
    <n v="0"/>
    <n v="0"/>
    <n v="0"/>
    <n v="0"/>
    <n v="0"/>
    <n v="24"/>
    <n v="0"/>
    <n v="0"/>
    <n v="0"/>
    <n v="0"/>
    <n v="426"/>
    <x v="0"/>
    <n v="30"/>
    <n v="0"/>
  </r>
  <r>
    <x v="230"/>
    <x v="3"/>
    <n v="5773006036"/>
    <s v="150 N. Santa Anita Ave"/>
    <s v="5+"/>
    <x v="0"/>
    <n v="0"/>
    <n v="26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18"/>
    <x v="3"/>
    <s v="241-020-024"/>
    <s v="100 Woodbury Highlands Pl"/>
    <s v="5+"/>
    <x v="1"/>
    <n v="0"/>
    <n v="0"/>
    <n v="0"/>
    <n v="0"/>
    <n v="0"/>
    <n v="0"/>
    <x v="3"/>
    <n v="0"/>
    <n v="0"/>
    <n v="0"/>
    <n v="3"/>
    <n v="0"/>
    <n v="0"/>
    <n v="0"/>
    <n v="0"/>
    <n v="0"/>
    <n v="0"/>
    <n v="0"/>
    <x v="1"/>
    <n v="45"/>
    <n v="0"/>
  </r>
  <r>
    <x v="18"/>
    <x v="3"/>
    <s v="241-020-029"/>
    <s v="20 Woodbury Highlands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45"/>
    <n v="0"/>
  </r>
  <r>
    <x v="18"/>
    <x v="3"/>
    <s v="233-032-030"/>
    <s v="3408-3410 Mt Diablo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2"/>
    <n v="0"/>
    <x v="0"/>
    <n v="45"/>
    <n v="8"/>
  </r>
  <r>
    <x v="18"/>
    <x v="3"/>
    <s v="243-150-017"/>
    <s v="210 Lafayette Circl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2"/>
    <n v="0"/>
    <x v="0"/>
    <n v="45"/>
    <n v="16"/>
  </r>
  <r>
    <x v="211"/>
    <x v="5"/>
    <n v="8921320"/>
    <s v="12891 Main St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52"/>
    <x v="3"/>
    <s v="157-970-03"/>
    <s v="704 ROCKVIEW ROAD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1000"/>
    <n v="0"/>
  </r>
  <r>
    <x v="131"/>
    <x v="0"/>
    <s v="057 202501300"/>
    <s v="2000 University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32.5"/>
  </r>
  <r>
    <x v="131"/>
    <x v="0"/>
    <s v="055 183700300"/>
    <s v="2597 Telegraph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m/>
    <n v="35"/>
  </r>
  <r>
    <x v="85"/>
    <x v="4"/>
    <s v="280-860-013"/>
    <s v="71112 Via Vicenza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0"/>
    <n v="0"/>
  </r>
  <r>
    <x v="41"/>
    <x v="3"/>
    <s v="003773057000"/>
    <s v="1112 PARKSIDE ST C/A"/>
    <s v="5+"/>
    <x v="0"/>
    <n v="0"/>
    <n v="0"/>
    <n v="0"/>
    <n v="0"/>
    <n v="0"/>
    <n v="0"/>
    <x v="0"/>
    <n v="0"/>
    <n v="0"/>
    <n v="0"/>
    <n v="0"/>
    <n v="0"/>
    <n v="38"/>
    <n v="0"/>
    <n v="1"/>
    <n v="0"/>
    <n v="0"/>
    <n v="0"/>
    <x v="0"/>
    <n v="55"/>
    <n v="65"/>
  </r>
  <r>
    <x v="32"/>
    <x v="3"/>
    <n v="4291021006"/>
    <s v="1430  LINCOLN BLVD"/>
    <s v="5+"/>
    <x v="0"/>
    <n v="0"/>
    <n v="0"/>
    <n v="0"/>
    <n v="0"/>
    <n v="0"/>
    <n v="0"/>
    <x v="7"/>
    <n v="0"/>
    <n v="0"/>
    <n v="0"/>
    <n v="20"/>
    <n v="0"/>
    <n v="0"/>
    <n v="0"/>
    <n v="0"/>
    <n v="0"/>
    <n v="0"/>
    <n v="0"/>
    <x v="1"/>
    <n v="55"/>
    <n v="0"/>
  </r>
  <r>
    <x v="32"/>
    <x v="3"/>
    <n v="4290002007"/>
    <s v="1650  LINCOLN BLVD"/>
    <s v="5+"/>
    <x v="0"/>
    <n v="0"/>
    <n v="0"/>
    <n v="0"/>
    <n v="0"/>
    <n v="0"/>
    <n v="0"/>
    <x v="42"/>
    <n v="0"/>
    <n v="0"/>
    <n v="0"/>
    <n v="0"/>
    <n v="0"/>
    <n v="0"/>
    <n v="0"/>
    <n v="0"/>
    <n v="0"/>
    <n v="0"/>
    <n v="0"/>
    <x v="1"/>
    <m/>
    <n v="0"/>
  </r>
  <r>
    <x v="182"/>
    <x v="3"/>
    <n v="38912020"/>
    <s v="18764 COX AVE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32.5"/>
  </r>
  <r>
    <x v="152"/>
    <x v="3"/>
    <s v="125-580-16"/>
    <s v="434 VERANDAH AVE BLDG 11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1000"/>
    <n v="0"/>
  </r>
  <r>
    <x v="152"/>
    <x v="3"/>
    <s v="157-970-03"/>
    <s v="609 ROCKVIEW ROAD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1000"/>
    <n v="0"/>
  </r>
  <r>
    <x v="30"/>
    <x v="3"/>
    <s v="3008-040-012"/>
    <s v="38732 9th Street East"/>
    <s v="5+"/>
    <x v="0"/>
    <n v="4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03"/>
    <x v="1"/>
    <s v="Tract 18148 Lots 106, 107, 108, 109, 110, 111, 112, 113, &amp; 114"/>
    <s v="32040, 32036, 32032, 32028, 32037, 32041, 32045, 32049, &amp; 32053 Via Vienta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1"/>
    <n v="0"/>
    <x v="0"/>
    <n v="30"/>
    <n v="0"/>
  </r>
  <r>
    <x v="31"/>
    <x v="5"/>
    <n v="-3675"/>
    <s v="565  CHARLES FRAKER TR 2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3697"/>
    <s v="929  DELANO TR 6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3838"/>
    <s v="846  COTATI TR 6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3939"/>
    <s v="816  JULIAN TR 2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20565076"/>
    <s v="870 COTATI TR 2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1"/>
    <n v="0"/>
    <x v="1"/>
    <n v="30"/>
    <n v="0"/>
  </r>
  <r>
    <x v="202"/>
    <x v="3"/>
    <s v="559-105-12-00"/>
    <s v="1924 Harding Ave"/>
    <s v="5+"/>
    <x v="0"/>
    <n v="1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32.5"/>
  </r>
  <r>
    <x v="79"/>
    <x v="3"/>
    <n v="35401450"/>
    <s v="110 Waters Park Circl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120 Waters Park Circl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298 Waters Park Circle"/>
    <s v="5+"/>
    <x v="1"/>
    <n v="0"/>
    <n v="0"/>
    <n v="0"/>
    <n v="0"/>
    <n v="0"/>
    <n v="0"/>
    <x v="0"/>
    <n v="0"/>
    <n v="1"/>
    <n v="0"/>
    <n v="0"/>
    <n v="0"/>
    <n v="0"/>
    <n v="0"/>
    <n v="1"/>
    <n v="0"/>
    <n v="0"/>
    <n v="0"/>
    <x v="0"/>
    <n v="1000"/>
    <n v="20"/>
  </r>
  <r>
    <x v="84"/>
    <x v="2"/>
    <s v="025-431-16"/>
    <s v="1255 Martin Street"/>
    <s v="5+"/>
    <x v="0"/>
    <n v="0"/>
    <n v="0"/>
    <n v="24"/>
    <n v="0"/>
    <n v="0"/>
    <n v="0"/>
    <x v="0"/>
    <n v="0"/>
    <n v="24"/>
    <n v="0"/>
    <n v="0"/>
    <n v="0"/>
    <n v="0"/>
    <n v="0"/>
    <n v="24"/>
    <n v="0"/>
    <n v="0"/>
    <n v="0"/>
    <x v="0"/>
    <n v="30"/>
    <n v="0"/>
  </r>
  <r>
    <x v="82"/>
    <x v="4"/>
    <s v="02674112"/>
    <s v="1412 CAPITOLA RD, SANTA CRUZ, CA 95062-2911"/>
    <s v="5+"/>
    <x v="0"/>
    <n v="38"/>
    <n v="0"/>
    <n v="19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31"/>
    <x v="5"/>
    <n v="20947016"/>
    <s v="710  BRAMBLE TR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82"/>
    <x v="4"/>
    <s v="04180104"/>
    <s v="141  APTOS VILLAGE  WAY, APTOS  CA  95003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1000"/>
    <n v="0"/>
  </r>
  <r>
    <x v="31"/>
    <x v="5"/>
    <n v="20565017"/>
    <s v="554  SANTA MARIA TR 2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145"/>
    <x v="3"/>
    <s v="5315-008-047"/>
    <s v="1020 El Centro"/>
    <s v="5+"/>
    <x v="1"/>
    <n v="0"/>
    <n v="0"/>
    <n v="0"/>
    <n v="0"/>
    <n v="19"/>
    <n v="0"/>
    <x v="0"/>
    <n v="0"/>
    <n v="0"/>
    <n v="0"/>
    <n v="0"/>
    <n v="0"/>
    <n v="0"/>
    <n v="0"/>
    <n v="0"/>
    <n v="0"/>
    <n v="0"/>
    <n v="0"/>
    <x v="0"/>
    <n v="45"/>
    <n v="15"/>
  </r>
  <r>
    <x v="106"/>
    <x v="6"/>
    <n v="6690201030"/>
    <s v="500 E THOUSAND OAKS BLVD_x000a_THOUSAND OAKS, CA 91360"/>
    <s v="5+"/>
    <x v="0"/>
    <n v="0"/>
    <n v="0"/>
    <n v="44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27"/>
    <x v="6"/>
    <s v="941 278004300"/>
    <s v="5725 OWENS DR"/>
    <s v="5+"/>
    <x v="0"/>
    <n v="0"/>
    <n v="0"/>
    <n v="0"/>
    <n v="0"/>
    <n v="0"/>
    <n v="0"/>
    <x v="25"/>
    <n v="0"/>
    <n v="1"/>
    <n v="0"/>
    <n v="0"/>
    <n v="0"/>
    <n v="0"/>
    <n v="0"/>
    <n v="0"/>
    <n v="0"/>
    <n v="0"/>
    <n v="0"/>
    <x v="1"/>
    <n v="1000"/>
    <n v="0"/>
  </r>
  <r>
    <x v="96"/>
    <x v="1"/>
    <n v="44923202"/>
    <s v="1240 N CRYSTAL AVE"/>
    <s v="5+"/>
    <x v="0"/>
    <n v="0"/>
    <n v="3"/>
    <n v="0"/>
    <n v="13"/>
    <n v="0"/>
    <n v="0"/>
    <x v="0"/>
    <n v="3"/>
    <n v="0"/>
    <n v="13"/>
    <n v="0"/>
    <n v="0"/>
    <n v="0"/>
    <n v="0"/>
    <n v="0"/>
    <n v="0"/>
    <n v="0"/>
    <n v="0"/>
    <x v="0"/>
    <m/>
    <n v="80"/>
  </r>
  <r>
    <x v="96"/>
    <x v="1"/>
    <n v="44923202"/>
    <s v="1240 N CRYSTAL AVE"/>
    <s v="5+"/>
    <x v="0"/>
    <n v="0"/>
    <n v="37"/>
    <n v="0"/>
    <n v="0"/>
    <n v="0"/>
    <n v="0"/>
    <x v="0"/>
    <n v="37"/>
    <n v="0"/>
    <n v="0"/>
    <n v="0"/>
    <n v="0"/>
    <n v="0"/>
    <n v="0"/>
    <n v="0"/>
    <n v="0"/>
    <n v="0"/>
    <n v="0"/>
    <x v="0"/>
    <m/>
    <n v="80"/>
  </r>
  <r>
    <x v="96"/>
    <x v="1"/>
    <s v="40407150T"/>
    <s v="7521 N CHESTNUT AVE BLDG 107"/>
    <s v="5+"/>
    <x v="0"/>
    <n v="0"/>
    <n v="0"/>
    <n v="0"/>
    <n v="0"/>
    <n v="0"/>
    <n v="0"/>
    <x v="0"/>
    <n v="7"/>
    <n v="0"/>
    <n v="5"/>
    <n v="0"/>
    <n v="0"/>
    <n v="0"/>
    <n v="0"/>
    <n v="0"/>
    <n v="0"/>
    <n v="0"/>
    <n v="0"/>
    <x v="0"/>
    <m/>
    <n v="52"/>
  </r>
  <r>
    <x v="103"/>
    <x v="1"/>
    <s v="Tract 18148 Lots 66, 67, 68, 69, &amp; 70"/>
    <s v="27078, 27074, 27040, 27066, &amp; 27062 Via Caminata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31"/>
    <x v="5"/>
    <n v="20568056"/>
    <s v="855  COTATI TR 3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45"/>
    <s v="875  COTATI TR 6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02"/>
    <s v="813  GALT TR 5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37"/>
    <s v="804  GALT TR 1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40"/>
    <s v="539  SAN LORENZO TR 3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5"/>
    <x v="6"/>
    <n v="2042920100"/>
    <s v="3845 SYDNEY WAY"/>
    <s v="5+"/>
    <x v="0"/>
    <n v="0"/>
    <n v="0"/>
    <n v="0"/>
    <n v="0"/>
    <n v="0"/>
    <n v="0"/>
    <x v="0"/>
    <n v="0"/>
    <n v="0"/>
    <n v="0"/>
    <n v="0"/>
    <n v="0"/>
    <n v="0"/>
    <n v="0"/>
    <n v="16"/>
    <n v="0"/>
    <n v="0"/>
    <n v="0"/>
    <x v="1"/>
    <n v="55"/>
    <n v="0"/>
  </r>
  <r>
    <x v="35"/>
    <x v="6"/>
    <n v="2163001200"/>
    <s v="7525 ROMERIA ST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s v="0.34999999999999998"/>
  </r>
  <r>
    <x v="133"/>
    <x v="2"/>
    <n v="6027008035"/>
    <s v="1619 Firestone Boulevard, Los Angeles CA 90001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2"/>
    <n v="5239021001"/>
    <s v="4101-4111 Whittier Boulevard, Los Angeles CA 90023"/>
    <s v="5+"/>
    <x v="0"/>
    <n v="3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1"/>
    <x v="3"/>
    <s v="003773057000"/>
    <s v="1112 PARKSIDE ST C/A"/>
    <s v="5+"/>
    <x v="0"/>
    <n v="0"/>
    <n v="0"/>
    <n v="0"/>
    <n v="0"/>
    <n v="0"/>
    <n v="0"/>
    <x v="0"/>
    <n v="0"/>
    <n v="0"/>
    <n v="0"/>
    <n v="0"/>
    <n v="0"/>
    <n v="40"/>
    <n v="0"/>
    <n v="0"/>
    <n v="0"/>
    <n v="0"/>
    <n v="0"/>
    <x v="0"/>
    <n v="55"/>
    <n v="65"/>
  </r>
  <r>
    <x v="182"/>
    <x v="3"/>
    <n v="38912020"/>
    <s v="18764 COX AV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32.5"/>
  </r>
  <r>
    <x v="152"/>
    <x v="3"/>
    <s v="125-580-16"/>
    <s v="242 VERANDAH BLDG 13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1000"/>
    <n v="0"/>
  </r>
  <r>
    <x v="152"/>
    <x v="3"/>
    <s v="125-580-16"/>
    <s v="438 VERANDAH AVE BLDG 11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1000"/>
    <n v="0"/>
  </r>
  <r>
    <x v="152"/>
    <x v="3"/>
    <s v="141-221-75"/>
    <s v="1602 VALLEJO UNIT 8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1000"/>
    <n v="0"/>
  </r>
  <r>
    <x v="152"/>
    <x v="3"/>
    <s v="141-221-75"/>
    <s v="1602 VALLEJO UNIT 9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1000"/>
    <n v="0"/>
  </r>
  <r>
    <x v="152"/>
    <x v="3"/>
    <s v="157-970-03"/>
    <s v="601 ROCKVIEW ROAD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1000"/>
    <n v="0"/>
  </r>
  <r>
    <x v="152"/>
    <x v="3"/>
    <s v="157-970-03"/>
    <s v="605 ROCKVIEW ROAD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1000"/>
    <n v="0"/>
  </r>
  <r>
    <x v="152"/>
    <x v="3"/>
    <s v="125-580-16"/>
    <s v="521 VALLEY OAKS CIRCLE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1000"/>
    <n v="0"/>
  </r>
  <r>
    <x v="152"/>
    <x v="3"/>
    <s v="157-970-03"/>
    <s v="702 ROCKVIEW ROAD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1000"/>
    <n v="0"/>
  </r>
  <r>
    <x v="152"/>
    <x v="3"/>
    <s v="157-970-03"/>
    <s v="709 ROCKVIEW ROAD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1000"/>
    <n v="0"/>
  </r>
  <r>
    <x v="42"/>
    <x v="2"/>
    <s v="127-221-032"/>
    <s v="655 West Spain Street, Bldg. 3"/>
    <s v="5+"/>
    <x v="0"/>
    <n v="0"/>
    <n v="0"/>
    <n v="0"/>
    <n v="0"/>
    <n v="2"/>
    <n v="0"/>
    <x v="0"/>
    <n v="0"/>
    <n v="0"/>
    <n v="0"/>
    <n v="2"/>
    <n v="0"/>
    <n v="0"/>
    <n v="0"/>
    <n v="0"/>
    <n v="0"/>
    <n v="0"/>
    <n v="0"/>
    <x v="1"/>
    <m/>
    <n v="0"/>
  </r>
  <r>
    <x v="231"/>
    <x v="4"/>
    <n v="101462148"/>
    <s v="11918 Central Ave"/>
    <s v="5+"/>
    <x v="0"/>
    <n v="0"/>
    <n v="0"/>
    <n v="6"/>
    <n v="0"/>
    <n v="4"/>
    <n v="0"/>
    <x v="0"/>
    <n v="0"/>
    <n v="0"/>
    <n v="0"/>
    <n v="0"/>
    <n v="0"/>
    <n v="0"/>
    <n v="0"/>
    <n v="0"/>
    <n v="0"/>
    <n v="0"/>
    <n v="0"/>
    <x v="0"/>
    <n v="55"/>
    <n v="0"/>
  </r>
  <r>
    <x v="232"/>
    <x v="1"/>
    <n v="5360045060"/>
    <s v="1975 S DEL MAR AVE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32.5"/>
  </r>
  <r>
    <x v="37"/>
    <x v="3"/>
    <s v="163-172-021, -019, and -020"/>
    <s v="6114 &amp; 6122 Old Redwood Hwy"/>
    <s v="5+"/>
    <x v="1"/>
    <n v="0"/>
    <n v="0"/>
    <n v="0"/>
    <n v="0"/>
    <n v="2"/>
    <n v="0"/>
    <x v="0"/>
    <n v="0"/>
    <n v="0"/>
    <n v="0"/>
    <n v="0"/>
    <n v="0"/>
    <n v="0"/>
    <n v="0"/>
    <n v="0"/>
    <n v="0"/>
    <n v="0"/>
    <n v="0"/>
    <x v="0"/>
    <n v="55"/>
    <n v="0"/>
  </r>
  <r>
    <x v="131"/>
    <x v="3"/>
    <s v="055 182201800"/>
    <s v="2000 DWIGH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0"/>
  </r>
  <r>
    <x v="131"/>
    <x v="3"/>
    <s v="055 187700100"/>
    <s v="2590 BANCROFT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1000"/>
    <n v="25"/>
  </r>
  <r>
    <x v="62"/>
    <x v="4"/>
    <n v="3735012"/>
    <s v="95 HAWTHORNE ST"/>
    <s v="5+"/>
    <x v="0"/>
    <n v="32"/>
    <n v="0"/>
    <n v="11"/>
    <n v="0"/>
    <n v="12"/>
    <n v="0"/>
    <x v="0"/>
    <n v="0"/>
    <n v="0"/>
    <n v="0"/>
    <n v="0"/>
    <n v="0"/>
    <n v="0"/>
    <n v="0"/>
    <n v="0"/>
    <n v="0"/>
    <n v="0"/>
    <n v="0"/>
    <x v="0"/>
    <m/>
    <n v="0"/>
  </r>
  <r>
    <x v="62"/>
    <x v="4"/>
    <n v="6954039"/>
    <s v="915 CAYUGA AVE"/>
    <s v="5+"/>
    <x v="0"/>
    <n v="0"/>
    <n v="0"/>
    <n v="23"/>
    <n v="0"/>
    <n v="35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n v="3733093"/>
    <s v="266 04TH ST"/>
    <s v="5+"/>
    <x v="0"/>
    <n v="0"/>
    <n v="0"/>
    <n v="69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2"/>
    <x v="4"/>
    <n v="3537100"/>
    <s v="55 BELCHER ST"/>
    <s v="5+"/>
    <x v="0"/>
    <n v="0"/>
    <n v="0"/>
    <n v="4"/>
    <n v="0"/>
    <n v="1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s v="0350002"/>
    <s v="1028 MARKET ST"/>
    <s v="5+"/>
    <x v="0"/>
    <n v="0"/>
    <n v="0"/>
    <n v="0"/>
    <n v="0"/>
    <n v="0"/>
    <n v="0"/>
    <x v="0"/>
    <n v="0"/>
    <n v="25"/>
    <n v="0"/>
    <n v="0"/>
    <n v="0"/>
    <n v="0"/>
    <n v="0"/>
    <n v="0"/>
    <n v="0"/>
    <n v="0"/>
    <n v="0"/>
    <x v="1"/>
    <m/>
    <n v="0"/>
  </r>
  <r>
    <x v="62"/>
    <x v="4"/>
    <s v="0512031"/>
    <s v="2301 LOMBARD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n v="2393040"/>
    <s v="2255 TARAVAL ST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m/>
    <n v="0"/>
  </r>
  <r>
    <x v="62"/>
    <x v="4"/>
    <s v="0814001"/>
    <s v="101 HAYES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n v="4006006"/>
    <s v="1601 MARIPOSA ST"/>
    <s v="5+"/>
    <x v="0"/>
    <n v="0"/>
    <n v="0"/>
    <n v="0"/>
    <n v="0"/>
    <n v="0"/>
    <n v="0"/>
    <x v="0"/>
    <n v="0"/>
    <n v="0"/>
    <n v="0"/>
    <n v="0"/>
    <n v="0"/>
    <n v="60"/>
    <n v="0"/>
    <n v="0"/>
    <n v="0"/>
    <n v="0"/>
    <n v="0"/>
    <x v="1"/>
    <m/>
    <n v="0"/>
  </r>
  <r>
    <x v="62"/>
    <x v="4"/>
    <n v="4041009"/>
    <s v="660 INDIANA ST"/>
    <s v="5+"/>
    <x v="0"/>
    <n v="0"/>
    <n v="0"/>
    <n v="0"/>
    <n v="0"/>
    <n v="0"/>
    <n v="0"/>
    <x v="0"/>
    <n v="0"/>
    <n v="0"/>
    <n v="0"/>
    <n v="0"/>
    <n v="0"/>
    <n v="0"/>
    <n v="0"/>
    <n v="16"/>
    <n v="0"/>
    <n v="0"/>
    <n v="0"/>
    <x v="1"/>
    <m/>
    <n v="0"/>
  </r>
  <r>
    <x v="110"/>
    <x v="6"/>
    <n v="694310006"/>
    <s v="36101 EXPLORER DR"/>
    <s v="5+"/>
    <x v="0"/>
    <n v="0"/>
    <n v="0"/>
    <n v="0"/>
    <n v="0"/>
    <n v="0"/>
    <n v="0"/>
    <x v="15"/>
    <n v="0"/>
    <n v="2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x v="17"/>
    <n v="0"/>
    <n v="2"/>
    <n v="0"/>
    <n v="2"/>
    <n v="0"/>
    <n v="2"/>
    <n v="0"/>
    <n v="2"/>
    <n v="0"/>
    <n v="2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x v="5"/>
    <n v="0"/>
    <n v="8"/>
    <n v="0"/>
    <n v="0"/>
    <n v="0"/>
    <n v="4"/>
    <n v="0"/>
    <n v="8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x v="11"/>
    <n v="0"/>
    <n v="1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x v="45"/>
    <n v="0"/>
    <n v="0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x v="11"/>
    <n v="0"/>
    <n v="1"/>
    <n v="0"/>
    <n v="0"/>
    <n v="0"/>
    <n v="0"/>
    <n v="0"/>
    <n v="0"/>
    <n v="0"/>
    <n v="0"/>
    <n v="0"/>
    <x v="1"/>
    <n v="55"/>
    <n v="0"/>
  </r>
  <r>
    <x v="62"/>
    <x v="4"/>
    <s v="0670024"/>
    <s v="1433 BUSH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6"/>
    <n v="0"/>
    <x v="1"/>
    <m/>
    <n v="0"/>
  </r>
  <r>
    <x v="62"/>
    <x v="4"/>
    <n v="3511015"/>
    <s v="1532 HOWARD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98"/>
    <x v="4"/>
    <n v="2068005102"/>
    <s v="23500 Park Sorrento Building A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30"/>
    <n v="0"/>
  </r>
  <r>
    <x v="233"/>
    <x v="4"/>
    <n v="4343003004"/>
    <s v="250 N. Crescent Drive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22"/>
    <x v="3"/>
    <s v="8549-004-900, 8549-005-900 (lots 5,6,7,8,9)"/>
    <s v="4024 Durfee"/>
    <s v="5+"/>
    <x v="0"/>
    <n v="188"/>
    <n v="0"/>
    <n v="148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45"/>
    <x v="6"/>
    <s v="093081027; 093081028; 093081029"/>
    <s v="2867 WILLOW PASS RD, BAY POINT CA 94565-3236"/>
    <s v="5+"/>
    <x v="0"/>
    <n v="4"/>
    <n v="0"/>
    <n v="118"/>
    <n v="0"/>
    <n v="0"/>
    <n v="0"/>
    <x v="0"/>
    <n v="0"/>
    <n v="0"/>
    <n v="0"/>
    <n v="0"/>
    <n v="0"/>
    <n v="0"/>
    <n v="0"/>
    <n v="0"/>
    <n v="0"/>
    <n v="0"/>
    <n v="0"/>
    <x v="0"/>
    <n v="55"/>
    <s v="0.80000000000000004"/>
  </r>
  <r>
    <x v="124"/>
    <x v="6"/>
    <s v="037-400-009"/>
    <s v="821 STATE ST"/>
    <s v="5+"/>
    <x v="0"/>
    <n v="0"/>
    <n v="0"/>
    <n v="0"/>
    <n v="0"/>
    <n v="0"/>
    <n v="0"/>
    <x v="0"/>
    <n v="0"/>
    <n v="0"/>
    <n v="0"/>
    <n v="0"/>
    <n v="0"/>
    <n v="0"/>
    <n v="0"/>
    <n v="3"/>
    <n v="0"/>
    <n v="1"/>
    <n v="0"/>
    <x v="0"/>
    <n v="90"/>
    <n v="0.5"/>
  </r>
  <r>
    <x v="30"/>
    <x v="3"/>
    <s v="3020-005-031"/>
    <s v="Avenue R and 30th East"/>
    <s v="5+"/>
    <x v="0"/>
    <n v="5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1"/>
  </r>
  <r>
    <x v="172"/>
    <x v="2"/>
    <s v="276-282-13 and -14"/>
    <s v="7692 &amp; 7682 9th Street"/>
    <s v="5+"/>
    <x v="1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59"/>
    <x v="6"/>
    <s v="5723-015-081"/>
    <s v="111 N MADISON AVE APARTMENT_x000a_PASADENA, CA 91101"/>
    <s v="5+"/>
    <x v="0"/>
    <n v="0"/>
    <n v="0"/>
    <n v="0"/>
    <n v="0"/>
    <n v="0"/>
    <n v="0"/>
    <x v="45"/>
    <n v="0"/>
    <n v="0"/>
    <n v="0"/>
    <n v="0"/>
    <n v="0"/>
    <n v="16"/>
    <n v="0"/>
    <n v="0"/>
    <n v="0"/>
    <n v="0"/>
    <n v="0"/>
    <x v="0"/>
    <n v="1000"/>
    <s v="0.34999999999999998"/>
  </r>
  <r>
    <x v="159"/>
    <x v="6"/>
    <s v="5757-030-001"/>
    <s v="178 N HALSTEAD ST  CONDOMINIUM_x000a_PASADENA, CA 91107"/>
    <s v="5+"/>
    <x v="0"/>
    <n v="0"/>
    <n v="0"/>
    <n v="0"/>
    <n v="0"/>
    <n v="0"/>
    <n v="0"/>
    <x v="0"/>
    <n v="0"/>
    <n v="47"/>
    <n v="0"/>
    <n v="0"/>
    <n v="0"/>
    <n v="0"/>
    <n v="0"/>
    <n v="0"/>
    <n v="0"/>
    <n v="0"/>
    <n v="0"/>
    <x v="0"/>
    <n v="1000"/>
    <s v="0.80000000000000004"/>
  </r>
  <r>
    <x v="106"/>
    <x v="2"/>
    <s v="669 -0 -05 0 -13 5"/>
    <s v="299 E THOUSAND OAKS BLVD"/>
    <s v="5+"/>
    <x v="1"/>
    <n v="0"/>
    <n v="0"/>
    <n v="0"/>
    <n v="0"/>
    <n v="0"/>
    <n v="0"/>
    <x v="58"/>
    <n v="0"/>
    <n v="0"/>
    <n v="0"/>
    <n v="0"/>
    <n v="131"/>
    <n v="0"/>
    <n v="0"/>
    <n v="0"/>
    <n v="0"/>
    <n v="0"/>
    <n v="0"/>
    <x v="0"/>
    <n v="50"/>
    <n v="0"/>
  </r>
  <r>
    <x v="103"/>
    <x v="1"/>
    <s v="Tract 18148 Lots 90, 91, 92, 93, 94, 95, 96, 97, 98, &amp; 99"/>
    <s v="32028, 32024, 32020, 32016, 32009, 32013, 32017, 32021, 32025, &amp; 32029 Paseo Rama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03"/>
    <x v="1"/>
    <s v="Tract 18148 Lots 61, 62, 63, 64, 65, 71, 72, 73, 74, 75, 84, 85, 86, 87, 88, &amp; 89"/>
    <s v="27102, 27089, 27094, 27090, 27086, 27054, 27050, 27046, 27042, 27038, 27021, 27059, 27055, &amp; 27047 Via Caminata, and 32036 Paseo Rama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4"/>
    <n v="0"/>
    <x v="0"/>
    <n v="30"/>
    <n v="0"/>
  </r>
  <r>
    <x v="120"/>
    <x v="1"/>
    <s v="104-35132-"/>
    <s v="BRYAN AVENUE AND THE EASTERN TRANSPORTATION CORRIDOR"/>
    <s v="5+"/>
    <x v="0"/>
    <n v="53"/>
    <n v="0"/>
    <n v="0"/>
    <n v="0"/>
    <n v="158"/>
    <n v="0"/>
    <x v="0"/>
    <n v="0"/>
    <n v="0"/>
    <n v="0"/>
    <n v="0"/>
    <n v="0"/>
    <n v="0"/>
    <n v="0"/>
    <n v="0"/>
    <n v="0"/>
    <n v="0"/>
    <n v="0"/>
    <x v="0"/>
    <m/>
    <n v="20"/>
  </r>
  <r>
    <x v="120"/>
    <x v="1"/>
    <s v="435-05326-"/>
    <s v="17422 DERIAN AVE"/>
    <s v="5+"/>
    <x v="0"/>
    <n v="0"/>
    <n v="0"/>
    <n v="0"/>
    <n v="0"/>
    <n v="0"/>
    <n v="0"/>
    <x v="10"/>
    <n v="0"/>
    <n v="1"/>
    <n v="0"/>
    <n v="15"/>
    <n v="0"/>
    <n v="0"/>
    <n v="0"/>
    <n v="0"/>
    <n v="0"/>
    <n v="0"/>
    <n v="0"/>
    <x v="0"/>
    <n v="55"/>
    <n v="25"/>
  </r>
  <r>
    <x v="10"/>
    <x v="1"/>
    <s v="220-32-059"/>
    <s v="3041 El Camino Real, SANTA CLARA, CA 95051"/>
    <s v="5+"/>
    <x v="1"/>
    <n v="0"/>
    <n v="0"/>
    <n v="0"/>
    <n v="0"/>
    <n v="0"/>
    <n v="0"/>
    <x v="0"/>
    <n v="0"/>
    <n v="0"/>
    <n v="0"/>
    <n v="2"/>
    <n v="0"/>
    <n v="0"/>
    <n v="0"/>
    <n v="0"/>
    <n v="0"/>
    <n v="0"/>
    <n v="0"/>
    <x v="1"/>
    <n v="20"/>
    <n v="0"/>
  </r>
  <r>
    <x v="44"/>
    <x v="1"/>
    <s v="467-21-028"/>
    <s v="19 N 2nd St."/>
    <s v="5+"/>
    <x v="0"/>
    <n v="0"/>
    <n v="0"/>
    <n v="25"/>
    <n v="0"/>
    <n v="0"/>
    <n v="0"/>
    <x v="0"/>
    <n v="0"/>
    <n v="0"/>
    <n v="0"/>
    <n v="0"/>
    <n v="0"/>
    <n v="0"/>
    <n v="0"/>
    <n v="0"/>
    <n v="0"/>
    <n v="0"/>
    <n v="0"/>
    <x v="0"/>
    <m/>
    <n v="25"/>
  </r>
  <r>
    <x v="44"/>
    <x v="1"/>
    <s v="467-14-086"/>
    <s v="0 E Santa Clara St."/>
    <s v="5+"/>
    <x v="0"/>
    <n v="0"/>
    <n v="0"/>
    <n v="275"/>
    <n v="0"/>
    <n v="274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1"/>
    <s v="467-09-076"/>
    <s v="70 N 27th St."/>
    <s v="5+"/>
    <x v="0"/>
    <n v="0"/>
    <n v="0"/>
    <n v="19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44"/>
    <x v="1"/>
    <s v="456-09-008"/>
    <s v="2080 Almaden Rd."/>
    <s v="5+"/>
    <x v="0"/>
    <n v="39"/>
    <n v="0"/>
    <n v="40"/>
    <n v="0"/>
    <n v="0"/>
    <n v="0"/>
    <x v="0"/>
    <n v="0"/>
    <n v="0"/>
    <n v="0"/>
    <n v="0"/>
    <n v="0"/>
    <n v="0"/>
    <n v="0"/>
    <n v="0"/>
    <n v="0"/>
    <n v="0"/>
    <n v="0"/>
    <x v="0"/>
    <n v="55"/>
    <n v="44"/>
  </r>
  <r>
    <x v="44"/>
    <x v="1"/>
    <s v="456-25-005"/>
    <s v="2315 Canoas Garden Ave."/>
    <s v="5+"/>
    <x v="0"/>
    <n v="60"/>
    <n v="0"/>
    <n v="0"/>
    <n v="0"/>
    <n v="174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1"/>
    <s v="412-20-004"/>
    <s v="2388 S Bascom Ave."/>
    <s v="5+"/>
    <x v="0"/>
    <n v="42"/>
    <n v="0"/>
    <n v="2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1"/>
    <s v="695-24-072"/>
    <s v="5885 Santa Teresa Bl"/>
    <s v="5+"/>
    <x v="0"/>
    <n v="0"/>
    <n v="0"/>
    <n v="48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98"/>
    <x v="2"/>
    <s v="008-121-001"/>
    <s v="2548 Spring Street"/>
    <s v="5+"/>
    <x v="0"/>
    <n v="1"/>
    <n v="0"/>
    <n v="1"/>
    <n v="0"/>
    <n v="15"/>
    <n v="0"/>
    <x v="0"/>
    <n v="0"/>
    <n v="0"/>
    <n v="0"/>
    <n v="0"/>
    <n v="0"/>
    <n v="0"/>
    <n v="0"/>
    <n v="0"/>
    <n v="0"/>
    <n v="0"/>
    <n v="0"/>
    <x v="0"/>
    <n v="30"/>
    <n v="0"/>
  </r>
  <r>
    <x v="27"/>
    <x v="2"/>
    <s v="946 168000203"/>
    <s v="3701 NEVADA ST, PLEASANTON, CA 94566"/>
    <s v="5+"/>
    <x v="0"/>
    <n v="0"/>
    <n v="0"/>
    <n v="0"/>
    <n v="0"/>
    <n v="0"/>
    <n v="0"/>
    <x v="0"/>
    <n v="0"/>
    <n v="0"/>
    <n v="0"/>
    <n v="0"/>
    <n v="0"/>
    <n v="23"/>
    <n v="0"/>
    <n v="7"/>
    <n v="0"/>
    <n v="0"/>
    <n v="0"/>
    <x v="1"/>
    <n v="1000"/>
    <n v="0"/>
  </r>
  <r>
    <x v="44"/>
    <x v="1"/>
    <n v="26139045"/>
    <s v="278  SUNOL ST  , SAN JOSE CA 95126"/>
    <s v="5+"/>
    <x v="0"/>
    <n v="0"/>
    <n v="0"/>
    <n v="0"/>
    <n v="0"/>
    <n v="0"/>
    <n v="0"/>
    <x v="97"/>
    <n v="0"/>
    <n v="27"/>
    <n v="0"/>
    <n v="9"/>
    <n v="0"/>
    <n v="0"/>
    <n v="0"/>
    <n v="0"/>
    <n v="0"/>
    <n v="0"/>
    <n v="0"/>
    <x v="0"/>
    <n v="57"/>
    <n v="45"/>
  </r>
  <r>
    <x v="118"/>
    <x v="3"/>
    <s v="083-080-63ST"/>
    <m/>
    <s v="5+"/>
    <x v="0"/>
    <n v="50"/>
    <n v="0"/>
    <n v="25"/>
    <n v="0"/>
    <n v="0"/>
    <n v="0"/>
    <x v="53"/>
    <n v="0"/>
    <n v="25"/>
    <n v="0"/>
    <n v="0"/>
    <n v="0"/>
    <n v="0"/>
    <n v="0"/>
    <n v="0"/>
    <n v="0"/>
    <n v="0"/>
    <n v="0"/>
    <x v="0"/>
    <n v="55"/>
    <n v="0"/>
  </r>
  <r>
    <x v="44"/>
    <x v="1"/>
    <n v="56752060"/>
    <s v="1171  MESA DR  , SAN JOSE CA 95118-3142"/>
    <s v="5+"/>
    <x v="0"/>
    <n v="0"/>
    <n v="0"/>
    <n v="0"/>
    <n v="0"/>
    <n v="0"/>
    <n v="0"/>
    <x v="0"/>
    <n v="0"/>
    <n v="0"/>
    <n v="0"/>
    <n v="0"/>
    <n v="0"/>
    <n v="40"/>
    <n v="0"/>
    <n v="5"/>
    <n v="0"/>
    <n v="0"/>
    <n v="0"/>
    <x v="0"/>
    <n v="55"/>
    <n v="35"/>
  </r>
  <r>
    <x v="143"/>
    <x v="6"/>
    <n v="1580304000"/>
    <s v="4398 RAINIER WAY"/>
    <s v="5+"/>
    <x v="0"/>
    <n v="0"/>
    <n v="0"/>
    <n v="0"/>
    <n v="0"/>
    <n v="0"/>
    <n v="0"/>
    <x v="17"/>
    <n v="0"/>
    <n v="3"/>
    <n v="0"/>
    <n v="0"/>
    <n v="0"/>
    <n v="0"/>
    <n v="0"/>
    <n v="0"/>
    <n v="0"/>
    <n v="0"/>
    <n v="0"/>
    <x v="1"/>
    <m/>
    <n v="0"/>
  </r>
  <r>
    <x v="143"/>
    <x v="6"/>
    <n v="1570403300"/>
    <s v="4933 NORTH RIVER RD"/>
    <s v="5+"/>
    <x v="0"/>
    <n v="0"/>
    <n v="0"/>
    <n v="0"/>
    <n v="0"/>
    <n v="0"/>
    <n v="0"/>
    <x v="67"/>
    <n v="0"/>
    <n v="0"/>
    <n v="0"/>
    <n v="0"/>
    <n v="0"/>
    <n v="0"/>
    <n v="0"/>
    <n v="0"/>
    <n v="0"/>
    <n v="0"/>
    <n v="0"/>
    <x v="0"/>
    <n v="55"/>
    <n v="1"/>
  </r>
  <r>
    <x v="119"/>
    <x v="6"/>
    <s v="049A-0950-001-00"/>
    <s v="1048th 36th Street and 3600-3610 San Pablo Avenue"/>
    <s v="5+"/>
    <x v="0"/>
    <n v="53"/>
    <n v="0"/>
    <n v="36"/>
    <n v="0"/>
    <n v="0"/>
    <n v="0"/>
    <x v="51"/>
    <n v="0"/>
    <n v="36"/>
    <n v="0"/>
    <n v="0"/>
    <n v="0"/>
    <n v="0"/>
    <n v="0"/>
    <n v="0"/>
    <n v="0"/>
    <n v="0"/>
    <n v="0"/>
    <x v="0"/>
    <n v="75"/>
    <s v="1.4299999999999999"/>
  </r>
  <r>
    <x v="47"/>
    <x v="6"/>
    <s v="017-172-014-000"/>
    <s v="816 UNIVERSITY AVE"/>
    <s v="5+"/>
    <x v="0"/>
    <n v="0"/>
    <n v="0"/>
    <n v="0"/>
    <n v="0"/>
    <n v="0"/>
    <n v="0"/>
    <x v="0"/>
    <n v="0"/>
    <n v="0"/>
    <n v="0"/>
    <n v="0"/>
    <n v="0"/>
    <n v="13"/>
    <n v="0"/>
    <n v="11"/>
    <n v="0"/>
    <n v="0"/>
    <n v="0"/>
    <x v="0"/>
    <m/>
    <s v="0.23000000000000001"/>
  </r>
  <r>
    <x v="47"/>
    <x v="6"/>
    <s v="017-172-014-000"/>
    <s v="806 UNIVERSITY AVE"/>
    <s v="5+"/>
    <x v="0"/>
    <n v="0"/>
    <n v="0"/>
    <n v="0"/>
    <n v="0"/>
    <n v="0"/>
    <n v="0"/>
    <x v="0"/>
    <n v="0"/>
    <n v="0"/>
    <n v="0"/>
    <n v="0"/>
    <n v="0"/>
    <n v="6"/>
    <n v="0"/>
    <n v="18"/>
    <n v="0"/>
    <n v="0"/>
    <n v="0"/>
    <x v="0"/>
    <m/>
    <s v="0.23000000000000001"/>
  </r>
  <r>
    <x v="120"/>
    <x v="1"/>
    <s v="585-08102-"/>
    <s v="PACIFICA AND GATEWAY"/>
    <s v="5+"/>
    <x v="0"/>
    <n v="11"/>
    <n v="0"/>
    <n v="0"/>
    <n v="0"/>
    <n v="30"/>
    <n v="0"/>
    <x v="0"/>
    <n v="0"/>
    <n v="0"/>
    <n v="0"/>
    <n v="0"/>
    <n v="0"/>
    <n v="0"/>
    <n v="0"/>
    <n v="0"/>
    <n v="0"/>
    <n v="0"/>
    <n v="0"/>
    <x v="0"/>
    <m/>
    <n v="20"/>
  </r>
  <r>
    <x v="159"/>
    <x v="5"/>
    <s v="5734-010-035"/>
    <s v="218 S Oakland Ave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1"/>
    <n v="1000"/>
    <n v="0"/>
  </r>
  <r>
    <x v="171"/>
    <x v="4"/>
    <n v="6250230700"/>
    <s v="236-238 Palm Ave"/>
    <s v="5+"/>
    <x v="1"/>
    <n v="0"/>
    <n v="3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27"/>
    <x v="1"/>
    <s v="225-0-014-020"/>
    <s v="2161 ETTING RD"/>
    <s v="5+"/>
    <x v="0"/>
    <n v="0"/>
    <n v="0"/>
    <n v="0"/>
    <n v="0"/>
    <n v="0"/>
    <n v="0"/>
    <x v="0"/>
    <n v="0"/>
    <n v="57"/>
    <n v="0"/>
    <n v="0"/>
    <n v="0"/>
    <n v="0"/>
    <n v="0"/>
    <n v="0"/>
    <n v="0"/>
    <n v="0"/>
    <n v="0"/>
    <x v="0"/>
    <n v="55"/>
    <n v="20"/>
  </r>
  <r>
    <x v="234"/>
    <x v="6"/>
    <s v="329-010-080-000"/>
    <s v="1500 DRESDEN DRIVE, LINCOLN, CA 95648"/>
    <s v="5+"/>
    <x v="0"/>
    <n v="0"/>
    <n v="0"/>
    <n v="0"/>
    <n v="0"/>
    <n v="0"/>
    <n v="0"/>
    <x v="12"/>
    <n v="4"/>
    <n v="0"/>
    <n v="21"/>
    <n v="0"/>
    <n v="0"/>
    <n v="0"/>
    <n v="0"/>
    <n v="0"/>
    <n v="0"/>
    <n v="0"/>
    <n v="0"/>
    <x v="0"/>
    <n v="55"/>
    <n v="0"/>
  </r>
  <r>
    <x v="234"/>
    <x v="6"/>
    <s v="329-010-080-000"/>
    <s v="1800 DRESDEN DRIVE, LINCOLN, CA 95648"/>
    <s v="5+"/>
    <x v="0"/>
    <n v="0"/>
    <n v="0"/>
    <n v="0"/>
    <n v="0"/>
    <n v="0"/>
    <n v="0"/>
    <x v="17"/>
    <n v="2"/>
    <n v="0"/>
    <n v="24"/>
    <n v="0"/>
    <n v="0"/>
    <n v="0"/>
    <n v="0"/>
    <n v="0"/>
    <n v="0"/>
    <n v="0"/>
    <n v="0"/>
    <x v="0"/>
    <n v="55"/>
    <n v="0"/>
  </r>
  <r>
    <x v="235"/>
    <x v="6"/>
    <s v="564-040-21-00"/>
    <s v="2542 ridgeway dr, national city, ca 91950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s v="0.28000000000000003"/>
  </r>
  <r>
    <x v="235"/>
    <x v="6"/>
    <s v="564-040-21-00"/>
    <s v="2542 ridgeway dr, national city, ca 91950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s v="0.28000000000000003"/>
  </r>
  <r>
    <x v="44"/>
    <x v="3"/>
    <n v="26102062"/>
    <s v="950 JULIAN ST"/>
    <s v="5+"/>
    <x v="0"/>
    <n v="0"/>
    <n v="0"/>
    <n v="299"/>
    <n v="0"/>
    <n v="0"/>
    <n v="0"/>
    <x v="0"/>
    <n v="0"/>
    <n v="0"/>
    <n v="0"/>
    <n v="0"/>
    <n v="0"/>
    <n v="0"/>
    <n v="0"/>
    <n v="0"/>
    <n v="0"/>
    <n v="0"/>
    <n v="0"/>
    <x v="0"/>
    <m/>
    <n v="8"/>
  </r>
  <r>
    <x v="44"/>
    <x v="3"/>
    <n v="29638013"/>
    <s v="4360 STEVENS CREEK BL"/>
    <s v="5+"/>
    <x v="0"/>
    <n v="58"/>
    <n v="0"/>
    <n v="29"/>
    <n v="0"/>
    <n v="29"/>
    <n v="0"/>
    <x v="0"/>
    <n v="0"/>
    <n v="0"/>
    <n v="0"/>
    <n v="0"/>
    <n v="0"/>
    <n v="0"/>
    <n v="0"/>
    <n v="0"/>
    <n v="0"/>
    <n v="0"/>
    <n v="0"/>
    <x v="0"/>
    <m/>
    <n v="0"/>
  </r>
  <r>
    <x v="44"/>
    <x v="3"/>
    <n v="45814022"/>
    <s v="1007 BLOSSOM HILL RD"/>
    <s v="5+"/>
    <x v="0"/>
    <n v="0"/>
    <n v="0"/>
    <n v="27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3"/>
    <n v="26138037"/>
    <s v="244 MCEVOY STREET"/>
    <s v="5+"/>
    <x v="0"/>
    <n v="70"/>
    <n v="0"/>
    <n v="70"/>
    <n v="0"/>
    <n v="235"/>
    <n v="0"/>
    <x v="0"/>
    <n v="0"/>
    <n v="0"/>
    <n v="0"/>
    <n v="0"/>
    <n v="0"/>
    <n v="0"/>
    <n v="0"/>
    <n v="0"/>
    <n v="0"/>
    <n v="0"/>
    <n v="0"/>
    <x v="0"/>
    <n v="55"/>
    <n v="0"/>
  </r>
  <r>
    <x v="183"/>
    <x v="4"/>
    <s v="058-833-024"/>
    <s v="1000 MEADOWS DR #2"/>
    <s v="5+"/>
    <x v="0"/>
    <n v="8"/>
    <n v="0"/>
    <n v="8"/>
    <n v="0"/>
    <n v="0"/>
    <n v="0"/>
    <x v="42"/>
    <n v="0"/>
    <n v="8"/>
    <n v="0"/>
    <n v="0"/>
    <n v="0"/>
    <n v="8"/>
    <n v="0"/>
    <n v="0"/>
    <n v="0"/>
    <n v="0"/>
    <n v="0"/>
    <x v="1"/>
    <n v="55"/>
    <n v="0"/>
  </r>
  <r>
    <x v="183"/>
    <x v="4"/>
    <s v="058-833-025"/>
    <s v="1000 MEADOWS DR #3"/>
    <s v="5+"/>
    <x v="0"/>
    <n v="3"/>
    <n v="0"/>
    <n v="1"/>
    <n v="0"/>
    <n v="0"/>
    <n v="0"/>
    <x v="2"/>
    <n v="0"/>
    <n v="1"/>
    <n v="0"/>
    <n v="0"/>
    <n v="0"/>
    <n v="3"/>
    <n v="0"/>
    <n v="1"/>
    <n v="0"/>
    <n v="0"/>
    <n v="0"/>
    <x v="1"/>
    <n v="55"/>
    <n v="0"/>
  </r>
  <r>
    <x v="44"/>
    <x v="1"/>
    <s v="249-65-060"/>
    <s v="1347 E Julian St."/>
    <s v="5+"/>
    <x v="0"/>
    <n v="0"/>
    <n v="0"/>
    <n v="36"/>
    <n v="0"/>
    <n v="9"/>
    <n v="0"/>
    <x v="0"/>
    <n v="0"/>
    <n v="0"/>
    <n v="0"/>
    <n v="0"/>
    <n v="0"/>
    <n v="0"/>
    <n v="0"/>
    <n v="0"/>
    <n v="0"/>
    <n v="0"/>
    <n v="0"/>
    <x v="0"/>
    <m/>
    <n v="0"/>
  </r>
  <r>
    <x v="44"/>
    <x v="1"/>
    <s v="249-65-061"/>
    <s v="1325 E Julian St."/>
    <s v="5+"/>
    <x v="0"/>
    <n v="0"/>
    <n v="0"/>
    <n v="127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44"/>
    <x v="1"/>
    <s v="254-91-004"/>
    <s v="525 N Capitol Ave."/>
    <s v="5+"/>
    <x v="0"/>
    <n v="71"/>
    <n v="0"/>
    <n v="8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"/>
    <x v="5"/>
    <s v="5677-005-006"/>
    <s v="1416 5th St"/>
    <s v="5+"/>
    <x v="0"/>
    <n v="7"/>
    <n v="0"/>
    <n v="53"/>
    <n v="0"/>
    <n v="0"/>
    <n v="0"/>
    <x v="14"/>
    <n v="0"/>
    <n v="53"/>
    <n v="0"/>
    <n v="0"/>
    <n v="0"/>
    <n v="0"/>
    <n v="0"/>
    <n v="0"/>
    <n v="0"/>
    <n v="0"/>
    <n v="0"/>
    <x v="0"/>
    <n v="55"/>
    <n v="0"/>
  </r>
  <r>
    <x v="215"/>
    <x v="1"/>
    <s v="046032030, 046032040, 046032080 &amp; 046032090"/>
    <s v="604, 608, &amp; 610 HARBOR BLVD"/>
    <s v="5+"/>
    <x v="0"/>
    <n v="0"/>
    <n v="0"/>
    <n v="16"/>
    <n v="0"/>
    <n v="0"/>
    <n v="0"/>
    <x v="0"/>
    <n v="0"/>
    <n v="0"/>
    <n v="0"/>
    <n v="0"/>
    <n v="0"/>
    <n v="0"/>
    <n v="0"/>
    <n v="0"/>
    <n v="0"/>
    <n v="0"/>
    <n v="0"/>
    <x v="0"/>
    <n v="99"/>
    <n v="0"/>
  </r>
  <r>
    <x v="96"/>
    <x v="1"/>
    <s v="40407150T"/>
    <s v="7521 N CHESTNUT AVE BLDG 120"/>
    <s v="5+"/>
    <x v="0"/>
    <n v="0"/>
    <n v="0"/>
    <n v="0"/>
    <n v="0"/>
    <n v="0"/>
    <n v="0"/>
    <x v="0"/>
    <n v="7"/>
    <n v="0"/>
    <n v="5"/>
    <n v="0"/>
    <n v="0"/>
    <n v="0"/>
    <n v="0"/>
    <n v="0"/>
    <n v="0"/>
    <n v="0"/>
    <n v="0"/>
    <x v="0"/>
    <m/>
    <n v="52"/>
  </r>
  <r>
    <x v="49"/>
    <x v="1"/>
    <s v="117-240-0028"/>
    <s v="SEC Blosser and West Stowell Road"/>
    <s v="5+"/>
    <x v="0"/>
    <n v="1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5"/>
  </r>
  <r>
    <x v="153"/>
    <x v="0"/>
    <n v="126164047"/>
    <s v="1335 Galindo St."/>
    <s v="5+"/>
    <x v="0"/>
    <n v="15"/>
    <n v="0"/>
    <n v="15"/>
    <n v="0"/>
    <n v="0"/>
    <n v="0"/>
    <x v="0"/>
    <n v="0"/>
    <n v="0"/>
    <n v="0"/>
    <n v="0"/>
    <n v="0"/>
    <n v="0"/>
    <n v="0"/>
    <n v="0"/>
    <n v="0"/>
    <n v="0"/>
    <n v="0"/>
    <x v="0"/>
    <n v="55"/>
    <n v="38"/>
  </r>
  <r>
    <x v="112"/>
    <x v="5"/>
    <n v="180690041"/>
    <n v="1055"/>
    <s v="5+"/>
    <x v="0"/>
    <n v="0"/>
    <n v="0"/>
    <n v="0"/>
    <n v="0"/>
    <n v="0"/>
    <n v="0"/>
    <x v="6"/>
    <n v="0"/>
    <n v="1"/>
    <n v="0"/>
    <n v="0"/>
    <n v="0"/>
    <n v="6"/>
    <n v="0"/>
    <n v="1"/>
    <n v="0"/>
    <n v="0"/>
    <n v="0"/>
    <x v="0"/>
    <m/>
    <n v="0"/>
  </r>
  <r>
    <x v="85"/>
    <x v="6"/>
    <s v="214-010-293"/>
    <s v="5506 Linen Court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1"/>
    <n v="0"/>
    <x v="1"/>
    <n v="55"/>
    <n v="0"/>
  </r>
  <r>
    <x v="85"/>
    <x v="6"/>
    <s v="214-010-228"/>
    <s v="2002 Ivory Terrace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15"/>
    <x v="0"/>
    <s v="044 496700100"/>
    <s v="9409 INTERNATIONAL BLVD"/>
    <s v="5+"/>
    <x v="0"/>
    <n v="0"/>
    <n v="0"/>
    <n v="0"/>
    <n v="0"/>
    <n v="0"/>
    <n v="0"/>
    <x v="34"/>
    <n v="0"/>
    <n v="0"/>
    <n v="0"/>
    <n v="0"/>
    <n v="0"/>
    <n v="0"/>
    <n v="0"/>
    <n v="0"/>
    <n v="0"/>
    <n v="0"/>
    <n v="0"/>
    <x v="0"/>
    <n v="75"/>
    <n v="0"/>
  </r>
  <r>
    <x v="15"/>
    <x v="0"/>
    <s v="030 198212100"/>
    <s v="4311 MACARTHUR BLVD"/>
    <s v="5+"/>
    <x v="0"/>
    <n v="40"/>
    <n v="0"/>
    <n v="151"/>
    <n v="0"/>
    <n v="0"/>
    <n v="0"/>
    <x v="0"/>
    <n v="0"/>
    <n v="0"/>
    <n v="0"/>
    <n v="0"/>
    <n v="0"/>
    <n v="0"/>
    <n v="0"/>
    <n v="0"/>
    <n v="0"/>
    <n v="0"/>
    <n v="0"/>
    <x v="0"/>
    <n v="55"/>
    <n v="65"/>
  </r>
  <r>
    <x v="15"/>
    <x v="0"/>
    <s v="009 068800600"/>
    <s v="424 28TH ST"/>
    <s v="5+"/>
    <x v="1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0"/>
    <x v="1"/>
    <s v="220-32-059"/>
    <s v="3045 El Camino Real, SANTA CLARA, CA 95051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20"/>
    <n v="0"/>
  </r>
  <r>
    <x v="1"/>
    <x v="6"/>
    <s v="051-0030-001-0000"/>
    <s v="7243 POWER INN RD, BLDG# 5_x000a_SACRAMENTO, CA 95828"/>
    <s v="5+"/>
    <x v="0"/>
    <n v="0"/>
    <n v="0"/>
    <n v="0"/>
    <n v="0"/>
    <n v="0"/>
    <n v="0"/>
    <x v="0"/>
    <n v="0"/>
    <n v="0"/>
    <n v="0"/>
    <n v="0"/>
    <n v="0"/>
    <n v="0"/>
    <n v="0"/>
    <n v="24"/>
    <n v="0"/>
    <n v="0"/>
    <n v="0"/>
    <x v="0"/>
    <n v="55"/>
    <s v="0.28999999999999998"/>
  </r>
  <r>
    <x v="44"/>
    <x v="1"/>
    <s v="264-31-110"/>
    <s v="501 Almaden Ave."/>
    <s v="5+"/>
    <x v="0"/>
    <n v="0"/>
    <n v="0"/>
    <n v="5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27"/>
    <x v="0"/>
    <s v="202-0-054-090"/>
    <s v="136 South B Street"/>
    <s v="5+"/>
    <x v="0"/>
    <n v="1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20"/>
    <n v="0"/>
  </r>
  <r>
    <x v="119"/>
    <x v="3"/>
    <s v="049-1079-014-01 049-1079-017-01"/>
    <s v="4300 San Pablo Avenue"/>
    <s v="5+"/>
    <x v="0"/>
    <n v="6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77"/>
    <n v="165"/>
  </r>
  <r>
    <x v="131"/>
    <x v="2"/>
    <s v="057 203400800"/>
    <s v="2023 Shattuck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31"/>
    <x v="2"/>
    <s v="055 189501805"/>
    <s v="2352 Shattuck"/>
    <s v="5+"/>
    <x v="0"/>
    <n v="0"/>
    <n v="0"/>
    <n v="0"/>
    <n v="0"/>
    <n v="0"/>
    <n v="0"/>
    <x v="42"/>
    <n v="0"/>
    <n v="0"/>
    <n v="0"/>
    <n v="0"/>
    <n v="0"/>
    <n v="0"/>
    <n v="0"/>
    <n v="0"/>
    <n v="0"/>
    <n v="0"/>
    <n v="0"/>
    <x v="0"/>
    <m/>
    <n v="0"/>
  </r>
  <r>
    <x v="236"/>
    <x v="3"/>
    <n v="7376016007"/>
    <s v="24830-24838 Narbonne Ave."/>
    <s v="5+"/>
    <x v="0"/>
    <n v="1"/>
    <n v="0"/>
    <n v="0"/>
    <n v="0"/>
    <n v="0"/>
    <n v="3"/>
    <x v="0"/>
    <n v="0"/>
    <n v="0"/>
    <n v="0"/>
    <n v="0"/>
    <n v="0"/>
    <n v="0"/>
    <n v="0"/>
    <n v="0"/>
    <n v="0"/>
    <n v="0"/>
    <n v="0"/>
    <x v="0"/>
    <n v="55"/>
    <s v="46.299999999999997"/>
  </r>
  <r>
    <x v="75"/>
    <x v="1"/>
    <s v="014184120"/>
    <s v="1477 Huntington Ave"/>
    <s v="5+"/>
    <x v="0"/>
    <n v="13"/>
    <n v="0"/>
    <n v="26"/>
    <n v="0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10"/>
    <x v="1"/>
    <s v="294-38-016"/>
    <s v="88 Saratoga AV, SANTA CLARA, CA"/>
    <s v="5+"/>
    <x v="0"/>
    <n v="0"/>
    <n v="0"/>
    <n v="0"/>
    <n v="0"/>
    <n v="0"/>
    <n v="0"/>
    <x v="98"/>
    <n v="0"/>
    <n v="158"/>
    <n v="0"/>
    <n v="0"/>
    <n v="2"/>
    <n v="0"/>
    <n v="0"/>
    <n v="0"/>
    <n v="0"/>
    <n v="0"/>
    <n v="0"/>
    <x v="0"/>
    <n v="55"/>
    <n v="100"/>
  </r>
  <r>
    <x v="44"/>
    <x v="1"/>
    <s v="484-21-003"/>
    <s v="2920 Alum Rock Ave."/>
    <s v="5+"/>
    <x v="0"/>
    <n v="31"/>
    <n v="0"/>
    <n v="3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1"/>
    <n v="0"/>
    <s v="237  RACE ST  , SAN JOSE CA 95126"/>
    <s v="5+"/>
    <x v="0"/>
    <n v="0"/>
    <n v="0"/>
    <n v="0"/>
    <n v="0"/>
    <n v="0"/>
    <n v="0"/>
    <x v="55"/>
    <n v="0"/>
    <n v="18"/>
    <n v="0"/>
    <n v="0"/>
    <n v="0"/>
    <n v="0"/>
    <n v="0"/>
    <n v="0"/>
    <n v="0"/>
    <n v="0"/>
    <n v="0"/>
    <x v="1"/>
    <n v="55"/>
    <n v="0"/>
  </r>
  <r>
    <x v="32"/>
    <x v="3"/>
    <s v="4291-014-025"/>
    <s v="101 Santa Monica Blvd"/>
    <s v="5+"/>
    <x v="0"/>
    <n v="8"/>
    <n v="0"/>
    <n v="6"/>
    <n v="0"/>
    <n v="6"/>
    <n v="0"/>
    <x v="0"/>
    <n v="0"/>
    <n v="0"/>
    <n v="0"/>
    <n v="0"/>
    <n v="0"/>
    <n v="0"/>
    <n v="0"/>
    <n v="0"/>
    <n v="0"/>
    <n v="0"/>
    <n v="0"/>
    <x v="1"/>
    <n v="55"/>
    <n v="0"/>
  </r>
  <r>
    <x v="182"/>
    <x v="3"/>
    <n v="38912020"/>
    <s v="18764 COX AV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32.5"/>
  </r>
  <r>
    <x v="18"/>
    <x v="3"/>
    <s v="241-020-025"/>
    <s v="110 Woodbury Highlands Pl"/>
    <s v="5+"/>
    <x v="1"/>
    <n v="0"/>
    <n v="0"/>
    <n v="0"/>
    <n v="0"/>
    <n v="0"/>
    <n v="0"/>
    <x v="3"/>
    <n v="0"/>
    <n v="0"/>
    <n v="0"/>
    <n v="2"/>
    <n v="0"/>
    <n v="0"/>
    <n v="0"/>
    <n v="0"/>
    <n v="0"/>
    <n v="0"/>
    <n v="0"/>
    <x v="1"/>
    <n v="45"/>
    <n v="0"/>
  </r>
  <r>
    <x v="18"/>
    <x v="3"/>
    <s v="241-020-030"/>
    <s v="105 Woodbury Highlands Pl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45"/>
    <n v="0"/>
  </r>
  <r>
    <x v="152"/>
    <x v="3"/>
    <s v="125-580-16"/>
    <s v="414 VERANDAH AVENUE BLD 12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1000"/>
    <n v="0"/>
  </r>
  <r>
    <x v="44"/>
    <x v="1"/>
    <n v="45814022"/>
    <s v="1001  BLOSSOM HILL RD  , SAN JOSE CA 95123"/>
    <s v="5+"/>
    <x v="0"/>
    <n v="0"/>
    <n v="0"/>
    <n v="0"/>
    <n v="0"/>
    <n v="0"/>
    <n v="0"/>
    <x v="34"/>
    <n v="0"/>
    <n v="108"/>
    <n v="0"/>
    <n v="105"/>
    <n v="0"/>
    <n v="0"/>
    <n v="0"/>
    <n v="0"/>
    <n v="0"/>
    <n v="0"/>
    <n v="0"/>
    <x v="0"/>
    <n v="55"/>
    <n v="0"/>
  </r>
  <r>
    <x v="44"/>
    <x v="1"/>
    <n v="41220004"/>
    <s v="2388 S BASCOM AV  , SAN JOSE CA 95008"/>
    <s v="5+"/>
    <x v="0"/>
    <n v="0"/>
    <n v="0"/>
    <n v="0"/>
    <n v="0"/>
    <n v="0"/>
    <n v="0"/>
    <x v="52"/>
    <n v="0"/>
    <n v="24"/>
    <n v="0"/>
    <n v="0"/>
    <n v="0"/>
    <n v="0"/>
    <n v="0"/>
    <n v="0"/>
    <n v="0"/>
    <n v="0"/>
    <n v="0"/>
    <x v="0"/>
    <n v="55"/>
    <n v="0"/>
  </r>
  <r>
    <x v="131"/>
    <x v="0"/>
    <s v="057 203400800"/>
    <s v="2023 Shattuck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m/>
    <n v="35"/>
  </r>
  <r>
    <x v="131"/>
    <x v="0"/>
    <s v="055 187701902"/>
    <s v="2580 Bancroft"/>
    <s v="5+"/>
    <x v="0"/>
    <n v="0"/>
    <n v="0"/>
    <n v="0"/>
    <n v="0"/>
    <n v="0"/>
    <n v="0"/>
    <x v="0"/>
    <n v="0"/>
    <n v="0"/>
    <n v="0"/>
    <n v="0"/>
    <n v="0"/>
    <n v="11"/>
    <n v="0"/>
    <n v="0"/>
    <n v="0"/>
    <n v="0"/>
    <n v="0"/>
    <x v="0"/>
    <m/>
    <n v="35"/>
  </r>
  <r>
    <x v="82"/>
    <x v="4"/>
    <s v="04180106"/>
    <s v="141  APTOS VILLAGE  WAY, APTOS  CA  95003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1000"/>
    <n v="0"/>
  </r>
  <r>
    <x v="32"/>
    <x v="5"/>
    <n v="4289019019"/>
    <s v="234 Pico Blvd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59"/>
    <x v="2"/>
    <s v="5723-007-081"/>
    <s v="289 N El Molino Ave"/>
    <s v="5+"/>
    <x v="0"/>
    <n v="0"/>
    <n v="0"/>
    <n v="0"/>
    <n v="0"/>
    <n v="0"/>
    <n v="0"/>
    <x v="0"/>
    <n v="0"/>
    <n v="0"/>
    <n v="0"/>
    <n v="0"/>
    <n v="0"/>
    <n v="9"/>
    <n v="0"/>
    <n v="0"/>
    <n v="0"/>
    <n v="0"/>
    <n v="0"/>
    <x v="1"/>
    <n v="1000"/>
    <n v="0"/>
  </r>
  <r>
    <x v="8"/>
    <x v="6"/>
    <n v="4920220100"/>
    <s v="3222 Mission Village Dr, San Diego, CA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.5"/>
  </r>
  <r>
    <x v="8"/>
    <x v="6"/>
    <n v="4714513000"/>
    <s v="4030 43rd St, San Diego, CA"/>
    <s v="5+"/>
    <x v="0"/>
    <n v="0"/>
    <n v="0"/>
    <n v="0"/>
    <n v="0"/>
    <n v="0"/>
    <n v="0"/>
    <x v="0"/>
    <n v="0"/>
    <n v="45"/>
    <n v="0"/>
    <n v="0"/>
    <n v="0"/>
    <n v="0"/>
    <n v="0"/>
    <n v="0"/>
    <n v="0"/>
    <n v="0"/>
    <n v="0"/>
    <x v="0"/>
    <n v="55"/>
    <s v="0.67000000000000004"/>
  </r>
  <r>
    <x v="8"/>
    <x v="6"/>
    <n v="4290300300"/>
    <s v="3301 Ruffin Rd, San Diego, CA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1"/>
    <m/>
    <n v="0"/>
  </r>
  <r>
    <x v="8"/>
    <x v="6"/>
    <n v="4290300300"/>
    <s v="3305 Ruffin Rd, San Diego, CA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03"/>
    <x v="1"/>
    <s v="Tract 18148 Lots 48, 49, 50, 51, 52, 53, 54, 55, 56, 57, 58, 59, &amp; 60"/>
    <s v="31990, 31994, 31998, 32002, 32006 Paseo Deriva, 27101 Via Caminata, 32010, 32011, 32007, 32003, 31999, 31995, &amp; 31991 Paseo Deriva"/>
    <s v="5+"/>
    <x v="1"/>
    <n v="0"/>
    <n v="0"/>
    <n v="0"/>
    <n v="0"/>
    <n v="0"/>
    <n v="0"/>
    <x v="0"/>
    <n v="0"/>
    <n v="0"/>
    <n v="0"/>
    <n v="2"/>
    <n v="0"/>
    <n v="0"/>
    <n v="0"/>
    <n v="0"/>
    <n v="0"/>
    <n v="0"/>
    <n v="0"/>
    <x v="0"/>
    <n v="30"/>
    <n v="0"/>
  </r>
  <r>
    <x v="183"/>
    <x v="4"/>
    <s v="058-833-023"/>
    <s v="1000 MEADOWS DR #1"/>
    <s v="5+"/>
    <x v="0"/>
    <n v="16"/>
    <n v="0"/>
    <n v="16"/>
    <n v="0"/>
    <n v="0"/>
    <n v="0"/>
    <x v="45"/>
    <n v="0"/>
    <n v="16"/>
    <n v="0"/>
    <n v="0"/>
    <n v="0"/>
    <n v="16"/>
    <n v="0"/>
    <n v="0"/>
    <n v="0"/>
    <n v="0"/>
    <n v="0"/>
    <x v="1"/>
    <n v="55"/>
    <n v="0"/>
  </r>
  <r>
    <x v="84"/>
    <x v="2"/>
    <s v="025-431-16"/>
    <s v="1255 Martin Street"/>
    <s v="5+"/>
    <x v="0"/>
    <n v="34"/>
    <n v="0"/>
    <n v="13"/>
    <n v="0"/>
    <n v="0"/>
    <n v="0"/>
    <x v="59"/>
    <n v="0"/>
    <n v="13"/>
    <n v="0"/>
    <n v="0"/>
    <n v="0"/>
    <n v="34"/>
    <n v="0"/>
    <n v="13"/>
    <n v="0"/>
    <n v="0"/>
    <n v="0"/>
    <x v="0"/>
    <n v="30"/>
    <n v="0"/>
  </r>
  <r>
    <x v="8"/>
    <x v="6"/>
    <n v="4320110400"/>
    <s v="2301 Ulric St, San Diego, CA"/>
    <s v="5+"/>
    <x v="0"/>
    <n v="0"/>
    <n v="0"/>
    <n v="0"/>
    <n v="0"/>
    <n v="0"/>
    <n v="0"/>
    <x v="3"/>
    <n v="0"/>
    <n v="2"/>
    <n v="0"/>
    <n v="0"/>
    <n v="0"/>
    <n v="0"/>
    <n v="0"/>
    <n v="0"/>
    <n v="0"/>
    <n v="0"/>
    <n v="0"/>
    <x v="0"/>
    <n v="55"/>
    <n v="0"/>
  </r>
  <r>
    <x v="8"/>
    <x v="6"/>
    <n v="4611900400"/>
    <s v="5945 Mission Gorge Rd, San Diego, CA"/>
    <s v="5+"/>
    <x v="0"/>
    <n v="0"/>
    <n v="0"/>
    <n v="0"/>
    <n v="0"/>
    <n v="44"/>
    <n v="0"/>
    <x v="0"/>
    <n v="0"/>
    <n v="0"/>
    <n v="0"/>
    <n v="0"/>
    <n v="0"/>
    <n v="0"/>
    <n v="0"/>
    <n v="0"/>
    <n v="0"/>
    <n v="0"/>
    <n v="0"/>
    <x v="0"/>
    <n v="55"/>
    <s v="0.089999999999999997"/>
  </r>
  <r>
    <x v="8"/>
    <x v="6"/>
    <n v="4521036600"/>
    <s v="635 ROBINSON AV"/>
    <s v="5+"/>
    <x v="0"/>
    <n v="0"/>
    <n v="0"/>
    <n v="0"/>
    <n v="0"/>
    <n v="0"/>
    <n v="0"/>
    <x v="0"/>
    <n v="0"/>
    <n v="0"/>
    <n v="0"/>
    <n v="0"/>
    <n v="0"/>
    <n v="9"/>
    <n v="0"/>
    <n v="0"/>
    <n v="0"/>
    <n v="0"/>
    <n v="0"/>
    <x v="0"/>
    <n v="55"/>
    <s v="0.29999999999999999"/>
  </r>
  <r>
    <x v="8"/>
    <x v="6"/>
    <n v="4612201200"/>
    <s v="4360 TWAIN AV"/>
    <s v="5+"/>
    <x v="0"/>
    <n v="0"/>
    <n v="0"/>
    <n v="0"/>
    <n v="0"/>
    <n v="0"/>
    <n v="0"/>
    <x v="0"/>
    <n v="0"/>
    <n v="0"/>
    <n v="0"/>
    <n v="0"/>
    <n v="0"/>
    <n v="11"/>
    <n v="0"/>
    <n v="1"/>
    <n v="0"/>
    <n v="1"/>
    <n v="0"/>
    <x v="0"/>
    <n v="55"/>
    <s v="0.58999999999999997"/>
  </r>
  <r>
    <x v="8"/>
    <x v="6"/>
    <n v="4520563400"/>
    <s v="3840 06TH AV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0"/>
    <n v="55"/>
    <n v="0.25"/>
  </r>
  <r>
    <x v="8"/>
    <x v="6"/>
    <n v="4332503100"/>
    <s v="2251 IRONWOOD CR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7"/>
    <x v="0"/>
    <s v="398-236-03"/>
    <s v="301 E Santa Ana Blvd"/>
    <s v="5+"/>
    <x v="0"/>
    <n v="0"/>
    <n v="0"/>
    <n v="0"/>
    <n v="0"/>
    <n v="0"/>
    <n v="0"/>
    <x v="0"/>
    <n v="0"/>
    <n v="92"/>
    <n v="0"/>
    <n v="0"/>
    <n v="0"/>
    <n v="0"/>
    <n v="0"/>
    <n v="0"/>
    <n v="0"/>
    <n v="0"/>
    <n v="0"/>
    <x v="1"/>
    <n v="55"/>
    <n v="0"/>
  </r>
  <r>
    <x v="215"/>
    <x v="6"/>
    <s v="046031070"/>
    <s v="1325 Old County Rd"/>
    <s v="5+"/>
    <x v="0"/>
    <n v="0"/>
    <n v="0"/>
    <n v="0"/>
    <n v="0"/>
    <n v="0"/>
    <n v="0"/>
    <x v="0"/>
    <n v="0"/>
    <n v="0"/>
    <n v="0"/>
    <n v="0"/>
    <n v="0"/>
    <n v="0"/>
    <n v="0"/>
    <n v="38"/>
    <n v="0"/>
    <n v="0"/>
    <n v="0"/>
    <x v="1"/>
    <n v="99"/>
    <n v="0"/>
  </r>
  <r>
    <x v="31"/>
    <x v="5"/>
    <n v="-3667"/>
    <s v="905  DE GUIGNE DR 3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m/>
    <n v="0"/>
  </r>
  <r>
    <x v="31"/>
    <x v="5"/>
    <n v="-3719"/>
    <s v="820 E DUANE AV 7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3950"/>
    <s v="531  SAN LORENZO TR 5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4018"/>
    <s v="845  JULIAN TR 6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184"/>
    <x v="2"/>
    <s v="097-121-25"/>
    <s v="14822 Beach BLVD"/>
    <s v="5+"/>
    <x v="0"/>
    <n v="0"/>
    <n v="0"/>
    <n v="0"/>
    <n v="0"/>
    <n v="0"/>
    <n v="0"/>
    <x v="0"/>
    <n v="0"/>
    <n v="0"/>
    <n v="0"/>
    <n v="0"/>
    <n v="0"/>
    <n v="16"/>
    <n v="0"/>
    <n v="0"/>
    <n v="0"/>
    <n v="0"/>
    <n v="0"/>
    <x v="0"/>
    <m/>
    <n v="0"/>
  </r>
  <r>
    <x v="31"/>
    <x v="5"/>
    <n v="20946029"/>
    <s v="792  BRAMBLE TR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-3653"/>
    <s v="904 ¬†COTATI TR 3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3711"/>
    <s v="925  DE GUIGNE DR 2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3973"/>
    <s v="537  SAN LORENZO TR 1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149"/>
    <x v="6"/>
    <s v="525-1200-002-02"/>
    <s v="41191 Fremont Blvd"/>
    <s v="5+"/>
    <x v="0"/>
    <n v="0"/>
    <n v="0"/>
    <n v="0"/>
    <n v="0"/>
    <n v="0"/>
    <n v="0"/>
    <x v="0"/>
    <n v="0"/>
    <n v="0"/>
    <n v="0"/>
    <n v="0"/>
    <n v="0"/>
    <n v="89"/>
    <n v="0"/>
    <n v="0"/>
    <n v="0"/>
    <n v="0"/>
    <n v="0"/>
    <x v="0"/>
    <n v="55"/>
    <s v="0.059999999999999998"/>
  </r>
  <r>
    <x v="31"/>
    <x v="5"/>
    <n v="-4107"/>
    <s v="508 SARDINIA TR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20908057"/>
    <s v="149  JEFFREY TR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43"/>
    <s v="563  SAN MARTIN TR 3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68"/>
    <s v="860 E DUANE AV 10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39"/>
    <s v="880 E DUANE AV 5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21"/>
    <s v="905  COTATI TR 5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08"/>
    <s v="844  GALT TR 3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25"/>
    <s v="544  SAN MARCOS TR 2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159"/>
    <x v="2"/>
    <s v="5723-015-081"/>
    <s v="533 E Union St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1"/>
    <n v="1000"/>
    <n v="0"/>
  </r>
  <r>
    <x v="1"/>
    <x v="1"/>
    <s v="261-0210-019-0000"/>
    <s v="0 BEECH AVE, ORANGEVALE, CA 95662"/>
    <s v="5+"/>
    <x v="0"/>
    <n v="16"/>
    <n v="0"/>
    <n v="12"/>
    <n v="1"/>
    <n v="0"/>
    <n v="0"/>
    <x v="0"/>
    <n v="0"/>
    <n v="0"/>
    <n v="0"/>
    <n v="0"/>
    <n v="0"/>
    <n v="0"/>
    <n v="0"/>
    <n v="0"/>
    <n v="0"/>
    <n v="0"/>
    <n v="0"/>
    <x v="0"/>
    <m/>
    <n v="80"/>
  </r>
  <r>
    <x v="17"/>
    <x v="0"/>
    <s v="398-328-01"/>
    <s v="401 N Main St"/>
    <s v="5+"/>
    <x v="0"/>
    <n v="0"/>
    <n v="0"/>
    <n v="0"/>
    <n v="0"/>
    <n v="0"/>
    <n v="0"/>
    <x v="58"/>
    <n v="0"/>
    <n v="0"/>
    <n v="0"/>
    <n v="0"/>
    <n v="0"/>
    <n v="0"/>
    <n v="0"/>
    <n v="0"/>
    <n v="0"/>
    <n v="0"/>
    <n v="0"/>
    <x v="0"/>
    <n v="55"/>
    <n v="0"/>
  </r>
  <r>
    <x v="237"/>
    <x v="5"/>
    <s v="003-581-22"/>
    <s v="237 E Gobbi St"/>
    <s v="5+"/>
    <x v="0"/>
    <n v="0"/>
    <n v="0"/>
    <n v="0"/>
    <n v="0"/>
    <n v="0"/>
    <n v="0"/>
    <x v="37"/>
    <n v="0"/>
    <n v="0"/>
    <n v="0"/>
    <n v="0"/>
    <n v="0"/>
    <n v="0"/>
    <n v="0"/>
    <n v="0"/>
    <n v="0"/>
    <n v="0"/>
    <n v="0"/>
    <x v="0"/>
    <n v="1000"/>
    <n v="0"/>
  </r>
  <r>
    <x v="31"/>
    <x v="5"/>
    <n v="-3832"/>
    <s v="814  COTATI TR 16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20564063"/>
    <s v="824  GRIDLEY TR 5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1"/>
    <n v="0"/>
    <x v="1"/>
    <n v="30"/>
    <n v="0"/>
  </r>
  <r>
    <x v="31"/>
    <x v="5"/>
    <n v="-4019"/>
    <s v="845  JULIAN TR 7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79"/>
    <x v="0"/>
    <s v="040031210, 040031220, 040031230, 040031240"/>
    <s v="No Site Address"/>
    <s v="5+"/>
    <x v="0"/>
    <n v="0"/>
    <n v="0"/>
    <n v="7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13"/>
    <x v="0"/>
    <n v="4990306700"/>
    <s v="4210 Spring St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35"/>
  </r>
  <r>
    <x v="13"/>
    <x v="0"/>
    <n v="4943001100"/>
    <s v="8565 La Mesa Blvd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31"/>
    <x v="5"/>
    <n v="20908070"/>
    <s v="765 E EVELYN AV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29"/>
    <s v="910 E DUANE AV 4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45"/>
    <s v="830  GRIDLEY TR 3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95"/>
    <x v="3"/>
    <n v="72625061"/>
    <s v="18309 BARROSA LN"/>
    <s v="5+"/>
    <x v="0"/>
    <n v="0"/>
    <n v="0"/>
    <n v="0"/>
    <n v="0"/>
    <n v="0"/>
    <n v="0"/>
    <x v="5"/>
    <n v="0"/>
    <n v="0"/>
    <n v="0"/>
    <n v="0"/>
    <n v="15"/>
    <n v="0"/>
    <n v="0"/>
    <n v="0"/>
    <n v="0"/>
    <n v="0"/>
    <n v="0"/>
    <x v="1"/>
    <n v="55"/>
    <n v="0"/>
  </r>
  <r>
    <x v="95"/>
    <x v="3"/>
    <n v="72636059"/>
    <s v="18750 MINER LN"/>
    <s v="5+"/>
    <x v="0"/>
    <n v="0"/>
    <n v="0"/>
    <n v="0"/>
    <n v="0"/>
    <n v="0"/>
    <n v="0"/>
    <x v="3"/>
    <n v="0"/>
    <n v="18"/>
    <n v="0"/>
    <n v="0"/>
    <n v="0"/>
    <n v="0"/>
    <n v="0"/>
    <n v="0"/>
    <n v="0"/>
    <n v="0"/>
    <n v="0"/>
    <x v="0"/>
    <n v="55"/>
    <n v="80"/>
  </r>
  <r>
    <x v="95"/>
    <x v="3"/>
    <n v="72636059"/>
    <s v="18765 MINER LN"/>
    <s v="5+"/>
    <x v="0"/>
    <n v="0"/>
    <n v="0"/>
    <n v="0"/>
    <n v="0"/>
    <n v="0"/>
    <n v="0"/>
    <x v="3"/>
    <n v="0"/>
    <n v="18"/>
    <n v="0"/>
    <n v="0"/>
    <n v="0"/>
    <n v="0"/>
    <n v="0"/>
    <n v="0"/>
    <n v="0"/>
    <n v="0"/>
    <n v="0"/>
    <x v="0"/>
    <n v="55"/>
    <n v="80"/>
  </r>
  <r>
    <x v="95"/>
    <x v="3"/>
    <n v="72636059"/>
    <s v="18795 MINER LN"/>
    <s v="5+"/>
    <x v="0"/>
    <n v="0"/>
    <n v="0"/>
    <n v="0"/>
    <n v="0"/>
    <n v="0"/>
    <n v="0"/>
    <x v="3"/>
    <n v="0"/>
    <n v="18"/>
    <n v="0"/>
    <n v="0"/>
    <n v="0"/>
    <n v="0"/>
    <n v="0"/>
    <n v="0"/>
    <n v="0"/>
    <n v="0"/>
    <n v="0"/>
    <x v="0"/>
    <n v="55"/>
    <n v="80"/>
  </r>
  <r>
    <x v="95"/>
    <x v="3"/>
    <n v="77904075"/>
    <s v="15470 WATSONVILLE RD"/>
    <s v="5+"/>
    <x v="0"/>
    <n v="0"/>
    <n v="0"/>
    <n v="0"/>
    <n v="0"/>
    <n v="0"/>
    <n v="0"/>
    <x v="35"/>
    <n v="0"/>
    <n v="0"/>
    <n v="0"/>
    <n v="1"/>
    <n v="0"/>
    <n v="0"/>
    <n v="0"/>
    <n v="0"/>
    <n v="0"/>
    <n v="0"/>
    <n v="0"/>
    <x v="0"/>
    <n v="55"/>
    <n v="0"/>
  </r>
  <r>
    <x v="95"/>
    <x v="3"/>
    <n v="72642001"/>
    <s v="19380 Monterey Rd"/>
    <s v="5+"/>
    <x v="1"/>
    <n v="0"/>
    <n v="0"/>
    <n v="0"/>
    <n v="0"/>
    <n v="14"/>
    <n v="0"/>
    <x v="0"/>
    <n v="0"/>
    <n v="0"/>
    <n v="0"/>
    <n v="0"/>
    <n v="0"/>
    <n v="0"/>
    <n v="0"/>
    <n v="0"/>
    <n v="0"/>
    <n v="0"/>
    <n v="0"/>
    <x v="1"/>
    <n v="55"/>
    <n v="0"/>
  </r>
  <r>
    <x v="132"/>
    <x v="3"/>
    <s v="107-180-11"/>
    <s v="15161 VAN BUREN ST, MIDWAY CITY, CA 92655"/>
    <s v="5+"/>
    <x v="0"/>
    <n v="0"/>
    <n v="0"/>
    <n v="0"/>
    <n v="0"/>
    <n v="0"/>
    <n v="0"/>
    <x v="0"/>
    <n v="0"/>
    <n v="0"/>
    <n v="0"/>
    <n v="0"/>
    <n v="0"/>
    <n v="21"/>
    <n v="0"/>
    <n v="48"/>
    <n v="0"/>
    <n v="0"/>
    <n v="0"/>
    <x v="0"/>
    <m/>
    <n v="154"/>
  </r>
  <r>
    <x v="114"/>
    <x v="1"/>
    <m/>
    <s v="14225 Walker"/>
    <s v="5+"/>
    <x v="0"/>
    <n v="0"/>
    <n v="0"/>
    <n v="0"/>
    <n v="0"/>
    <n v="0"/>
    <n v="0"/>
    <x v="22"/>
    <n v="0"/>
    <n v="0"/>
    <n v="0"/>
    <n v="1"/>
    <n v="0"/>
    <n v="49"/>
    <n v="0"/>
    <n v="0"/>
    <n v="0"/>
    <n v="1"/>
    <n v="0"/>
    <x v="1"/>
    <m/>
    <n v="0"/>
  </r>
  <r>
    <x v="31"/>
    <x v="5"/>
    <n v="-3671"/>
    <s v="557  CHARLES FRAKER TR 2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3848"/>
    <s v="846  COTATI TR 16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149"/>
    <x v="0"/>
    <s v="525 120000202"/>
    <s v="4038 Irvington Ave"/>
    <s v="5+"/>
    <x v="0"/>
    <n v="0"/>
    <n v="0"/>
    <n v="0"/>
    <n v="0"/>
    <n v="0"/>
    <n v="0"/>
    <x v="82"/>
    <n v="0"/>
    <n v="0"/>
    <n v="0"/>
    <n v="0"/>
    <n v="0"/>
    <n v="0"/>
    <n v="0"/>
    <n v="0"/>
    <n v="0"/>
    <n v="0"/>
    <n v="0"/>
    <x v="0"/>
    <n v="55"/>
    <s v="5.5999999999999996"/>
  </r>
  <r>
    <x v="31"/>
    <x v="5"/>
    <n v="-3960"/>
    <s v="533  SAN LORENZO TR 2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42"/>
    <x v="2"/>
    <s v="127-221-032"/>
    <s v="655 West Spain St., Bldg. 1"/>
    <s v="5+"/>
    <x v="0"/>
    <n v="0"/>
    <n v="0"/>
    <n v="0"/>
    <n v="0"/>
    <n v="1"/>
    <n v="0"/>
    <x v="0"/>
    <n v="0"/>
    <n v="0"/>
    <n v="0"/>
    <n v="1"/>
    <n v="0"/>
    <n v="0"/>
    <n v="0"/>
    <n v="0"/>
    <n v="0"/>
    <n v="1"/>
    <n v="0"/>
    <x v="1"/>
    <m/>
    <n v="0"/>
  </r>
  <r>
    <x v="42"/>
    <x v="2"/>
    <s v="127-221-032"/>
    <s v="655 West Spain St., Bldg. 4"/>
    <s v="5+"/>
    <x v="0"/>
    <n v="0"/>
    <n v="0"/>
    <n v="0"/>
    <n v="0"/>
    <n v="2"/>
    <n v="0"/>
    <x v="0"/>
    <n v="0"/>
    <n v="0"/>
    <n v="0"/>
    <n v="2"/>
    <n v="0"/>
    <n v="0"/>
    <n v="0"/>
    <n v="0"/>
    <n v="0"/>
    <n v="0"/>
    <n v="0"/>
    <x v="1"/>
    <m/>
    <n v="0"/>
  </r>
  <r>
    <x v="120"/>
    <x v="1"/>
    <s v="445-01120-"/>
    <s v="2171 CAMPUS DR"/>
    <s v="5+"/>
    <x v="0"/>
    <n v="0"/>
    <n v="0"/>
    <n v="0"/>
    <n v="0"/>
    <n v="0"/>
    <n v="0"/>
    <x v="51"/>
    <n v="0"/>
    <n v="1"/>
    <n v="0"/>
    <n v="35"/>
    <n v="0"/>
    <n v="0"/>
    <n v="0"/>
    <n v="0"/>
    <n v="0"/>
    <n v="0"/>
    <n v="0"/>
    <x v="0"/>
    <n v="55"/>
    <n v="25"/>
  </r>
  <r>
    <x v="120"/>
    <x v="1"/>
    <s v="445-01311-"/>
    <s v="3100 MARTIN"/>
    <s v="5+"/>
    <x v="0"/>
    <n v="0"/>
    <n v="0"/>
    <n v="0"/>
    <n v="0"/>
    <n v="0"/>
    <n v="0"/>
    <x v="29"/>
    <n v="0"/>
    <n v="0"/>
    <n v="0"/>
    <n v="11"/>
    <n v="0"/>
    <n v="0"/>
    <n v="0"/>
    <n v="0"/>
    <n v="0"/>
    <n v="0"/>
    <n v="0"/>
    <x v="0"/>
    <n v="30"/>
    <n v="25"/>
  </r>
  <r>
    <x v="102"/>
    <x v="6"/>
    <s v="147-03-038"/>
    <s v="800 SAN ANTONIO RD"/>
    <s v="5+"/>
    <x v="1"/>
    <n v="6"/>
    <n v="0"/>
    <n v="5"/>
    <n v="0"/>
    <n v="4"/>
    <n v="0"/>
    <x v="0"/>
    <n v="0"/>
    <n v="0"/>
    <n v="0"/>
    <n v="0"/>
    <n v="0"/>
    <n v="0"/>
    <n v="0"/>
    <n v="0"/>
    <n v="0"/>
    <n v="0"/>
    <n v="0"/>
    <x v="1"/>
    <n v="99"/>
    <n v="0"/>
  </r>
  <r>
    <x v="10"/>
    <x v="3"/>
    <s v="230-60-002"/>
    <s v="350 Chastain PL, SANTA CLARA, CA 95050"/>
    <s v="5+"/>
    <x v="0"/>
    <n v="0"/>
    <n v="0"/>
    <n v="21"/>
    <n v="0"/>
    <n v="20"/>
    <n v="0"/>
    <x v="0"/>
    <n v="0"/>
    <n v="21"/>
    <n v="0"/>
    <n v="20"/>
    <n v="0"/>
    <n v="0"/>
    <n v="0"/>
    <n v="0"/>
    <n v="0"/>
    <n v="0"/>
    <n v="0"/>
    <x v="1"/>
    <n v="55"/>
    <n v="0"/>
  </r>
  <r>
    <x v="31"/>
    <x v="5"/>
    <n v="20947005"/>
    <s v="731 E EVELYN AV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-3583"/>
    <s v="552  GALT TR 3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87"/>
    <s v="840 E DUANE AV 10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31"/>
    <s v="810  COTATI TR 2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02"/>
    <s v="838  GALT TR 5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7"/>
    <x v="3"/>
    <s v="163-171-031"/>
    <s v="6035 OLD REDWOOD HWY"/>
    <s v="5+"/>
    <x v="0"/>
    <n v="0"/>
    <n v="0"/>
    <n v="0"/>
    <n v="0"/>
    <n v="0"/>
    <n v="0"/>
    <x v="0"/>
    <n v="0"/>
    <n v="112"/>
    <n v="0"/>
    <n v="0"/>
    <n v="0"/>
    <n v="0"/>
    <n v="0"/>
    <n v="0"/>
    <n v="0"/>
    <n v="0"/>
    <n v="0"/>
    <x v="0"/>
    <n v="55"/>
    <n v="13"/>
  </r>
  <r>
    <x v="37"/>
    <x v="3"/>
    <s v="163-171-031"/>
    <s v="6035 OLD REDWOOD HWY"/>
    <s v="5+"/>
    <x v="0"/>
    <n v="0"/>
    <n v="0"/>
    <n v="0"/>
    <n v="0"/>
    <n v="0"/>
    <n v="0"/>
    <x v="0"/>
    <n v="0"/>
    <n v="21"/>
    <n v="0"/>
    <n v="0"/>
    <n v="0"/>
    <n v="0"/>
    <n v="0"/>
    <n v="0"/>
    <n v="0"/>
    <n v="0"/>
    <n v="0"/>
    <x v="0"/>
    <n v="55"/>
    <n v="13"/>
  </r>
  <r>
    <x v="188"/>
    <x v="3"/>
    <n v="60242057"/>
    <s v="1206 W Grand"/>
    <s v="5+"/>
    <x v="0"/>
    <n v="0"/>
    <n v="0"/>
    <n v="53"/>
    <n v="0"/>
    <n v="0"/>
    <n v="0"/>
    <x v="0"/>
    <n v="0"/>
    <n v="0"/>
    <n v="0"/>
    <n v="0"/>
    <n v="0"/>
    <n v="0"/>
    <n v="0"/>
    <n v="0"/>
    <n v="0"/>
    <n v="0"/>
    <n v="0"/>
    <x v="0"/>
    <m/>
    <n v="71"/>
  </r>
  <r>
    <x v="66"/>
    <x v="0"/>
    <n v="4017025903"/>
    <s v="716 Beach Ave"/>
    <s v="5+"/>
    <x v="0"/>
    <n v="5"/>
    <n v="0"/>
    <n v="18"/>
    <n v="0"/>
    <n v="18"/>
    <n v="0"/>
    <x v="12"/>
    <n v="0"/>
    <n v="18"/>
    <n v="0"/>
    <n v="18"/>
    <n v="0"/>
    <n v="5"/>
    <n v="0"/>
    <n v="18"/>
    <n v="0"/>
    <n v="18"/>
    <n v="0"/>
    <x v="0"/>
    <n v="55"/>
    <n v="100"/>
  </r>
  <r>
    <x v="131"/>
    <x v="3"/>
    <s v="060 240500100"/>
    <s v="1201 SAN PABLO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32.5"/>
  </r>
  <r>
    <x v="131"/>
    <x v="3"/>
    <s v="057 204601000"/>
    <s v="2111 UNIVERSITY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1"/>
    <n v="1000"/>
    <n v="0"/>
  </r>
  <r>
    <x v="131"/>
    <x v="3"/>
    <s v="054 171900100"/>
    <s v="2701 SHATTUCK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1000"/>
    <n v="35"/>
  </r>
  <r>
    <x v="62"/>
    <x v="4"/>
    <n v="3730007"/>
    <s v="65 - 67 LANGTON ST"/>
    <s v="5+"/>
    <x v="0"/>
    <n v="0"/>
    <n v="0"/>
    <n v="13"/>
    <n v="0"/>
    <n v="4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s v="0595008"/>
    <s v="2050 Van Ness Ave / 1675 Pacific Ave"/>
    <s v="5+"/>
    <x v="0"/>
    <n v="0"/>
    <n v="0"/>
    <n v="8"/>
    <n v="0"/>
    <n v="3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s v="0766010"/>
    <s v="555 GOLDEN GATE AV"/>
    <s v="5+"/>
    <x v="1"/>
    <n v="0"/>
    <n v="0"/>
    <n v="0"/>
    <n v="0"/>
    <n v="0"/>
    <n v="0"/>
    <x v="0"/>
    <n v="0"/>
    <n v="0"/>
    <n v="0"/>
    <n v="7"/>
    <n v="0"/>
    <n v="0"/>
    <n v="0"/>
    <n v="0"/>
    <n v="0"/>
    <n v="0"/>
    <n v="0"/>
    <x v="1"/>
    <m/>
    <n v="0"/>
  </r>
  <r>
    <x v="62"/>
    <x v="4"/>
    <n v="6522064"/>
    <s v="3001 24TH ST"/>
    <s v="5+"/>
    <x v="0"/>
    <n v="0"/>
    <n v="0"/>
    <n v="0"/>
    <n v="0"/>
    <n v="0"/>
    <n v="0"/>
    <x v="76"/>
    <n v="0"/>
    <n v="0"/>
    <n v="0"/>
    <n v="0"/>
    <n v="0"/>
    <n v="0"/>
    <n v="0"/>
    <n v="0"/>
    <n v="0"/>
    <n v="0"/>
    <n v="0"/>
    <x v="0"/>
    <m/>
    <n v="0"/>
  </r>
  <r>
    <x v="62"/>
    <x v="4"/>
    <s v="3532019B"/>
    <s v="235 VALENCIA ST"/>
    <s v="5+"/>
    <x v="0"/>
    <n v="0"/>
    <n v="0"/>
    <n v="0"/>
    <n v="0"/>
    <n v="0"/>
    <n v="0"/>
    <x v="0"/>
    <n v="0"/>
    <n v="4"/>
    <n v="0"/>
    <n v="1"/>
    <n v="0"/>
    <n v="0"/>
    <n v="0"/>
    <n v="0"/>
    <n v="0"/>
    <n v="0"/>
    <n v="0"/>
    <x v="1"/>
    <m/>
    <n v="0"/>
  </r>
  <r>
    <x v="42"/>
    <x v="6"/>
    <s v="018-131-018"/>
    <s v="254 First Street East"/>
    <s v="5+"/>
    <x v="1"/>
    <n v="0"/>
    <n v="0"/>
    <n v="1"/>
    <n v="0"/>
    <n v="1"/>
    <n v="0"/>
    <x v="0"/>
    <n v="0"/>
    <n v="0"/>
    <n v="0"/>
    <n v="0"/>
    <n v="0"/>
    <n v="0"/>
    <n v="0"/>
    <n v="0"/>
    <n v="0"/>
    <n v="0"/>
    <n v="0"/>
    <x v="1"/>
    <n v="1000"/>
    <n v="0"/>
  </r>
  <r>
    <x v="10"/>
    <x v="1"/>
    <s v="097-46-027"/>
    <s v="2230 CALLE DEL MUNDO, SANTA CLARA, CA 95054"/>
    <s v="5+"/>
    <x v="0"/>
    <n v="0"/>
    <n v="0"/>
    <n v="0"/>
    <n v="0"/>
    <n v="0"/>
    <n v="0"/>
    <x v="17"/>
    <n v="0"/>
    <n v="9"/>
    <n v="0"/>
    <n v="16"/>
    <n v="0"/>
    <n v="0"/>
    <n v="0"/>
    <n v="0"/>
    <n v="0"/>
    <n v="0"/>
    <n v="0"/>
    <x v="1"/>
    <n v="55"/>
    <n v="0"/>
  </r>
  <r>
    <x v="140"/>
    <x v="6"/>
    <s v="064-081-041-000"/>
    <s v="Cottonwood Street and  W Beamer Street"/>
    <s v="5+"/>
    <x v="0"/>
    <n v="0"/>
    <n v="0"/>
    <n v="4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3"/>
    <x v="3"/>
    <n v="5554002010"/>
    <s v="1301 FAIRFAX AVE"/>
    <s v="5+"/>
    <x v="0"/>
    <n v="2"/>
    <n v="0"/>
    <n v="0"/>
    <n v="0"/>
    <n v="1"/>
    <n v="0"/>
    <x v="0"/>
    <n v="0"/>
    <n v="0"/>
    <n v="0"/>
    <n v="0"/>
    <n v="0"/>
    <n v="0"/>
    <n v="0"/>
    <n v="0"/>
    <n v="0"/>
    <n v="0"/>
    <n v="0"/>
    <x v="0"/>
    <n v="1000"/>
    <n v="35"/>
  </r>
  <r>
    <x v="3"/>
    <x v="3"/>
    <n v="4339017030"/>
    <s v="948 SAN VICENTE BLVD BUILDING"/>
    <s v="5+"/>
    <x v="0"/>
    <n v="2"/>
    <n v="0"/>
    <n v="0"/>
    <n v="0"/>
    <n v="2"/>
    <n v="0"/>
    <x v="0"/>
    <n v="0"/>
    <n v="0"/>
    <n v="0"/>
    <n v="0"/>
    <n v="0"/>
    <n v="0"/>
    <n v="0"/>
    <n v="0"/>
    <n v="0"/>
    <n v="0"/>
    <n v="0"/>
    <x v="0"/>
    <n v="1000"/>
    <n v="50"/>
  </r>
  <r>
    <x v="3"/>
    <x v="3"/>
    <n v="5529009034"/>
    <s v="1001 FAIRFAX AVE"/>
    <s v="5+"/>
    <x v="1"/>
    <n v="0"/>
    <n v="0"/>
    <n v="0"/>
    <n v="0"/>
    <n v="0"/>
    <n v="0"/>
    <x v="0"/>
    <n v="0"/>
    <n v="0"/>
    <n v="0"/>
    <n v="0"/>
    <n v="0"/>
    <n v="3"/>
    <n v="0"/>
    <n v="1"/>
    <n v="0"/>
    <n v="1"/>
    <n v="0"/>
    <x v="0"/>
    <n v="1000"/>
    <n v="35"/>
  </r>
  <r>
    <x v="32"/>
    <x v="6"/>
    <d v="1976-01-26T00:00:00"/>
    <s v="2501 Wilshire Blvd"/>
    <s v="5+"/>
    <x v="0"/>
    <n v="6"/>
    <n v="0"/>
    <n v="6"/>
    <n v="0"/>
    <n v="5"/>
    <n v="0"/>
    <x v="0"/>
    <n v="0"/>
    <n v="0"/>
    <n v="0"/>
    <n v="0"/>
    <n v="0"/>
    <n v="0"/>
    <n v="0"/>
    <n v="0"/>
    <n v="0"/>
    <n v="0"/>
    <n v="0"/>
    <x v="0"/>
    <n v="55"/>
    <s v="0.48999999999999999"/>
  </r>
  <r>
    <x v="32"/>
    <x v="6"/>
    <s v="4282-028-019"/>
    <s v="1527 Lincoln Blvd"/>
    <s v="5+"/>
    <x v="0"/>
    <n v="7"/>
    <n v="0"/>
    <n v="7"/>
    <n v="0"/>
    <n v="7"/>
    <n v="0"/>
    <x v="0"/>
    <n v="0"/>
    <n v="0"/>
    <n v="0"/>
    <n v="0"/>
    <n v="0"/>
    <n v="0"/>
    <n v="0"/>
    <n v="0"/>
    <n v="0"/>
    <n v="0"/>
    <n v="0"/>
    <x v="0"/>
    <n v="55"/>
    <n v="0.5"/>
  </r>
  <r>
    <x v="32"/>
    <x v="6"/>
    <s v="4266-016-051"/>
    <s v="2729  WILSHIRE BLVD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m/>
    <n v="0"/>
  </r>
  <r>
    <x v="32"/>
    <x v="6"/>
    <d v="1967-12-09T00:00:00"/>
    <s v="1342  BERKELEY ST"/>
    <s v="5+"/>
    <x v="0"/>
    <n v="0"/>
    <n v="0"/>
    <n v="0"/>
    <n v="0"/>
    <n v="0"/>
    <n v="0"/>
    <x v="21"/>
    <n v="0"/>
    <n v="0"/>
    <n v="0"/>
    <n v="0"/>
    <n v="0"/>
    <n v="0"/>
    <n v="0"/>
    <n v="0"/>
    <n v="0"/>
    <n v="0"/>
    <n v="0"/>
    <x v="1"/>
    <n v="99"/>
    <n v="0"/>
  </r>
  <r>
    <x v="131"/>
    <x v="3"/>
    <s v="057 202201900"/>
    <s v="1950 ADDISON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0"/>
    <n v="1000"/>
    <n v="20"/>
  </r>
  <r>
    <x v="44"/>
    <x v="1"/>
    <s v="277-22-009"/>
    <s v="1510 Parkmoor Ave."/>
    <s v="5+"/>
    <x v="0"/>
    <n v="0"/>
    <n v="0"/>
    <n v="79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1"/>
    <s v="467-30-038"/>
    <s v="934 E Santa Clara St."/>
    <s v="5+"/>
    <x v="0"/>
    <n v="52"/>
    <n v="0"/>
    <n v="5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1"/>
    <x v="3"/>
    <s v="057 202501300"/>
    <s v="2000 UNIVERSITY"/>
    <s v="5+"/>
    <x v="0"/>
    <n v="0"/>
    <n v="0"/>
    <n v="0"/>
    <n v="0"/>
    <n v="0"/>
    <n v="0"/>
    <x v="14"/>
    <n v="0"/>
    <n v="0"/>
    <n v="0"/>
    <n v="0"/>
    <n v="0"/>
    <n v="0"/>
    <n v="0"/>
    <n v="0"/>
    <n v="0"/>
    <n v="0"/>
    <n v="0"/>
    <x v="0"/>
    <n v="1000"/>
    <n v="32.5"/>
  </r>
  <r>
    <x v="131"/>
    <x v="3"/>
    <s v="053 159101803"/>
    <s v="2001 ASHBY"/>
    <s v="5+"/>
    <x v="0"/>
    <n v="0"/>
    <n v="0"/>
    <n v="0"/>
    <n v="0"/>
    <n v="0"/>
    <n v="0"/>
    <x v="51"/>
    <n v="0"/>
    <n v="33"/>
    <n v="0"/>
    <n v="0"/>
    <n v="0"/>
    <n v="0"/>
    <n v="0"/>
    <n v="0"/>
    <n v="0"/>
    <n v="0"/>
    <n v="0"/>
    <x v="0"/>
    <n v="1000"/>
    <n v="35"/>
  </r>
  <r>
    <x v="131"/>
    <x v="3"/>
    <s v="055 189600500"/>
    <s v="2440 SHATTUCK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32.5"/>
  </r>
  <r>
    <x v="215"/>
    <x v="3"/>
    <n v="46031070"/>
    <s v="1325 OLD COUNTY ROAD"/>
    <s v="5+"/>
    <x v="0"/>
    <n v="0"/>
    <n v="0"/>
    <n v="38"/>
    <n v="0"/>
    <n v="0"/>
    <n v="0"/>
    <x v="0"/>
    <n v="0"/>
    <n v="38"/>
    <n v="0"/>
    <n v="0"/>
    <n v="0"/>
    <n v="0"/>
    <n v="0"/>
    <n v="0"/>
    <n v="0"/>
    <n v="0"/>
    <n v="0"/>
    <x v="1"/>
    <n v="99"/>
    <n v="0"/>
  </r>
  <r>
    <x v="44"/>
    <x v="1"/>
    <n v="48118064"/>
    <s v="1860  ALUM ROCK AV  , SAN JOSE CA 95116-1303"/>
    <s v="5+"/>
    <x v="0"/>
    <n v="0"/>
    <n v="0"/>
    <n v="0"/>
    <n v="0"/>
    <n v="0"/>
    <n v="0"/>
    <x v="18"/>
    <n v="0"/>
    <n v="0"/>
    <n v="0"/>
    <n v="0"/>
    <n v="0"/>
    <n v="0"/>
    <n v="0"/>
    <n v="0"/>
    <n v="0"/>
    <n v="0"/>
    <n v="0"/>
    <x v="0"/>
    <n v="55"/>
    <n v="0"/>
  </r>
  <r>
    <x v="37"/>
    <x v="3"/>
    <s v="164-080-038, 164-080-002"/>
    <s v="8550, 8560 Old Redwood Hwy"/>
    <s v="5+"/>
    <x v="0"/>
    <n v="10"/>
    <n v="0"/>
    <n v="3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1"/>
    <x v="3"/>
    <s v="058 218300100"/>
    <s v="1601 OXFORD"/>
    <s v="5+"/>
    <x v="0"/>
    <n v="0"/>
    <n v="0"/>
    <n v="0"/>
    <n v="0"/>
    <n v="0"/>
    <n v="0"/>
    <x v="0"/>
    <n v="0"/>
    <n v="0"/>
    <n v="0"/>
    <n v="0"/>
    <n v="0"/>
    <n v="7"/>
    <n v="0"/>
    <n v="14"/>
    <n v="0"/>
    <n v="12"/>
    <n v="0"/>
    <x v="0"/>
    <n v="1000"/>
    <n v="35"/>
  </r>
  <r>
    <x v="31"/>
    <x v="3"/>
    <n v="16513080"/>
    <s v="311 S MATHILDA AV"/>
    <s v="5+"/>
    <x v="0"/>
    <n v="0"/>
    <n v="0"/>
    <n v="0"/>
    <n v="0"/>
    <n v="0"/>
    <n v="0"/>
    <x v="0"/>
    <n v="0"/>
    <n v="0"/>
    <n v="0"/>
    <n v="0"/>
    <n v="0"/>
    <n v="6"/>
    <n v="0"/>
    <n v="0"/>
    <n v="0"/>
    <n v="0"/>
    <n v="0"/>
    <x v="0"/>
    <n v="55"/>
    <n v="35"/>
  </r>
  <r>
    <x v="27"/>
    <x v="4"/>
    <s v="094 001901700"/>
    <s v="251 KOTTINGER DR"/>
    <s v="5+"/>
    <x v="0"/>
    <n v="0"/>
    <n v="0"/>
    <n v="0"/>
    <n v="0"/>
    <n v="0"/>
    <n v="0"/>
    <x v="0"/>
    <n v="0"/>
    <n v="0"/>
    <n v="0"/>
    <n v="0"/>
    <n v="0"/>
    <n v="25"/>
    <n v="0"/>
    <n v="5"/>
    <n v="0"/>
    <n v="0"/>
    <n v="0"/>
    <x v="1"/>
    <n v="75"/>
    <n v="0"/>
  </r>
  <r>
    <x v="27"/>
    <x v="4"/>
    <s v="094 001901700"/>
    <s v="247 KOTTINGER DR"/>
    <s v="5+"/>
    <x v="0"/>
    <n v="0"/>
    <n v="0"/>
    <n v="0"/>
    <n v="0"/>
    <n v="0"/>
    <n v="0"/>
    <x v="0"/>
    <n v="0"/>
    <n v="0"/>
    <n v="0"/>
    <n v="0"/>
    <n v="0"/>
    <n v="0"/>
    <n v="0"/>
    <n v="6"/>
    <n v="0"/>
    <n v="0"/>
    <n v="0"/>
    <x v="1"/>
    <n v="75"/>
    <n v="0"/>
  </r>
  <r>
    <x v="121"/>
    <x v="5"/>
    <s v="499-220-53"/>
    <s v="8465 Broadway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15"/>
    <x v="0"/>
    <n v="55"/>
    <n v="0"/>
  </r>
  <r>
    <x v="62"/>
    <x v="4"/>
    <n v="1809028"/>
    <s v="3945 JUDAH ST"/>
    <s v="5+"/>
    <x v="0"/>
    <n v="0"/>
    <n v="0"/>
    <n v="4"/>
    <n v="0"/>
    <n v="1"/>
    <n v="0"/>
    <x v="0"/>
    <n v="0"/>
    <n v="0"/>
    <n v="0"/>
    <n v="0"/>
    <n v="0"/>
    <n v="0"/>
    <n v="0"/>
    <n v="0"/>
    <n v="0"/>
    <n v="0"/>
    <n v="0"/>
    <x v="0"/>
    <m/>
    <n v="0"/>
  </r>
  <r>
    <x v="62"/>
    <x v="4"/>
    <n v="3780044"/>
    <s v="975 BRYANT ST"/>
    <s v="5+"/>
    <x v="0"/>
    <n v="0"/>
    <n v="0"/>
    <n v="0"/>
    <n v="0"/>
    <n v="0"/>
    <n v="0"/>
    <x v="0"/>
    <n v="0"/>
    <n v="30"/>
    <n v="0"/>
    <n v="0"/>
    <n v="0"/>
    <n v="0"/>
    <n v="0"/>
    <n v="0"/>
    <n v="0"/>
    <n v="0"/>
    <n v="0"/>
    <x v="1"/>
    <m/>
    <n v="0"/>
  </r>
  <r>
    <x v="62"/>
    <x v="4"/>
    <n v="8901002"/>
    <s v="1 AVENUE OF THE PALMS *"/>
    <s v="5+"/>
    <x v="0"/>
    <n v="0"/>
    <n v="0"/>
    <n v="0"/>
    <n v="0"/>
    <n v="0"/>
    <n v="0"/>
    <x v="0"/>
    <n v="0"/>
    <n v="104"/>
    <n v="0"/>
    <n v="0"/>
    <n v="0"/>
    <n v="0"/>
    <n v="0"/>
    <n v="0"/>
    <n v="0"/>
    <n v="0"/>
    <n v="0"/>
    <x v="1"/>
    <m/>
    <n v="0"/>
  </r>
  <r>
    <x v="62"/>
    <x v="4"/>
    <n v="1107008"/>
    <s v="2500 TURK BL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s v="0855016"/>
    <s v="1700 MARKET ST"/>
    <s v="5+"/>
    <x v="0"/>
    <n v="0"/>
    <n v="0"/>
    <n v="0"/>
    <n v="0"/>
    <n v="0"/>
    <n v="0"/>
    <x v="0"/>
    <n v="0"/>
    <n v="0"/>
    <n v="0"/>
    <n v="5"/>
    <n v="0"/>
    <n v="0"/>
    <n v="0"/>
    <n v="0"/>
    <n v="0"/>
    <n v="0"/>
    <n v="0"/>
    <x v="1"/>
    <m/>
    <n v="0"/>
  </r>
  <r>
    <x v="62"/>
    <x v="4"/>
    <n v="3505020"/>
    <s v="42 OTIS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n v="2648019"/>
    <s v="4230 18TH ST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m/>
    <n v="0"/>
  </r>
  <r>
    <x v="62"/>
    <x v="4"/>
    <s v="0857007"/>
    <s v="95 LAGUNA ST"/>
    <s v="5+"/>
    <x v="0"/>
    <n v="0"/>
    <n v="0"/>
    <n v="0"/>
    <n v="0"/>
    <n v="0"/>
    <n v="0"/>
    <x v="0"/>
    <n v="0"/>
    <n v="0"/>
    <n v="0"/>
    <n v="0"/>
    <n v="0"/>
    <n v="78"/>
    <n v="0"/>
    <n v="0"/>
    <n v="0"/>
    <n v="0"/>
    <n v="0"/>
    <x v="1"/>
    <m/>
    <n v="0"/>
  </r>
  <r>
    <x v="62"/>
    <x v="4"/>
    <n v="4044013"/>
    <s v="777 TENNESSEE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8"/>
    <n v="0"/>
    <x v="1"/>
    <m/>
    <n v="0"/>
  </r>
  <r>
    <x v="62"/>
    <x v="4"/>
    <n v="4041009"/>
    <s v="680 INDIANA ST"/>
    <s v="5+"/>
    <x v="0"/>
    <n v="0"/>
    <n v="0"/>
    <n v="0"/>
    <n v="0"/>
    <n v="0"/>
    <n v="0"/>
    <x v="0"/>
    <n v="0"/>
    <n v="0"/>
    <n v="0"/>
    <n v="0"/>
    <n v="0"/>
    <n v="0"/>
    <n v="0"/>
    <n v="7"/>
    <n v="0"/>
    <n v="0"/>
    <n v="0"/>
    <x v="1"/>
    <m/>
    <n v="0"/>
  </r>
  <r>
    <x v="62"/>
    <x v="4"/>
    <n v="3995022"/>
    <s v="595 MARIPOSA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n v="3736190"/>
    <s v="41 TEHAMA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96"/>
    <x v="3"/>
    <n v="44310410"/>
    <s v="3039 N BLACKSTONE AVE"/>
    <s v="5+"/>
    <x v="0"/>
    <n v="0"/>
    <n v="0"/>
    <n v="0"/>
    <n v="0"/>
    <n v="0"/>
    <n v="0"/>
    <x v="12"/>
    <n v="0"/>
    <n v="9"/>
    <n v="0"/>
    <n v="0"/>
    <n v="0"/>
    <n v="0"/>
    <n v="0"/>
    <n v="0"/>
    <n v="0"/>
    <n v="0"/>
    <n v="0"/>
    <x v="0"/>
    <n v="55"/>
    <n v="255"/>
  </r>
  <r>
    <x v="62"/>
    <x v="4"/>
    <n v="3725068"/>
    <s v="475 MINNA ST"/>
    <s v="5+"/>
    <x v="0"/>
    <n v="22"/>
    <n v="0"/>
    <n v="113"/>
    <n v="0"/>
    <n v="8"/>
    <n v="0"/>
    <x v="0"/>
    <n v="0"/>
    <n v="0"/>
    <n v="0"/>
    <n v="0"/>
    <n v="0"/>
    <n v="0"/>
    <n v="0"/>
    <n v="0"/>
    <n v="0"/>
    <n v="0"/>
    <n v="0"/>
    <x v="0"/>
    <m/>
    <n v="0"/>
  </r>
  <r>
    <x v="62"/>
    <x v="4"/>
    <s v="0300003C"/>
    <s v="820 POST ST"/>
    <s v="5+"/>
    <x v="1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n v="8954001"/>
    <s v="201 MACALLA RD"/>
    <s v="5+"/>
    <x v="1"/>
    <n v="0"/>
    <n v="0"/>
    <n v="0"/>
    <n v="0"/>
    <n v="0"/>
    <n v="0"/>
    <x v="0"/>
    <n v="0"/>
    <n v="3"/>
    <n v="0"/>
    <n v="8"/>
    <n v="0"/>
    <n v="0"/>
    <n v="0"/>
    <n v="0"/>
    <n v="0"/>
    <n v="0"/>
    <n v="0"/>
    <x v="1"/>
    <m/>
    <n v="0"/>
  </r>
  <r>
    <x v="62"/>
    <x v="4"/>
    <n v="3510058"/>
    <s v="915 MINNA ST"/>
    <s v="5+"/>
    <x v="0"/>
    <n v="0"/>
    <n v="0"/>
    <n v="0"/>
    <n v="0"/>
    <n v="0"/>
    <n v="0"/>
    <x v="0"/>
    <n v="0"/>
    <n v="0"/>
    <n v="0"/>
    <n v="0"/>
    <n v="0"/>
    <n v="0"/>
    <n v="0"/>
    <n v="7"/>
    <n v="0"/>
    <n v="0"/>
    <n v="0"/>
    <x v="1"/>
    <m/>
    <n v="0"/>
  </r>
  <r>
    <x v="62"/>
    <x v="4"/>
    <n v="4108017"/>
    <s v="901 TENNESSEE ST"/>
    <s v="5+"/>
    <x v="1"/>
    <n v="0"/>
    <n v="0"/>
    <n v="0"/>
    <n v="0"/>
    <n v="0"/>
    <n v="0"/>
    <x v="0"/>
    <n v="0"/>
    <n v="0"/>
    <n v="0"/>
    <n v="0"/>
    <n v="0"/>
    <n v="0"/>
    <n v="0"/>
    <n v="19"/>
    <n v="0"/>
    <n v="0"/>
    <n v="0"/>
    <x v="1"/>
    <m/>
    <n v="0"/>
  </r>
  <r>
    <x v="62"/>
    <x v="4"/>
    <n v="4105009"/>
    <s v="800 INDIANA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n v="3615055"/>
    <s v="606 CAPP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96"/>
    <x v="3"/>
    <n v="44409228"/>
    <s v="1538 E CLINTON AVE"/>
    <s v="5+"/>
    <x v="0"/>
    <n v="0"/>
    <n v="55"/>
    <n v="0"/>
    <n v="22"/>
    <n v="0"/>
    <n v="0"/>
    <x v="0"/>
    <n v="55"/>
    <n v="0"/>
    <n v="22"/>
    <n v="0"/>
    <n v="0"/>
    <n v="0"/>
    <n v="0"/>
    <n v="0"/>
    <n v="0"/>
    <n v="0"/>
    <n v="0"/>
    <x v="0"/>
    <m/>
    <n v="113"/>
  </r>
  <r>
    <x v="44"/>
    <x v="3"/>
    <n v="26415024"/>
    <s v="740 SAN CARLOS ST"/>
    <s v="5+"/>
    <x v="0"/>
    <n v="0"/>
    <n v="0"/>
    <n v="68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3"/>
    <n v="25947069"/>
    <s v="543 LORRAINE AVE"/>
    <s v="5+"/>
    <x v="0"/>
    <n v="0"/>
    <n v="0"/>
    <n v="63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44"/>
    <x v="3"/>
    <n v="47217005"/>
    <s v="838 1ST ST"/>
    <s v="5+"/>
    <x v="0"/>
    <n v="0"/>
    <n v="0"/>
    <n v="33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"/>
    <x v="6"/>
    <s v="132-0-080-275"/>
    <s v="3030 Johnson Dr"/>
    <s v="5+"/>
    <x v="0"/>
    <n v="0"/>
    <n v="0"/>
    <n v="0"/>
    <n v="0"/>
    <n v="0"/>
    <n v="0"/>
    <x v="0"/>
    <n v="0"/>
    <n v="0"/>
    <n v="0"/>
    <n v="0"/>
    <n v="0"/>
    <n v="9"/>
    <n v="0"/>
    <n v="10"/>
    <n v="0"/>
    <n v="0"/>
    <n v="0"/>
    <x v="1"/>
    <n v="30"/>
    <n v="0"/>
  </r>
  <r>
    <x v="78"/>
    <x v="6"/>
    <n v="27930043"/>
    <s v="601 ALMARIDA DR, CAMPBELL, CA 95008"/>
    <s v="5+"/>
    <x v="0"/>
    <n v="2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45"/>
    <s v="0.34999999999999998"/>
  </r>
  <r>
    <x v="78"/>
    <x v="6"/>
    <n v="41208061"/>
    <s v="228 - 246 RAILWAY AVE (10 UNITS) BUILDING 4"/>
    <s v="5+"/>
    <x v="1"/>
    <n v="0"/>
    <n v="0"/>
    <n v="0"/>
    <n v="0"/>
    <n v="0"/>
    <n v="0"/>
    <x v="3"/>
    <n v="0"/>
    <n v="1"/>
    <n v="0"/>
    <n v="0"/>
    <n v="0"/>
    <n v="1"/>
    <n v="0"/>
    <n v="1"/>
    <n v="0"/>
    <n v="0"/>
    <n v="0"/>
    <x v="0"/>
    <n v="0"/>
    <n v="0.25"/>
  </r>
  <r>
    <x v="0"/>
    <x v="6"/>
    <n v="7280015097"/>
    <s v="335 Pacific Ave"/>
    <s v="5+"/>
    <x v="0"/>
    <n v="16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0"/>
    <x v="6"/>
    <n v="7273023011"/>
    <s v="711 Pine Avenue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0"/>
    <x v="6"/>
    <n v="7274015058"/>
    <s v="999 Atlantic Ave.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83"/>
    <x v="6"/>
    <s v="058-180-082"/>
    <s v="1005 REMINGTON CT"/>
    <s v="5+"/>
    <x v="0"/>
    <n v="0"/>
    <n v="0"/>
    <n v="0"/>
    <n v="0"/>
    <n v="0"/>
    <n v="0"/>
    <x v="0"/>
    <n v="0"/>
    <n v="0"/>
    <n v="0"/>
    <n v="0"/>
    <n v="0"/>
    <n v="59"/>
    <n v="0"/>
    <n v="0"/>
    <n v="0"/>
    <n v="0"/>
    <n v="0"/>
    <x v="0"/>
    <m/>
    <n v="0"/>
  </r>
  <r>
    <x v="187"/>
    <x v="6"/>
    <n v="5336021023"/>
    <s v="801 E Main St Alhambra, CA 91801"/>
    <s v="5+"/>
    <x v="1"/>
    <n v="0"/>
    <n v="0"/>
    <n v="10"/>
    <n v="0"/>
    <n v="0"/>
    <n v="0"/>
    <x v="0"/>
    <n v="0"/>
    <n v="0"/>
    <n v="0"/>
    <n v="0"/>
    <n v="0"/>
    <n v="0"/>
    <n v="0"/>
    <n v="0"/>
    <n v="0"/>
    <n v="0"/>
    <n v="0"/>
    <x v="0"/>
    <m/>
    <s v="0.34999999999999998"/>
  </r>
  <r>
    <x v="238"/>
    <x v="6"/>
    <s v="016902119"/>
    <s v="1215 TEXAS ST"/>
    <s v="5+"/>
    <x v="0"/>
    <n v="20"/>
    <n v="0"/>
    <n v="0"/>
    <n v="0"/>
    <n v="0"/>
    <n v="0"/>
    <x v="15"/>
    <n v="0"/>
    <n v="0"/>
    <n v="0"/>
    <n v="0"/>
    <n v="0"/>
    <n v="0"/>
    <n v="0"/>
    <n v="0"/>
    <n v="0"/>
    <n v="0"/>
    <n v="0"/>
    <x v="0"/>
    <m/>
    <s v="0.14000000000000001"/>
  </r>
  <r>
    <x v="4"/>
    <x v="5"/>
    <s v="053-433-051"/>
    <s v="3171 Violet"/>
    <s v="5+"/>
    <x v="0"/>
    <n v="0"/>
    <n v="0"/>
    <n v="0"/>
    <n v="0"/>
    <n v="0"/>
    <n v="0"/>
    <x v="31"/>
    <n v="0"/>
    <n v="4"/>
    <n v="0"/>
    <n v="0"/>
    <n v="0"/>
    <n v="0"/>
    <n v="0"/>
    <n v="0"/>
    <n v="0"/>
    <n v="0"/>
    <n v="0"/>
    <x v="0"/>
    <n v="55"/>
    <n v="0"/>
  </r>
  <r>
    <x v="120"/>
    <x v="6"/>
    <s v="580-491-30"/>
    <s v="100 Magnet"/>
    <s v="5+"/>
    <x v="0"/>
    <n v="0"/>
    <n v="0"/>
    <n v="0"/>
    <n v="0"/>
    <n v="0"/>
    <n v="0"/>
    <x v="10"/>
    <n v="0"/>
    <n v="0"/>
    <n v="0"/>
    <n v="0"/>
    <n v="0"/>
    <n v="0"/>
    <n v="0"/>
    <n v="0"/>
    <n v="0"/>
    <n v="0"/>
    <n v="0"/>
    <x v="0"/>
    <m/>
    <s v="0.20000000000000001"/>
  </r>
  <r>
    <x v="153"/>
    <x v="0"/>
    <n v="126132005"/>
    <s v="1650 Ashbury Dr."/>
    <s v="5+"/>
    <x v="0"/>
    <n v="0"/>
    <n v="0"/>
    <n v="313"/>
    <n v="0"/>
    <n v="0"/>
    <n v="0"/>
    <x v="0"/>
    <n v="0"/>
    <n v="0"/>
    <n v="0"/>
    <n v="0"/>
    <n v="0"/>
    <n v="0"/>
    <n v="0"/>
    <n v="0"/>
    <n v="0"/>
    <n v="0"/>
    <n v="0"/>
    <x v="0"/>
    <n v="55"/>
    <n v="42"/>
  </r>
  <r>
    <x v="239"/>
    <x v="0"/>
    <s v="064-470-103"/>
    <s v="1625 Waterman"/>
    <s v="5+"/>
    <x v="0"/>
    <n v="84"/>
    <n v="0"/>
    <n v="84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4"/>
    <x v="5"/>
    <s v="053-231-047"/>
    <s v="3682 Broad"/>
    <s v="5+"/>
    <x v="0"/>
    <n v="0"/>
    <n v="0"/>
    <n v="0"/>
    <n v="0"/>
    <n v="0"/>
    <n v="0"/>
    <x v="0"/>
    <n v="0"/>
    <n v="0"/>
    <n v="0"/>
    <n v="0"/>
    <n v="0"/>
    <n v="37"/>
    <n v="0"/>
    <n v="9"/>
    <n v="0"/>
    <n v="0"/>
    <n v="0"/>
    <x v="0"/>
    <n v="55"/>
    <n v="0"/>
  </r>
  <r>
    <x v="240"/>
    <x v="5"/>
    <s v="011-370-220"/>
    <s v="1680 Mission Road"/>
    <s v="5+"/>
    <x v="0"/>
    <n v="0"/>
    <n v="0"/>
    <n v="0"/>
    <n v="0"/>
    <n v="0"/>
    <n v="0"/>
    <x v="30"/>
    <n v="0"/>
    <n v="34"/>
    <n v="0"/>
    <n v="0"/>
    <n v="0"/>
    <n v="0"/>
    <n v="0"/>
    <n v="0"/>
    <n v="0"/>
    <n v="0"/>
    <n v="0"/>
    <x v="1"/>
    <n v="55"/>
    <n v="0"/>
  </r>
  <r>
    <x v="241"/>
    <x v="5"/>
    <n v="20822008"/>
    <s v="510 COTTAGE AVE MANTECA CA 95336"/>
    <s v="5+"/>
    <x v="0"/>
    <n v="0"/>
    <n v="0"/>
    <n v="0"/>
    <n v="0"/>
    <n v="0"/>
    <n v="0"/>
    <x v="0"/>
    <n v="4"/>
    <n v="0"/>
    <n v="4"/>
    <n v="0"/>
    <n v="4"/>
    <n v="0"/>
    <n v="0"/>
    <n v="0"/>
    <n v="0"/>
    <n v="0"/>
    <n v="0"/>
    <x v="1"/>
    <m/>
    <n v="0"/>
  </r>
  <r>
    <x v="199"/>
    <x v="1"/>
    <s v="002-142-007"/>
    <s v="500 Piper St. 1-8"/>
    <s v="5+"/>
    <x v="0"/>
    <n v="5"/>
    <n v="0"/>
    <n v="3"/>
    <n v="0"/>
    <n v="0"/>
    <n v="0"/>
    <x v="12"/>
    <n v="0"/>
    <n v="3"/>
    <n v="0"/>
    <n v="0"/>
    <n v="0"/>
    <n v="5"/>
    <n v="0"/>
    <n v="3"/>
    <n v="0"/>
    <n v="0"/>
    <n v="0"/>
    <x v="1"/>
    <n v="55"/>
    <n v="0"/>
  </r>
  <r>
    <x v="17"/>
    <x v="6"/>
    <s v="198-182-21"/>
    <s v="101 N Harbor"/>
    <s v="5+"/>
    <x v="1"/>
    <n v="0"/>
    <n v="0"/>
    <n v="0"/>
    <n v="0"/>
    <n v="10"/>
    <n v="0"/>
    <x v="0"/>
    <n v="0"/>
    <n v="0"/>
    <n v="0"/>
    <n v="0"/>
    <n v="0"/>
    <n v="0"/>
    <n v="0"/>
    <n v="0"/>
    <n v="0"/>
    <n v="0"/>
    <n v="0"/>
    <x v="1"/>
    <n v="45"/>
    <n v="0"/>
  </r>
  <r>
    <x v="99"/>
    <x v="0"/>
    <s v="001-691-001"/>
    <s v="595 Munras"/>
    <s v="5+"/>
    <x v="0"/>
    <n v="0"/>
    <n v="0"/>
    <n v="1"/>
    <n v="0"/>
    <n v="0"/>
    <n v="1"/>
    <x v="0"/>
    <n v="0"/>
    <n v="1"/>
    <n v="0"/>
    <n v="1"/>
    <n v="0"/>
    <n v="0"/>
    <n v="0"/>
    <n v="0"/>
    <n v="0"/>
    <n v="0"/>
    <n v="0"/>
    <x v="0"/>
    <m/>
    <n v="0"/>
  </r>
  <r>
    <x v="57"/>
    <x v="6"/>
    <n v="2237001017"/>
    <s v="6600 N VAN NUYS BLVD #1- #54"/>
    <s v="5+"/>
    <x v="0"/>
    <n v="0"/>
    <n v="0"/>
    <n v="0"/>
    <n v="0"/>
    <n v="0"/>
    <n v="0"/>
    <x v="6"/>
    <n v="0"/>
    <n v="0"/>
    <n v="0"/>
    <n v="0"/>
    <n v="0"/>
    <n v="6"/>
    <n v="0"/>
    <n v="0"/>
    <n v="0"/>
    <n v="0"/>
    <n v="0"/>
    <x v="0"/>
    <n v="55"/>
    <n v="4"/>
  </r>
  <r>
    <x v="57"/>
    <x v="6"/>
    <n v="5507030015"/>
    <s v="701 S HUDSON AVE"/>
    <s v="5+"/>
    <x v="0"/>
    <n v="0"/>
    <n v="0"/>
    <n v="0"/>
    <n v="0"/>
    <n v="0"/>
    <n v="0"/>
    <x v="6"/>
    <n v="0"/>
    <n v="0"/>
    <n v="0"/>
    <n v="0"/>
    <n v="0"/>
    <n v="6"/>
    <n v="0"/>
    <n v="0"/>
    <n v="0"/>
    <n v="0"/>
    <n v="0"/>
    <x v="0"/>
    <n v="55"/>
    <n v="35"/>
  </r>
  <r>
    <x v="155"/>
    <x v="5"/>
    <s v="216 120 037"/>
    <s v="373-383 Diablo Road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0"/>
    <n v="55"/>
    <n v="0"/>
  </r>
  <r>
    <x v="15"/>
    <x v="0"/>
    <s v="009 072200700"/>
    <s v="3268 SAN PABLO AVE"/>
    <s v="5+"/>
    <x v="0"/>
    <n v="0"/>
    <n v="0"/>
    <n v="0"/>
    <n v="0"/>
    <n v="0"/>
    <n v="0"/>
    <x v="0"/>
    <n v="0"/>
    <n v="0"/>
    <n v="0"/>
    <n v="0"/>
    <n v="0"/>
    <n v="31"/>
    <n v="0"/>
    <n v="19"/>
    <n v="0"/>
    <n v="0"/>
    <n v="0"/>
    <x v="0"/>
    <n v="55"/>
    <n v="0"/>
  </r>
  <r>
    <x v="15"/>
    <x v="0"/>
    <s v="012 101300701"/>
    <s v="524 41st ST"/>
    <s v="5+"/>
    <x v="0"/>
    <n v="0"/>
    <n v="0"/>
    <n v="1"/>
    <n v="0"/>
    <n v="0"/>
    <n v="0"/>
    <x v="0"/>
    <n v="0"/>
    <n v="1"/>
    <n v="0"/>
    <n v="0"/>
    <n v="0"/>
    <n v="0"/>
    <n v="0"/>
    <n v="0"/>
    <n v="0"/>
    <n v="0"/>
    <n v="0"/>
    <x v="0"/>
    <n v="55"/>
    <n v="0"/>
  </r>
  <r>
    <x v="15"/>
    <x v="0"/>
    <s v="008 067200801"/>
    <s v="2415 VALDEZ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9"/>
    <n v="0"/>
    <x v="0"/>
    <n v="55"/>
    <n v="0"/>
  </r>
  <r>
    <x v="127"/>
    <x v="0"/>
    <s v="213-0-090-285"/>
    <s v="2001 Outlet Center Drive"/>
    <s v="5+"/>
    <x v="0"/>
    <n v="36"/>
    <n v="0"/>
    <n v="136"/>
    <n v="0"/>
    <n v="0"/>
    <n v="0"/>
    <x v="0"/>
    <n v="0"/>
    <n v="0"/>
    <n v="0"/>
    <n v="0"/>
    <n v="0"/>
    <n v="0"/>
    <n v="0"/>
    <n v="0"/>
    <n v="0"/>
    <n v="0"/>
    <n v="0"/>
    <x v="0"/>
    <n v="55"/>
    <n v="65"/>
  </r>
  <r>
    <x v="127"/>
    <x v="0"/>
    <s v="202-0-135-035"/>
    <s v="761 South C Street"/>
    <s v="5+"/>
    <x v="0"/>
    <n v="9"/>
    <n v="0"/>
    <n v="9"/>
    <n v="0"/>
    <n v="0"/>
    <n v="0"/>
    <x v="0"/>
    <n v="0"/>
    <n v="0"/>
    <n v="0"/>
    <n v="0"/>
    <n v="0"/>
    <n v="0"/>
    <n v="0"/>
    <n v="0"/>
    <n v="0"/>
    <n v="0"/>
    <n v="0"/>
    <x v="1"/>
    <n v="20"/>
    <n v="0"/>
  </r>
  <r>
    <x v="176"/>
    <x v="0"/>
    <s v="067-2832-007-03"/>
    <s v="423 Evelyn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50"/>
  </r>
  <r>
    <x v="131"/>
    <x v="2"/>
    <s v="055 187500800"/>
    <s v="2510 Channing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m/>
    <n v="0"/>
  </r>
  <r>
    <x v="57"/>
    <x v="6"/>
    <n v="5041025029"/>
    <s v="3720 S WESTERN AVE"/>
    <s v="5+"/>
    <x v="0"/>
    <n v="0"/>
    <n v="0"/>
    <n v="159"/>
    <n v="0"/>
    <n v="41"/>
    <n v="0"/>
    <x v="0"/>
    <n v="0"/>
    <n v="0"/>
    <n v="0"/>
    <n v="0"/>
    <n v="0"/>
    <n v="0"/>
    <n v="0"/>
    <n v="0"/>
    <n v="0"/>
    <n v="0"/>
    <n v="0"/>
    <x v="0"/>
    <n v="55"/>
    <n v="347"/>
  </r>
  <r>
    <x v="57"/>
    <x v="6"/>
    <n v="5056003025"/>
    <s v="1601 W VENICE BLVD"/>
    <s v="5+"/>
    <x v="0"/>
    <n v="1"/>
    <n v="0"/>
    <n v="6"/>
    <n v="0"/>
    <n v="2"/>
    <n v="0"/>
    <x v="0"/>
    <n v="0"/>
    <n v="0"/>
    <n v="0"/>
    <n v="0"/>
    <n v="0"/>
    <n v="0"/>
    <n v="0"/>
    <n v="0"/>
    <n v="0"/>
    <n v="0"/>
    <n v="0"/>
    <x v="0"/>
    <n v="55"/>
    <n v="80"/>
  </r>
  <r>
    <x v="57"/>
    <x v="6"/>
    <n v="5078033016"/>
    <s v="1228 S FEDORA ST"/>
    <s v="5+"/>
    <x v="0"/>
    <n v="0"/>
    <n v="0"/>
    <n v="28"/>
    <n v="0"/>
    <n v="0"/>
    <n v="0"/>
    <x v="0"/>
    <n v="0"/>
    <n v="0"/>
    <n v="0"/>
    <n v="0"/>
    <n v="0"/>
    <n v="0"/>
    <n v="0"/>
    <n v="0"/>
    <n v="0"/>
    <n v="0"/>
    <n v="0"/>
    <x v="0"/>
    <n v="55"/>
    <n v="437"/>
  </r>
  <r>
    <x v="57"/>
    <x v="6"/>
    <n v="5092022007"/>
    <s v="900 S WILTON PL"/>
    <s v="5+"/>
    <x v="0"/>
    <n v="8"/>
    <n v="0"/>
    <n v="67"/>
    <n v="0"/>
    <n v="4"/>
    <n v="0"/>
    <x v="0"/>
    <n v="0"/>
    <n v="0"/>
    <n v="0"/>
    <n v="0"/>
    <n v="0"/>
    <n v="0"/>
    <n v="0"/>
    <n v="0"/>
    <n v="0"/>
    <n v="0"/>
    <n v="0"/>
    <x v="0"/>
    <n v="55"/>
    <n v="515"/>
  </r>
  <r>
    <x v="57"/>
    <x v="6"/>
    <n v="5127004032"/>
    <s v="632 E WASHINGTON BLVD"/>
    <s v="5+"/>
    <x v="0"/>
    <n v="0"/>
    <n v="0"/>
    <n v="55"/>
    <n v="0"/>
    <n v="15"/>
    <n v="0"/>
    <x v="0"/>
    <n v="0"/>
    <n v="0"/>
    <n v="0"/>
    <n v="0"/>
    <n v="0"/>
    <n v="0"/>
    <n v="0"/>
    <n v="0"/>
    <n v="0"/>
    <n v="0"/>
    <n v="0"/>
    <x v="0"/>
    <n v="55"/>
    <n v="184"/>
  </r>
  <r>
    <x v="57"/>
    <x v="6"/>
    <n v="5540026011"/>
    <s v="1115 N HELIOTROPE DR"/>
    <s v="5+"/>
    <x v="0"/>
    <n v="0"/>
    <n v="0"/>
    <n v="35"/>
    <n v="0"/>
    <n v="10"/>
    <n v="0"/>
    <x v="0"/>
    <n v="0"/>
    <n v="0"/>
    <n v="0"/>
    <n v="0"/>
    <n v="0"/>
    <n v="0"/>
    <n v="0"/>
    <n v="0"/>
    <n v="0"/>
    <n v="0"/>
    <n v="0"/>
    <x v="0"/>
    <n v="55"/>
    <n v="411"/>
  </r>
  <r>
    <x v="57"/>
    <x v="6"/>
    <n v="6031009020"/>
    <s v="7421 S BROADWAY"/>
    <s v="5+"/>
    <x v="0"/>
    <n v="0"/>
    <n v="0"/>
    <n v="107"/>
    <n v="0"/>
    <n v="27"/>
    <n v="0"/>
    <x v="0"/>
    <n v="0"/>
    <n v="0"/>
    <n v="0"/>
    <n v="0"/>
    <n v="0"/>
    <n v="0"/>
    <n v="0"/>
    <n v="0"/>
    <n v="0"/>
    <n v="0"/>
    <n v="0"/>
    <x v="0"/>
    <n v="55"/>
    <n v="322"/>
  </r>
  <r>
    <x v="57"/>
    <x v="6"/>
    <n v="6035017001"/>
    <s v="8301 S WESTERN AVE"/>
    <s v="5+"/>
    <x v="0"/>
    <n v="24"/>
    <n v="0"/>
    <n v="78"/>
    <n v="0"/>
    <n v="0"/>
    <n v="0"/>
    <x v="0"/>
    <n v="0"/>
    <n v="0"/>
    <n v="0"/>
    <n v="0"/>
    <n v="0"/>
    <n v="0"/>
    <n v="0"/>
    <n v="0"/>
    <n v="0"/>
    <n v="0"/>
    <n v="0"/>
    <x v="0"/>
    <n v="55"/>
    <n v="126"/>
  </r>
  <r>
    <x v="57"/>
    <x v="6"/>
    <n v="2107001067"/>
    <s v="8217 N WINNETKA AVE"/>
    <s v="5+"/>
    <x v="0"/>
    <n v="0"/>
    <n v="0"/>
    <n v="287"/>
    <n v="0"/>
    <n v="72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6"/>
    <n v="2126022005"/>
    <s v="6834 N BAIRD AVE"/>
    <s v="5+"/>
    <x v="0"/>
    <n v="0"/>
    <n v="0"/>
    <n v="72"/>
    <n v="0"/>
    <n v="19"/>
    <n v="0"/>
    <x v="0"/>
    <n v="0"/>
    <n v="0"/>
    <n v="0"/>
    <n v="0"/>
    <n v="0"/>
    <n v="0"/>
    <n v="0"/>
    <n v="0"/>
    <n v="0"/>
    <n v="0"/>
    <n v="0"/>
    <x v="0"/>
    <n v="55"/>
    <n v="2175"/>
  </r>
  <r>
    <x v="57"/>
    <x v="6"/>
    <n v="2169003029"/>
    <s v="5328 N TOPANGA CANYON BLVD"/>
    <s v="5+"/>
    <x v="0"/>
    <n v="0"/>
    <n v="0"/>
    <n v="35"/>
    <n v="0"/>
    <n v="9"/>
    <n v="0"/>
    <x v="0"/>
    <n v="0"/>
    <n v="0"/>
    <n v="0"/>
    <n v="0"/>
    <n v="0"/>
    <n v="0"/>
    <n v="0"/>
    <n v="0"/>
    <n v="0"/>
    <n v="0"/>
    <n v="0"/>
    <x v="0"/>
    <n v="55"/>
    <n v="213"/>
  </r>
  <r>
    <x v="57"/>
    <x v="6"/>
    <n v="2271016020"/>
    <s v="4345 N MATILIJA AVE"/>
    <s v="5+"/>
    <x v="0"/>
    <n v="5"/>
    <n v="0"/>
    <n v="62"/>
    <n v="0"/>
    <n v="7"/>
    <n v="0"/>
    <x v="0"/>
    <n v="0"/>
    <n v="0"/>
    <n v="0"/>
    <n v="0"/>
    <n v="0"/>
    <n v="0"/>
    <n v="0"/>
    <n v="0"/>
    <n v="0"/>
    <n v="0"/>
    <n v="0"/>
    <x v="0"/>
    <n v="55"/>
    <n v="400"/>
  </r>
  <r>
    <x v="57"/>
    <x v="6"/>
    <n v="2350003011"/>
    <s v="11103 W CUMPSTON ST"/>
    <s v="5+"/>
    <x v="0"/>
    <n v="0"/>
    <n v="0"/>
    <n v="33"/>
    <n v="0"/>
    <n v="9"/>
    <n v="0"/>
    <x v="0"/>
    <n v="0"/>
    <n v="0"/>
    <n v="0"/>
    <n v="0"/>
    <n v="0"/>
    <n v="0"/>
    <n v="0"/>
    <n v="0"/>
    <n v="0"/>
    <n v="0"/>
    <n v="0"/>
    <x v="0"/>
    <n v="55"/>
    <n v="975"/>
  </r>
  <r>
    <x v="57"/>
    <x v="6"/>
    <n v="2415002010"/>
    <s v="5814 N VINELAND AVE"/>
    <s v="5+"/>
    <x v="0"/>
    <n v="1"/>
    <n v="0"/>
    <n v="10"/>
    <n v="0"/>
    <n v="3"/>
    <n v="0"/>
    <x v="0"/>
    <n v="0"/>
    <n v="0"/>
    <n v="0"/>
    <n v="0"/>
    <n v="0"/>
    <n v="0"/>
    <n v="0"/>
    <n v="0"/>
    <n v="0"/>
    <n v="0"/>
    <n v="0"/>
    <x v="0"/>
    <n v="55"/>
    <n v="200"/>
  </r>
  <r>
    <x v="57"/>
    <x v="6"/>
    <n v="2556027035"/>
    <s v="7937 W FOOTHILL BLVD"/>
    <s v="5+"/>
    <x v="0"/>
    <n v="6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70"/>
  </r>
  <r>
    <x v="57"/>
    <x v="6"/>
    <n v="4006004014"/>
    <s v="6122 S VICTORIA AVE 1-11"/>
    <s v="5+"/>
    <x v="0"/>
    <n v="3"/>
    <n v="0"/>
    <n v="63"/>
    <n v="0"/>
    <n v="17"/>
    <n v="0"/>
    <x v="0"/>
    <n v="0"/>
    <n v="0"/>
    <n v="0"/>
    <n v="0"/>
    <n v="0"/>
    <n v="0"/>
    <n v="0"/>
    <n v="0"/>
    <n v="0"/>
    <n v="0"/>
    <n v="0"/>
    <x v="0"/>
    <n v="55"/>
    <n v="500"/>
  </r>
  <r>
    <x v="57"/>
    <x v="6"/>
    <n v="5040008001"/>
    <s v="1309 W 36TH PL"/>
    <s v="5+"/>
    <x v="0"/>
    <n v="3"/>
    <n v="0"/>
    <n v="36"/>
    <n v="0"/>
    <n v="3"/>
    <n v="0"/>
    <x v="0"/>
    <n v="0"/>
    <n v="0"/>
    <n v="0"/>
    <n v="0"/>
    <n v="0"/>
    <n v="0"/>
    <n v="0"/>
    <n v="0"/>
    <n v="0"/>
    <n v="0"/>
    <n v="0"/>
    <x v="0"/>
    <n v="55"/>
    <n v="820"/>
  </r>
  <r>
    <x v="57"/>
    <x v="6"/>
    <n v="5054009012"/>
    <s v="2755 S RAYMOND AVE"/>
    <s v="5+"/>
    <x v="0"/>
    <n v="1"/>
    <n v="0"/>
    <n v="55"/>
    <n v="0"/>
    <n v="14"/>
    <n v="0"/>
    <x v="0"/>
    <n v="0"/>
    <n v="0"/>
    <n v="0"/>
    <n v="0"/>
    <n v="0"/>
    <n v="0"/>
    <n v="0"/>
    <n v="0"/>
    <n v="0"/>
    <n v="0"/>
    <n v="0"/>
    <x v="0"/>
    <n v="55"/>
    <n v="788"/>
  </r>
  <r>
    <x v="57"/>
    <x v="6"/>
    <n v="5062019030"/>
    <s v="2112 S LA BREA AVE"/>
    <s v="5+"/>
    <x v="0"/>
    <n v="0"/>
    <n v="0"/>
    <n v="127"/>
    <n v="0"/>
    <n v="32"/>
    <n v="0"/>
    <x v="0"/>
    <n v="0"/>
    <n v="0"/>
    <n v="0"/>
    <n v="0"/>
    <n v="0"/>
    <n v="0"/>
    <n v="0"/>
    <n v="0"/>
    <n v="0"/>
    <n v="0"/>
    <n v="0"/>
    <x v="0"/>
    <n v="55"/>
    <n v="146"/>
  </r>
  <r>
    <x v="57"/>
    <x v="6"/>
    <n v="5069024026"/>
    <s v="5514 W PICO BLVD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45"/>
  </r>
  <r>
    <x v="57"/>
    <x v="6"/>
    <n v="5094022008"/>
    <s v="904 S NORMANDIE AVE"/>
    <s v="5+"/>
    <x v="0"/>
    <n v="3"/>
    <n v="0"/>
    <n v="36"/>
    <n v="0"/>
    <n v="5"/>
    <n v="0"/>
    <x v="0"/>
    <n v="0"/>
    <n v="0"/>
    <n v="0"/>
    <n v="0"/>
    <n v="0"/>
    <n v="0"/>
    <n v="0"/>
    <n v="0"/>
    <n v="0"/>
    <n v="0"/>
    <n v="0"/>
    <x v="0"/>
    <n v="55"/>
    <n v="158"/>
  </r>
  <r>
    <x v="57"/>
    <x v="6"/>
    <n v="5177017023"/>
    <s v="2515 E HOUSTON ST"/>
    <s v="5+"/>
    <x v="0"/>
    <n v="2"/>
    <n v="0"/>
    <n v="26"/>
    <n v="0"/>
    <n v="8"/>
    <n v="0"/>
    <x v="0"/>
    <n v="0"/>
    <n v="0"/>
    <n v="0"/>
    <n v="0"/>
    <n v="0"/>
    <n v="0"/>
    <n v="0"/>
    <n v="0"/>
    <n v="0"/>
    <n v="0"/>
    <n v="0"/>
    <x v="0"/>
    <n v="55"/>
    <n v="516"/>
  </r>
  <r>
    <x v="57"/>
    <x v="6"/>
    <n v="5524004007"/>
    <s v="827 N MCCADDEN PL"/>
    <s v="5+"/>
    <x v="0"/>
    <n v="1"/>
    <n v="0"/>
    <n v="40"/>
    <n v="0"/>
    <n v="8"/>
    <n v="0"/>
    <x v="0"/>
    <n v="0"/>
    <n v="0"/>
    <n v="0"/>
    <n v="0"/>
    <n v="0"/>
    <n v="0"/>
    <n v="0"/>
    <n v="0"/>
    <n v="0"/>
    <n v="0"/>
    <n v="0"/>
    <x v="0"/>
    <n v="55"/>
    <n v="733"/>
  </r>
  <r>
    <x v="57"/>
    <x v="6"/>
    <n v="5529006029"/>
    <s v="843 N ALFRED ST"/>
    <s v="5+"/>
    <x v="0"/>
    <n v="8"/>
    <n v="0"/>
    <n v="106"/>
    <n v="0"/>
    <n v="29"/>
    <n v="0"/>
    <x v="0"/>
    <n v="0"/>
    <n v="0"/>
    <n v="0"/>
    <n v="0"/>
    <n v="0"/>
    <n v="0"/>
    <n v="0"/>
    <n v="0"/>
    <n v="0"/>
    <n v="0"/>
    <n v="0"/>
    <x v="0"/>
    <n v="55"/>
    <n v="658"/>
  </r>
  <r>
    <x v="57"/>
    <x v="6"/>
    <n v="5537015006"/>
    <s v="1156 N KINGSLEY DR"/>
    <s v="5+"/>
    <x v="0"/>
    <n v="0"/>
    <n v="0"/>
    <n v="38"/>
    <n v="0"/>
    <n v="10"/>
    <n v="0"/>
    <x v="0"/>
    <n v="0"/>
    <n v="0"/>
    <n v="0"/>
    <n v="0"/>
    <n v="0"/>
    <n v="0"/>
    <n v="0"/>
    <n v="0"/>
    <n v="0"/>
    <n v="0"/>
    <n v="0"/>
    <x v="0"/>
    <n v="55"/>
    <n v="701"/>
  </r>
  <r>
    <x v="57"/>
    <x v="6"/>
    <n v="5537018021"/>
    <s v="1020 N ARDMORE AVE"/>
    <s v="5+"/>
    <x v="0"/>
    <n v="0"/>
    <n v="0"/>
    <n v="43"/>
    <n v="0"/>
    <n v="12"/>
    <n v="0"/>
    <x v="0"/>
    <n v="0"/>
    <n v="0"/>
    <n v="0"/>
    <n v="0"/>
    <n v="0"/>
    <n v="0"/>
    <n v="0"/>
    <n v="0"/>
    <n v="0"/>
    <n v="0"/>
    <n v="0"/>
    <x v="0"/>
    <n v="55"/>
    <n v="409"/>
  </r>
  <r>
    <x v="57"/>
    <x v="6"/>
    <n v="5540002021"/>
    <s v="1205 N MARIPOSA AVE"/>
    <s v="5+"/>
    <x v="0"/>
    <n v="3"/>
    <n v="0"/>
    <n v="135"/>
    <n v="0"/>
    <n v="35"/>
    <n v="0"/>
    <x v="0"/>
    <n v="0"/>
    <n v="0"/>
    <n v="0"/>
    <n v="0"/>
    <n v="0"/>
    <n v="0"/>
    <n v="0"/>
    <n v="0"/>
    <n v="0"/>
    <n v="0"/>
    <n v="0"/>
    <x v="0"/>
    <n v="55"/>
    <n v="366"/>
  </r>
  <r>
    <x v="57"/>
    <x v="6"/>
    <n v="6020001014"/>
    <s v="920 W FLORENCE AVE 1-22"/>
    <s v="5+"/>
    <x v="0"/>
    <n v="0"/>
    <n v="0"/>
    <n v="37"/>
    <n v="0"/>
    <n v="9"/>
    <n v="0"/>
    <x v="0"/>
    <n v="0"/>
    <n v="0"/>
    <n v="0"/>
    <n v="0"/>
    <n v="0"/>
    <n v="0"/>
    <n v="0"/>
    <n v="0"/>
    <n v="0"/>
    <n v="0"/>
    <n v="0"/>
    <x v="0"/>
    <n v="55"/>
    <n v="80"/>
  </r>
  <r>
    <x v="184"/>
    <x v="2"/>
    <s v="097-121-25"/>
    <s v="14842 Beach BLVD"/>
    <s v="5+"/>
    <x v="0"/>
    <n v="0"/>
    <n v="0"/>
    <n v="0"/>
    <n v="0"/>
    <n v="0"/>
    <n v="0"/>
    <x v="0"/>
    <n v="0"/>
    <n v="0"/>
    <n v="0"/>
    <n v="0"/>
    <n v="0"/>
    <n v="16"/>
    <n v="0"/>
    <n v="0"/>
    <n v="0"/>
    <n v="0"/>
    <n v="0"/>
    <x v="0"/>
    <m/>
    <n v="0"/>
  </r>
  <r>
    <x v="8"/>
    <x v="4"/>
    <n v="6381201700"/>
    <s v="160 W Seaward Ave"/>
    <s v="5+"/>
    <x v="0"/>
    <n v="0"/>
    <n v="0"/>
    <n v="0"/>
    <n v="0"/>
    <n v="0"/>
    <n v="0"/>
    <x v="89"/>
    <n v="0"/>
    <n v="123"/>
    <n v="0"/>
    <n v="0"/>
    <n v="0"/>
    <n v="0"/>
    <n v="0"/>
    <n v="0"/>
    <n v="0"/>
    <n v="0"/>
    <n v="0"/>
    <x v="0"/>
    <n v="55"/>
    <n v="0"/>
  </r>
  <r>
    <x v="44"/>
    <x v="3"/>
    <n v="46712002"/>
    <s v="995 SANTA CLARA ST"/>
    <s v="5+"/>
    <x v="0"/>
    <n v="0"/>
    <n v="0"/>
    <n v="73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3"/>
    <n v="26434042"/>
    <s v="771 ALMADEN"/>
    <s v="5+"/>
    <x v="0"/>
    <n v="0"/>
    <n v="0"/>
    <n v="98"/>
    <n v="0"/>
    <n v="0"/>
    <n v="0"/>
    <x v="0"/>
    <n v="0"/>
    <n v="0"/>
    <n v="0"/>
    <n v="0"/>
    <n v="0"/>
    <n v="0"/>
    <n v="0"/>
    <n v="0"/>
    <n v="0"/>
    <n v="0"/>
    <n v="0"/>
    <x v="0"/>
    <n v="55"/>
    <n v="209"/>
  </r>
  <r>
    <x v="57"/>
    <x v="6"/>
    <n v="2506035010"/>
    <s v="12534 N SAN FERNANDO ROAD"/>
    <s v="5+"/>
    <x v="0"/>
    <n v="0"/>
    <n v="0"/>
    <n v="0"/>
    <n v="0"/>
    <n v="0"/>
    <n v="0"/>
    <x v="3"/>
    <n v="0"/>
    <n v="129"/>
    <n v="0"/>
    <n v="33"/>
    <n v="0"/>
    <n v="0"/>
    <n v="0"/>
    <n v="0"/>
    <n v="0"/>
    <n v="0"/>
    <n v="0"/>
    <x v="0"/>
    <n v="55"/>
    <n v="1722"/>
  </r>
  <r>
    <x v="96"/>
    <x v="5"/>
    <n v="45105225"/>
    <s v="1015 E HOME AVE"/>
    <s v="5+"/>
    <x v="0"/>
    <n v="0"/>
    <n v="1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7"/>
    <x v="0"/>
    <s v="198-132-23"/>
    <s v="2534 W Westminster Ave"/>
    <s v="5+"/>
    <x v="0"/>
    <n v="61"/>
    <n v="0"/>
    <n v="23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75"/>
    <x v="5"/>
    <s v="012338140; 012338060; 012338070"/>
    <s v="150 Airport Blvd"/>
    <s v="5+"/>
    <x v="0"/>
    <n v="0"/>
    <n v="0"/>
    <n v="0"/>
    <n v="0"/>
    <n v="0"/>
    <n v="0"/>
    <x v="0"/>
    <n v="0"/>
    <n v="0"/>
    <n v="0"/>
    <n v="2"/>
    <n v="0"/>
    <n v="0"/>
    <n v="0"/>
    <n v="0"/>
    <n v="0"/>
    <n v="0"/>
    <n v="0"/>
    <x v="1"/>
    <n v="55"/>
    <n v="0"/>
  </r>
  <r>
    <x v="166"/>
    <x v="5"/>
    <s v="70-290-XX"/>
    <s v="East Olive Drive"/>
    <s v="5+"/>
    <x v="0"/>
    <n v="0"/>
    <n v="0"/>
    <n v="0"/>
    <n v="0"/>
    <n v="0"/>
    <n v="130"/>
    <x v="0"/>
    <n v="0"/>
    <n v="0"/>
    <n v="0"/>
    <n v="0"/>
    <n v="0"/>
    <n v="0"/>
    <n v="0"/>
    <n v="0"/>
    <n v="0"/>
    <n v="0"/>
    <n v="0"/>
    <x v="1"/>
    <m/>
    <n v="0"/>
  </r>
  <r>
    <x v="31"/>
    <x v="5"/>
    <n v="16513050"/>
    <s v="311 S MATHILDA AV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31"/>
    <x v="5"/>
    <n v="-3931"/>
    <s v="828  JULIAN TR 4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31"/>
    <x v="5"/>
    <n v="-3963"/>
    <s v="535  SAN LORENZO TR 5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30"/>
    <n v="0"/>
  </r>
  <r>
    <x v="242"/>
    <x v="1"/>
    <s v="044-020-057"/>
    <s v="NE Corner of Valley View Way/Bowers Drive"/>
    <s v="5+"/>
    <x v="0"/>
    <n v="45"/>
    <n v="0"/>
    <n v="0"/>
    <n v="0"/>
    <n v="1"/>
    <n v="0"/>
    <x v="0"/>
    <n v="0"/>
    <n v="0"/>
    <n v="0"/>
    <n v="0"/>
    <n v="0"/>
    <n v="0"/>
    <n v="0"/>
    <n v="0"/>
    <n v="0"/>
    <n v="0"/>
    <n v="0"/>
    <x v="0"/>
    <m/>
    <n v="0"/>
  </r>
  <r>
    <x v="187"/>
    <x v="2"/>
    <s v="5345-004-041"/>
    <s v="15 S Chapel Ave"/>
    <s v="5+"/>
    <x v="1"/>
    <n v="0"/>
    <n v="0"/>
    <n v="0"/>
    <n v="1"/>
    <n v="0"/>
    <n v="0"/>
    <x v="0"/>
    <n v="0"/>
    <n v="0"/>
    <n v="0"/>
    <n v="0"/>
    <n v="0"/>
    <n v="0"/>
    <n v="0"/>
    <n v="0"/>
    <n v="1"/>
    <n v="0"/>
    <n v="0"/>
    <x v="0"/>
    <n v="55"/>
    <n v="0"/>
  </r>
  <r>
    <x v="224"/>
    <x v="2"/>
    <s v="018-070-17"/>
    <s v="1802-1816 Sonata Street"/>
    <s v="5+"/>
    <x v="1"/>
    <n v="0"/>
    <n v="0"/>
    <n v="0"/>
    <n v="0"/>
    <n v="0"/>
    <n v="0"/>
    <x v="0"/>
    <n v="0"/>
    <n v="0"/>
    <n v="0"/>
    <n v="2"/>
    <n v="0"/>
    <n v="0"/>
    <n v="0"/>
    <n v="0"/>
    <n v="0"/>
    <n v="2"/>
    <n v="0"/>
    <x v="0"/>
    <n v="0"/>
    <n v="0"/>
  </r>
  <r>
    <x v="58"/>
    <x v="1"/>
    <s v="070-222-23"/>
    <s v="3801 Franklin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10"/>
  </r>
  <r>
    <x v="79"/>
    <x v="0"/>
    <n v="35320450"/>
    <s v="2089 PACIFIC BLVD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x v="0"/>
    <n v="0"/>
    <n v="2"/>
    <n v="0"/>
    <n v="0"/>
    <n v="0"/>
    <n v="0"/>
    <n v="0"/>
    <n v="0"/>
    <n v="0"/>
    <n v="0"/>
    <n v="0"/>
    <x v="1"/>
    <n v="1000"/>
    <n v="0"/>
  </r>
  <r>
    <x v="13"/>
    <x v="0"/>
    <n v="4943001100"/>
    <s v="8545 La Mesa Blvd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"/>
    <x v="0"/>
    <n v="4943001100"/>
    <s v="8575 La Mesa Blvd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0"/>
    <n v="55"/>
    <n v="0"/>
  </r>
  <r>
    <x v="95"/>
    <x v="3"/>
    <n v="72625061"/>
    <s v="18302 ARAGON LN"/>
    <s v="5+"/>
    <x v="0"/>
    <n v="0"/>
    <n v="0"/>
    <n v="0"/>
    <n v="0"/>
    <n v="0"/>
    <n v="0"/>
    <x v="6"/>
    <n v="0"/>
    <n v="0"/>
    <n v="0"/>
    <n v="0"/>
    <n v="13"/>
    <n v="0"/>
    <n v="0"/>
    <n v="0"/>
    <n v="0"/>
    <n v="0"/>
    <n v="0"/>
    <x v="1"/>
    <n v="55"/>
    <n v="0"/>
  </r>
  <r>
    <x v="95"/>
    <x v="3"/>
    <n v="72625061"/>
    <s v="18316 PALOMARES LN"/>
    <s v="5+"/>
    <x v="0"/>
    <n v="0"/>
    <n v="0"/>
    <n v="0"/>
    <n v="0"/>
    <n v="0"/>
    <n v="0"/>
    <x v="12"/>
    <n v="0"/>
    <n v="0"/>
    <n v="0"/>
    <n v="0"/>
    <n v="14"/>
    <n v="0"/>
    <n v="0"/>
    <n v="0"/>
    <n v="0"/>
    <n v="0"/>
    <n v="0"/>
    <x v="1"/>
    <n v="55"/>
    <n v="0"/>
  </r>
  <r>
    <x v="95"/>
    <x v="3"/>
    <n v="72625061"/>
    <s v="18318 PALOMARES LN"/>
    <s v="5+"/>
    <x v="0"/>
    <n v="0"/>
    <n v="0"/>
    <n v="0"/>
    <n v="0"/>
    <n v="0"/>
    <n v="0"/>
    <x v="17"/>
    <n v="0"/>
    <n v="0"/>
    <n v="0"/>
    <n v="0"/>
    <n v="10"/>
    <n v="0"/>
    <n v="0"/>
    <n v="0"/>
    <n v="0"/>
    <n v="0"/>
    <n v="0"/>
    <x v="1"/>
    <n v="55"/>
    <n v="0"/>
  </r>
  <r>
    <x v="95"/>
    <x v="3"/>
    <n v="72625061"/>
    <s v="18320 PALOMARES LN"/>
    <s v="5+"/>
    <x v="0"/>
    <n v="0"/>
    <n v="0"/>
    <n v="0"/>
    <n v="0"/>
    <n v="0"/>
    <n v="0"/>
    <x v="12"/>
    <n v="0"/>
    <n v="0"/>
    <n v="0"/>
    <n v="0"/>
    <n v="7"/>
    <n v="0"/>
    <n v="0"/>
    <n v="0"/>
    <n v="0"/>
    <n v="0"/>
    <n v="0"/>
    <x v="1"/>
    <n v="55"/>
    <n v="0"/>
  </r>
  <r>
    <x v="95"/>
    <x v="3"/>
    <n v="81702067"/>
    <s v="16685 CHURCH ST"/>
    <s v="5+"/>
    <x v="0"/>
    <n v="0"/>
    <n v="0"/>
    <n v="0"/>
    <n v="0"/>
    <n v="0"/>
    <n v="0"/>
    <x v="75"/>
    <n v="0"/>
    <n v="25"/>
    <n v="0"/>
    <n v="1"/>
    <n v="0"/>
    <n v="0"/>
    <n v="0"/>
    <n v="0"/>
    <n v="0"/>
    <n v="0"/>
    <n v="0"/>
    <x v="0"/>
    <n v="55"/>
    <n v="80"/>
  </r>
  <r>
    <x v="31"/>
    <x v="5"/>
    <n v="11014191"/>
    <s v="520 E WEDDELL DR"/>
    <s v="5+"/>
    <x v="0"/>
    <n v="0"/>
    <n v="0"/>
    <n v="0"/>
    <n v="0"/>
    <n v="0"/>
    <n v="0"/>
    <x v="0"/>
    <n v="0"/>
    <n v="0"/>
    <n v="0"/>
    <n v="0"/>
    <n v="0"/>
    <n v="27"/>
    <n v="0"/>
    <n v="0"/>
    <n v="0"/>
    <n v="0"/>
    <n v="0"/>
    <x v="0"/>
    <m/>
    <n v="0"/>
  </r>
  <r>
    <x v="31"/>
    <x v="5"/>
    <n v="20927107"/>
    <s v="124  HORNBEAM TR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947012"/>
    <s v="711 E EVELYN AV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17"/>
    <s v="805  GALT TR 2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22"/>
    <s v="809  GALT TR 4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30"/>
    <s v="812  GALT TR 4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30"/>
    <n v="0"/>
  </r>
  <r>
    <x v="243"/>
    <x v="5"/>
    <s v="006-254-12"/>
    <s v="1 Lincoln Park"/>
    <s v="5+"/>
    <x v="0"/>
    <n v="0"/>
    <n v="0"/>
    <n v="0"/>
    <n v="0"/>
    <n v="0"/>
    <n v="0"/>
    <x v="0"/>
    <n v="0"/>
    <n v="2"/>
    <n v="0"/>
    <n v="0"/>
    <n v="0"/>
    <n v="0"/>
    <n v="0"/>
    <n v="0"/>
    <n v="0"/>
    <n v="0"/>
    <n v="0"/>
    <x v="0"/>
    <n v="55"/>
    <n v="0"/>
  </r>
  <r>
    <x v="13"/>
    <x v="5"/>
    <n v="4941502800"/>
    <s v="8234-8240 University Ave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28"/>
    <x v="4"/>
    <s v="080 -0057-041-00"/>
    <s v="16060 E. 14th St"/>
    <s v="5+"/>
    <x v="0"/>
    <n v="0"/>
    <n v="0"/>
    <n v="79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3"/>
    <n v="24966051"/>
    <s v="1319 TRIPP AV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28"/>
  </r>
  <r>
    <x v="44"/>
    <x v="3"/>
    <n v="25947068"/>
    <s v="565 LORRAINE AVE"/>
    <s v="5+"/>
    <x v="0"/>
    <n v="0"/>
    <n v="0"/>
    <n v="30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57"/>
    <x v="6"/>
    <n v="5501004006"/>
    <s v="235 N HOOVER ST"/>
    <s v="5+"/>
    <x v="0"/>
    <n v="0"/>
    <n v="0"/>
    <n v="0"/>
    <n v="0"/>
    <n v="0"/>
    <n v="0"/>
    <x v="13"/>
    <n v="0"/>
    <n v="0"/>
    <n v="0"/>
    <n v="0"/>
    <n v="0"/>
    <n v="19"/>
    <n v="0"/>
    <n v="0"/>
    <n v="0"/>
    <n v="0"/>
    <n v="0"/>
    <x v="0"/>
    <n v="55"/>
    <n v="35"/>
  </r>
  <r>
    <x v="57"/>
    <x v="6"/>
    <n v="5180001900"/>
    <s v="242 N SOTO ST"/>
    <s v="5+"/>
    <x v="0"/>
    <n v="0"/>
    <n v="0"/>
    <n v="0"/>
    <n v="0"/>
    <n v="0"/>
    <n v="0"/>
    <x v="0"/>
    <n v="0"/>
    <n v="76"/>
    <n v="0"/>
    <n v="0"/>
    <n v="0"/>
    <n v="0"/>
    <n v="0"/>
    <n v="76"/>
    <n v="0"/>
    <n v="0"/>
    <n v="0"/>
    <x v="0"/>
    <n v="55"/>
    <n v="0"/>
  </r>
  <r>
    <x v="143"/>
    <x v="3"/>
    <n v="1532741900"/>
    <s v="1931 S COAST HWY"/>
    <s v="5+"/>
    <x v="0"/>
    <n v="2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m/>
    <n v="0.5"/>
  </r>
  <r>
    <x v="57"/>
    <x v="6"/>
    <n v="5126019005"/>
    <s v="2528 S GRAND AVE"/>
    <s v="5+"/>
    <x v="0"/>
    <n v="0"/>
    <n v="0"/>
    <n v="0"/>
    <n v="0"/>
    <n v="0"/>
    <n v="0"/>
    <x v="36"/>
    <n v="0"/>
    <n v="0"/>
    <n v="0"/>
    <n v="0"/>
    <n v="0"/>
    <n v="25"/>
    <n v="0"/>
    <n v="0"/>
    <n v="0"/>
    <n v="0"/>
    <n v="0"/>
    <x v="0"/>
    <n v="55"/>
    <n v="34"/>
  </r>
  <r>
    <x v="57"/>
    <x v="6"/>
    <n v="4325019004"/>
    <s v="10770 W WILKINS AVE 1-11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57"/>
  </r>
  <r>
    <x v="57"/>
    <x v="6"/>
    <n v="2360030017"/>
    <s v="4406 N FULTON AVE"/>
    <s v="5+"/>
    <x v="0"/>
    <n v="0"/>
    <n v="0"/>
    <n v="0"/>
    <n v="0"/>
    <n v="0"/>
    <n v="0"/>
    <x v="17"/>
    <n v="0"/>
    <n v="0"/>
    <n v="0"/>
    <n v="0"/>
    <n v="0"/>
    <n v="2"/>
    <n v="0"/>
    <n v="0"/>
    <n v="0"/>
    <n v="0"/>
    <n v="0"/>
    <x v="0"/>
    <n v="55"/>
    <n v="35"/>
  </r>
  <r>
    <x v="57"/>
    <x v="6"/>
    <n v="4323013901"/>
    <s v="11010 W SANTA MONICA BLVD"/>
    <s v="5+"/>
    <x v="0"/>
    <n v="0"/>
    <n v="0"/>
    <n v="0"/>
    <n v="0"/>
    <n v="0"/>
    <n v="0"/>
    <x v="0"/>
    <n v="0"/>
    <n v="50"/>
    <n v="0"/>
    <n v="0"/>
    <n v="0"/>
    <n v="0"/>
    <n v="0"/>
    <n v="50"/>
    <n v="0"/>
    <n v="0"/>
    <n v="0"/>
    <x v="0"/>
    <n v="55"/>
    <n v="80"/>
  </r>
  <r>
    <x v="57"/>
    <x v="6"/>
    <n v="5104017033"/>
    <s v="5516 S CENTRAL AVE 1-29"/>
    <s v="5+"/>
    <x v="0"/>
    <n v="0"/>
    <n v="0"/>
    <n v="22"/>
    <n v="0"/>
    <n v="6"/>
    <n v="0"/>
    <x v="0"/>
    <n v="0"/>
    <n v="22"/>
    <n v="0"/>
    <n v="6"/>
    <n v="0"/>
    <n v="0"/>
    <n v="0"/>
    <n v="0"/>
    <n v="0"/>
    <n v="0"/>
    <n v="0"/>
    <x v="0"/>
    <n v="55"/>
    <n v="71"/>
  </r>
  <r>
    <x v="57"/>
    <x v="6"/>
    <n v="4005004001"/>
    <s v="5800 S BRYNHURST AVE 1-27"/>
    <s v="5+"/>
    <x v="0"/>
    <n v="9"/>
    <n v="0"/>
    <n v="17"/>
    <n v="0"/>
    <n v="0"/>
    <n v="0"/>
    <x v="25"/>
    <n v="0"/>
    <n v="17"/>
    <n v="0"/>
    <n v="0"/>
    <n v="0"/>
    <n v="0"/>
    <n v="0"/>
    <n v="0"/>
    <n v="0"/>
    <n v="0"/>
    <n v="0"/>
    <x v="0"/>
    <n v="55"/>
    <n v="80"/>
  </r>
  <r>
    <x v="15"/>
    <x v="0"/>
    <s v="033 219701900"/>
    <s v="3511 E 12TH ST"/>
    <s v="5+"/>
    <x v="0"/>
    <n v="0"/>
    <n v="0"/>
    <n v="0"/>
    <n v="0"/>
    <n v="0"/>
    <n v="0"/>
    <x v="1"/>
    <n v="0"/>
    <n v="104"/>
    <n v="0"/>
    <n v="0"/>
    <n v="0"/>
    <n v="0"/>
    <n v="0"/>
    <n v="0"/>
    <n v="0"/>
    <n v="0"/>
    <n v="0"/>
    <x v="0"/>
    <n v="75"/>
    <n v="0"/>
  </r>
  <r>
    <x v="15"/>
    <x v="0"/>
    <s v="008 067000100"/>
    <s v="2359 Harrison ST"/>
    <s v="5+"/>
    <x v="0"/>
    <n v="1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15"/>
    <x v="0"/>
    <s v="043 462000102"/>
    <s v="8201 MACARTHUR BLVD"/>
    <s v="5+"/>
    <x v="1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0"/>
    <s v="043 462200402"/>
    <s v="8425 MACARTHUR BLVD"/>
    <s v="5+"/>
    <x v="1"/>
    <n v="0"/>
    <n v="0"/>
    <n v="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0"/>
    <s v="002 006300700"/>
    <s v="316 12TH ST"/>
    <s v="5+"/>
    <x v="1"/>
    <n v="0"/>
    <n v="0"/>
    <n v="3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1"/>
    <n v="4306004007"/>
    <s v="1400 S GLENVILLE DR"/>
    <s v="5+"/>
    <x v="0"/>
    <n v="0"/>
    <n v="0"/>
    <n v="0"/>
    <n v="0"/>
    <n v="0"/>
    <n v="0"/>
    <x v="42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2347015001"/>
    <s v="5501 N LAUREL CANYON BLVD 1-46"/>
    <s v="5+"/>
    <x v="0"/>
    <n v="0"/>
    <n v="0"/>
    <n v="0"/>
    <n v="0"/>
    <n v="0"/>
    <n v="0"/>
    <x v="0"/>
    <n v="0"/>
    <n v="0"/>
    <n v="0"/>
    <n v="0"/>
    <n v="0"/>
    <n v="0"/>
    <n v="0"/>
    <n v="6"/>
    <n v="0"/>
    <n v="0"/>
    <n v="0"/>
    <x v="0"/>
    <n v="55"/>
    <s v="0.28000000000000003"/>
  </r>
  <r>
    <x v="15"/>
    <x v="0"/>
    <s v="014 122601500"/>
    <s v="5110 TELEGRAPH AVE"/>
    <s v="5+"/>
    <x v="0"/>
    <n v="0"/>
    <n v="0"/>
    <n v="0"/>
    <n v="0"/>
    <n v="0"/>
    <n v="0"/>
    <x v="0"/>
    <n v="0"/>
    <n v="0"/>
    <n v="0"/>
    <n v="0"/>
    <n v="0"/>
    <n v="17"/>
    <n v="0"/>
    <n v="0"/>
    <n v="0"/>
    <n v="0"/>
    <n v="0"/>
    <x v="0"/>
    <n v="55"/>
    <n v="0"/>
  </r>
  <r>
    <x v="57"/>
    <x v="1"/>
    <n v="4303032022"/>
    <s v="8521 W HORNER ST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1.2250000000000001"/>
  </r>
  <r>
    <x v="57"/>
    <x v="1"/>
    <n v="2317013004"/>
    <s v="12035 W RUNNYMEDE ST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.46"/>
  </r>
  <r>
    <x v="57"/>
    <x v="1"/>
    <n v="2415018007"/>
    <s v="5623 N DENNY AVE"/>
    <s v="5+"/>
    <x v="0"/>
    <n v="0"/>
    <n v="0"/>
    <n v="0"/>
    <n v="0"/>
    <n v="1"/>
    <n v="0"/>
    <x v="0"/>
    <n v="0"/>
    <n v="0"/>
    <n v="0"/>
    <n v="0"/>
    <n v="0"/>
    <n v="0"/>
    <n v="0"/>
    <n v="0"/>
    <n v="0"/>
    <n v="0"/>
    <n v="0"/>
    <x v="1"/>
    <n v="55"/>
    <n v="0"/>
  </r>
  <r>
    <x v="57"/>
    <x v="1"/>
    <n v="5544011019"/>
    <s v="1717 N WINONA BLVD 1-15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1"/>
    <n v="55"/>
    <n v="0"/>
  </r>
  <r>
    <x v="57"/>
    <x v="1"/>
    <n v="7455026051"/>
    <s v="511 S HARBOR BLVD"/>
    <s v="5+"/>
    <x v="0"/>
    <n v="0"/>
    <n v="0"/>
    <n v="0"/>
    <n v="0"/>
    <n v="0"/>
    <n v="0"/>
    <x v="45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4012021042"/>
    <s v="7715 S CRENSHAW BLVD"/>
    <s v="5+"/>
    <x v="0"/>
    <n v="2"/>
    <n v="0"/>
    <n v="179"/>
    <n v="0"/>
    <n v="40"/>
    <n v="0"/>
    <x v="0"/>
    <n v="0"/>
    <n v="0"/>
    <n v="0"/>
    <n v="0"/>
    <n v="0"/>
    <n v="0"/>
    <n v="0"/>
    <n v="0"/>
    <n v="0"/>
    <n v="0"/>
    <n v="0"/>
    <x v="0"/>
    <m/>
    <s v="0.34000000000000002"/>
  </r>
  <r>
    <x v="57"/>
    <x v="1"/>
    <n v="4237005010"/>
    <s v="2308 S PISANI PL"/>
    <s v="5+"/>
    <x v="0"/>
    <n v="0"/>
    <n v="0"/>
    <n v="3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57"/>
    <x v="1"/>
    <n v="4261028003"/>
    <s v="11418 W MISSOURI AVE"/>
    <s v="5+"/>
    <x v="0"/>
    <n v="0"/>
    <n v="0"/>
    <n v="36"/>
    <n v="0"/>
    <n v="7"/>
    <n v="0"/>
    <x v="0"/>
    <n v="0"/>
    <n v="0"/>
    <n v="0"/>
    <n v="0"/>
    <n v="0"/>
    <n v="0"/>
    <n v="0"/>
    <n v="0"/>
    <n v="0"/>
    <n v="0"/>
    <n v="0"/>
    <x v="0"/>
    <m/>
    <s v="6.8799999999999999"/>
  </r>
  <r>
    <x v="57"/>
    <x v="1"/>
    <n v="5092029007"/>
    <s v="3950 W INGRAHAM ST"/>
    <s v="5+"/>
    <x v="0"/>
    <n v="0"/>
    <n v="0"/>
    <n v="46"/>
    <n v="0"/>
    <n v="12"/>
    <n v="0"/>
    <x v="0"/>
    <n v="0"/>
    <n v="0"/>
    <n v="0"/>
    <n v="0"/>
    <n v="0"/>
    <n v="0"/>
    <n v="0"/>
    <n v="0"/>
    <n v="0"/>
    <n v="0"/>
    <n v="0"/>
    <x v="0"/>
    <m/>
    <s v="1.6799999999999999"/>
  </r>
  <r>
    <x v="57"/>
    <x v="1"/>
    <n v="5144019021"/>
    <s v="845 S OLIVE ST"/>
    <s v="5+"/>
    <x v="0"/>
    <n v="3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34999999999999998"/>
  </r>
  <r>
    <x v="175"/>
    <x v="0"/>
    <n v="178402003"/>
    <s v="699 YGNACIO VALLEY RD"/>
    <s v="5+"/>
    <x v="0"/>
    <n v="0"/>
    <n v="0"/>
    <n v="96"/>
    <n v="0"/>
    <n v="0"/>
    <n v="0"/>
    <x v="0"/>
    <n v="0"/>
    <n v="0"/>
    <n v="0"/>
    <n v="0"/>
    <n v="0"/>
    <n v="0"/>
    <n v="0"/>
    <n v="0"/>
    <n v="0"/>
    <n v="0"/>
    <n v="0"/>
    <x v="0"/>
    <n v="55"/>
    <s v="125.59999999999999"/>
  </r>
  <r>
    <x v="191"/>
    <x v="0"/>
    <s v="417-130-036"/>
    <s v="13717 San Pablo Ave"/>
    <s v="5+"/>
    <x v="0"/>
    <n v="0"/>
    <n v="5"/>
    <n v="0"/>
    <n v="7"/>
    <n v="0"/>
    <n v="7"/>
    <x v="0"/>
    <n v="0"/>
    <n v="0"/>
    <n v="0"/>
    <n v="0"/>
    <n v="0"/>
    <n v="0"/>
    <n v="0"/>
    <n v="0"/>
    <n v="0"/>
    <n v="0"/>
    <n v="0"/>
    <x v="0"/>
    <m/>
    <n v="50"/>
  </r>
  <r>
    <x v="57"/>
    <x v="1"/>
    <n v="5518023004"/>
    <s v="144 S CATALINA ST"/>
    <s v="5+"/>
    <x v="0"/>
    <n v="13"/>
    <n v="0"/>
    <n v="32"/>
    <n v="0"/>
    <n v="0"/>
    <n v="0"/>
    <x v="0"/>
    <n v="0"/>
    <n v="0"/>
    <n v="0"/>
    <n v="0"/>
    <n v="0"/>
    <n v="0"/>
    <n v="0"/>
    <n v="0"/>
    <n v="0"/>
    <n v="0"/>
    <n v="0"/>
    <x v="0"/>
    <m/>
    <s v="2.8300000000000001"/>
  </r>
  <r>
    <x v="57"/>
    <x v="1"/>
    <n v="5534006007"/>
    <s v="6219 W BANNER AVE"/>
    <s v="5+"/>
    <x v="0"/>
    <n v="3"/>
    <n v="0"/>
    <n v="47"/>
    <n v="0"/>
    <n v="13"/>
    <n v="0"/>
    <x v="0"/>
    <n v="0"/>
    <n v="0"/>
    <n v="0"/>
    <n v="0"/>
    <n v="0"/>
    <n v="0"/>
    <n v="0"/>
    <n v="0"/>
    <n v="0"/>
    <n v="0"/>
    <n v="0"/>
    <x v="0"/>
    <m/>
    <n v="9"/>
  </r>
  <r>
    <x v="57"/>
    <x v="1"/>
    <n v="5078026017"/>
    <s v="2553 W 12TH ST"/>
    <s v="5+"/>
    <x v="0"/>
    <n v="0"/>
    <n v="0"/>
    <n v="23"/>
    <n v="0"/>
    <n v="3"/>
    <n v="0"/>
    <x v="0"/>
    <n v="0"/>
    <n v="0"/>
    <n v="0"/>
    <n v="0"/>
    <n v="0"/>
    <n v="0"/>
    <n v="0"/>
    <n v="0"/>
    <n v="0"/>
    <n v="0"/>
    <n v="0"/>
    <x v="0"/>
    <n v="55"/>
    <s v="0.33000000000000002"/>
  </r>
  <r>
    <x v="155"/>
    <x v="0"/>
    <n v="216120037"/>
    <s v="373 Diablo Rd"/>
    <s v="5+"/>
    <x v="0"/>
    <n v="0"/>
    <n v="0"/>
    <n v="0"/>
    <n v="0"/>
    <n v="0"/>
    <n v="0"/>
    <x v="0"/>
    <n v="0"/>
    <n v="0"/>
    <n v="0"/>
    <n v="0"/>
    <n v="0"/>
    <n v="10"/>
    <n v="0"/>
    <n v="0"/>
    <n v="0"/>
    <n v="0"/>
    <n v="0"/>
    <x v="0"/>
    <n v="55"/>
    <n v="30"/>
  </r>
  <r>
    <x v="62"/>
    <x v="4"/>
    <n v="3505016"/>
    <s v="30 OTIS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n v="3755023"/>
    <s v="1140 HARRISON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n v="3548033"/>
    <s v="1863 MISSION ST"/>
    <s v="5+"/>
    <x v="1"/>
    <n v="0"/>
    <n v="0"/>
    <n v="0"/>
    <n v="0"/>
    <n v="0"/>
    <n v="0"/>
    <x v="0"/>
    <n v="0"/>
    <n v="0"/>
    <n v="0"/>
    <n v="4"/>
    <n v="0"/>
    <n v="0"/>
    <n v="0"/>
    <n v="0"/>
    <n v="0"/>
    <n v="0"/>
    <n v="0"/>
    <x v="1"/>
    <m/>
    <n v="0"/>
  </r>
  <r>
    <x v="62"/>
    <x v="4"/>
    <s v="0853034"/>
    <s v="188 OCTAVIA ST"/>
    <s v="5+"/>
    <x v="0"/>
    <n v="0"/>
    <n v="0"/>
    <n v="0"/>
    <n v="0"/>
    <n v="0"/>
    <n v="0"/>
    <x v="0"/>
    <n v="0"/>
    <n v="4"/>
    <n v="0"/>
    <n v="0"/>
    <n v="0"/>
    <n v="0"/>
    <n v="0"/>
    <n v="0"/>
    <n v="0"/>
    <n v="0"/>
    <n v="0"/>
    <x v="1"/>
    <m/>
    <n v="0"/>
  </r>
  <r>
    <x v="119"/>
    <x v="3"/>
    <s v="049-1041-026-15"/>
    <s v="4310 Hubbard  Street"/>
    <s v="5+"/>
    <x v="0"/>
    <n v="2"/>
    <n v="0"/>
    <n v="4"/>
    <n v="0"/>
    <n v="5"/>
    <n v="0"/>
    <x v="17"/>
    <n v="0"/>
    <n v="4"/>
    <n v="0"/>
    <n v="5"/>
    <n v="0"/>
    <n v="2"/>
    <n v="0"/>
    <n v="4"/>
    <n v="0"/>
    <n v="5"/>
    <n v="0"/>
    <x v="0"/>
    <n v="55"/>
    <n v="100"/>
  </r>
  <r>
    <x v="131"/>
    <x v="2"/>
    <s v="057 203400800"/>
    <s v="1367 University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2"/>
    <x v="4"/>
    <n v="4167011"/>
    <s v="800 PENNSYLVANIA AV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n v="3911001"/>
    <s v="1 HENRY ADAMS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n v="3780001"/>
    <s v="502 07TH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42"/>
    <x v="2"/>
    <s v="127-221-032"/>
    <s v="655 West Spain Street, Bldg. 2"/>
    <s v="5+"/>
    <x v="0"/>
    <n v="0"/>
    <n v="0"/>
    <n v="0"/>
    <n v="0"/>
    <n v="1"/>
    <n v="0"/>
    <x v="0"/>
    <n v="0"/>
    <n v="0"/>
    <n v="0"/>
    <n v="1"/>
    <n v="0"/>
    <n v="0"/>
    <n v="0"/>
    <n v="0"/>
    <n v="0"/>
    <n v="1"/>
    <n v="0"/>
    <x v="1"/>
    <m/>
    <n v="0"/>
  </r>
  <r>
    <x v="42"/>
    <x v="2"/>
    <s v="128-181-001"/>
    <s v="1269 Broadway"/>
    <s v="5+"/>
    <x v="0"/>
    <n v="7"/>
    <n v="0"/>
    <n v="1"/>
    <n v="0"/>
    <n v="0"/>
    <n v="0"/>
    <x v="12"/>
    <n v="0"/>
    <n v="5"/>
    <n v="0"/>
    <n v="0"/>
    <n v="0"/>
    <n v="0"/>
    <n v="0"/>
    <n v="0"/>
    <n v="0"/>
    <n v="0"/>
    <n v="0"/>
    <x v="0"/>
    <m/>
    <n v="0"/>
  </r>
  <r>
    <x v="159"/>
    <x v="5"/>
    <s v="5725-009-700"/>
    <s v="106 E Orange Grove Blvd"/>
    <s v="5+"/>
    <x v="1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45"/>
    <n v="0"/>
  </r>
  <r>
    <x v="159"/>
    <x v="5"/>
    <s v="5723-015-045"/>
    <s v="535 E Union St"/>
    <s v="5+"/>
    <x v="0"/>
    <n v="0"/>
    <n v="0"/>
    <n v="0"/>
    <n v="0"/>
    <n v="10"/>
    <n v="0"/>
    <x v="0"/>
    <n v="0"/>
    <n v="0"/>
    <n v="0"/>
    <n v="0"/>
    <n v="0"/>
    <n v="0"/>
    <n v="0"/>
    <n v="0"/>
    <n v="0"/>
    <n v="0"/>
    <n v="0"/>
    <x v="1"/>
    <m/>
    <n v="0"/>
  </r>
  <r>
    <x v="96"/>
    <x v="0"/>
    <n v="44923202"/>
    <s v="1240 N CRYSTAL AVE 102+"/>
    <s v="5+"/>
    <x v="0"/>
    <n v="0"/>
    <n v="49"/>
    <n v="0"/>
    <n v="13"/>
    <n v="0"/>
    <n v="0"/>
    <x v="0"/>
    <n v="0"/>
    <n v="0"/>
    <n v="0"/>
    <n v="0"/>
    <n v="0"/>
    <n v="0"/>
    <n v="0"/>
    <n v="0"/>
    <n v="0"/>
    <n v="0"/>
    <n v="0"/>
    <x v="0"/>
    <m/>
    <n v="80"/>
  </r>
  <r>
    <x v="131"/>
    <x v="3"/>
    <s v="057 205302201"/>
    <s v="2012 BERKELEY"/>
    <s v="5+"/>
    <x v="0"/>
    <n v="0"/>
    <n v="0"/>
    <n v="0"/>
    <n v="0"/>
    <n v="0"/>
    <n v="0"/>
    <x v="0"/>
    <n v="0"/>
    <n v="0"/>
    <n v="0"/>
    <n v="0"/>
    <n v="0"/>
    <n v="107"/>
    <n v="0"/>
    <n v="34"/>
    <n v="0"/>
    <n v="0"/>
    <n v="0"/>
    <x v="0"/>
    <n v="55"/>
    <n v="35"/>
  </r>
  <r>
    <x v="131"/>
    <x v="3"/>
    <s v="055 182102100"/>
    <s v="2018 BLAKE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1000"/>
    <n v="50"/>
  </r>
  <r>
    <x v="131"/>
    <x v="3"/>
    <s v="054 178101501"/>
    <s v="2527 SAN PABLO"/>
    <s v="5+"/>
    <x v="0"/>
    <n v="0"/>
    <n v="0"/>
    <n v="0"/>
    <n v="0"/>
    <n v="0"/>
    <n v="0"/>
    <x v="21"/>
    <n v="0"/>
    <n v="25"/>
    <n v="0"/>
    <n v="0"/>
    <n v="0"/>
    <n v="0"/>
    <n v="0"/>
    <n v="0"/>
    <n v="0"/>
    <n v="0"/>
    <n v="0"/>
    <x v="0"/>
    <n v="55"/>
    <n v="35"/>
  </r>
  <r>
    <x v="75"/>
    <x v="1"/>
    <s v="014074010"/>
    <s v="7 South Linden Ave"/>
    <s v="5+"/>
    <x v="0"/>
    <n v="27"/>
    <n v="0"/>
    <n v="55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62"/>
    <x v="4"/>
    <n v="3787026"/>
    <s v="294 TOWNSEND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n v="6954018"/>
    <s v="65 OCEAN AVE"/>
    <s v="5+"/>
    <x v="0"/>
    <n v="0"/>
    <n v="0"/>
    <n v="34"/>
    <n v="0"/>
    <n v="14"/>
    <n v="0"/>
    <x v="0"/>
    <n v="0"/>
    <n v="0"/>
    <n v="0"/>
    <n v="0"/>
    <n v="0"/>
    <n v="0"/>
    <n v="0"/>
    <n v="0"/>
    <n v="0"/>
    <n v="0"/>
    <n v="0"/>
    <x v="0"/>
    <m/>
    <n v="0"/>
  </r>
  <r>
    <x v="62"/>
    <x v="4"/>
    <s v="0738018"/>
    <s v="830 EDDY ST"/>
    <s v="5+"/>
    <x v="0"/>
    <n v="0"/>
    <n v="0"/>
    <n v="0"/>
    <n v="0"/>
    <n v="0"/>
    <n v="0"/>
    <x v="0"/>
    <n v="0"/>
    <n v="20"/>
    <n v="0"/>
    <n v="0"/>
    <n v="0"/>
    <n v="0"/>
    <n v="0"/>
    <n v="0"/>
    <n v="0"/>
    <n v="0"/>
    <n v="0"/>
    <x v="1"/>
    <m/>
    <n v="0"/>
  </r>
  <r>
    <x v="62"/>
    <x v="4"/>
    <s v="0691001"/>
    <s v="1145 POLK ST"/>
    <s v="5+"/>
    <x v="0"/>
    <n v="0"/>
    <n v="0"/>
    <n v="0"/>
    <n v="0"/>
    <n v="0"/>
    <n v="0"/>
    <x v="0"/>
    <n v="0"/>
    <n v="8"/>
    <n v="0"/>
    <n v="0"/>
    <n v="0"/>
    <n v="0"/>
    <n v="0"/>
    <n v="0"/>
    <n v="0"/>
    <n v="0"/>
    <n v="0"/>
    <x v="1"/>
    <m/>
    <n v="0"/>
  </r>
  <r>
    <x v="62"/>
    <x v="4"/>
    <n v="3736120"/>
    <s v="500 FOLSOM ST"/>
    <s v="5+"/>
    <x v="0"/>
    <n v="0"/>
    <n v="0"/>
    <n v="0"/>
    <n v="0"/>
    <n v="0"/>
    <n v="0"/>
    <x v="0"/>
    <n v="0"/>
    <n v="0"/>
    <n v="0"/>
    <n v="0"/>
    <n v="0"/>
    <n v="109"/>
    <n v="0"/>
    <n v="0"/>
    <n v="0"/>
    <n v="0"/>
    <n v="0"/>
    <x v="1"/>
    <m/>
    <n v="0"/>
  </r>
  <r>
    <x v="62"/>
    <x v="4"/>
    <s v="0794028"/>
    <s v="555 FULTON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17"/>
    <n v="0"/>
    <x v="1"/>
    <m/>
    <n v="0"/>
  </r>
  <r>
    <x v="62"/>
    <x v="4"/>
    <n v="3911001"/>
    <s v="1 HENRY ADAMS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4"/>
    <s v="0256016"/>
    <s v="770 POWELL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215"/>
    <x v="3"/>
    <n v="40290260"/>
    <s v="815 OLD COUNTY RD"/>
    <s v="5+"/>
    <x v="0"/>
    <n v="0"/>
    <n v="0"/>
    <n v="27"/>
    <n v="0"/>
    <n v="0"/>
    <n v="0"/>
    <x v="0"/>
    <n v="0"/>
    <n v="27"/>
    <n v="0"/>
    <n v="0"/>
    <n v="0"/>
    <n v="0"/>
    <n v="0"/>
    <n v="0"/>
    <n v="0"/>
    <n v="0"/>
    <n v="0"/>
    <x v="0"/>
    <n v="99"/>
    <n v="35"/>
  </r>
  <r>
    <x v="57"/>
    <x v="1"/>
    <n v="5118009030"/>
    <s v="1432 E 25TH ST"/>
    <s v="5+"/>
    <x v="0"/>
    <n v="0"/>
    <n v="0"/>
    <n v="43"/>
    <n v="0"/>
    <n v="11"/>
    <n v="0"/>
    <x v="0"/>
    <n v="0"/>
    <n v="0"/>
    <n v="0"/>
    <n v="0"/>
    <n v="0"/>
    <n v="0"/>
    <n v="0"/>
    <n v="0"/>
    <n v="0"/>
    <n v="0"/>
    <n v="0"/>
    <x v="0"/>
    <n v="55"/>
    <s v="5.8700000000000001"/>
  </r>
  <r>
    <x v="226"/>
    <x v="3"/>
    <s v="7529-019-003"/>
    <s v="4111 Pacific Coast Hwy"/>
    <s v="5+"/>
    <x v="0"/>
    <n v="1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4"/>
  </r>
  <r>
    <x v="29"/>
    <x v="0"/>
    <s v="6224-015-016"/>
    <s v="5210 Santa Ana Street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30"/>
    <x v="0"/>
    <s v="3010-030-023"/>
    <s v="150 E Avenue R"/>
    <s v="5+"/>
    <x v="0"/>
    <n v="149"/>
    <n v="0"/>
    <n v="0"/>
    <n v="0"/>
    <n v="0"/>
    <n v="2"/>
    <x v="46"/>
    <n v="0"/>
    <n v="0"/>
    <n v="0"/>
    <n v="0"/>
    <n v="0"/>
    <n v="0"/>
    <n v="0"/>
    <n v="0"/>
    <n v="0"/>
    <n v="0"/>
    <n v="0"/>
    <x v="0"/>
    <m/>
    <n v="100"/>
  </r>
  <r>
    <x v="44"/>
    <x v="3"/>
    <n v="41414092"/>
    <s v="3100 BASCOM AV"/>
    <s v="5+"/>
    <x v="0"/>
    <n v="0"/>
    <n v="0"/>
    <n v="0"/>
    <n v="0"/>
    <n v="0"/>
    <n v="0"/>
    <x v="24"/>
    <n v="0"/>
    <n v="34"/>
    <n v="0"/>
    <n v="0"/>
    <n v="0"/>
    <n v="0"/>
    <n v="0"/>
    <n v="0"/>
    <n v="0"/>
    <n v="0"/>
    <n v="0"/>
    <x v="0"/>
    <n v="55"/>
    <n v="0"/>
  </r>
  <r>
    <x v="44"/>
    <x v="3"/>
    <n v="46714076"/>
    <s v="124 N 15TH STREET"/>
    <s v="5+"/>
    <x v="0"/>
    <n v="0"/>
    <n v="0"/>
    <n v="102"/>
    <n v="0"/>
    <n v="0"/>
    <n v="0"/>
    <x v="0"/>
    <n v="0"/>
    <n v="0"/>
    <n v="0"/>
    <n v="0"/>
    <n v="0"/>
    <n v="0"/>
    <n v="0"/>
    <n v="0"/>
    <n v="0"/>
    <n v="0"/>
    <n v="0"/>
    <x v="0"/>
    <n v="55"/>
    <s v="3.2999999999999998"/>
  </r>
  <r>
    <x v="226"/>
    <x v="1"/>
    <s v="7368-001-015"/>
    <s v="22501 Hawthorne Bvld"/>
    <s v="5+"/>
    <x v="1"/>
    <n v="1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2.5"/>
  </r>
  <r>
    <x v="99"/>
    <x v="0"/>
    <s v="001-031--003"/>
    <s v="300 Cannery Row"/>
    <s v="5+"/>
    <x v="1"/>
    <n v="0"/>
    <n v="0"/>
    <n v="1"/>
    <n v="0"/>
    <n v="0"/>
    <n v="1"/>
    <x v="0"/>
    <n v="0"/>
    <n v="0"/>
    <n v="0"/>
    <n v="0"/>
    <n v="0"/>
    <n v="0"/>
    <n v="0"/>
    <n v="0"/>
    <n v="0"/>
    <n v="0"/>
    <n v="0"/>
    <x v="0"/>
    <m/>
    <n v="0"/>
  </r>
  <r>
    <x v="57"/>
    <x v="1"/>
    <n v="5211009015"/>
    <s v="2010 N LINCOLN PARK; 2016 N LINCOLN PARK; 2020 N LINCOLN PARK; 2026 N LINCOLN PARK; 2030 N LINCOLN PARK; 2036 N LINCOLN PARK; 3601 E MISSION; 3609 E MISSION; 3615 E MISSION"/>
    <s v="5+"/>
    <x v="0"/>
    <n v="4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72999999999999998"/>
  </r>
  <r>
    <x v="57"/>
    <x v="1"/>
    <n v="5534002018"/>
    <s v="1200 N VINE; 1204 N VINE; 1214 N VINE; 1218 N VINE; 6245 W LEXINGTON; 6247 W LEXINGTON"/>
    <s v="5+"/>
    <x v="0"/>
    <n v="1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47499999999999998"/>
  </r>
  <r>
    <x v="57"/>
    <x v="1"/>
    <n v="5053008004"/>
    <s v="3018 S WESTERN; 3022 S WESTERN; 3024 S WESTERN; 3026 S WESTERN; 3100 S WESTERN; 3102 S WESTERN; 3104 S WESTERN; 3106 S WESTERN; 3108 S WESTERN; 3110 S WESTERN"/>
    <s v="5+"/>
    <x v="0"/>
    <n v="1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57"/>
    <x v="1"/>
    <n v="4230003063"/>
    <s v="13481 W BEACH; 13485 W BEACH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.625"/>
  </r>
  <r>
    <x v="224"/>
    <x v="1"/>
    <s v="019-042-21"/>
    <s v="251-351 W Imperial Hwy"/>
    <s v="5+"/>
    <x v="1"/>
    <n v="0"/>
    <n v="0"/>
    <n v="0"/>
    <n v="0"/>
    <n v="12"/>
    <n v="0"/>
    <x v="0"/>
    <n v="0"/>
    <n v="0"/>
    <n v="0"/>
    <n v="0"/>
    <n v="0"/>
    <n v="0"/>
    <n v="0"/>
    <n v="0"/>
    <n v="0"/>
    <n v="0"/>
    <n v="0"/>
    <x v="0"/>
    <n v="55"/>
    <n v="0"/>
  </r>
  <r>
    <x v="79"/>
    <x v="0"/>
    <n v="35200120"/>
    <s v="1650 S DELAWARE ST"/>
    <s v="5+"/>
    <x v="1"/>
    <n v="0"/>
    <n v="0"/>
    <n v="0"/>
    <n v="0"/>
    <n v="0"/>
    <n v="0"/>
    <x v="0"/>
    <n v="0"/>
    <n v="0"/>
    <n v="0"/>
    <n v="0"/>
    <n v="0"/>
    <n v="6"/>
    <n v="0"/>
    <n v="0"/>
    <n v="0"/>
    <n v="0"/>
    <n v="0"/>
    <x v="1"/>
    <n v="1000"/>
    <n v="0"/>
  </r>
  <r>
    <x v="79"/>
    <x v="0"/>
    <n v="40031030"/>
    <s v="2901 E Kyne St"/>
    <s v="5+"/>
    <x v="0"/>
    <n v="0"/>
    <n v="0"/>
    <n v="0"/>
    <n v="0"/>
    <n v="0"/>
    <n v="0"/>
    <x v="0"/>
    <n v="0"/>
    <n v="0"/>
    <n v="0"/>
    <n v="0"/>
    <n v="0"/>
    <n v="0"/>
    <n v="0"/>
    <n v="8"/>
    <n v="0"/>
    <n v="0"/>
    <n v="0"/>
    <x v="1"/>
    <n v="1000"/>
    <n v="0"/>
  </r>
  <r>
    <x v="79"/>
    <x v="0"/>
    <n v="33163160"/>
    <s v="200 S FREMONT ST"/>
    <s v="5+"/>
    <x v="0"/>
    <n v="0"/>
    <n v="0"/>
    <n v="0"/>
    <n v="0"/>
    <n v="0"/>
    <n v="0"/>
    <x v="0"/>
    <n v="0"/>
    <n v="0"/>
    <n v="0"/>
    <n v="2"/>
    <n v="0"/>
    <n v="0"/>
    <n v="0"/>
    <n v="0"/>
    <n v="0"/>
    <n v="0"/>
    <n v="0"/>
    <x v="1"/>
    <n v="1000"/>
    <n v="0"/>
  </r>
  <r>
    <x v="13"/>
    <x v="0"/>
    <n v="4706900300"/>
    <s v="7735 University Ave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"/>
    <x v="0"/>
    <n v="4941502200"/>
    <s v="8234 University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13"/>
    <x v="0"/>
    <n v="4943001100"/>
    <s v="8535 La Mesa Blvd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0"/>
    <n v="55"/>
    <n v="0"/>
  </r>
  <r>
    <x v="44"/>
    <x v="3"/>
    <n v="46721024"/>
    <s v="17 E SANTA CLARA ST"/>
    <s v="5+"/>
    <x v="0"/>
    <n v="0"/>
    <n v="0"/>
    <n v="38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15"/>
    <x v="3"/>
    <s v="001 021704800"/>
    <s v="685 9TH ST, Oakland, CA 94607"/>
    <s v="5+"/>
    <x v="0"/>
    <n v="0"/>
    <n v="0"/>
    <n v="0"/>
    <n v="0"/>
    <n v="35"/>
    <n v="0"/>
    <x v="0"/>
    <n v="0"/>
    <n v="0"/>
    <n v="0"/>
    <n v="0"/>
    <n v="0"/>
    <n v="0"/>
    <n v="0"/>
    <n v="0"/>
    <n v="0"/>
    <n v="0"/>
    <n v="0"/>
    <x v="0"/>
    <n v="55"/>
    <n v="50"/>
  </r>
  <r>
    <x v="52"/>
    <x v="1"/>
    <s v="07103200420000"/>
    <s v="103 E NATOMA ST"/>
    <s v="5+"/>
    <x v="0"/>
    <n v="14"/>
    <n v="0"/>
    <n v="122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52"/>
    <x v="1"/>
    <s v="07233700410000"/>
    <s v="14776 MANGINI PKWY"/>
    <s v="5+"/>
    <x v="0"/>
    <n v="0"/>
    <n v="0"/>
    <n v="0"/>
    <n v="0"/>
    <n v="0"/>
    <n v="0"/>
    <x v="0"/>
    <n v="0"/>
    <n v="6"/>
    <n v="0"/>
    <n v="2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x v="12"/>
    <n v="0"/>
    <n v="19"/>
    <n v="0"/>
    <n v="0"/>
    <n v="0"/>
    <n v="0"/>
    <n v="0"/>
    <n v="0"/>
    <n v="0"/>
    <n v="0"/>
    <n v="0"/>
    <x v="0"/>
    <m/>
    <s v="0.012999999999999999"/>
  </r>
  <r>
    <x v="49"/>
    <x v="1"/>
    <s v="117-240-028"/>
    <s v="SEC Blosser and West Stowell Road"/>
    <s v="5+"/>
    <x v="0"/>
    <n v="1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5"/>
  </r>
  <r>
    <x v="15"/>
    <x v="3"/>
    <s v="018 031000308"/>
    <s v="2121 WOOD ST, Oakland, CA 94607"/>
    <s v="5+"/>
    <x v="0"/>
    <n v="0"/>
    <n v="0"/>
    <n v="0"/>
    <n v="0"/>
    <n v="0"/>
    <n v="0"/>
    <x v="0"/>
    <n v="0"/>
    <n v="0"/>
    <n v="0"/>
    <n v="24"/>
    <n v="0"/>
    <n v="0"/>
    <n v="0"/>
    <n v="0"/>
    <n v="0"/>
    <n v="0"/>
    <n v="0"/>
    <x v="1"/>
    <m/>
    <n v="0"/>
  </r>
  <r>
    <x v="15"/>
    <x v="3"/>
    <s v="041 415301302"/>
    <s v="7120 HAWLEY ST, OAKLAND, CA 94621"/>
    <s v="5+"/>
    <x v="0"/>
    <n v="0"/>
    <n v="0"/>
    <n v="0"/>
    <n v="0"/>
    <n v="0"/>
    <n v="0"/>
    <x v="0"/>
    <n v="0"/>
    <n v="0"/>
    <n v="0"/>
    <n v="0"/>
    <n v="0"/>
    <n v="58"/>
    <n v="0"/>
    <n v="0"/>
    <n v="0"/>
    <n v="0"/>
    <n v="0"/>
    <x v="0"/>
    <n v="55"/>
    <s v="9.3000000000000007"/>
  </r>
  <r>
    <x v="62"/>
    <x v="6"/>
    <s v="8719C001"/>
    <s v="1070 BRIDGEVIEW WY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59"/>
    <n v="0"/>
    <x v="1"/>
    <n v="99"/>
    <n v="0"/>
  </r>
  <r>
    <x v="62"/>
    <x v="6"/>
    <n v="8719005"/>
    <s v="400 CHINA BASIN ST"/>
    <s v="5+"/>
    <x v="0"/>
    <n v="0"/>
    <n v="0"/>
    <n v="0"/>
    <n v="0"/>
    <n v="0"/>
    <n v="0"/>
    <x v="0"/>
    <n v="0"/>
    <n v="0"/>
    <n v="0"/>
    <n v="0"/>
    <n v="0"/>
    <n v="0"/>
    <n v="0"/>
    <n v="29"/>
    <n v="0"/>
    <n v="119"/>
    <n v="0"/>
    <x v="1"/>
    <n v="99"/>
    <n v="0"/>
  </r>
  <r>
    <x v="15"/>
    <x v="0"/>
    <s v="001 020901500"/>
    <s v="578 7TH ST"/>
    <s v="5+"/>
    <x v="1"/>
    <n v="0"/>
    <n v="0"/>
    <n v="0"/>
    <n v="0"/>
    <n v="16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0"/>
    <s v="009 068403001"/>
    <s v="451 28TH ST"/>
    <s v="5+"/>
    <x v="1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0"/>
    <s v="003 002100700"/>
    <s v="2323 SAN PABLO AVE"/>
    <s v="5+"/>
    <x v="1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0"/>
    <s v="003 002300802"/>
    <s v="2116 BRUSH ST"/>
    <s v="5+"/>
    <x v="1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48"/>
  </r>
  <r>
    <x v="223"/>
    <x v="0"/>
    <s v="380-100-008"/>
    <s v="no address"/>
    <s v="5+"/>
    <x v="1"/>
    <n v="0"/>
    <n v="0"/>
    <n v="180"/>
    <n v="0"/>
    <n v="0"/>
    <n v="42"/>
    <x v="0"/>
    <n v="0"/>
    <n v="0"/>
    <n v="0"/>
    <n v="0"/>
    <n v="0"/>
    <n v="0"/>
    <n v="0"/>
    <n v="0"/>
    <n v="0"/>
    <n v="0"/>
    <n v="0"/>
    <x v="0"/>
    <n v="55"/>
    <n v="8.5"/>
  </r>
  <r>
    <x v="152"/>
    <x v="0"/>
    <s v="157-970-03"/>
    <s v="325 ROCKVIEW RD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1"/>
    <n v="1000"/>
    <n v="0"/>
  </r>
  <r>
    <x v="152"/>
    <x v="0"/>
    <s v="157-970-03"/>
    <s v="321 ROCKVIEW RD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1"/>
    <n v="1000"/>
    <n v="0"/>
  </r>
  <r>
    <x v="95"/>
    <x v="3"/>
    <n v="72625061"/>
    <s v="18322 VILLANOVA LN"/>
    <s v="5+"/>
    <x v="0"/>
    <n v="0"/>
    <n v="0"/>
    <n v="0"/>
    <n v="0"/>
    <n v="0"/>
    <n v="0"/>
    <x v="5"/>
    <n v="0"/>
    <n v="0"/>
    <n v="0"/>
    <n v="0"/>
    <n v="15"/>
    <n v="0"/>
    <n v="0"/>
    <n v="0"/>
    <n v="0"/>
    <n v="0"/>
    <n v="0"/>
    <x v="1"/>
    <n v="55"/>
    <n v="0"/>
  </r>
  <r>
    <x v="95"/>
    <x v="3"/>
    <n v="72625061"/>
    <s v="18324 VILLANOVA LN"/>
    <s v="5+"/>
    <x v="0"/>
    <n v="0"/>
    <n v="0"/>
    <n v="0"/>
    <n v="0"/>
    <n v="0"/>
    <n v="0"/>
    <x v="5"/>
    <n v="0"/>
    <n v="0"/>
    <n v="0"/>
    <n v="0"/>
    <n v="14"/>
    <n v="0"/>
    <n v="0"/>
    <n v="0"/>
    <n v="0"/>
    <n v="0"/>
    <n v="0"/>
    <x v="1"/>
    <n v="55"/>
    <n v="0"/>
  </r>
  <r>
    <x v="95"/>
    <x v="3"/>
    <n v="72625061"/>
    <s v="18319 PASADAS LN"/>
    <s v="5+"/>
    <x v="0"/>
    <n v="0"/>
    <n v="0"/>
    <n v="0"/>
    <n v="0"/>
    <n v="0"/>
    <n v="0"/>
    <x v="5"/>
    <n v="0"/>
    <n v="0"/>
    <n v="0"/>
    <n v="0"/>
    <n v="16"/>
    <n v="0"/>
    <n v="0"/>
    <n v="0"/>
    <n v="0"/>
    <n v="0"/>
    <n v="0"/>
    <x v="1"/>
    <n v="55"/>
    <n v="0"/>
  </r>
  <r>
    <x v="95"/>
    <x v="3"/>
    <n v="72625061"/>
    <s v="18305 BARROSA LN"/>
    <s v="5+"/>
    <x v="0"/>
    <n v="0"/>
    <n v="0"/>
    <n v="0"/>
    <n v="0"/>
    <n v="0"/>
    <n v="0"/>
    <x v="5"/>
    <n v="0"/>
    <n v="0"/>
    <n v="0"/>
    <n v="0"/>
    <n v="15"/>
    <n v="0"/>
    <n v="0"/>
    <n v="0"/>
    <n v="0"/>
    <n v="0"/>
    <n v="0"/>
    <x v="1"/>
    <n v="55"/>
    <n v="0"/>
  </r>
  <r>
    <x v="95"/>
    <x v="3"/>
    <n v="72625061"/>
    <s v="18307 BARROSA LN"/>
    <s v="5+"/>
    <x v="0"/>
    <n v="0"/>
    <n v="0"/>
    <n v="0"/>
    <n v="0"/>
    <n v="0"/>
    <n v="0"/>
    <x v="5"/>
    <n v="0"/>
    <n v="0"/>
    <n v="0"/>
    <n v="0"/>
    <n v="14"/>
    <n v="0"/>
    <n v="0"/>
    <n v="0"/>
    <n v="0"/>
    <n v="0"/>
    <n v="0"/>
    <x v="1"/>
    <n v="55"/>
    <n v="0"/>
  </r>
  <r>
    <x v="152"/>
    <x v="0"/>
    <s v="157-970-03"/>
    <s v="123 ROCKVIEW RD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1"/>
    <n v="1000"/>
    <n v="0"/>
  </r>
  <r>
    <x v="134"/>
    <x v="0"/>
    <n v="2340050340"/>
    <s v="1732 S. Lewis Road Camarillo, CA 93102"/>
    <s v="5+"/>
    <x v="0"/>
    <n v="0"/>
    <n v="0"/>
    <n v="5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5"/>
    <x v="0"/>
    <s v="012 096500100"/>
    <s v="3737 M L KING JR WY"/>
    <s v="5+"/>
    <x v="0"/>
    <n v="0"/>
    <n v="0"/>
    <n v="0"/>
    <n v="0"/>
    <n v="0"/>
    <n v="0"/>
    <x v="0"/>
    <n v="0"/>
    <n v="0"/>
    <n v="0"/>
    <n v="0"/>
    <n v="0"/>
    <n v="43"/>
    <n v="0"/>
    <n v="0"/>
    <n v="0"/>
    <n v="0"/>
    <n v="0"/>
    <x v="0"/>
    <n v="55"/>
    <n v="0"/>
  </r>
  <r>
    <x v="92"/>
    <x v="6"/>
    <s v="010-0253-016-0000"/>
    <s v="3131 W ,SACRAMENTO,CA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m/>
    <s v="0.050000000000000003"/>
  </r>
  <r>
    <x v="131"/>
    <x v="2"/>
    <s v="055 187700100"/>
    <s v="2590 Bancroft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31"/>
    <x v="2"/>
    <s v="054 174400700"/>
    <s v="2720 San Pablo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95"/>
    <x v="3"/>
    <n v="72636059"/>
    <s v="18760 MINER LN"/>
    <s v="5+"/>
    <x v="0"/>
    <n v="0"/>
    <n v="0"/>
    <n v="0"/>
    <n v="0"/>
    <n v="0"/>
    <n v="0"/>
    <x v="3"/>
    <n v="0"/>
    <n v="18"/>
    <n v="0"/>
    <n v="1"/>
    <n v="0"/>
    <n v="0"/>
    <n v="0"/>
    <n v="0"/>
    <n v="0"/>
    <n v="0"/>
    <n v="0"/>
    <x v="0"/>
    <n v="55"/>
    <n v="80"/>
  </r>
  <r>
    <x v="95"/>
    <x v="3"/>
    <n v="72636059"/>
    <s v="18775 MINER LN"/>
    <s v="5+"/>
    <x v="0"/>
    <n v="0"/>
    <n v="0"/>
    <n v="0"/>
    <n v="0"/>
    <n v="0"/>
    <n v="0"/>
    <x v="3"/>
    <n v="0"/>
    <n v="9"/>
    <n v="0"/>
    <n v="0"/>
    <n v="0"/>
    <n v="0"/>
    <n v="0"/>
    <n v="0"/>
    <n v="0"/>
    <n v="0"/>
    <n v="0"/>
    <x v="0"/>
    <n v="55"/>
    <n v="80"/>
  </r>
  <r>
    <x v="111"/>
    <x v="6"/>
    <n v="146141072"/>
    <s v="11215 PIERCE ST, Riverside, CA 92505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0"/>
    <n v="55"/>
    <n v="0"/>
  </r>
  <r>
    <x v="152"/>
    <x v="6"/>
    <s v="141-221-75"/>
    <s v="1602 VALLEJO #9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52"/>
    <x v="6"/>
    <s v="157-970-03"/>
    <s v="609 ROCKVIEW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44"/>
    <x v="6"/>
    <s v="484-20-040"/>
    <s v="2884 Alum Rock Avenue"/>
    <s v="5+"/>
    <x v="0"/>
    <n v="0"/>
    <n v="0"/>
    <n v="0"/>
    <n v="0"/>
    <n v="0"/>
    <n v="0"/>
    <x v="84"/>
    <n v="0"/>
    <n v="27"/>
    <n v="0"/>
    <n v="0"/>
    <n v="0"/>
    <n v="0"/>
    <n v="0"/>
    <n v="0"/>
    <n v="0"/>
    <n v="0"/>
    <n v="0"/>
    <x v="0"/>
    <n v="55"/>
    <n v="0"/>
  </r>
  <r>
    <x v="186"/>
    <x v="1"/>
    <s v="415-0240-032-00"/>
    <s v="Russell Way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070000000000000007"/>
  </r>
  <r>
    <x v="191"/>
    <x v="0"/>
    <s v="416-140-047"/>
    <s v="2555 El portal Dr"/>
    <s v="5+"/>
    <x v="0"/>
    <n v="5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80"/>
  </r>
  <r>
    <x v="127"/>
    <x v="0"/>
    <s v="201-0-213-110"/>
    <s v="217-235 East Sixth Street"/>
    <s v="5+"/>
    <x v="0"/>
    <n v="0"/>
    <n v="0"/>
    <n v="86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27"/>
    <x v="0"/>
    <s v="188-0-310--055"/>
    <s v="3851 Harbour Island Lane"/>
    <s v="5+"/>
    <x v="1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20"/>
    <n v="0"/>
  </r>
  <r>
    <x v="33"/>
    <x v="0"/>
    <s v="026-231-290"/>
    <s v="1095 Rollins Rd"/>
    <s v="5+"/>
    <x v="0"/>
    <n v="0"/>
    <n v="0"/>
    <n v="0"/>
    <n v="0"/>
    <n v="0"/>
    <n v="0"/>
    <x v="0"/>
    <n v="0"/>
    <n v="0"/>
    <n v="0"/>
    <n v="15"/>
    <n v="0"/>
    <n v="0"/>
    <n v="0"/>
    <n v="0"/>
    <n v="0"/>
    <n v="0"/>
    <n v="0"/>
    <x v="0"/>
    <n v="55"/>
    <n v="0"/>
  </r>
  <r>
    <x v="47"/>
    <x v="0"/>
    <s v="017-172-014-000"/>
    <s v="UNIVERSITY AVENUE"/>
    <s v="5+"/>
    <x v="0"/>
    <n v="104"/>
    <n v="0"/>
    <n v="181"/>
    <n v="0"/>
    <n v="0"/>
    <n v="0"/>
    <x v="0"/>
    <n v="0"/>
    <n v="0"/>
    <n v="0"/>
    <n v="0"/>
    <n v="0"/>
    <n v="0"/>
    <n v="0"/>
    <n v="0"/>
    <n v="0"/>
    <n v="0"/>
    <n v="0"/>
    <x v="0"/>
    <n v="55"/>
    <n v="23"/>
  </r>
  <r>
    <x v="225"/>
    <x v="3"/>
    <s v="22-732-01, 22-732-48"/>
    <s v="4104 Scotts Valley Drive"/>
    <s v="5+"/>
    <x v="1"/>
    <n v="0"/>
    <n v="0"/>
    <n v="2"/>
    <n v="0"/>
    <n v="0"/>
    <n v="0"/>
    <x v="0"/>
    <n v="0"/>
    <n v="2"/>
    <n v="0"/>
    <n v="0"/>
    <n v="0"/>
    <n v="0"/>
    <n v="0"/>
    <n v="0"/>
    <n v="0"/>
    <n v="0"/>
    <n v="0"/>
    <x v="1"/>
    <m/>
    <n v="0"/>
  </r>
  <r>
    <x v="127"/>
    <x v="0"/>
    <n v="2250014250"/>
    <s v="2250 E PLEASANT VALLEY RD"/>
    <s v="5+"/>
    <x v="0"/>
    <n v="0"/>
    <n v="0"/>
    <n v="0"/>
    <n v="0"/>
    <n v="0"/>
    <n v="0"/>
    <x v="0"/>
    <n v="0"/>
    <n v="15"/>
    <n v="0"/>
    <n v="0"/>
    <n v="0"/>
    <n v="0"/>
    <n v="0"/>
    <n v="15"/>
    <n v="0"/>
    <n v="0"/>
    <n v="0"/>
    <x v="0"/>
    <m/>
    <n v="35"/>
  </r>
  <r>
    <x v="119"/>
    <x v="3"/>
    <s v="049-1041-026-15"/>
    <s v="4510 Hubbard Street"/>
    <s v="5+"/>
    <x v="0"/>
    <n v="8"/>
    <n v="0"/>
    <n v="8"/>
    <n v="0"/>
    <n v="6"/>
    <n v="0"/>
    <x v="42"/>
    <n v="0"/>
    <n v="8"/>
    <n v="0"/>
    <n v="6"/>
    <n v="0"/>
    <n v="8"/>
    <n v="0"/>
    <n v="8"/>
    <n v="0"/>
    <n v="6"/>
    <n v="0"/>
    <x v="0"/>
    <n v="55"/>
    <n v="100"/>
  </r>
  <r>
    <x v="131"/>
    <x v="2"/>
    <s v="060 235400200"/>
    <s v="1200 San Pablo"/>
    <s v="5+"/>
    <x v="0"/>
    <n v="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5"/>
    <x v="0"/>
    <s v="009 069902301"/>
    <s v="445 30TH ST"/>
    <s v="5+"/>
    <x v="0"/>
    <n v="0"/>
    <n v="0"/>
    <n v="0"/>
    <n v="0"/>
    <n v="0"/>
    <n v="0"/>
    <x v="0"/>
    <n v="0"/>
    <n v="0"/>
    <n v="0"/>
    <n v="0"/>
    <n v="0"/>
    <n v="56"/>
    <n v="0"/>
    <n v="0"/>
    <n v="0"/>
    <n v="0"/>
    <n v="0"/>
    <x v="0"/>
    <n v="55"/>
    <n v="0"/>
  </r>
  <r>
    <x v="15"/>
    <x v="0"/>
    <s v="020 010600704"/>
    <s v="1233 23RD AVE"/>
    <s v="5+"/>
    <x v="0"/>
    <n v="0"/>
    <n v="0"/>
    <n v="0"/>
    <n v="0"/>
    <n v="0"/>
    <n v="0"/>
    <x v="0"/>
    <n v="0"/>
    <n v="0"/>
    <n v="0"/>
    <n v="0"/>
    <n v="0"/>
    <n v="36"/>
    <n v="0"/>
    <n v="0"/>
    <n v="0"/>
    <n v="0"/>
    <n v="0"/>
    <x v="0"/>
    <n v="55"/>
    <n v="0"/>
  </r>
  <r>
    <x v="15"/>
    <x v="0"/>
    <s v="008 062503200"/>
    <s v="1510 WEBSTER ST"/>
    <s v="5+"/>
    <x v="0"/>
    <n v="0"/>
    <n v="0"/>
    <n v="3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0"/>
    <s v="001 021704800"/>
    <s v="685 9TH ST"/>
    <s v="5+"/>
    <x v="1"/>
    <n v="0"/>
    <n v="0"/>
    <n v="0"/>
    <n v="0"/>
    <n v="35"/>
    <n v="0"/>
    <x v="0"/>
    <n v="0"/>
    <n v="0"/>
    <n v="0"/>
    <n v="0"/>
    <n v="0"/>
    <n v="0"/>
    <n v="0"/>
    <n v="0"/>
    <n v="0"/>
    <n v="0"/>
    <n v="0"/>
    <x v="0"/>
    <n v="55"/>
    <n v="50"/>
  </r>
  <r>
    <x v="15"/>
    <x v="0"/>
    <s v="010 078500200"/>
    <s v="430 ADAMS ST"/>
    <s v="5+"/>
    <x v="1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15"/>
    <x v="0"/>
    <s v="023 041800401"/>
    <s v="31 EXCELSIOR CT"/>
    <s v="5+"/>
    <x v="1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43"/>
    <x v="5"/>
    <s v="006-091-39"/>
    <s v="754 Sir Francis Drake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79"/>
    <x v="0"/>
    <n v="35401450"/>
    <s v="1 WATERS PARK DR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1000"/>
    <n v="0"/>
  </r>
  <r>
    <x v="13"/>
    <x v="0"/>
    <n v="4691003700"/>
    <s v="5061 Keeney St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13"/>
    <x v="0"/>
    <n v="4943001100"/>
    <s v="8555 La Mesa Blvd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"/>
    <x v="0"/>
    <n v="4705823900"/>
    <s v="8055 La Mesa Blvd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4"/>
    <x v="3"/>
    <s v="2449-037-011"/>
    <s v="777  N FRONT ST"/>
    <s v="5+"/>
    <x v="0"/>
    <n v="0"/>
    <n v="0"/>
    <n v="0"/>
    <n v="0"/>
    <n v="0"/>
    <n v="0"/>
    <x v="0"/>
    <n v="0"/>
    <n v="0"/>
    <n v="0"/>
    <n v="34"/>
    <n v="0"/>
    <n v="0"/>
    <n v="0"/>
    <n v="0"/>
    <n v="0"/>
    <n v="34"/>
    <n v="0"/>
    <x v="1"/>
    <n v="55"/>
    <n v="0"/>
  </r>
  <r>
    <x v="95"/>
    <x v="3"/>
    <n v="72625061"/>
    <s v="18314 PALOMARES LN"/>
    <s v="5+"/>
    <x v="0"/>
    <n v="0"/>
    <n v="0"/>
    <n v="0"/>
    <n v="0"/>
    <n v="0"/>
    <n v="0"/>
    <x v="12"/>
    <n v="0"/>
    <n v="0"/>
    <n v="0"/>
    <n v="0"/>
    <n v="13"/>
    <n v="0"/>
    <n v="0"/>
    <n v="0"/>
    <n v="0"/>
    <n v="0"/>
    <n v="0"/>
    <x v="1"/>
    <n v="55"/>
    <n v="0"/>
  </r>
  <r>
    <x v="95"/>
    <x v="3"/>
    <n v="72625061"/>
    <s v="18317 PASADAS LN"/>
    <s v="5+"/>
    <x v="0"/>
    <n v="0"/>
    <n v="0"/>
    <n v="0"/>
    <n v="0"/>
    <n v="0"/>
    <n v="0"/>
    <x v="5"/>
    <n v="0"/>
    <n v="0"/>
    <n v="0"/>
    <n v="0"/>
    <n v="16"/>
    <n v="0"/>
    <n v="0"/>
    <n v="0"/>
    <n v="0"/>
    <n v="0"/>
    <n v="0"/>
    <x v="1"/>
    <n v="55"/>
    <n v="0"/>
  </r>
  <r>
    <x v="95"/>
    <x v="3"/>
    <n v="72636059"/>
    <s v="18805 MINER LN"/>
    <s v="5+"/>
    <x v="0"/>
    <n v="0"/>
    <n v="0"/>
    <n v="0"/>
    <n v="0"/>
    <n v="0"/>
    <n v="0"/>
    <x v="3"/>
    <n v="0"/>
    <n v="18"/>
    <n v="0"/>
    <n v="0"/>
    <n v="0"/>
    <n v="0"/>
    <n v="0"/>
    <n v="0"/>
    <n v="0"/>
    <n v="0"/>
    <n v="0"/>
    <x v="0"/>
    <n v="55"/>
    <n v="80"/>
  </r>
  <r>
    <x v="95"/>
    <x v="3"/>
    <n v="72636059"/>
    <s v="18835 MINER LN"/>
    <s v="5+"/>
    <x v="0"/>
    <n v="0"/>
    <n v="0"/>
    <n v="0"/>
    <n v="0"/>
    <n v="0"/>
    <n v="0"/>
    <x v="17"/>
    <n v="0"/>
    <n v="10"/>
    <n v="0"/>
    <n v="0"/>
    <n v="0"/>
    <n v="0"/>
    <n v="0"/>
    <n v="0"/>
    <n v="0"/>
    <n v="0"/>
    <n v="0"/>
    <x v="0"/>
    <n v="55"/>
    <n v="80"/>
  </r>
  <r>
    <x v="131"/>
    <x v="2"/>
    <s v="054 174203101"/>
    <s v="2747 San Pablo"/>
    <s v="5+"/>
    <x v="0"/>
    <n v="0"/>
    <n v="0"/>
    <n v="0"/>
    <n v="0"/>
    <n v="0"/>
    <n v="0"/>
    <x v="0"/>
    <n v="0"/>
    <n v="0"/>
    <n v="0"/>
    <n v="0"/>
    <n v="0"/>
    <n v="6"/>
    <n v="0"/>
    <n v="0"/>
    <n v="0"/>
    <n v="0"/>
    <n v="0"/>
    <x v="1"/>
    <m/>
    <n v="0"/>
  </r>
  <r>
    <x v="127"/>
    <x v="0"/>
    <s v="225-0-014-020"/>
    <s v="2161 East Etting Road"/>
    <s v="5+"/>
    <x v="0"/>
    <n v="0"/>
    <n v="0"/>
    <n v="57"/>
    <n v="0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154"/>
    <x v="0"/>
    <n v="53176130"/>
    <s v="1409 EL CAMINO REAL"/>
    <s v="5+"/>
    <x v="0"/>
    <n v="0"/>
    <n v="0"/>
    <n v="0"/>
    <n v="0"/>
    <n v="0"/>
    <n v="0"/>
    <x v="0"/>
    <n v="0"/>
    <n v="0"/>
    <n v="0"/>
    <n v="0"/>
    <n v="0"/>
    <n v="0"/>
    <n v="0"/>
    <n v="35"/>
    <n v="0"/>
    <n v="0"/>
    <n v="0"/>
    <x v="1"/>
    <m/>
    <n v="0"/>
  </r>
  <r>
    <x v="60"/>
    <x v="5"/>
    <s v="01123210"/>
    <s v="21 G ST"/>
    <s v="5+"/>
    <x v="1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3"/>
    <x v="0"/>
    <n v="4705722200"/>
    <s v="8181 Allison Ave"/>
    <s v="5+"/>
    <x v="0"/>
    <n v="60"/>
    <n v="0"/>
    <n v="86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62"/>
    <x v="2"/>
    <s v="3721015A"/>
    <s v="546 HOWARD ST"/>
    <s v="5+"/>
    <x v="1"/>
    <n v="0"/>
    <n v="0"/>
    <n v="30"/>
    <n v="0"/>
    <n v="12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s v="0573011"/>
    <s v="2030 POLK ST"/>
    <s v="5+"/>
    <x v="1"/>
    <n v="0"/>
    <n v="0"/>
    <n v="5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2"/>
    <x v="2"/>
    <s v="0345017"/>
    <s v="361 TURK ST"/>
    <s v="5+"/>
    <x v="0"/>
    <n v="0"/>
    <n v="0"/>
    <n v="0"/>
    <n v="0"/>
    <n v="0"/>
    <n v="0"/>
    <x v="0"/>
    <n v="0"/>
    <n v="19"/>
    <n v="0"/>
    <n v="0"/>
    <n v="0"/>
    <n v="0"/>
    <n v="0"/>
    <n v="0"/>
    <n v="0"/>
    <n v="0"/>
    <n v="0"/>
    <x v="1"/>
    <m/>
    <n v="0"/>
  </r>
  <r>
    <x v="62"/>
    <x v="2"/>
    <n v="6954039"/>
    <s v="1830 ALEMANY BL"/>
    <s v="5+"/>
    <x v="0"/>
    <n v="0"/>
    <n v="0"/>
    <n v="0"/>
    <n v="0"/>
    <n v="0"/>
    <n v="0"/>
    <x v="0"/>
    <n v="0"/>
    <n v="23"/>
    <n v="0"/>
    <n v="35"/>
    <n v="0"/>
    <n v="0"/>
    <n v="0"/>
    <n v="0"/>
    <n v="0"/>
    <n v="0"/>
    <n v="0"/>
    <x v="1"/>
    <m/>
    <n v="0"/>
  </r>
  <r>
    <x v="62"/>
    <x v="2"/>
    <n v="3591024"/>
    <s v="793 SOUTH VAN NESS AV"/>
    <s v="5+"/>
    <x v="0"/>
    <n v="0"/>
    <n v="0"/>
    <n v="0"/>
    <n v="0"/>
    <n v="0"/>
    <n v="0"/>
    <x v="0"/>
    <n v="0"/>
    <n v="11"/>
    <n v="0"/>
    <n v="0"/>
    <n v="0"/>
    <n v="0"/>
    <n v="0"/>
    <n v="0"/>
    <n v="0"/>
    <n v="0"/>
    <n v="0"/>
    <x v="0"/>
    <m/>
    <n v="0"/>
  </r>
  <r>
    <x v="131"/>
    <x v="2"/>
    <s v="058 218300100"/>
    <s v="1601 Oxford"/>
    <s v="5+"/>
    <x v="0"/>
    <n v="0"/>
    <n v="0"/>
    <n v="0"/>
    <n v="0"/>
    <n v="0"/>
    <n v="0"/>
    <x v="50"/>
    <n v="0"/>
    <n v="13"/>
    <n v="0"/>
    <n v="0"/>
    <n v="0"/>
    <n v="0"/>
    <n v="0"/>
    <n v="0"/>
    <n v="0"/>
    <n v="0"/>
    <n v="0"/>
    <x v="0"/>
    <m/>
    <n v="0"/>
  </r>
  <r>
    <x v="131"/>
    <x v="2"/>
    <s v="055 182201800"/>
    <s v="2000 Dwigh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31"/>
    <x v="2"/>
    <s v="057 202401300"/>
    <s v="2099 M L K Jr.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2"/>
    <x v="2"/>
    <s v="0350003"/>
    <s v="1066 MARKET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3808004"/>
    <s v="188 HOOPER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5952002"/>
    <s v="302 SILVER AV"/>
    <s v="5+"/>
    <x v="0"/>
    <n v="0"/>
    <n v="0"/>
    <n v="0"/>
    <n v="0"/>
    <n v="0"/>
    <n v="0"/>
    <x v="0"/>
    <n v="0"/>
    <n v="0"/>
    <n v="0"/>
    <n v="0"/>
    <n v="0"/>
    <n v="5"/>
    <n v="0"/>
    <n v="16"/>
    <n v="0"/>
    <n v="6"/>
    <n v="0"/>
    <x v="1"/>
    <m/>
    <n v="0"/>
  </r>
  <r>
    <x v="62"/>
    <x v="2"/>
    <n v="4022001"/>
    <s v="2000 BRYANT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3"/>
    <n v="0"/>
    <x v="1"/>
    <m/>
    <n v="0"/>
  </r>
  <r>
    <x v="62"/>
    <x v="2"/>
    <n v="3521022"/>
    <s v="333 12TH ST"/>
    <s v="5+"/>
    <x v="0"/>
    <n v="0"/>
    <n v="0"/>
    <n v="0"/>
    <n v="0"/>
    <n v="0"/>
    <n v="0"/>
    <x v="0"/>
    <n v="0"/>
    <n v="0"/>
    <n v="0"/>
    <n v="0"/>
    <n v="0"/>
    <n v="0"/>
    <n v="0"/>
    <n v="27"/>
    <n v="0"/>
    <n v="0"/>
    <n v="0"/>
    <x v="0"/>
    <m/>
    <n v="0"/>
  </r>
  <r>
    <x v="62"/>
    <x v="2"/>
    <n v="3753081"/>
    <s v="345 06TH ST"/>
    <s v="5+"/>
    <x v="0"/>
    <n v="0"/>
    <n v="0"/>
    <n v="0"/>
    <n v="0"/>
    <n v="0"/>
    <n v="0"/>
    <x v="0"/>
    <n v="0"/>
    <n v="0"/>
    <n v="0"/>
    <n v="0"/>
    <n v="0"/>
    <n v="0"/>
    <n v="0"/>
    <n v="14"/>
    <n v="0"/>
    <n v="0"/>
    <n v="0"/>
    <x v="1"/>
    <m/>
    <n v="0"/>
  </r>
  <r>
    <x v="62"/>
    <x v="2"/>
    <n v="3726103"/>
    <s v="119 07TH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4008002"/>
    <s v="540 DE HARO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3553008"/>
    <s v="490 SOUTH VAN NESS AV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43"/>
    <x v="1"/>
    <s v="505-182-010; 505-182-004"/>
    <s v="1475 N Palm Canyon DR_x000a_Palm Springs, CA"/>
    <s v="5+"/>
    <x v="0"/>
    <n v="0"/>
    <n v="0"/>
    <n v="0"/>
    <n v="0"/>
    <n v="0"/>
    <n v="0"/>
    <x v="31"/>
    <n v="0"/>
    <n v="37"/>
    <n v="0"/>
    <n v="0"/>
    <n v="0"/>
    <n v="0"/>
    <n v="0"/>
    <n v="0"/>
    <n v="0"/>
    <n v="0"/>
    <n v="0"/>
    <x v="0"/>
    <m/>
    <n v="35"/>
  </r>
  <r>
    <x v="65"/>
    <x v="1"/>
    <s v="3154-002-092"/>
    <s v="20th Street East &amp; Avenue I"/>
    <s v="5+"/>
    <x v="0"/>
    <n v="0"/>
    <n v="0"/>
    <n v="96"/>
    <n v="0"/>
    <n v="0"/>
    <n v="0"/>
    <x v="0"/>
    <n v="0"/>
    <n v="0"/>
    <n v="0"/>
    <n v="0"/>
    <n v="0"/>
    <n v="0"/>
    <n v="0"/>
    <n v="0"/>
    <n v="0"/>
    <n v="0"/>
    <n v="0"/>
    <x v="0"/>
    <n v="30"/>
    <n v="36"/>
  </r>
  <r>
    <x v="95"/>
    <x v="3"/>
    <n v="72625061"/>
    <s v="18300 ARAGON LN"/>
    <s v="5+"/>
    <x v="0"/>
    <n v="0"/>
    <n v="0"/>
    <n v="0"/>
    <n v="0"/>
    <n v="0"/>
    <n v="0"/>
    <x v="5"/>
    <n v="0"/>
    <n v="0"/>
    <n v="0"/>
    <n v="0"/>
    <n v="16"/>
    <n v="0"/>
    <n v="0"/>
    <n v="0"/>
    <n v="0"/>
    <n v="0"/>
    <n v="0"/>
    <x v="1"/>
    <n v="55"/>
    <n v="0"/>
  </r>
  <r>
    <x v="95"/>
    <x v="3"/>
    <n v="77904075"/>
    <s v="15460 WATSONVILLE RD"/>
    <s v="5+"/>
    <x v="0"/>
    <n v="0"/>
    <n v="0"/>
    <n v="0"/>
    <n v="0"/>
    <n v="0"/>
    <n v="0"/>
    <x v="35"/>
    <n v="0"/>
    <n v="0"/>
    <n v="0"/>
    <n v="0"/>
    <n v="0"/>
    <n v="0"/>
    <n v="0"/>
    <n v="0"/>
    <n v="0"/>
    <n v="0"/>
    <n v="0"/>
    <x v="0"/>
    <n v="55"/>
    <n v="0"/>
  </r>
  <r>
    <x v="105"/>
    <x v="5"/>
    <s v="017-080-150"/>
    <s v="3300 College Dr."/>
    <s v="5+"/>
    <x v="0"/>
    <n v="0"/>
    <n v="0"/>
    <n v="6"/>
    <n v="0"/>
    <n v="5"/>
    <n v="0"/>
    <x v="0"/>
    <n v="0"/>
    <n v="0"/>
    <n v="0"/>
    <n v="0"/>
    <n v="0"/>
    <n v="0"/>
    <n v="0"/>
    <n v="0"/>
    <n v="0"/>
    <n v="0"/>
    <n v="0"/>
    <x v="1"/>
    <n v="55"/>
    <n v="0"/>
  </r>
  <r>
    <x v="74"/>
    <x v="3"/>
    <n v="37529114"/>
    <s v="525 W. Struck Ave"/>
    <s v="5+"/>
    <x v="0"/>
    <n v="0"/>
    <n v="0"/>
    <n v="0"/>
    <n v="0"/>
    <n v="0"/>
    <n v="0"/>
    <x v="0"/>
    <n v="0"/>
    <n v="34"/>
    <n v="0"/>
    <n v="0"/>
    <n v="0"/>
    <n v="0"/>
    <n v="0"/>
    <n v="0"/>
    <n v="0"/>
    <n v="0"/>
    <n v="0"/>
    <x v="0"/>
    <n v="55"/>
    <n v="0"/>
  </r>
  <r>
    <x v="74"/>
    <x v="3"/>
    <n v="37529114"/>
    <s v="525 W STRUCK AVE BLDG. B"/>
    <s v="5+"/>
    <x v="0"/>
    <n v="0"/>
    <n v="0"/>
    <n v="0"/>
    <n v="0"/>
    <n v="0"/>
    <n v="0"/>
    <x v="0"/>
    <n v="0"/>
    <n v="28"/>
    <n v="0"/>
    <n v="0"/>
    <n v="0"/>
    <n v="0"/>
    <n v="0"/>
    <n v="0"/>
    <n v="0"/>
    <n v="0"/>
    <n v="0"/>
    <x v="0"/>
    <n v="55"/>
    <n v="0"/>
  </r>
  <r>
    <x v="229"/>
    <x v="0"/>
    <s v="021-500-007"/>
    <s v="235 W. Cinnamon Dr"/>
    <s v="5+"/>
    <x v="0"/>
    <n v="0"/>
    <n v="0"/>
    <n v="0"/>
    <n v="0"/>
    <n v="0"/>
    <n v="0"/>
    <x v="0"/>
    <n v="0"/>
    <n v="0"/>
    <n v="0"/>
    <n v="0"/>
    <n v="0"/>
    <n v="6"/>
    <n v="0"/>
    <n v="21"/>
    <n v="1"/>
    <n v="0"/>
    <n v="0"/>
    <x v="0"/>
    <m/>
    <n v="0"/>
  </r>
  <r>
    <x v="154"/>
    <x v="0"/>
    <n v="54112170"/>
    <s v="150 CHARTER STREET"/>
    <s v="5+"/>
    <x v="1"/>
    <n v="0"/>
    <n v="0"/>
    <n v="0"/>
    <n v="0"/>
    <n v="11"/>
    <n v="0"/>
    <x v="0"/>
    <n v="0"/>
    <n v="0"/>
    <n v="0"/>
    <n v="0"/>
    <n v="0"/>
    <n v="0"/>
    <n v="0"/>
    <n v="0"/>
    <n v="0"/>
    <n v="0"/>
    <n v="0"/>
    <x v="1"/>
    <m/>
    <n v="0"/>
  </r>
  <r>
    <x v="32"/>
    <x v="5"/>
    <n v="4291008025"/>
    <s v="1318 Lincoln Blvd.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32"/>
    <x v="5"/>
    <n v="4290002008"/>
    <s v="1650 Lincoln Blvd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32"/>
    <x v="5"/>
    <n v="4290020045"/>
    <s v="1828 Ocean Ave"/>
    <s v="5+"/>
    <x v="0"/>
    <n v="12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32"/>
    <x v="5"/>
    <n v="4283003012"/>
    <s v="1641 Lincoln Blvd.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1"/>
    <n v="55"/>
    <n v="0"/>
  </r>
  <r>
    <x v="66"/>
    <x v="0"/>
    <n v="4011023004"/>
    <s v="3366 84th Stree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8"/>
  </r>
  <r>
    <x v="244"/>
    <x v="6"/>
    <s v="005-270-034"/>
    <s v="3230 VIA REAL, CARPINTERIA, CA 93013"/>
    <s v="5+"/>
    <x v="1"/>
    <n v="0"/>
    <n v="0"/>
    <n v="0"/>
    <n v="0"/>
    <n v="0"/>
    <n v="0"/>
    <x v="2"/>
    <n v="0"/>
    <n v="0"/>
    <n v="0"/>
    <n v="3"/>
    <n v="0"/>
    <n v="0"/>
    <n v="0"/>
    <n v="0"/>
    <n v="0"/>
    <n v="0"/>
    <n v="0"/>
    <x v="0"/>
    <m/>
    <s v="0.080000000000000002"/>
  </r>
  <r>
    <x v="1"/>
    <x v="3"/>
    <s v="039-0011-013-0000"/>
    <s v="4550 LE DONNE DR, BLDG# 5_x000a_SACRAMENTO, CA 95823"/>
    <s v="5+"/>
    <x v="0"/>
    <n v="0"/>
    <n v="0"/>
    <n v="0"/>
    <n v="0"/>
    <n v="0"/>
    <n v="0"/>
    <x v="0"/>
    <n v="0"/>
    <n v="18"/>
    <n v="0"/>
    <n v="0"/>
    <n v="0"/>
    <n v="0"/>
    <n v="0"/>
    <n v="0"/>
    <n v="0"/>
    <n v="0"/>
    <n v="0"/>
    <x v="0"/>
    <m/>
    <n v="58"/>
  </r>
  <r>
    <x v="244"/>
    <x v="6"/>
    <s v="149-051-002"/>
    <s v="PERKINS ROAD, NEW CUYAMA, CA"/>
    <s v="5+"/>
    <x v="0"/>
    <n v="0"/>
    <n v="0"/>
    <n v="32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80"/>
    <x v="0"/>
    <s v="051336140"/>
    <s v="1240 El Camino Real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45"/>
    <n v="0"/>
  </r>
  <r>
    <x v="27"/>
    <x v="4"/>
    <s v="094 001901700"/>
    <s v="245 KOTTINGER DR"/>
    <s v="5+"/>
    <x v="0"/>
    <n v="0"/>
    <n v="0"/>
    <n v="0"/>
    <n v="0"/>
    <n v="0"/>
    <n v="0"/>
    <x v="0"/>
    <n v="0"/>
    <n v="0"/>
    <n v="0"/>
    <n v="0"/>
    <n v="0"/>
    <n v="0"/>
    <n v="0"/>
    <n v="5"/>
    <n v="0"/>
    <n v="0"/>
    <n v="0"/>
    <x v="1"/>
    <n v="75"/>
    <n v="0"/>
  </r>
  <r>
    <x v="27"/>
    <x v="4"/>
    <s v="094 001901700"/>
    <s v="249 KOTTINGER DR"/>
    <s v="5+"/>
    <x v="0"/>
    <n v="0"/>
    <n v="0"/>
    <n v="0"/>
    <n v="0"/>
    <n v="0"/>
    <n v="0"/>
    <x v="0"/>
    <n v="0"/>
    <n v="0"/>
    <n v="0"/>
    <n v="0"/>
    <n v="0"/>
    <n v="0"/>
    <n v="0"/>
    <n v="7"/>
    <n v="0"/>
    <n v="0"/>
    <n v="0"/>
    <x v="1"/>
    <n v="75"/>
    <n v="0"/>
  </r>
  <r>
    <x v="57"/>
    <x v="4"/>
    <n v="4234015009"/>
    <s v="3705 MCLAUGHLIN AVE  S  90066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534013018"/>
    <s v="1222 BEACHWOOD DR   N  90038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532017008"/>
    <s v="1134 ORANGE DR   N  90038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604028031"/>
    <s v="12663 SAN FERNANDO ROAD N  91342"/>
    <s v="5+"/>
    <x v="0"/>
    <n v="0"/>
    <n v="0"/>
    <n v="5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6046021916"/>
    <s v="10010 GRAPE ST    90002"/>
    <s v="5+"/>
    <x v="0"/>
    <n v="0"/>
    <n v="0"/>
    <n v="1073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66"/>
    <x v="5"/>
    <n v="4021034027"/>
    <s v="819 East La Palma Drive"/>
    <s v="5+"/>
    <x v="1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05"/>
    <x v="6"/>
    <s v="019-042-170, 019-042-150, 019-042-160"/>
    <s v="850 GLENVIEW DRIVE"/>
    <s v="5+"/>
    <x v="1"/>
    <n v="0"/>
    <n v="0"/>
    <n v="3"/>
    <n v="0"/>
    <n v="6"/>
    <n v="0"/>
    <x v="0"/>
    <n v="0"/>
    <n v="0"/>
    <n v="0"/>
    <n v="0"/>
    <n v="0"/>
    <n v="0"/>
    <n v="0"/>
    <n v="0"/>
    <n v="0"/>
    <n v="0"/>
    <n v="0"/>
    <x v="1"/>
    <n v="45"/>
    <n v="0"/>
  </r>
  <r>
    <x v="159"/>
    <x v="5"/>
    <s v="5723-009-034"/>
    <s v="737 E Walnut St"/>
    <s v="5+"/>
    <x v="0"/>
    <n v="0"/>
    <n v="0"/>
    <n v="0"/>
    <n v="0"/>
    <n v="3"/>
    <n v="0"/>
    <x v="0"/>
    <n v="0"/>
    <n v="0"/>
    <n v="0"/>
    <n v="0"/>
    <n v="0"/>
    <n v="0"/>
    <n v="0"/>
    <n v="0"/>
    <n v="0"/>
    <n v="0"/>
    <n v="0"/>
    <x v="1"/>
    <m/>
    <n v="0"/>
  </r>
  <r>
    <x v="233"/>
    <x v="6"/>
    <n v="4342031023"/>
    <s v="9229 WILSHIRE BLVD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79"/>
    <x v="0"/>
    <n v="32322130"/>
    <s v="303 BALDWIN AV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x v="0"/>
    <n v="0"/>
    <n v="2"/>
    <n v="0"/>
    <n v="0"/>
    <n v="0"/>
    <n v="0"/>
    <n v="0"/>
    <n v="0"/>
    <n v="0"/>
    <n v="0"/>
    <n v="0"/>
    <x v="1"/>
    <n v="1000"/>
    <n v="0"/>
  </r>
  <r>
    <x v="13"/>
    <x v="0"/>
    <n v="4943001100"/>
    <s v="8525 La Mesa Blvd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0"/>
    <n v="55"/>
    <n v="0"/>
  </r>
  <r>
    <x v="199"/>
    <x v="1"/>
    <s v="002-870-008"/>
    <s v="111 Saw Mill Cir. Lot 7"/>
    <s v="5+"/>
    <x v="0"/>
    <n v="24"/>
    <n v="0"/>
    <n v="16"/>
    <n v="0"/>
    <n v="1"/>
    <n v="0"/>
    <x v="35"/>
    <n v="0"/>
    <n v="16"/>
    <n v="0"/>
    <n v="1"/>
    <n v="0"/>
    <n v="24"/>
    <n v="0"/>
    <n v="16"/>
    <n v="0"/>
    <n v="1"/>
    <n v="0"/>
    <x v="0"/>
    <n v="55"/>
    <n v="35"/>
  </r>
  <r>
    <x v="38"/>
    <x v="6"/>
    <s v="008-171-31"/>
    <s v="119 CORAL ST"/>
    <s v="5+"/>
    <x v="0"/>
    <n v="0"/>
    <n v="0"/>
    <n v="0"/>
    <n v="0"/>
    <n v="0"/>
    <n v="0"/>
    <x v="88"/>
    <n v="0"/>
    <n v="0"/>
    <n v="0"/>
    <n v="0"/>
    <n v="0"/>
    <n v="0"/>
    <n v="0"/>
    <n v="0"/>
    <n v="0"/>
    <n v="0"/>
    <n v="0"/>
    <x v="0"/>
    <n v="55"/>
    <s v="0.80000000000000004"/>
  </r>
  <r>
    <x v="38"/>
    <x v="6"/>
    <s v="005-148-22"/>
    <s v="525 CEDAR ST"/>
    <s v="5+"/>
    <x v="0"/>
    <n v="0"/>
    <n v="0"/>
    <n v="0"/>
    <n v="0"/>
    <n v="0"/>
    <n v="0"/>
    <x v="0"/>
    <n v="0"/>
    <n v="0"/>
    <n v="0"/>
    <n v="0"/>
    <n v="0"/>
    <n v="17"/>
    <n v="0"/>
    <n v="47"/>
    <n v="0"/>
    <n v="0"/>
    <n v="0"/>
    <x v="1"/>
    <n v="1000"/>
    <n v="0"/>
  </r>
  <r>
    <x v="57"/>
    <x v="4"/>
    <n v="4401024026"/>
    <s v="11620 W CHENAULT ST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57"/>
    <x v="4"/>
    <n v="5544019014"/>
    <s v="1525 N HOBART BLVD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4"/>
    <n v="4313008010"/>
    <s v="3647 S HUGHES AVE #1-8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4"/>
    <n v="4110001004"/>
    <s v="6711 S SEPULVEDA BLVD #1-#180"/>
    <s v="5+"/>
    <x v="0"/>
    <n v="0"/>
    <n v="0"/>
    <n v="0"/>
    <n v="0"/>
    <n v="0"/>
    <n v="0"/>
    <x v="11"/>
    <n v="0"/>
    <n v="0"/>
    <n v="0"/>
    <n v="0"/>
    <n v="0"/>
    <n v="0"/>
    <n v="0"/>
    <n v="0"/>
    <n v="0"/>
    <n v="0"/>
    <n v="0"/>
    <x v="0"/>
    <n v="55"/>
    <n v="0"/>
  </r>
  <r>
    <x v="57"/>
    <x v="4"/>
    <n v="4306003009"/>
    <s v="9421 W ALCOTT ST 1-23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4"/>
    <n v="2565013041"/>
    <s v="10140 N HILLHAVEN AVE"/>
    <s v="5+"/>
    <x v="0"/>
    <n v="0"/>
    <n v="0"/>
    <n v="0"/>
    <n v="0"/>
    <n v="0"/>
    <n v="0"/>
    <x v="5"/>
    <n v="0"/>
    <n v="4"/>
    <n v="0"/>
    <n v="0"/>
    <n v="0"/>
    <n v="0"/>
    <n v="0"/>
    <n v="0"/>
    <n v="0"/>
    <n v="0"/>
    <n v="0"/>
    <x v="0"/>
    <n v="55"/>
    <n v="0"/>
  </r>
  <r>
    <x v="96"/>
    <x v="5"/>
    <n v="45112224"/>
    <s v="1010 E HOME AVE"/>
    <s v="5+"/>
    <x v="0"/>
    <n v="0"/>
    <n v="1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58"/>
    <x v="5"/>
    <s v="101-0-222-015"/>
    <s v="112 S. 12th St. Units 1-11"/>
    <s v="5+"/>
    <x v="0"/>
    <n v="0"/>
    <n v="0"/>
    <n v="0"/>
    <n v="0"/>
    <n v="0"/>
    <n v="0"/>
    <x v="0"/>
    <n v="0"/>
    <n v="0"/>
    <n v="0"/>
    <n v="0"/>
    <n v="0"/>
    <n v="11"/>
    <n v="0"/>
    <n v="0"/>
    <n v="0"/>
    <n v="0"/>
    <n v="0"/>
    <x v="0"/>
    <m/>
    <n v="0"/>
  </r>
  <r>
    <x v="95"/>
    <x v="3"/>
    <n v="72625061"/>
    <s v="18328 VILLANOVA LN"/>
    <s v="5+"/>
    <x v="0"/>
    <n v="0"/>
    <n v="0"/>
    <n v="0"/>
    <n v="0"/>
    <n v="0"/>
    <n v="0"/>
    <x v="5"/>
    <n v="0"/>
    <n v="0"/>
    <n v="0"/>
    <n v="0"/>
    <n v="16"/>
    <n v="0"/>
    <n v="0"/>
    <n v="0"/>
    <n v="0"/>
    <n v="0"/>
    <n v="0"/>
    <x v="1"/>
    <n v="55"/>
    <n v="0"/>
  </r>
  <r>
    <x v="95"/>
    <x v="3"/>
    <n v="72625061"/>
    <s v="18308 PALOMARES LN"/>
    <s v="5+"/>
    <x v="0"/>
    <n v="0"/>
    <n v="0"/>
    <n v="0"/>
    <n v="0"/>
    <n v="0"/>
    <n v="0"/>
    <x v="12"/>
    <n v="0"/>
    <n v="0"/>
    <n v="0"/>
    <n v="0"/>
    <n v="14"/>
    <n v="0"/>
    <n v="0"/>
    <n v="0"/>
    <n v="0"/>
    <n v="0"/>
    <n v="0"/>
    <x v="1"/>
    <n v="55"/>
    <n v="0"/>
  </r>
  <r>
    <x v="95"/>
    <x v="3"/>
    <n v="72636059"/>
    <s v="18770 MINER LN"/>
    <s v="5+"/>
    <x v="0"/>
    <n v="0"/>
    <n v="0"/>
    <n v="0"/>
    <n v="0"/>
    <n v="0"/>
    <n v="0"/>
    <x v="3"/>
    <n v="0"/>
    <n v="18"/>
    <n v="0"/>
    <n v="3"/>
    <n v="0"/>
    <n v="0"/>
    <n v="0"/>
    <n v="0"/>
    <n v="0"/>
    <n v="0"/>
    <n v="0"/>
    <x v="0"/>
    <n v="55"/>
    <n v="80"/>
  </r>
  <r>
    <x v="95"/>
    <x v="3"/>
    <n v="72636059"/>
    <s v="18785 MINER LN"/>
    <s v="5+"/>
    <x v="0"/>
    <n v="0"/>
    <n v="0"/>
    <n v="0"/>
    <n v="0"/>
    <n v="0"/>
    <n v="0"/>
    <x v="3"/>
    <n v="0"/>
    <n v="9"/>
    <n v="0"/>
    <n v="0"/>
    <n v="0"/>
    <n v="0"/>
    <n v="0"/>
    <n v="0"/>
    <n v="0"/>
    <n v="0"/>
    <n v="0"/>
    <x v="0"/>
    <n v="55"/>
    <n v="80"/>
  </r>
  <r>
    <x v="95"/>
    <x v="3"/>
    <n v="72636059"/>
    <s v="18830 MINER LN"/>
    <s v="5+"/>
    <x v="0"/>
    <n v="0"/>
    <n v="0"/>
    <n v="0"/>
    <n v="0"/>
    <n v="0"/>
    <n v="0"/>
    <x v="17"/>
    <n v="0"/>
    <n v="10"/>
    <n v="0"/>
    <n v="0"/>
    <n v="0"/>
    <n v="0"/>
    <n v="0"/>
    <n v="0"/>
    <n v="0"/>
    <n v="0"/>
    <n v="0"/>
    <x v="0"/>
    <n v="55"/>
    <n v="80"/>
  </r>
  <r>
    <x v="95"/>
    <x v="3"/>
    <n v="72636059"/>
    <s v="18820 MINER LN"/>
    <s v="5+"/>
    <x v="0"/>
    <n v="0"/>
    <n v="0"/>
    <n v="0"/>
    <n v="0"/>
    <n v="0"/>
    <n v="0"/>
    <x v="17"/>
    <n v="0"/>
    <n v="18"/>
    <n v="0"/>
    <n v="0"/>
    <n v="0"/>
    <n v="0"/>
    <n v="0"/>
    <n v="0"/>
    <n v="0"/>
    <n v="0"/>
    <n v="0"/>
    <x v="0"/>
    <n v="55"/>
    <n v="80"/>
  </r>
  <r>
    <x v="87"/>
    <x v="3"/>
    <s v="059-430-017"/>
    <s v="100 Fran Lemos"/>
    <s v="5+"/>
    <x v="0"/>
    <n v="122"/>
    <n v="0"/>
    <n v="62"/>
    <n v="0"/>
    <n v="2"/>
    <n v="0"/>
    <x v="62"/>
    <n v="0"/>
    <n v="62"/>
    <n v="0"/>
    <n v="2"/>
    <n v="0"/>
    <n v="0"/>
    <n v="0"/>
    <n v="0"/>
    <n v="0"/>
    <n v="0"/>
    <n v="0"/>
    <x v="0"/>
    <n v="55"/>
    <n v="0"/>
  </r>
  <r>
    <x v="26"/>
    <x v="4"/>
    <s v="148-09-009"/>
    <s v="2700 W El Camino Real"/>
    <s v="5+"/>
    <x v="0"/>
    <n v="0"/>
    <n v="0"/>
    <n v="0"/>
    <n v="0"/>
    <n v="0"/>
    <n v="0"/>
    <x v="58"/>
    <n v="0"/>
    <n v="0"/>
    <n v="0"/>
    <n v="0"/>
    <n v="0"/>
    <n v="0"/>
    <n v="0"/>
    <n v="0"/>
    <n v="0"/>
    <n v="0"/>
    <n v="0"/>
    <x v="0"/>
    <n v="55"/>
    <n v="0"/>
  </r>
  <r>
    <x v="225"/>
    <x v="3"/>
    <s v="022-162-76"/>
    <s v="No Address"/>
    <s v="5+"/>
    <x v="1"/>
    <n v="2"/>
    <n v="0"/>
    <n v="4"/>
    <n v="0"/>
    <n v="2"/>
    <n v="0"/>
    <x v="0"/>
    <n v="0"/>
    <n v="0"/>
    <n v="0"/>
    <n v="0"/>
    <n v="0"/>
    <n v="0"/>
    <n v="0"/>
    <n v="0"/>
    <n v="0"/>
    <n v="0"/>
    <n v="0"/>
    <x v="1"/>
    <m/>
    <n v="0"/>
  </r>
  <r>
    <x v="154"/>
    <x v="3"/>
    <n v="53063070"/>
    <s v="1304 EL CAMINO REAL Bldg F"/>
    <s v="5+"/>
    <x v="0"/>
    <n v="0"/>
    <n v="0"/>
    <n v="0"/>
    <n v="0"/>
    <n v="0"/>
    <n v="0"/>
    <x v="46"/>
    <n v="0"/>
    <n v="8"/>
    <n v="0"/>
    <n v="0"/>
    <n v="0"/>
    <n v="0"/>
    <n v="0"/>
    <n v="0"/>
    <n v="0"/>
    <n v="0"/>
    <n v="0"/>
    <x v="1"/>
    <m/>
    <n v="0"/>
  </r>
  <r>
    <x v="154"/>
    <x v="3"/>
    <n v="52520330"/>
    <s v="557 E BAYSHORE RD"/>
    <s v="5+"/>
    <x v="0"/>
    <n v="21"/>
    <n v="0"/>
    <n v="21"/>
    <n v="0"/>
    <n v="43"/>
    <n v="0"/>
    <x v="0"/>
    <n v="0"/>
    <n v="0"/>
    <n v="0"/>
    <n v="0"/>
    <n v="0"/>
    <n v="0"/>
    <n v="0"/>
    <n v="0"/>
    <n v="0"/>
    <n v="0"/>
    <n v="0"/>
    <x v="1"/>
    <m/>
    <n v="0"/>
  </r>
  <r>
    <x v="87"/>
    <x v="4"/>
    <s v="058-650-001"/>
    <s v="1 Natalie Ln"/>
    <s v="5+"/>
    <x v="0"/>
    <n v="0"/>
    <n v="0"/>
    <n v="0"/>
    <n v="0"/>
    <n v="0"/>
    <n v="0"/>
    <x v="0"/>
    <n v="0"/>
    <n v="0"/>
    <n v="0"/>
    <n v="0"/>
    <n v="0"/>
    <n v="49"/>
    <n v="0"/>
    <n v="20"/>
    <n v="0"/>
    <n v="0"/>
    <n v="0"/>
    <x v="0"/>
    <n v="55"/>
    <n v="0"/>
  </r>
  <r>
    <x v="8"/>
    <x v="4"/>
    <n v="4404021700"/>
    <s v="3586 ADAMS AV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8"/>
    <x v="4"/>
    <n v="5351560800"/>
    <s v="454 13TH ST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n v="0"/>
  </r>
  <r>
    <x v="149"/>
    <x v="0"/>
    <s v="525-342-5"/>
    <s v="41829 and 41875 Osgood Road"/>
    <s v="5+"/>
    <x v="0"/>
    <n v="24"/>
    <n v="0"/>
    <n v="64"/>
    <n v="0"/>
    <n v="23"/>
    <n v="0"/>
    <x v="0"/>
    <n v="0"/>
    <n v="0"/>
    <n v="0"/>
    <n v="0"/>
    <n v="0"/>
    <n v="0"/>
    <n v="0"/>
    <n v="0"/>
    <n v="0"/>
    <n v="0"/>
    <n v="0"/>
    <x v="0"/>
    <n v="55"/>
    <n v="14"/>
  </r>
  <r>
    <x v="245"/>
    <x v="0"/>
    <s v="005-290-26"/>
    <s v="170 Ridge Road"/>
    <s v="5+"/>
    <x v="0"/>
    <n v="40"/>
    <n v="0"/>
    <n v="15"/>
    <n v="0"/>
    <n v="0"/>
    <n v="0"/>
    <x v="33"/>
    <n v="0"/>
    <n v="12"/>
    <n v="0"/>
    <n v="0"/>
    <n v="0"/>
    <n v="0"/>
    <n v="0"/>
    <n v="0"/>
    <n v="0"/>
    <n v="0"/>
    <n v="0"/>
    <x v="0"/>
    <m/>
    <n v="80"/>
  </r>
  <r>
    <x v="130"/>
    <x v="5"/>
    <s v="8508006037 8508006038 8508006039 8508006040 8508006054 8508006055"/>
    <s v="825 S Myrtle Ave"/>
    <s v="5+"/>
    <x v="0"/>
    <n v="1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"/>
    <x v="5"/>
    <n v="4691303400"/>
    <s v="7385 Colony Dr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95"/>
    <x v="5"/>
    <n v="81703003"/>
    <s v="16180 MONTEREY RD UNITS 101-106, 201-205"/>
    <s v="5+"/>
    <x v="0"/>
    <n v="0"/>
    <n v="0"/>
    <n v="0"/>
    <n v="0"/>
    <n v="0"/>
    <n v="0"/>
    <x v="0"/>
    <n v="0"/>
    <n v="0"/>
    <n v="0"/>
    <n v="0"/>
    <n v="0"/>
    <n v="13"/>
    <n v="0"/>
    <n v="0"/>
    <n v="0"/>
    <n v="0"/>
    <n v="0"/>
    <x v="0"/>
    <n v="55"/>
    <n v="0"/>
  </r>
  <r>
    <x v="2"/>
    <x v="5"/>
    <s v="5675-025-006"/>
    <s v="518 E Windsor Rd"/>
    <s v="5+"/>
    <x v="1"/>
    <n v="0"/>
    <n v="0"/>
    <n v="0"/>
    <n v="0"/>
    <n v="9"/>
    <n v="0"/>
    <x v="0"/>
    <n v="0"/>
    <n v="0"/>
    <n v="0"/>
    <n v="9"/>
    <n v="0"/>
    <n v="0"/>
    <n v="0"/>
    <n v="0"/>
    <n v="0"/>
    <n v="0"/>
    <n v="0"/>
    <x v="0"/>
    <n v="55"/>
    <n v="0"/>
  </r>
  <r>
    <x v="197"/>
    <x v="4"/>
    <n v="31715214"/>
    <s v="12341 Oak Knoll Rd"/>
    <s v="5+"/>
    <x v="1"/>
    <n v="0"/>
    <n v="0"/>
    <n v="0"/>
    <n v="0"/>
    <n v="0"/>
    <n v="0"/>
    <x v="86"/>
    <n v="0"/>
    <n v="20"/>
    <n v="0"/>
    <n v="0"/>
    <n v="0"/>
    <n v="0"/>
    <n v="0"/>
    <n v="0"/>
    <n v="0"/>
    <n v="0"/>
    <n v="0"/>
    <x v="1"/>
    <n v="57"/>
    <n v="0"/>
  </r>
  <r>
    <x v="65"/>
    <x v="1"/>
    <s v="3133-002-026"/>
    <s v="44948 10th Street West"/>
    <s v="5+"/>
    <x v="0"/>
    <n v="0"/>
    <n v="0"/>
    <n v="0"/>
    <n v="0"/>
    <n v="0"/>
    <n v="0"/>
    <x v="0"/>
    <n v="0"/>
    <n v="0"/>
    <n v="0"/>
    <n v="0"/>
    <n v="0"/>
    <n v="0"/>
    <n v="0"/>
    <n v="69"/>
    <n v="0"/>
    <n v="0"/>
    <n v="0"/>
    <x v="0"/>
    <m/>
    <n v="0"/>
  </r>
  <r>
    <x v="159"/>
    <x v="5"/>
    <s v="5713-009-035"/>
    <s v="75 W Walnut St"/>
    <s v="5+"/>
    <x v="0"/>
    <n v="0"/>
    <n v="0"/>
    <n v="0"/>
    <n v="0"/>
    <n v="0"/>
    <n v="0"/>
    <x v="0"/>
    <n v="0"/>
    <n v="0"/>
    <n v="0"/>
    <n v="0"/>
    <n v="0"/>
    <n v="0"/>
    <n v="0"/>
    <n v="20"/>
    <n v="0"/>
    <n v="10"/>
    <n v="0"/>
    <x v="1"/>
    <n v="1000"/>
    <n v="0"/>
  </r>
  <r>
    <x v="211"/>
    <x v="1"/>
    <n v="13310224"/>
    <s v="9691 BIXBY AVE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32"/>
    <x v="5"/>
    <n v="4275006023"/>
    <s v="2225 Broadway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32"/>
    <x v="5"/>
    <n v="4291019018"/>
    <s v="1437 5th St"/>
    <s v="5+"/>
    <x v="0"/>
    <n v="0"/>
    <n v="0"/>
    <n v="0"/>
    <n v="0"/>
    <n v="0"/>
    <n v="0"/>
    <x v="13"/>
    <n v="0"/>
    <n v="0"/>
    <n v="0"/>
    <n v="24"/>
    <n v="0"/>
    <n v="0"/>
    <n v="0"/>
    <n v="0"/>
    <n v="0"/>
    <n v="0"/>
    <n v="0"/>
    <x v="1"/>
    <n v="55"/>
    <n v="0"/>
  </r>
  <r>
    <x v="32"/>
    <x v="5"/>
    <n v="4290001020"/>
    <s v="1626  LINCOLN BLVD"/>
    <s v="5+"/>
    <x v="0"/>
    <n v="0"/>
    <n v="0"/>
    <n v="0"/>
    <n v="0"/>
    <n v="0"/>
    <n v="0"/>
    <x v="0"/>
    <n v="0"/>
    <n v="0"/>
    <n v="0"/>
    <n v="0"/>
    <n v="0"/>
    <n v="46"/>
    <n v="0"/>
    <n v="18"/>
    <n v="0"/>
    <n v="0"/>
    <n v="0"/>
    <x v="1"/>
    <n v="55"/>
    <n v="0"/>
  </r>
  <r>
    <x v="4"/>
    <x v="1"/>
    <s v="053-202-026"/>
    <s v="830 Orcutt Rd_x000a_San Luis Obispo, CA 93401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m/>
    <n v="0"/>
  </r>
  <r>
    <x v="166"/>
    <x v="2"/>
    <s v="71-405-38"/>
    <s v="2050 5th Street"/>
    <s v="5+"/>
    <x v="0"/>
    <n v="0"/>
    <n v="0"/>
    <n v="0"/>
    <n v="0"/>
    <n v="0"/>
    <n v="0"/>
    <x v="0"/>
    <n v="38"/>
    <n v="0"/>
    <n v="0"/>
    <n v="0"/>
    <n v="0"/>
    <n v="0"/>
    <n v="0"/>
    <n v="0"/>
    <n v="0"/>
    <n v="0"/>
    <n v="0"/>
    <x v="1"/>
    <m/>
    <n v="0"/>
  </r>
  <r>
    <x v="166"/>
    <x v="5"/>
    <s v="34-252-12"/>
    <s v="525 Oxford Circle"/>
    <s v="5+"/>
    <x v="0"/>
    <n v="0"/>
    <n v="0"/>
    <n v="0"/>
    <n v="0"/>
    <n v="0"/>
    <n v="71"/>
    <x v="0"/>
    <n v="0"/>
    <n v="0"/>
    <n v="0"/>
    <n v="0"/>
    <n v="0"/>
    <n v="0"/>
    <n v="0"/>
    <n v="0"/>
    <n v="0"/>
    <n v="0"/>
    <n v="0"/>
    <x v="1"/>
    <m/>
    <n v="0"/>
  </r>
  <r>
    <x v="35"/>
    <x v="1"/>
    <n v="2042920100"/>
    <s v="3825 SYDNEY WAY_x000a_Carlsbad, CA 92008--508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1"/>
    <n v="55"/>
    <n v="0"/>
  </r>
  <r>
    <x v="166"/>
    <x v="5"/>
    <s v="70-151-2"/>
    <s v="820 B Street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m/>
    <n v="0"/>
  </r>
  <r>
    <x v="79"/>
    <x v="4"/>
    <n v="34182150"/>
    <s v="406 E Third Ave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109"/>
    <x v="6"/>
    <n v="507251015"/>
    <s v="5183 DALAI LAMA AVE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m/>
    <n v="0"/>
  </r>
  <r>
    <x v="109"/>
    <x v="6"/>
    <n v="507251015"/>
    <s v="2379 COLUMBIA BLVD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m/>
    <n v="0"/>
  </r>
  <r>
    <x v="26"/>
    <x v="4"/>
    <s v="189-32-074"/>
    <s v="1411-1495 West El Camino Real"/>
    <s v="5+"/>
    <x v="1"/>
    <n v="0"/>
    <n v="0"/>
    <n v="0"/>
    <n v="0"/>
    <n v="5"/>
    <n v="0"/>
    <x v="0"/>
    <n v="0"/>
    <n v="0"/>
    <n v="0"/>
    <n v="0"/>
    <n v="0"/>
    <n v="0"/>
    <n v="0"/>
    <n v="0"/>
    <n v="0"/>
    <n v="0"/>
    <n v="0"/>
    <x v="1"/>
    <n v="55"/>
    <n v="0"/>
  </r>
  <r>
    <x v="72"/>
    <x v="1"/>
    <n v="5662321800"/>
    <s v="178 Third Avenue"/>
    <s v="5+"/>
    <x v="0"/>
    <n v="0"/>
    <n v="0"/>
    <n v="0"/>
    <n v="0"/>
    <n v="0"/>
    <n v="0"/>
    <x v="0"/>
    <n v="0"/>
    <n v="58"/>
    <n v="0"/>
    <n v="0"/>
    <n v="0"/>
    <n v="0"/>
    <n v="0"/>
    <n v="0"/>
    <n v="0"/>
    <n v="0"/>
    <n v="0"/>
    <x v="0"/>
    <n v="55"/>
    <n v="100"/>
  </r>
  <r>
    <x v="95"/>
    <x v="2"/>
    <n v="72625006"/>
    <s v="18110 Monterey Rd"/>
    <s v="5+"/>
    <x v="0"/>
    <n v="0"/>
    <n v="0"/>
    <n v="0"/>
    <n v="0"/>
    <n v="15"/>
    <n v="0"/>
    <x v="0"/>
    <n v="0"/>
    <n v="0"/>
    <n v="0"/>
    <n v="0"/>
    <n v="0"/>
    <n v="0"/>
    <n v="0"/>
    <n v="0"/>
    <n v="0"/>
    <n v="0"/>
    <n v="0"/>
    <x v="1"/>
    <m/>
    <n v="0"/>
  </r>
  <r>
    <x v="188"/>
    <x v="4"/>
    <n v="60237018"/>
    <s v="1176 Ramona Ave"/>
    <s v="5+"/>
    <x v="0"/>
    <n v="0"/>
    <n v="0"/>
    <n v="3"/>
    <n v="0"/>
    <n v="0"/>
    <n v="0"/>
    <x v="0"/>
    <n v="0"/>
    <n v="3"/>
    <n v="0"/>
    <n v="0"/>
    <n v="16"/>
    <n v="0"/>
    <n v="0"/>
    <n v="0"/>
    <n v="0"/>
    <n v="0"/>
    <n v="0"/>
    <x v="0"/>
    <n v="30"/>
    <n v="0"/>
  </r>
  <r>
    <x v="212"/>
    <x v="5"/>
    <s v="071-090-049"/>
    <s v="159 South Kellogg Ave"/>
    <s v="5+"/>
    <x v="0"/>
    <n v="0"/>
    <n v="0"/>
    <n v="0"/>
    <n v="0"/>
    <n v="0"/>
    <n v="0"/>
    <x v="0"/>
    <n v="0"/>
    <n v="0"/>
    <n v="0"/>
    <n v="0"/>
    <n v="0"/>
    <n v="1"/>
    <n v="0"/>
    <n v="1"/>
    <n v="0"/>
    <n v="0"/>
    <n v="0"/>
    <x v="0"/>
    <n v="55"/>
    <n v="0"/>
  </r>
  <r>
    <x v="226"/>
    <x v="3"/>
    <s v="7368-001-015"/>
    <s v="22501 Hawthorne Blvd"/>
    <s v="5+"/>
    <x v="0"/>
    <n v="1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2.5"/>
  </r>
  <r>
    <x v="15"/>
    <x v="4"/>
    <s v="012 100000701"/>
    <s v="4045 BROADWAY, Oakland, CA 94611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0"/>
    <n v="55"/>
    <n v="0"/>
  </r>
  <r>
    <x v="38"/>
    <x v="0"/>
    <s v="011-013-01"/>
    <s v="727 HANOVER ST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246"/>
    <x v="3"/>
    <s v="0080-150-380"/>
    <s v="1075 Jefferson Street"/>
    <s v="5+"/>
    <x v="1"/>
    <n v="6"/>
    <n v="0"/>
    <n v="6"/>
    <n v="0"/>
    <n v="0"/>
    <n v="0"/>
    <x v="0"/>
    <n v="0"/>
    <n v="0"/>
    <n v="0"/>
    <n v="0"/>
    <n v="0"/>
    <n v="0"/>
    <n v="0"/>
    <n v="0"/>
    <n v="0"/>
    <n v="0"/>
    <n v="0"/>
    <x v="1"/>
    <n v="45"/>
    <n v="0"/>
  </r>
  <r>
    <x v="1"/>
    <x v="3"/>
    <s v="039-0011-013-0000"/>
    <s v="4550 LE DONNE DR, BLDG# 6_x000a_SACRAMENTO, CA 95823"/>
    <s v="5+"/>
    <x v="0"/>
    <n v="0"/>
    <n v="0"/>
    <n v="0"/>
    <n v="0"/>
    <n v="0"/>
    <n v="0"/>
    <x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12_x000a_SACRAMENTO, CA 95823"/>
    <s v="5+"/>
    <x v="0"/>
    <n v="0"/>
    <n v="0"/>
    <n v="0"/>
    <n v="0"/>
    <n v="0"/>
    <n v="0"/>
    <x v="0"/>
    <n v="0"/>
    <n v="6"/>
    <n v="0"/>
    <n v="0"/>
    <n v="0"/>
    <n v="0"/>
    <n v="0"/>
    <n v="0"/>
    <n v="0"/>
    <n v="0"/>
    <n v="0"/>
    <x v="0"/>
    <m/>
    <n v="58"/>
  </r>
  <r>
    <x v="10"/>
    <x v="3"/>
    <s v="230-60-001"/>
    <s v="1200 RICKABAUGH WY, SANTA CLARA, CA 95050"/>
    <s v="5+"/>
    <x v="0"/>
    <n v="0"/>
    <n v="0"/>
    <n v="16"/>
    <n v="0"/>
    <n v="16"/>
    <n v="0"/>
    <x v="0"/>
    <n v="0"/>
    <n v="16"/>
    <n v="0"/>
    <n v="16"/>
    <n v="0"/>
    <n v="0"/>
    <n v="0"/>
    <n v="0"/>
    <n v="0"/>
    <n v="0"/>
    <n v="0"/>
    <x v="1"/>
    <n v="55"/>
    <n v="0"/>
  </r>
  <r>
    <x v="95"/>
    <x v="5"/>
    <n v="81703003"/>
    <s v="16170 MONTEREY RD UNITS 200-205"/>
    <s v="5+"/>
    <x v="0"/>
    <n v="0"/>
    <n v="0"/>
    <n v="0"/>
    <n v="0"/>
    <n v="0"/>
    <n v="0"/>
    <x v="0"/>
    <n v="0"/>
    <n v="0"/>
    <n v="0"/>
    <n v="0"/>
    <n v="0"/>
    <n v="6"/>
    <n v="0"/>
    <n v="0"/>
    <n v="0"/>
    <n v="0"/>
    <n v="0"/>
    <x v="0"/>
    <n v="55"/>
    <n v="0"/>
  </r>
  <r>
    <x v="10"/>
    <x v="3"/>
    <s v="230-07-062"/>
    <s v="588 EL CAMINO REAL, SANTA CLARA, CA 95050"/>
    <s v="5+"/>
    <x v="0"/>
    <n v="0"/>
    <n v="0"/>
    <n v="0"/>
    <n v="0"/>
    <n v="0"/>
    <n v="0"/>
    <x v="0"/>
    <n v="0"/>
    <n v="0"/>
    <n v="0"/>
    <n v="0"/>
    <n v="0"/>
    <n v="0"/>
    <n v="0"/>
    <n v="11"/>
    <n v="0"/>
    <n v="25"/>
    <n v="0"/>
    <x v="1"/>
    <n v="30"/>
    <n v="0"/>
  </r>
  <r>
    <x v="133"/>
    <x v="4"/>
    <n v="4140004039"/>
    <s v="11824 Aviation Boulevard, Inglewood CA 90304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98"/>
    <x v="1"/>
    <s v="2068-003-020"/>
    <s v="4799 Commons Way"/>
    <s v="5+"/>
    <x v="0"/>
    <n v="0"/>
    <n v="0"/>
    <n v="12"/>
    <n v="0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96"/>
    <x v="0"/>
    <s v="40407150T"/>
    <s v="7521 N CHESTNUT AVE"/>
    <s v="5+"/>
    <x v="0"/>
    <n v="0"/>
    <n v="0"/>
    <n v="0"/>
    <n v="0"/>
    <n v="0"/>
    <n v="0"/>
    <x v="0"/>
    <n v="34"/>
    <n v="0"/>
    <n v="25"/>
    <n v="0"/>
    <n v="0"/>
    <n v="0"/>
    <n v="0"/>
    <n v="0"/>
    <n v="0"/>
    <n v="0"/>
    <n v="0"/>
    <x v="0"/>
    <m/>
    <n v="33"/>
  </r>
  <r>
    <x v="161"/>
    <x v="5"/>
    <s v="011-260-027"/>
    <s v="611 Washington"/>
    <s v="5+"/>
    <x v="0"/>
    <n v="0"/>
    <n v="0"/>
    <n v="0"/>
    <n v="0"/>
    <n v="0"/>
    <n v="0"/>
    <x v="0"/>
    <n v="0"/>
    <n v="0"/>
    <n v="0"/>
    <n v="0"/>
    <n v="0"/>
    <n v="23"/>
    <n v="0"/>
    <n v="7"/>
    <n v="0"/>
    <n v="0"/>
    <n v="0"/>
    <x v="0"/>
    <n v="75"/>
    <n v="0"/>
  </r>
  <r>
    <x v="159"/>
    <x v="5"/>
    <s v="5719-024-700"/>
    <s v="125 Hurlbut St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1"/>
    <n v="0"/>
    <x v="1"/>
    <n v="45"/>
    <n v="0"/>
  </r>
  <r>
    <x v="32"/>
    <x v="5"/>
    <n v="4275010016"/>
    <s v="1443 18th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32"/>
    <x v="5"/>
    <n v="4283001001"/>
    <s v="1601 Lincoln Blvd"/>
    <s v="5+"/>
    <x v="0"/>
    <n v="0"/>
    <n v="0"/>
    <n v="0"/>
    <n v="0"/>
    <n v="0"/>
    <n v="0"/>
    <x v="89"/>
    <n v="0"/>
    <n v="4"/>
    <n v="0"/>
    <n v="1"/>
    <n v="0"/>
    <n v="0"/>
    <n v="0"/>
    <n v="0"/>
    <n v="0"/>
    <n v="0"/>
    <n v="0"/>
    <x v="1"/>
    <n v="55"/>
    <n v="0"/>
  </r>
  <r>
    <x v="32"/>
    <x v="5"/>
    <n v="4291022024"/>
    <s v="1560 Lincoln Blvd"/>
    <s v="5+"/>
    <x v="0"/>
    <n v="0"/>
    <n v="0"/>
    <n v="0"/>
    <n v="0"/>
    <n v="0"/>
    <n v="0"/>
    <x v="11"/>
    <n v="0"/>
    <n v="5"/>
    <n v="0"/>
    <n v="0"/>
    <n v="0"/>
    <n v="0"/>
    <n v="0"/>
    <n v="0"/>
    <n v="0"/>
    <n v="0"/>
    <n v="0"/>
    <x v="1"/>
    <n v="55"/>
    <n v="0"/>
  </r>
  <r>
    <x v="91"/>
    <x v="1"/>
    <s v="175-306-11-00"/>
    <s v="165 Eucalyptus Ave."/>
    <s v="5+"/>
    <x v="0"/>
    <n v="1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3"/>
    <x v="3"/>
    <n v="4340011013"/>
    <s v="9001 SANTA MONICA BLVD"/>
    <s v="5+"/>
    <x v="1"/>
    <n v="0"/>
    <n v="0"/>
    <n v="0"/>
    <n v="0"/>
    <n v="0"/>
    <n v="0"/>
    <x v="0"/>
    <n v="0"/>
    <n v="0"/>
    <n v="0"/>
    <n v="0"/>
    <n v="0"/>
    <n v="0"/>
    <n v="0"/>
    <n v="4"/>
    <n v="0"/>
    <n v="4"/>
    <n v="0"/>
    <x v="0"/>
    <n v="1000"/>
    <s v="1.3999999999999999"/>
  </r>
  <r>
    <x v="31"/>
    <x v="3"/>
    <n v="20935031"/>
    <s v="240 S TAAFFE ST"/>
    <s v="5+"/>
    <x v="0"/>
    <n v="0"/>
    <n v="0"/>
    <n v="0"/>
    <n v="0"/>
    <n v="0"/>
    <n v="0"/>
    <x v="45"/>
    <n v="0"/>
    <n v="31"/>
    <n v="0"/>
    <n v="6"/>
    <n v="0"/>
    <n v="0"/>
    <n v="0"/>
    <n v="0"/>
    <n v="0"/>
    <n v="0"/>
    <n v="0"/>
    <x v="1"/>
    <n v="55"/>
    <n v="0"/>
  </r>
  <r>
    <x v="41"/>
    <x v="5"/>
    <s v="002355007000"/>
    <s v="401 Monterey Stree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162"/>
    <x v="1"/>
    <s v="75-1-4"/>
    <s v="1199 East 14th St, San Leandro, Ca 94577"/>
    <s v="5+"/>
    <x v="0"/>
    <n v="1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159"/>
    <x v="5"/>
    <s v="5722-013-010"/>
    <s v="177 E Del Mar Blvd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1000"/>
    <n v="0"/>
  </r>
  <r>
    <x v="64"/>
    <x v="5"/>
    <s v="011-145-005-000"/>
    <s v="300 WASHINGTON BL"/>
    <s v="5+"/>
    <x v="0"/>
    <n v="43"/>
    <n v="0"/>
    <n v="20"/>
    <n v="0"/>
    <n v="2"/>
    <n v="0"/>
    <x v="0"/>
    <n v="0"/>
    <n v="0"/>
    <n v="0"/>
    <n v="0"/>
    <n v="0"/>
    <n v="0"/>
    <n v="0"/>
    <n v="0"/>
    <n v="0"/>
    <n v="0"/>
    <n v="0"/>
    <x v="1"/>
    <m/>
    <n v="0"/>
  </r>
  <r>
    <x v="203"/>
    <x v="3"/>
    <s v="035-011-030"/>
    <s v="2605 Main Street"/>
    <s v="5+"/>
    <x v="0"/>
    <n v="0"/>
    <n v="0"/>
    <n v="0"/>
    <n v="0"/>
    <n v="0"/>
    <n v="0"/>
    <x v="0"/>
    <n v="0"/>
    <n v="0"/>
    <n v="0"/>
    <n v="0"/>
    <n v="0"/>
    <n v="34"/>
    <n v="0"/>
    <n v="70"/>
    <n v="0"/>
    <n v="25"/>
    <n v="1"/>
    <x v="0"/>
    <n v="55"/>
    <n v="35"/>
  </r>
  <r>
    <x v="186"/>
    <x v="0"/>
    <s v="441-0068-040-04"/>
    <s v="2595 Depot Rd"/>
    <s v="5+"/>
    <x v="0"/>
    <n v="0"/>
    <n v="0"/>
    <n v="0"/>
    <n v="0"/>
    <n v="0"/>
    <n v="0"/>
    <x v="99"/>
    <n v="0"/>
    <n v="21"/>
    <n v="0"/>
    <n v="0"/>
    <n v="0"/>
    <n v="0"/>
    <n v="0"/>
    <n v="0"/>
    <n v="0"/>
    <n v="0"/>
    <n v="0"/>
    <x v="0"/>
    <n v="1000"/>
    <n v="300"/>
  </r>
  <r>
    <x v="139"/>
    <x v="5"/>
    <s v="056-201-101"/>
    <s v="300 ELAINE'S WAY, AGUA CALIENTE CA"/>
    <s v="5+"/>
    <x v="0"/>
    <n v="0"/>
    <n v="0"/>
    <n v="0"/>
    <n v="0"/>
    <n v="0"/>
    <n v="0"/>
    <x v="12"/>
    <n v="0"/>
    <n v="5"/>
    <n v="0"/>
    <n v="0"/>
    <n v="0"/>
    <n v="5"/>
    <n v="0"/>
    <n v="5"/>
    <n v="0"/>
    <n v="0"/>
    <n v="0"/>
    <x v="0"/>
    <m/>
    <n v="0"/>
  </r>
  <r>
    <x v="139"/>
    <x v="5"/>
    <s v="056-201-101"/>
    <s v="600 LOUISE WAY, Sonoma CA 95476"/>
    <s v="5+"/>
    <x v="0"/>
    <n v="0"/>
    <n v="0"/>
    <n v="0"/>
    <n v="0"/>
    <n v="0"/>
    <n v="0"/>
    <x v="6"/>
    <n v="0"/>
    <n v="4"/>
    <n v="0"/>
    <n v="0"/>
    <n v="0"/>
    <n v="6"/>
    <n v="0"/>
    <n v="4"/>
    <n v="0"/>
    <n v="0"/>
    <n v="0"/>
    <x v="0"/>
    <m/>
    <n v="0"/>
  </r>
  <r>
    <x v="54"/>
    <x v="4"/>
    <n v="61430490"/>
    <s v="1300 El Camino Real"/>
    <s v="5+"/>
    <x v="0"/>
    <n v="0"/>
    <n v="0"/>
    <n v="0"/>
    <n v="0"/>
    <n v="0"/>
    <n v="0"/>
    <x v="0"/>
    <n v="0"/>
    <n v="14"/>
    <n v="0"/>
    <n v="6"/>
    <n v="0"/>
    <n v="0"/>
    <n v="0"/>
    <n v="0"/>
    <n v="0"/>
    <n v="0"/>
    <n v="0"/>
    <x v="1"/>
    <m/>
    <n v="0"/>
  </r>
  <r>
    <x v="96"/>
    <x v="5"/>
    <n v="46517116"/>
    <s v="1560  B ST"/>
    <s v="5+"/>
    <x v="0"/>
    <n v="0"/>
    <n v="12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54"/>
    <x v="4"/>
    <n v="54012140"/>
    <s v="1401 Broadway"/>
    <s v="5+"/>
    <x v="0"/>
    <n v="24"/>
    <n v="0"/>
    <n v="95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54"/>
    <x v="4"/>
    <n v="52386060"/>
    <s v="849 Veterans Blvd"/>
    <s v="5+"/>
    <x v="0"/>
    <n v="7"/>
    <n v="0"/>
    <n v="0"/>
    <n v="0"/>
    <n v="0"/>
    <n v="0"/>
    <x v="14"/>
    <n v="0"/>
    <n v="0"/>
    <n v="0"/>
    <n v="0"/>
    <n v="0"/>
    <n v="7"/>
    <n v="0"/>
    <n v="0"/>
    <n v="0"/>
    <n v="0"/>
    <n v="0"/>
    <x v="1"/>
    <m/>
    <n v="0"/>
  </r>
  <r>
    <x v="127"/>
    <x v="1"/>
    <s v="132-0-100-095"/>
    <s v="2700 N VENTURA RD"/>
    <s v="5+"/>
    <x v="0"/>
    <n v="0"/>
    <n v="0"/>
    <n v="0"/>
    <n v="0"/>
    <n v="0"/>
    <n v="0"/>
    <x v="45"/>
    <n v="0"/>
    <n v="17"/>
    <n v="0"/>
    <n v="17"/>
    <n v="0"/>
    <n v="0"/>
    <n v="0"/>
    <n v="0"/>
    <n v="0"/>
    <n v="0"/>
    <n v="0"/>
    <x v="1"/>
    <n v="55"/>
    <n v="0"/>
  </r>
  <r>
    <x v="2"/>
    <x v="5"/>
    <s v="5623-005-014"/>
    <s v="1116 Sonora Ave"/>
    <s v="5+"/>
    <x v="0"/>
    <n v="0"/>
    <n v="0"/>
    <n v="5"/>
    <n v="0"/>
    <n v="0"/>
    <n v="0"/>
    <x v="0"/>
    <n v="0"/>
    <n v="5"/>
    <n v="0"/>
    <n v="0"/>
    <n v="0"/>
    <n v="0"/>
    <n v="0"/>
    <n v="0"/>
    <n v="0"/>
    <n v="0"/>
    <n v="0"/>
    <x v="0"/>
    <n v="55"/>
    <n v="0"/>
  </r>
  <r>
    <x v="70"/>
    <x v="1"/>
    <s v="986-0034-009-00"/>
    <s v="5421 CAMPBELL LN_x000a_DUBLIN  CA 94568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22"/>
    <n v="0"/>
    <x v="1"/>
    <n v="55"/>
    <n v="0"/>
  </r>
  <r>
    <x v="112"/>
    <x v="1"/>
    <n v="36091051"/>
    <s v="1801 Ridley"/>
    <s v="5+"/>
    <x v="0"/>
    <n v="0"/>
    <n v="0"/>
    <n v="0"/>
    <n v="0"/>
    <n v="50"/>
    <n v="0"/>
    <x v="0"/>
    <n v="0"/>
    <n v="0"/>
    <n v="0"/>
    <n v="0"/>
    <n v="0"/>
    <n v="0"/>
    <n v="0"/>
    <n v="0"/>
    <n v="0"/>
    <n v="0"/>
    <n v="0"/>
    <x v="1"/>
    <n v="55"/>
    <n v="0"/>
  </r>
  <r>
    <x v="112"/>
    <x v="1"/>
    <n v="9333018"/>
    <s v="702 BENNETT VALLEY RD"/>
    <s v="5+"/>
    <x v="0"/>
    <n v="0"/>
    <n v="0"/>
    <n v="0"/>
    <n v="0"/>
    <n v="0"/>
    <n v="0"/>
    <x v="0"/>
    <n v="0"/>
    <n v="63"/>
    <n v="0"/>
    <n v="0"/>
    <n v="0"/>
    <n v="0"/>
    <n v="0"/>
    <n v="0"/>
    <n v="0"/>
    <n v="0"/>
    <n v="0"/>
    <x v="0"/>
    <n v="55"/>
    <n v="100"/>
  </r>
  <r>
    <x v="57"/>
    <x v="5"/>
    <n v="5148024026"/>
    <s v="401 7TH ST   E  90014"/>
    <s v="5+"/>
    <x v="0"/>
    <n v="98"/>
    <n v="0"/>
    <n v="0"/>
    <n v="0"/>
    <n v="0"/>
    <n v="0"/>
    <x v="100"/>
    <n v="0"/>
    <n v="0"/>
    <n v="0"/>
    <n v="0"/>
    <n v="1"/>
    <n v="0"/>
    <n v="0"/>
    <n v="0"/>
    <n v="0"/>
    <n v="0"/>
    <n v="0"/>
    <x v="0"/>
    <n v="55"/>
    <n v="0"/>
  </r>
  <r>
    <x v="57"/>
    <x v="5"/>
    <n v="2353023018"/>
    <s v="11311-11321 CAMARILLO ST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n v="0"/>
  </r>
  <r>
    <x v="57"/>
    <x v="5"/>
    <n v="5536004003"/>
    <s v="5608 LA MIRADA AVE  W  90038"/>
    <s v="5+"/>
    <x v="0"/>
    <n v="1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5404008010"/>
    <s v="706 ALVARADO ST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57"/>
    <x v="5"/>
    <n v="5442010027"/>
    <s v="1901 BLAKE AVE  W  90039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040019024"/>
    <s v="3423 WALTON AVE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0"/>
    <n v="55"/>
    <n v="0"/>
  </r>
  <r>
    <x v="57"/>
    <x v="5"/>
    <n v="4313003009"/>
    <s v="3643 EMPIRE DR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2210031012"/>
    <s v="7639 VAN NUYS BLVD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57"/>
    <x v="5"/>
    <n v="2350001020"/>
    <s v="11616 BURBANK BLVD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4006022018"/>
    <s v="6740 BRYNHURST AVE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2346006055"/>
    <s v="12626 BURBANK BLVD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1"/>
    <n v="0"/>
    <x v="0"/>
    <n v="55"/>
    <n v="0"/>
  </r>
  <r>
    <x v="57"/>
    <x v="5"/>
    <n v="5536011017"/>
    <s v="1114 ST ANDREWS PL   N  90038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076018014"/>
    <s v="1212 WESTMORELAND AVE  S  90006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4248017010"/>
    <s v="12331 PALMS BLVD W  90066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2234024042"/>
    <s v="15323 VANOWEN ST   W  91406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154001019"/>
    <s v="1800 BEVERLY BLVD W  90057"/>
    <s v="5+"/>
    <x v="0"/>
    <n v="2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501017023"/>
    <s v="182 VIRGIL AVE  S  90004"/>
    <s v="5+"/>
    <x v="0"/>
    <n v="0"/>
    <n v="0"/>
    <n v="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501004006"/>
    <s v="235 HOOVER ST   N  90004"/>
    <s v="5+"/>
    <x v="0"/>
    <n v="1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522017028"/>
    <s v="5058 MAPLEWOOD AVE  W  90004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33"/>
    <x v="3"/>
    <s v="029-235-290"/>
    <s v="920 Bayswater Av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13"/>
    <n v="0"/>
    <x v="0"/>
    <n v="30"/>
    <n v="10"/>
  </r>
  <r>
    <x v="33"/>
    <x v="3"/>
    <s v="025-280-480"/>
    <s v="30 Ingold Rd"/>
    <s v="5+"/>
    <x v="0"/>
    <n v="0"/>
    <n v="0"/>
    <n v="0"/>
    <n v="0"/>
    <n v="0"/>
    <n v="0"/>
    <x v="0"/>
    <n v="0"/>
    <n v="43"/>
    <n v="0"/>
    <n v="0"/>
    <n v="0"/>
    <n v="0"/>
    <n v="0"/>
    <n v="0"/>
    <n v="0"/>
    <n v="0"/>
    <n v="0"/>
    <x v="0"/>
    <n v="55"/>
    <s v="33.600000000000001"/>
  </r>
  <r>
    <x v="57"/>
    <x v="5"/>
    <n v="5545009031"/>
    <s v="5929 SUNSET BLVD W  90028"/>
    <s v="5+"/>
    <x v="0"/>
    <n v="15"/>
    <n v="0"/>
    <n v="0"/>
    <n v="0"/>
    <n v="15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092028020"/>
    <s v="743 GRAMERCY DR   S  90005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05"/>
    <x v="5"/>
    <s v="017-080-150"/>
    <s v="3300 College Dr.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45"/>
    <n v="0"/>
  </r>
  <r>
    <x v="68"/>
    <x v="5"/>
    <s v="077-201-012"/>
    <s v="224 S. Halcyon Road"/>
    <s v="5+"/>
    <x v="0"/>
    <n v="0"/>
    <n v="0"/>
    <n v="2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7"/>
    <x v="5"/>
    <s v="445 134 08 &amp; 445 134 09"/>
    <s v="4201 &amp; 4301 Jamboree Road"/>
    <s v="5+"/>
    <x v="0"/>
    <n v="0"/>
    <n v="0"/>
    <n v="0"/>
    <n v="0"/>
    <n v="0"/>
    <n v="0"/>
    <x v="38"/>
    <n v="0"/>
    <n v="0"/>
    <n v="0"/>
    <n v="0"/>
    <n v="0"/>
    <n v="0"/>
    <n v="0"/>
    <n v="0"/>
    <n v="0"/>
    <n v="0"/>
    <n v="0"/>
    <x v="0"/>
    <n v="55"/>
    <n v="0"/>
  </r>
  <r>
    <x v="8"/>
    <x v="4"/>
    <n v="5395312900"/>
    <s v="1144 30TH S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97"/>
    <x v="1"/>
    <s v="2294323300 2294323400 2294323200"/>
    <s v="337 E Valley Pkwy"/>
    <s v="5+"/>
    <x v="0"/>
    <n v="0"/>
    <n v="0"/>
    <n v="0"/>
    <n v="0"/>
    <n v="0"/>
    <n v="0"/>
    <x v="0"/>
    <n v="0"/>
    <n v="0"/>
    <n v="0"/>
    <n v="0"/>
    <n v="0"/>
    <n v="25"/>
    <n v="0"/>
    <n v="25"/>
    <n v="0"/>
    <n v="0"/>
    <n v="0"/>
    <x v="0"/>
    <n v="55"/>
    <n v="38"/>
  </r>
  <r>
    <x v="97"/>
    <x v="1"/>
    <s v="224-141-23-00, 224-141-24-00, 224-141-25-00, 224-142-30-00, 224-142-31-00, 224-142-32-00, 224-142-33-00"/>
    <s v="942, and 943 Stanley Avenue, and 2005 ‚Äì 2175 Conway Drive"/>
    <s v="5+"/>
    <x v="1"/>
    <n v="0"/>
    <n v="0"/>
    <n v="10"/>
    <n v="0"/>
    <n v="0"/>
    <n v="0"/>
    <x v="0"/>
    <n v="0"/>
    <n v="0"/>
    <n v="0"/>
    <n v="0"/>
    <n v="0"/>
    <n v="0"/>
    <n v="0"/>
    <n v="0"/>
    <n v="0"/>
    <n v="0"/>
    <n v="0"/>
    <x v="0"/>
    <n v="55"/>
    <n v="40"/>
  </r>
  <r>
    <x v="8"/>
    <x v="4"/>
    <n v="4463030100"/>
    <s v="4195 KANSAS ST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15"/>
    <x v="3"/>
    <s v="033 215800501"/>
    <s v="3751 INTERNATIONAL BLVD, Oakland, CA 94601"/>
    <s v="5+"/>
    <x v="0"/>
    <n v="91"/>
    <n v="0"/>
    <n v="92"/>
    <n v="0"/>
    <n v="0"/>
    <n v="0"/>
    <x v="0"/>
    <n v="0"/>
    <n v="0"/>
    <n v="0"/>
    <n v="0"/>
    <n v="0"/>
    <n v="0"/>
    <n v="0"/>
    <n v="0"/>
    <n v="0"/>
    <n v="0"/>
    <n v="0"/>
    <x v="0"/>
    <n v="55"/>
    <n v="80"/>
  </r>
  <r>
    <x v="15"/>
    <x v="3"/>
    <s v="001 014900402"/>
    <s v="335 3RD ST, Oakland, CA 94607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32.5"/>
  </r>
  <r>
    <x v="8"/>
    <x v="4"/>
    <n v="5356140100"/>
    <s v="1401 IMPERIAL AV"/>
    <s v="5+"/>
    <x v="0"/>
    <n v="0"/>
    <n v="0"/>
    <n v="0"/>
    <n v="0"/>
    <n v="0"/>
    <n v="0"/>
    <x v="78"/>
    <n v="0"/>
    <n v="40"/>
    <n v="0"/>
    <n v="0"/>
    <n v="0"/>
    <n v="0"/>
    <n v="0"/>
    <n v="0"/>
    <n v="0"/>
    <n v="0"/>
    <n v="0"/>
    <x v="1"/>
    <n v="55"/>
    <n v="0"/>
  </r>
  <r>
    <x v="32"/>
    <x v="5"/>
    <n v="4285027030"/>
    <s v="2903 Lincoln Blvd.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91"/>
    <x v="1"/>
    <s v="179-024-09-00"/>
    <s v="212 Guajome St."/>
    <s v="5+"/>
    <x v="0"/>
    <n v="0"/>
    <n v="0"/>
    <n v="0"/>
    <n v="0"/>
    <n v="24"/>
    <n v="0"/>
    <x v="0"/>
    <n v="0"/>
    <n v="0"/>
    <n v="0"/>
    <n v="0"/>
    <n v="0"/>
    <n v="0"/>
    <n v="0"/>
    <n v="0"/>
    <n v="0"/>
    <n v="0"/>
    <n v="0"/>
    <x v="1"/>
    <n v="55"/>
    <n v="0"/>
  </r>
  <r>
    <x v="75"/>
    <x v="5"/>
    <s v="011171500"/>
    <s v="1271 Edgewood Wy C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79"/>
    <x v="4"/>
    <s v="035200120"/>
    <s v="1650 S DELAWARE ST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1000"/>
    <n v="0"/>
  </r>
  <r>
    <x v="15"/>
    <x v="3"/>
    <s v="012 101300701"/>
    <s v="524 41st ST, OAKLAND, CA 94609"/>
    <s v="5+"/>
    <x v="0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0"/>
    <n v="55"/>
    <n v="0"/>
  </r>
  <r>
    <x v="247"/>
    <x v="3"/>
    <s v="617-441-02"/>
    <s v="24551 RAYMOND WAY"/>
    <s v="5+"/>
    <x v="0"/>
    <n v="0"/>
    <n v="0"/>
    <n v="0"/>
    <n v="0"/>
    <n v="0"/>
    <n v="0"/>
    <x v="101"/>
    <n v="0"/>
    <n v="0"/>
    <n v="0"/>
    <n v="0"/>
    <n v="0"/>
    <n v="0"/>
    <n v="0"/>
    <n v="0"/>
    <n v="0"/>
    <n v="0"/>
    <n v="0"/>
    <x v="0"/>
    <n v="55"/>
    <n v="0"/>
  </r>
  <r>
    <x v="97"/>
    <x v="1"/>
    <s v="336-371-14-00 , 336-371-15-00"/>
    <s v="829-849 S. Escondido Boulevard and 332 W. Ninth Avenue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61"/>
  </r>
  <r>
    <x v="237"/>
    <x v="5"/>
    <s v="002-301-54"/>
    <s v="763 S Oak St"/>
    <s v="5+"/>
    <x v="0"/>
    <n v="0"/>
    <n v="0"/>
    <n v="3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246"/>
    <x v="3"/>
    <s v="0080-222-010"/>
    <s v="1451 Park Road"/>
    <s v="5+"/>
    <x v="0"/>
    <n v="1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45"/>
    <n v="0"/>
  </r>
  <r>
    <x v="1"/>
    <x v="3"/>
    <s v="039-0011-013-0000"/>
    <s v="4550 LE DONNE DR, BLDG# 10_x000a_SACRAMENTO, CA 95823"/>
    <s v="5+"/>
    <x v="0"/>
    <n v="0"/>
    <n v="0"/>
    <n v="0"/>
    <n v="0"/>
    <n v="0"/>
    <n v="0"/>
    <x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11_x000a_SACRAMENTO, CA 95823"/>
    <s v="5+"/>
    <x v="0"/>
    <n v="0"/>
    <n v="0"/>
    <n v="0"/>
    <n v="0"/>
    <n v="0"/>
    <n v="0"/>
    <x v="0"/>
    <n v="0"/>
    <n v="6"/>
    <n v="0"/>
    <n v="0"/>
    <n v="0"/>
    <n v="0"/>
    <n v="0"/>
    <n v="0"/>
    <n v="0"/>
    <n v="0"/>
    <n v="0"/>
    <x v="0"/>
    <m/>
    <n v="58"/>
  </r>
  <r>
    <x v="248"/>
    <x v="5"/>
    <s v="298-260-33, 298-281-10, 298-164-22"/>
    <s v="661 - 781 S. Nardo Ave &amp; 821 Stevens Ave"/>
    <s v="5+"/>
    <x v="0"/>
    <n v="0"/>
    <n v="0"/>
    <n v="32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59"/>
    <x v="5"/>
    <s v="5747-002-193"/>
    <s v="2488 Mohawk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1000"/>
    <n v="0"/>
  </r>
  <r>
    <x v="10"/>
    <x v="3"/>
    <s v="097-05-059"/>
    <s v="2231 CALLE DEL MUNDO, SANTA CLARA, CA 95054"/>
    <s v="5+"/>
    <x v="0"/>
    <n v="0"/>
    <n v="0"/>
    <n v="0"/>
    <n v="0"/>
    <n v="0"/>
    <n v="0"/>
    <x v="0"/>
    <n v="0"/>
    <n v="0"/>
    <n v="0"/>
    <n v="0"/>
    <n v="0"/>
    <n v="37"/>
    <n v="0"/>
    <n v="158"/>
    <n v="0"/>
    <n v="0"/>
    <n v="0"/>
    <x v="1"/>
    <n v="55"/>
    <n v="0"/>
  </r>
  <r>
    <x v="127"/>
    <x v="1"/>
    <s v="200-0-100-020"/>
    <s v="1345 N. Oxnard Boulevard"/>
    <s v="5+"/>
    <x v="0"/>
    <n v="5"/>
    <n v="0"/>
    <n v="18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109"/>
    <x v="1"/>
    <s v="510-053-032"/>
    <s v="5620 Central Avenue"/>
    <s v="5+"/>
    <x v="0"/>
    <n v="0"/>
    <n v="0"/>
    <n v="312"/>
    <n v="0"/>
    <n v="0"/>
    <n v="77"/>
    <x v="0"/>
    <n v="0"/>
    <n v="0"/>
    <n v="0"/>
    <n v="0"/>
    <n v="0"/>
    <n v="0"/>
    <n v="0"/>
    <n v="0"/>
    <n v="0"/>
    <n v="0"/>
    <n v="0"/>
    <x v="0"/>
    <n v="55"/>
    <n v="204"/>
  </r>
  <r>
    <x v="182"/>
    <x v="1"/>
    <s v="389-47-066"/>
    <s v="10855 Elm Circle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0"/>
    <n v="55"/>
    <n v="32.5"/>
  </r>
  <r>
    <x v="10"/>
    <x v="4"/>
    <s v="269-39-101"/>
    <s v="555 Saratoga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m/>
    <n v="0"/>
  </r>
  <r>
    <x v="10"/>
    <x v="4"/>
    <s v="097-05-098"/>
    <s v="2200 Calle De Luna"/>
    <s v="5+"/>
    <x v="0"/>
    <n v="0"/>
    <n v="0"/>
    <n v="0"/>
    <n v="0"/>
    <n v="48"/>
    <n v="0"/>
    <x v="0"/>
    <n v="0"/>
    <n v="0"/>
    <n v="0"/>
    <n v="0"/>
    <n v="0"/>
    <n v="0"/>
    <n v="0"/>
    <n v="0"/>
    <n v="0"/>
    <n v="0"/>
    <n v="0"/>
    <x v="1"/>
    <m/>
    <n v="0"/>
  </r>
  <r>
    <x v="131"/>
    <x v="4"/>
    <s v="055 189501805"/>
    <s v="2352 Shattuck"/>
    <s v="5+"/>
    <x v="0"/>
    <n v="1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31"/>
    <x v="4"/>
    <s v="055 187701902"/>
    <s v="2580 Bancroft"/>
    <s v="5+"/>
    <x v="0"/>
    <n v="0"/>
    <n v="0"/>
    <n v="0"/>
    <n v="0"/>
    <n v="0"/>
    <n v="0"/>
    <x v="58"/>
    <n v="0"/>
    <n v="0"/>
    <n v="0"/>
    <n v="0"/>
    <n v="0"/>
    <n v="0"/>
    <n v="0"/>
    <n v="0"/>
    <n v="0"/>
    <n v="0"/>
    <n v="0"/>
    <x v="0"/>
    <m/>
    <n v="0"/>
  </r>
  <r>
    <x v="205"/>
    <x v="3"/>
    <n v="944330005"/>
    <s v="43602 VENTANA ST"/>
    <s v="5+"/>
    <x v="0"/>
    <n v="0"/>
    <n v="0"/>
    <n v="0"/>
    <n v="0"/>
    <n v="0"/>
    <n v="0"/>
    <x v="58"/>
    <n v="0"/>
    <n v="0"/>
    <n v="0"/>
    <n v="0"/>
    <n v="0"/>
    <n v="0"/>
    <n v="0"/>
    <n v="0"/>
    <n v="0"/>
    <n v="0"/>
    <n v="0"/>
    <x v="1"/>
    <n v="55"/>
    <n v="0"/>
  </r>
  <r>
    <x v="31"/>
    <x v="3"/>
    <n v="-4498"/>
    <s v="1030 INDIAN WELLS AV"/>
    <s v="5+"/>
    <x v="0"/>
    <n v="0"/>
    <n v="0"/>
    <n v="0"/>
    <n v="0"/>
    <n v="0"/>
    <n v="0"/>
    <x v="0"/>
    <n v="0"/>
    <n v="0"/>
    <n v="0"/>
    <n v="0"/>
    <n v="0"/>
    <n v="9"/>
    <n v="0"/>
    <n v="0"/>
    <n v="0"/>
    <n v="0"/>
    <n v="0"/>
    <x v="0"/>
    <n v="55"/>
    <n v="22.5"/>
  </r>
  <r>
    <x v="62"/>
    <x v="2"/>
    <s v="0306007"/>
    <s v="436 GEARY ST"/>
    <s v="5+"/>
    <x v="0"/>
    <n v="36"/>
    <n v="0"/>
    <n v="51"/>
    <n v="0"/>
    <n v="41"/>
    <n v="0"/>
    <x v="0"/>
    <n v="0"/>
    <n v="0"/>
    <n v="0"/>
    <n v="0"/>
    <n v="0"/>
    <n v="0"/>
    <n v="0"/>
    <n v="0"/>
    <n v="0"/>
    <n v="0"/>
    <n v="0"/>
    <x v="0"/>
    <m/>
    <n v="0"/>
  </r>
  <r>
    <x v="62"/>
    <x v="2"/>
    <n v="8715004"/>
    <s v="110 CHANNEL *"/>
    <s v="5+"/>
    <x v="0"/>
    <n v="0"/>
    <n v="0"/>
    <n v="0"/>
    <n v="0"/>
    <n v="0"/>
    <n v="0"/>
    <x v="5"/>
    <n v="0"/>
    <n v="13"/>
    <n v="0"/>
    <n v="5"/>
    <n v="0"/>
    <n v="4"/>
    <n v="0"/>
    <n v="13"/>
    <n v="0"/>
    <n v="5"/>
    <n v="0"/>
    <x v="1"/>
    <m/>
    <n v="0"/>
  </r>
  <r>
    <x v="62"/>
    <x v="2"/>
    <n v="3725090"/>
    <s v="434 MINNA ST"/>
    <s v="5+"/>
    <x v="0"/>
    <n v="0"/>
    <n v="0"/>
    <n v="0"/>
    <n v="0"/>
    <n v="0"/>
    <n v="0"/>
    <x v="0"/>
    <n v="0"/>
    <n v="0"/>
    <n v="0"/>
    <n v="53"/>
    <n v="0"/>
    <n v="0"/>
    <n v="0"/>
    <n v="0"/>
    <n v="0"/>
    <n v="0"/>
    <n v="0"/>
    <x v="1"/>
    <m/>
    <n v="0"/>
  </r>
  <r>
    <x v="62"/>
    <x v="2"/>
    <n v="8715004"/>
    <s v="1000 03RD ST"/>
    <s v="5+"/>
    <x v="0"/>
    <n v="0"/>
    <n v="0"/>
    <n v="0"/>
    <n v="0"/>
    <n v="0"/>
    <n v="0"/>
    <x v="12"/>
    <n v="0"/>
    <n v="16"/>
    <n v="0"/>
    <n v="6"/>
    <n v="0"/>
    <n v="0"/>
    <n v="0"/>
    <n v="0"/>
    <n v="0"/>
    <n v="0"/>
    <n v="0"/>
    <x v="1"/>
    <m/>
    <n v="0"/>
  </r>
  <r>
    <x v="62"/>
    <x v="2"/>
    <s v="0345002"/>
    <s v="145 LEAVENWORTH ST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1"/>
    <m/>
    <n v="0"/>
  </r>
  <r>
    <x v="62"/>
    <x v="2"/>
    <n v="3519017"/>
    <s v="1394 HARRISON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4"/>
    <x v="4"/>
    <s v="048-260-030-000"/>
    <s v="1650 HUNTINGTON DR"/>
    <s v="5+"/>
    <x v="0"/>
    <n v="2"/>
    <n v="0"/>
    <n v="3"/>
    <n v="0"/>
    <n v="0"/>
    <n v="71"/>
    <x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5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1"/>
    <n v="55"/>
    <n v="0"/>
  </r>
  <r>
    <x v="62"/>
    <x v="2"/>
    <n v="3746003"/>
    <s v="333 BEALE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s v="0512031"/>
    <s v="2301 LOMBARD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3548039"/>
    <s v="1801 MISSION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2"/>
    <n v="0"/>
    <x v="1"/>
    <m/>
    <n v="0"/>
  </r>
  <r>
    <x v="62"/>
    <x v="2"/>
    <n v="3509024"/>
    <s v="23 GRACE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3509026"/>
    <s v="37 GRACE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32"/>
    <x v="5"/>
    <n v="4275005016"/>
    <s v="1450 Cloverfield Blvd.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"/>
    <x v="3"/>
    <s v="039-0011-013-0000"/>
    <s v="4550 LE DONNE DR, BLDG# 7_x000a_SACRAMENTO, CA 95823"/>
    <s v="5+"/>
    <x v="0"/>
    <n v="0"/>
    <n v="0"/>
    <n v="0"/>
    <n v="0"/>
    <n v="0"/>
    <n v="0"/>
    <x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8_x000a_SACRAMENTO, CA 95823"/>
    <s v="5+"/>
    <x v="0"/>
    <n v="0"/>
    <n v="0"/>
    <n v="0"/>
    <n v="0"/>
    <n v="0"/>
    <n v="0"/>
    <x v="0"/>
    <n v="0"/>
    <n v="18"/>
    <n v="0"/>
    <n v="0"/>
    <n v="0"/>
    <n v="0"/>
    <n v="0"/>
    <n v="0"/>
    <n v="0"/>
    <n v="0"/>
    <n v="0"/>
    <x v="0"/>
    <m/>
    <n v="58"/>
  </r>
  <r>
    <x v="10"/>
    <x v="3"/>
    <s v="097-05-110"/>
    <s v="2333 Calle del Mundo, SANTA CLARA, CA 95054"/>
    <s v="5+"/>
    <x v="0"/>
    <n v="0"/>
    <n v="0"/>
    <n v="0"/>
    <n v="0"/>
    <n v="0"/>
    <n v="0"/>
    <x v="0"/>
    <n v="0"/>
    <n v="6"/>
    <n v="0"/>
    <n v="28"/>
    <n v="0"/>
    <n v="0"/>
    <n v="0"/>
    <n v="0"/>
    <n v="0"/>
    <n v="0"/>
    <n v="0"/>
    <x v="1"/>
    <n v="55"/>
    <n v="0"/>
  </r>
  <r>
    <x v="10"/>
    <x v="3"/>
    <s v="097-46-024"/>
    <s v="2310 CALLE DEL MUNDO, SANTA CLARA, CA 95054"/>
    <s v="5+"/>
    <x v="0"/>
    <n v="74"/>
    <n v="0"/>
    <n v="76"/>
    <n v="0"/>
    <n v="0"/>
    <n v="0"/>
    <x v="85"/>
    <n v="0"/>
    <n v="76"/>
    <n v="0"/>
    <n v="0"/>
    <n v="0"/>
    <n v="0"/>
    <n v="0"/>
    <n v="0"/>
    <n v="0"/>
    <n v="0"/>
    <n v="0"/>
    <x v="1"/>
    <n v="55"/>
    <n v="0"/>
  </r>
  <r>
    <x v="186"/>
    <x v="0"/>
    <s v="444-0057-033-00"/>
    <s v="692 Berry Ave"/>
    <s v="5+"/>
    <x v="0"/>
    <n v="1"/>
    <n v="0"/>
    <n v="0"/>
    <n v="0"/>
    <n v="1"/>
    <n v="0"/>
    <x v="0"/>
    <n v="0"/>
    <n v="0"/>
    <n v="0"/>
    <n v="0"/>
    <n v="0"/>
    <n v="0"/>
    <n v="0"/>
    <n v="0"/>
    <n v="0"/>
    <n v="0"/>
    <n v="0"/>
    <x v="1"/>
    <n v="1000"/>
    <n v="0"/>
  </r>
  <r>
    <x v="186"/>
    <x v="0"/>
    <s v="078C-0438-006-00"/>
    <s v="29213 Mission Blvd"/>
    <s v="5+"/>
    <x v="0"/>
    <n v="0"/>
    <n v="0"/>
    <n v="0"/>
    <n v="0"/>
    <n v="0"/>
    <n v="0"/>
    <x v="0"/>
    <n v="0"/>
    <n v="0"/>
    <n v="0"/>
    <n v="0"/>
    <n v="0"/>
    <n v="0"/>
    <n v="0"/>
    <n v="10"/>
    <n v="0"/>
    <n v="0"/>
    <n v="0"/>
    <x v="1"/>
    <n v="1000"/>
    <n v="0"/>
  </r>
  <r>
    <x v="133"/>
    <x v="3"/>
    <n v="3103010047"/>
    <s v="4856 W Avenue L-14 #101, Lancaster CA 93536"/>
    <s v="5+"/>
    <x v="0"/>
    <n v="3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89"/>
  </r>
  <r>
    <x v="8"/>
    <x v="4"/>
    <n v="4275001400"/>
    <s v="2799 HEALTH CENTER DR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0"/>
  </r>
  <r>
    <x v="8"/>
    <x v="4"/>
    <n v="4714122800"/>
    <s v="4162 ESTRELLA AV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5"/>
    <n v="0"/>
  </r>
  <r>
    <x v="8"/>
    <x v="4"/>
    <n v="4441102300"/>
    <s v="4325 03RD AV"/>
    <s v="5+"/>
    <x v="0"/>
    <n v="0"/>
    <n v="0"/>
    <n v="0"/>
    <n v="0"/>
    <n v="0"/>
    <n v="0"/>
    <x v="89"/>
    <n v="0"/>
    <n v="0"/>
    <n v="0"/>
    <n v="0"/>
    <n v="0"/>
    <n v="0"/>
    <n v="0"/>
    <n v="0"/>
    <n v="0"/>
    <n v="0"/>
    <n v="0"/>
    <x v="0"/>
    <n v="55"/>
    <n v="0"/>
  </r>
  <r>
    <x v="3"/>
    <x v="3"/>
    <n v="5531022019"/>
    <s v="1041 MARTEL AVE"/>
    <s v="5+"/>
    <x v="0"/>
    <n v="25"/>
    <n v="0"/>
    <n v="24"/>
    <n v="0"/>
    <n v="0"/>
    <n v="0"/>
    <x v="0"/>
    <n v="0"/>
    <n v="0"/>
    <n v="0"/>
    <n v="0"/>
    <n v="0"/>
    <n v="0"/>
    <n v="0"/>
    <n v="0"/>
    <n v="0"/>
    <n v="0"/>
    <n v="0"/>
    <x v="0"/>
    <n v="1000"/>
    <n v="178"/>
  </r>
  <r>
    <x v="3"/>
    <x v="3"/>
    <n v="4336019033"/>
    <s v="8899 BEVERLY BLVD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35"/>
  </r>
  <r>
    <x v="149"/>
    <x v="2"/>
    <s v="TR 8180"/>
    <s v="4372 MODOC TER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8"/>
    <n v="0"/>
    <x v="1"/>
    <n v="30"/>
    <n v="0"/>
  </r>
  <r>
    <x v="8"/>
    <x v="4"/>
    <n v="3692300100"/>
    <s v="4890 SUNROAD CENTRUM LN"/>
    <s v="5+"/>
    <x v="0"/>
    <n v="0"/>
    <n v="0"/>
    <n v="0"/>
    <n v="0"/>
    <n v="0"/>
    <n v="0"/>
    <x v="0"/>
    <n v="0"/>
    <n v="22"/>
    <n v="0"/>
    <n v="23"/>
    <n v="0"/>
    <n v="0"/>
    <n v="0"/>
    <n v="0"/>
    <n v="0"/>
    <n v="0"/>
    <n v="0"/>
    <x v="1"/>
    <n v="55"/>
    <n v="0"/>
  </r>
  <r>
    <x v="249"/>
    <x v="1"/>
    <s v="0278-131-45"/>
    <s v="7536 Sterling Ave"/>
    <s v="5+"/>
    <x v="0"/>
    <n v="11"/>
    <n v="0"/>
    <n v="0"/>
    <n v="209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166"/>
    <x v="5"/>
    <s v="71-100-25"/>
    <s v="2990 Fifth Street"/>
    <s v="5+"/>
    <x v="0"/>
    <n v="0"/>
    <n v="0"/>
    <n v="0"/>
    <n v="0"/>
    <n v="0"/>
    <n v="0"/>
    <x v="90"/>
    <n v="0"/>
    <n v="32"/>
    <n v="0"/>
    <n v="0"/>
    <n v="0"/>
    <n v="0"/>
    <n v="0"/>
    <n v="0"/>
    <n v="0"/>
    <n v="0"/>
    <n v="0"/>
    <x v="1"/>
    <m/>
    <n v="0"/>
  </r>
  <r>
    <x v="166"/>
    <x v="5"/>
    <s v="36-170-18"/>
    <s v="Olive Drive"/>
    <s v="5+"/>
    <x v="0"/>
    <n v="0"/>
    <n v="0"/>
    <n v="0"/>
    <n v="0"/>
    <n v="0"/>
    <n v="700"/>
    <x v="0"/>
    <n v="0"/>
    <n v="0"/>
    <n v="0"/>
    <n v="0"/>
    <n v="0"/>
    <n v="0"/>
    <n v="0"/>
    <n v="0"/>
    <n v="0"/>
    <n v="0"/>
    <n v="0"/>
    <x v="1"/>
    <m/>
    <n v="0"/>
  </r>
  <r>
    <x v="166"/>
    <x v="5"/>
    <s v="36-060-05"/>
    <s v="Covell Drive"/>
    <s v="5+"/>
    <x v="0"/>
    <n v="100"/>
    <n v="0"/>
    <n v="5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37"/>
    <x v="1"/>
    <s v="059-271-059"/>
    <s v="376 Shiloh Road"/>
    <s v="5+"/>
    <x v="0"/>
    <n v="5"/>
    <n v="0"/>
    <n v="0"/>
    <n v="0"/>
    <n v="5"/>
    <n v="0"/>
    <x v="0"/>
    <n v="0"/>
    <n v="0"/>
    <n v="0"/>
    <n v="0"/>
    <n v="0"/>
    <n v="0"/>
    <n v="0"/>
    <n v="0"/>
    <n v="0"/>
    <n v="0"/>
    <n v="0"/>
    <x v="1"/>
    <n v="45"/>
    <n v="0"/>
  </r>
  <r>
    <x v="60"/>
    <x v="2"/>
    <s v="011-265-01"/>
    <s v="999 Third Street"/>
    <s v="5+"/>
    <x v="0"/>
    <n v="0"/>
    <n v="0"/>
    <n v="68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31"/>
    <x v="4"/>
    <s v="056 197701300"/>
    <s v="2198 San Pablo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43"/>
    <x v="3"/>
    <n v="1523201100"/>
    <s v="NEVADA ST"/>
    <s v="5+"/>
    <x v="0"/>
    <n v="1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.5"/>
  </r>
  <r>
    <x v="33"/>
    <x v="3"/>
    <s v="025-166-230, 025-166-240"/>
    <s v="1855-81 Rollins Road"/>
    <s v="5+"/>
    <x v="0"/>
    <n v="0"/>
    <n v="0"/>
    <n v="35"/>
    <n v="0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15"/>
    <x v="3"/>
    <s v="009 070100800"/>
    <s v="2901 BROADWAY, Oakland, CA 94611"/>
    <s v="5+"/>
    <x v="0"/>
    <n v="2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49.700000000000003"/>
  </r>
  <r>
    <x v="15"/>
    <x v="3"/>
    <s v="012 097200100"/>
    <s v="469 40TH ST, Oakland, CA 94609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47.799999999999997"/>
  </r>
  <r>
    <x v="15"/>
    <x v="3"/>
    <s v="003 002101000"/>
    <s v="2311 SAN PABLO AVE, Oakland, CA 94612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46.700000000000003"/>
  </r>
  <r>
    <x v="15"/>
    <x v="3"/>
    <s v="005 046700100"/>
    <s v="3135 SAN PABLO AVE, Oakland, CA 94608"/>
    <s v="5+"/>
    <x v="0"/>
    <n v="0"/>
    <n v="0"/>
    <n v="72"/>
    <n v="0"/>
    <n v="0"/>
    <n v="0"/>
    <x v="0"/>
    <n v="0"/>
    <n v="0"/>
    <n v="0"/>
    <n v="0"/>
    <n v="0"/>
    <n v="0"/>
    <n v="0"/>
    <n v="0"/>
    <n v="0"/>
    <n v="0"/>
    <n v="0"/>
    <x v="0"/>
    <n v="55"/>
    <s v="100.09999999999999"/>
  </r>
  <r>
    <x v="15"/>
    <x v="3"/>
    <s v="002 006300700"/>
    <s v="316 12TH ST, Oakland, CA 94607"/>
    <s v="5+"/>
    <x v="0"/>
    <n v="0"/>
    <n v="0"/>
    <n v="0"/>
    <n v="0"/>
    <n v="0"/>
    <n v="0"/>
    <x v="0"/>
    <n v="0"/>
    <n v="0"/>
    <n v="0"/>
    <n v="3"/>
    <n v="0"/>
    <n v="0"/>
    <n v="0"/>
    <n v="0"/>
    <n v="0"/>
    <n v="0"/>
    <n v="0"/>
    <x v="0"/>
    <n v="55"/>
    <n v="0"/>
  </r>
  <r>
    <x v="15"/>
    <x v="3"/>
    <s v="006 001702000"/>
    <s v="1670 7TH ST, OAKLAND, CA 94607"/>
    <s v="5+"/>
    <x v="0"/>
    <n v="0"/>
    <n v="0"/>
    <n v="0"/>
    <n v="0"/>
    <n v="0"/>
    <n v="0"/>
    <x v="40"/>
    <n v="0"/>
    <n v="0"/>
    <n v="0"/>
    <n v="0"/>
    <n v="0"/>
    <n v="0"/>
    <n v="0"/>
    <n v="0"/>
    <n v="0"/>
    <n v="0"/>
    <n v="0"/>
    <x v="0"/>
    <n v="55"/>
    <n v="14.5"/>
  </r>
  <r>
    <x v="205"/>
    <x v="3"/>
    <n v="921050016"/>
    <s v="28715 LAS HACIENDAS ST"/>
    <s v="5+"/>
    <x v="0"/>
    <n v="0"/>
    <n v="0"/>
    <n v="0"/>
    <n v="0"/>
    <n v="0"/>
    <n v="0"/>
    <x v="15"/>
    <n v="0"/>
    <n v="27"/>
    <n v="0"/>
    <n v="0"/>
    <n v="1"/>
    <n v="0"/>
    <n v="0"/>
    <n v="0"/>
    <n v="0"/>
    <n v="0"/>
    <n v="0"/>
    <x v="1"/>
    <n v="55"/>
    <n v="0"/>
  </r>
  <r>
    <x v="96"/>
    <x v="0"/>
    <n v="47219036"/>
    <s v="5242 E LIBERTY AVE 105+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2"/>
  </r>
  <r>
    <x v="157"/>
    <x v="4"/>
    <s v="445 134 08 &amp; 445 134 09"/>
    <s v="4201 &amp; 4301 Jamboree Road"/>
    <s v="5+"/>
    <x v="0"/>
    <n v="0"/>
    <n v="0"/>
    <n v="0"/>
    <n v="0"/>
    <n v="0"/>
    <n v="0"/>
    <x v="0"/>
    <n v="0"/>
    <n v="0"/>
    <n v="0"/>
    <n v="0"/>
    <n v="0"/>
    <n v="91"/>
    <n v="0"/>
    <n v="0"/>
    <n v="0"/>
    <n v="0"/>
    <n v="0"/>
    <x v="0"/>
    <m/>
    <n v="0"/>
  </r>
  <r>
    <x v="3"/>
    <x v="3"/>
    <n v="5560022003"/>
    <s v="1120 LARRABEE ST"/>
    <s v="5+"/>
    <x v="1"/>
    <n v="0"/>
    <n v="0"/>
    <n v="0"/>
    <n v="0"/>
    <n v="0"/>
    <n v="0"/>
    <x v="0"/>
    <n v="0"/>
    <n v="3"/>
    <n v="0"/>
    <n v="2"/>
    <n v="0"/>
    <n v="0"/>
    <n v="0"/>
    <n v="0"/>
    <n v="0"/>
    <n v="0"/>
    <n v="0"/>
    <x v="0"/>
    <n v="1000"/>
    <n v="30"/>
  </r>
  <r>
    <x v="3"/>
    <x v="3"/>
    <n v="4336019033"/>
    <s v="8899 BEVERLY BLVD"/>
    <s v="5+"/>
    <x v="0"/>
    <n v="0"/>
    <n v="0"/>
    <n v="0"/>
    <n v="0"/>
    <n v="0"/>
    <n v="0"/>
    <x v="0"/>
    <n v="0"/>
    <n v="0"/>
    <n v="0"/>
    <n v="0"/>
    <n v="0"/>
    <n v="7"/>
    <n v="0"/>
    <n v="0"/>
    <n v="0"/>
    <n v="8"/>
    <n v="0"/>
    <x v="0"/>
    <n v="1000"/>
    <n v="35"/>
  </r>
  <r>
    <x v="87"/>
    <x v="3"/>
    <s v="058-362-021"/>
    <s v="100 Rojas"/>
    <s v="5+"/>
    <x v="0"/>
    <n v="26"/>
    <n v="0"/>
    <n v="39"/>
    <n v="0"/>
    <n v="0"/>
    <n v="1"/>
    <x v="4"/>
    <n v="0"/>
    <n v="39"/>
    <n v="0"/>
    <n v="0"/>
    <n v="1"/>
    <n v="0"/>
    <n v="0"/>
    <n v="0"/>
    <n v="0"/>
    <n v="0"/>
    <n v="0"/>
    <x v="0"/>
    <n v="55"/>
    <n v="0"/>
  </r>
  <r>
    <x v="133"/>
    <x v="3"/>
    <n v="7344004007"/>
    <s v="22109 S Vermont Avenue Torrance, CA 90502"/>
    <s v="5+"/>
    <x v="0"/>
    <n v="3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5"/>
  </r>
  <r>
    <x v="15"/>
    <x v="3"/>
    <s v="022 030800200"/>
    <s v="459 WAYNE AVE, Oakland, CA 94606"/>
    <s v="5+"/>
    <x v="0"/>
    <n v="1"/>
    <n v="0"/>
    <n v="3"/>
    <n v="0"/>
    <n v="0"/>
    <n v="0"/>
    <x v="0"/>
    <n v="0"/>
    <n v="0"/>
    <n v="0"/>
    <n v="0"/>
    <n v="0"/>
    <n v="0"/>
    <n v="0"/>
    <n v="0"/>
    <n v="0"/>
    <n v="0"/>
    <n v="0"/>
    <x v="0"/>
    <n v="55"/>
    <s v="53.799999999999997"/>
  </r>
  <r>
    <x v="15"/>
    <x v="3"/>
    <n v="101113244446"/>
    <s v="121 East 12th ST, Oakland , CA 94606"/>
    <s v="5+"/>
    <x v="0"/>
    <n v="35"/>
    <n v="0"/>
    <n v="55"/>
    <n v="0"/>
    <n v="0"/>
    <n v="0"/>
    <x v="0"/>
    <n v="0"/>
    <n v="0"/>
    <n v="0"/>
    <n v="0"/>
    <n v="0"/>
    <n v="0"/>
    <n v="0"/>
    <n v="0"/>
    <n v="0"/>
    <n v="0"/>
    <n v="0"/>
    <x v="0"/>
    <n v="55"/>
    <n v="62.5"/>
  </r>
  <r>
    <x v="8"/>
    <x v="4"/>
    <n v="4522001800"/>
    <s v="3787 CENTRE ST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0"/>
    <n v="55"/>
    <n v="0"/>
  </r>
  <r>
    <x v="8"/>
    <x v="4"/>
    <n v="4531540100"/>
    <s v="3793 RAY S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8"/>
    <x v="4"/>
    <n v="4365521200"/>
    <s v="5548 RILEY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8"/>
    <x v="4"/>
    <n v="5351802500"/>
    <s v="707 17TH ST"/>
    <s v="5+"/>
    <x v="0"/>
    <n v="0"/>
    <n v="0"/>
    <n v="0"/>
    <n v="0"/>
    <n v="0"/>
    <n v="0"/>
    <x v="96"/>
    <n v="0"/>
    <n v="0"/>
    <n v="0"/>
    <n v="0"/>
    <n v="0"/>
    <n v="0"/>
    <n v="0"/>
    <n v="0"/>
    <n v="0"/>
    <n v="0"/>
    <n v="0"/>
    <x v="0"/>
    <n v="55"/>
    <n v="0"/>
  </r>
  <r>
    <x v="15"/>
    <x v="3"/>
    <s v="008 067200801"/>
    <s v="2415 VALDEZ ST, Oakland, CA 94612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9"/>
    <n v="0"/>
    <x v="0"/>
    <n v="55"/>
    <n v="0"/>
  </r>
  <r>
    <x v="31"/>
    <x v="2"/>
    <s v="205-50-045"/>
    <s v="1120  KIFER RD"/>
    <s v="5+"/>
    <x v="0"/>
    <n v="0"/>
    <n v="0"/>
    <n v="0"/>
    <n v="0"/>
    <n v="0"/>
    <n v="0"/>
    <x v="0"/>
    <n v="0"/>
    <n v="0"/>
    <n v="0"/>
    <n v="0"/>
    <n v="0"/>
    <n v="0"/>
    <n v="0"/>
    <n v="40"/>
    <n v="0"/>
    <n v="0"/>
    <n v="0"/>
    <x v="1"/>
    <n v="55"/>
    <n v="0"/>
  </r>
  <r>
    <x v="8"/>
    <x v="4"/>
    <n v="4243233200"/>
    <s v="3539 DEL REY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1"/>
    <x v="3"/>
    <s v="039-0011-013-0000"/>
    <s v="4550 LE DONNE DR, BLDG# 4_x000a_SACRAMENTO, CA 95823"/>
    <s v="5+"/>
    <x v="0"/>
    <n v="0"/>
    <n v="0"/>
    <n v="0"/>
    <n v="0"/>
    <n v="0"/>
    <n v="0"/>
    <x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13_x000a_SACRAMENTO, CA 95823"/>
    <s v="5+"/>
    <x v="0"/>
    <n v="0"/>
    <n v="0"/>
    <n v="0"/>
    <n v="0"/>
    <n v="0"/>
    <n v="0"/>
    <x v="0"/>
    <n v="0"/>
    <n v="6"/>
    <n v="0"/>
    <n v="0"/>
    <n v="0"/>
    <n v="0"/>
    <n v="0"/>
    <n v="0"/>
    <n v="0"/>
    <n v="0"/>
    <n v="0"/>
    <x v="0"/>
    <m/>
    <n v="58"/>
  </r>
  <r>
    <x v="79"/>
    <x v="4"/>
    <s v="35401440 and 035401450"/>
    <s v="1, 2, 3 Waters Park Dr"/>
    <s v="5+"/>
    <x v="1"/>
    <n v="0"/>
    <n v="0"/>
    <n v="19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57"/>
    <x v="4"/>
    <n v="5080007021"/>
    <s v="3323 OLYMPIC BLVD W  90019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164001001"/>
    <s v="19975 VENTURA BLVD W  91364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423009070"/>
    <s v="10850 RIVERSIDE DR   W  91602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114004023"/>
    <s v="20247 SATICOY ST   W  91306"/>
    <s v="5+"/>
    <x v="0"/>
    <n v="0"/>
    <n v="0"/>
    <n v="4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4240018045"/>
    <s v="720 ROSE AVE  E  90291"/>
    <s v="5+"/>
    <x v="0"/>
    <n v="3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547016907"/>
    <s v="1637 WILCOX AVE  N  90028"/>
    <s v="5+"/>
    <x v="0"/>
    <n v="0"/>
    <n v="0"/>
    <n v="3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37"/>
    <x v="1"/>
    <s v="163-172-021, -019, and -020"/>
    <s v="6114 &amp; 6122 Old Redwood Hwy"/>
    <s v="5+"/>
    <x v="1"/>
    <n v="0"/>
    <n v="0"/>
    <n v="0"/>
    <n v="0"/>
    <n v="1"/>
    <n v="0"/>
    <x v="0"/>
    <n v="0"/>
    <n v="0"/>
    <n v="0"/>
    <n v="0"/>
    <n v="0"/>
    <n v="0"/>
    <n v="0"/>
    <n v="0"/>
    <n v="0"/>
    <n v="0"/>
    <n v="0"/>
    <x v="0"/>
    <n v="55"/>
    <n v="0"/>
  </r>
  <r>
    <x v="79"/>
    <x v="4"/>
    <s v="040031250"/>
    <s v="2600 S DELAWARE ST"/>
    <s v="5+"/>
    <x v="0"/>
    <n v="0"/>
    <n v="0"/>
    <n v="0"/>
    <n v="0"/>
    <n v="0"/>
    <n v="0"/>
    <x v="0"/>
    <n v="0"/>
    <n v="8"/>
    <n v="0"/>
    <n v="0"/>
    <n v="0"/>
    <n v="0"/>
    <n v="0"/>
    <n v="0"/>
    <n v="0"/>
    <n v="0"/>
    <n v="0"/>
    <x v="1"/>
    <n v="1000"/>
    <n v="0"/>
  </r>
  <r>
    <x v="5"/>
    <x v="1"/>
    <n v="482161026"/>
    <s v="24550 COTTONWOOD AVE"/>
    <s v="5+"/>
    <x v="0"/>
    <n v="0"/>
    <n v="0"/>
    <n v="0"/>
    <n v="0"/>
    <n v="0"/>
    <n v="0"/>
    <x v="0"/>
    <n v="0"/>
    <n v="16"/>
    <n v="0"/>
    <n v="0"/>
    <n v="0"/>
    <n v="0"/>
    <n v="0"/>
    <n v="0"/>
    <n v="0"/>
    <n v="0"/>
    <n v="0"/>
    <x v="0"/>
    <n v="55"/>
    <n v="35"/>
  </r>
  <r>
    <x v="131"/>
    <x v="4"/>
    <s v="055 189401500"/>
    <s v="2028 Bancroft"/>
    <s v="5+"/>
    <x v="0"/>
    <n v="2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m/>
    <n v="0"/>
  </r>
  <r>
    <x v="131"/>
    <x v="4"/>
    <s v="054 171900100"/>
    <s v="2701 Shattuck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57"/>
    <x v="4"/>
    <n v="6012010034"/>
    <s v="7025 S MAIN ST 1-11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"/>
    <x v="1"/>
    <n v="482161026"/>
    <s v="24570 COTTONWOOD AVE"/>
    <s v="5+"/>
    <x v="0"/>
    <n v="0"/>
    <n v="0"/>
    <n v="0"/>
    <n v="0"/>
    <n v="0"/>
    <n v="0"/>
    <x v="0"/>
    <n v="0"/>
    <n v="16"/>
    <n v="0"/>
    <n v="0"/>
    <n v="0"/>
    <n v="0"/>
    <n v="0"/>
    <n v="0"/>
    <n v="0"/>
    <n v="0"/>
    <n v="0"/>
    <x v="0"/>
    <n v="55"/>
    <n v="35"/>
  </r>
  <r>
    <x v="57"/>
    <x v="4"/>
    <n v="2654006023"/>
    <s v="15108 LOGOS C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205"/>
    <x v="3"/>
    <n v="944330005"/>
    <s v="43519 VENTANA ST"/>
    <s v="5+"/>
    <x v="0"/>
    <n v="0"/>
    <n v="0"/>
    <n v="0"/>
    <n v="0"/>
    <n v="0"/>
    <n v="0"/>
    <x v="11"/>
    <n v="0"/>
    <n v="0"/>
    <n v="0"/>
    <n v="0"/>
    <n v="0"/>
    <n v="0"/>
    <n v="0"/>
    <n v="0"/>
    <n v="0"/>
    <n v="0"/>
    <n v="0"/>
    <x v="1"/>
    <n v="55"/>
    <n v="0"/>
  </r>
  <r>
    <x v="63"/>
    <x v="3"/>
    <s v="005-072-310"/>
    <s v="3001 Geneva Ave"/>
    <s v="5+"/>
    <x v="0"/>
    <n v="0"/>
    <n v="0"/>
    <n v="0"/>
    <n v="0"/>
    <n v="0"/>
    <n v="0"/>
    <x v="0"/>
    <n v="0"/>
    <n v="0"/>
    <n v="0"/>
    <n v="0"/>
    <n v="0"/>
    <n v="0"/>
    <n v="0"/>
    <n v="6"/>
    <n v="0"/>
    <n v="0"/>
    <n v="0"/>
    <x v="1"/>
    <n v="55"/>
    <n v="0"/>
  </r>
  <r>
    <x v="96"/>
    <x v="0"/>
    <n v="45106416"/>
    <s v="1661 E HOME AVE 101+"/>
    <s v="5+"/>
    <x v="0"/>
    <n v="0"/>
    <n v="0"/>
    <n v="0"/>
    <n v="0"/>
    <n v="0"/>
    <n v="0"/>
    <x v="0"/>
    <n v="0"/>
    <n v="0"/>
    <n v="0"/>
    <n v="0"/>
    <n v="0"/>
    <n v="53"/>
    <n v="0"/>
    <n v="34"/>
    <n v="0"/>
    <n v="0"/>
    <n v="0"/>
    <x v="0"/>
    <m/>
    <n v="88"/>
  </r>
  <r>
    <x v="167"/>
    <x v="3"/>
    <s v="137-200-087"/>
    <s v="10 McMurray Road"/>
    <s v="5+"/>
    <x v="0"/>
    <n v="58"/>
    <n v="0"/>
    <n v="30"/>
    <n v="0"/>
    <n v="0"/>
    <n v="0"/>
    <x v="0"/>
    <n v="0"/>
    <n v="0"/>
    <n v="0"/>
    <n v="0"/>
    <n v="0"/>
    <n v="0"/>
    <n v="0"/>
    <n v="0"/>
    <n v="0"/>
    <n v="0"/>
    <n v="0"/>
    <x v="0"/>
    <n v="55"/>
    <n v="15.6"/>
  </r>
  <r>
    <x v="167"/>
    <x v="3"/>
    <s v="137-090-067"/>
    <s v="560 McMurray Road"/>
    <s v="5+"/>
    <x v="0"/>
    <n v="24"/>
    <n v="0"/>
    <n v="24"/>
    <n v="0"/>
    <n v="0"/>
    <n v="0"/>
    <x v="0"/>
    <n v="0"/>
    <n v="0"/>
    <n v="0"/>
    <n v="0"/>
    <n v="0"/>
    <n v="0"/>
    <n v="0"/>
    <n v="0"/>
    <n v="0"/>
    <n v="0"/>
    <n v="0"/>
    <x v="0"/>
    <n v="55"/>
    <s v="1.1000000000000001"/>
  </r>
  <r>
    <x v="62"/>
    <x v="2"/>
    <n v="3506004"/>
    <s v="10 SOUTH VAN NESS AV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s v="0835004"/>
    <s v="30 VAN NESS AVE"/>
    <s v="5+"/>
    <x v="1"/>
    <n v="0"/>
    <n v="0"/>
    <n v="33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3732100"/>
    <s v="921 HOWARD ST"/>
    <s v="5+"/>
    <x v="0"/>
    <n v="0"/>
    <n v="0"/>
    <n v="102"/>
    <n v="0"/>
    <n v="99"/>
    <n v="0"/>
    <x v="0"/>
    <n v="0"/>
    <n v="0"/>
    <n v="0"/>
    <n v="0"/>
    <n v="0"/>
    <n v="0"/>
    <n v="0"/>
    <n v="0"/>
    <n v="0"/>
    <n v="0"/>
    <n v="0"/>
    <x v="0"/>
    <m/>
    <n v="0"/>
  </r>
  <r>
    <x v="62"/>
    <x v="2"/>
    <n v="1901001"/>
    <s v="3601 LAWTON ST"/>
    <s v="5+"/>
    <x v="0"/>
    <n v="0"/>
    <n v="0"/>
    <n v="4"/>
    <n v="0"/>
    <n v="3"/>
    <n v="0"/>
    <x v="0"/>
    <n v="0"/>
    <n v="0"/>
    <n v="0"/>
    <n v="0"/>
    <n v="0"/>
    <n v="0"/>
    <n v="0"/>
    <n v="0"/>
    <n v="0"/>
    <n v="0"/>
    <n v="0"/>
    <x v="0"/>
    <m/>
    <n v="0"/>
  </r>
  <r>
    <x v="62"/>
    <x v="2"/>
    <n v="3753062"/>
    <s v="228 CLARA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3753007"/>
    <s v="360 05TH ST"/>
    <s v="5+"/>
    <x v="1"/>
    <n v="0"/>
    <n v="0"/>
    <n v="0"/>
    <n v="0"/>
    <n v="0"/>
    <n v="0"/>
    <x v="0"/>
    <n v="0"/>
    <n v="0"/>
    <n v="0"/>
    <n v="18"/>
    <n v="0"/>
    <n v="0"/>
    <n v="0"/>
    <n v="0"/>
    <n v="0"/>
    <n v="0"/>
    <n v="0"/>
    <x v="1"/>
    <m/>
    <n v="0"/>
  </r>
  <r>
    <x v="62"/>
    <x v="2"/>
    <n v="3730004"/>
    <s v="230 07TH ST"/>
    <s v="5+"/>
    <x v="0"/>
    <n v="0"/>
    <n v="0"/>
    <n v="0"/>
    <n v="0"/>
    <n v="0"/>
    <n v="0"/>
    <x v="0"/>
    <n v="0"/>
    <n v="0"/>
    <n v="0"/>
    <n v="5"/>
    <n v="0"/>
    <n v="0"/>
    <n v="0"/>
    <n v="0"/>
    <n v="0"/>
    <n v="0"/>
    <n v="0"/>
    <x v="1"/>
    <m/>
    <n v="0"/>
  </r>
  <r>
    <x v="186"/>
    <x v="0"/>
    <s v="078G-2760-009-07"/>
    <s v="32513 Mission Blvd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0"/>
    <x v="1"/>
    <n v="7209016036"/>
    <s v="101 E Pacific Coast Hwy and 1814 Pine Ave"/>
    <s v="5+"/>
    <x v="0"/>
    <n v="0"/>
    <n v="0"/>
    <n v="51"/>
    <n v="0"/>
    <n v="0"/>
    <n v="0"/>
    <x v="0"/>
    <n v="0"/>
    <n v="0"/>
    <n v="0"/>
    <n v="0"/>
    <n v="0"/>
    <n v="0"/>
    <n v="0"/>
    <n v="0"/>
    <n v="0"/>
    <n v="0"/>
    <n v="0"/>
    <x v="0"/>
    <m/>
    <n v="90"/>
  </r>
  <r>
    <x v="62"/>
    <x v="2"/>
    <n v="3506008"/>
    <s v="1500 MISSION ST"/>
    <s v="5+"/>
    <x v="0"/>
    <n v="0"/>
    <n v="0"/>
    <n v="0"/>
    <n v="0"/>
    <n v="0"/>
    <n v="0"/>
    <x v="0"/>
    <n v="0"/>
    <n v="0"/>
    <n v="0"/>
    <n v="0"/>
    <n v="0"/>
    <n v="110"/>
    <n v="0"/>
    <n v="0"/>
    <n v="0"/>
    <n v="0"/>
    <n v="0"/>
    <x v="1"/>
    <m/>
    <n v="0"/>
  </r>
  <r>
    <x v="62"/>
    <x v="2"/>
    <s v="4005001B"/>
    <s v="210 ARKANSAS ST"/>
    <s v="5+"/>
    <x v="0"/>
    <n v="0"/>
    <n v="0"/>
    <n v="0"/>
    <n v="0"/>
    <n v="0"/>
    <n v="0"/>
    <x v="0"/>
    <n v="0"/>
    <n v="0"/>
    <n v="0"/>
    <n v="0"/>
    <n v="0"/>
    <n v="60"/>
    <n v="0"/>
    <n v="0"/>
    <n v="0"/>
    <n v="0"/>
    <n v="0"/>
    <x v="1"/>
    <m/>
    <n v="0"/>
  </r>
  <r>
    <x v="62"/>
    <x v="2"/>
    <s v="0936014"/>
    <s v="2444 LOMBARD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6"/>
    <n v="0"/>
    <x v="1"/>
    <m/>
    <n v="0"/>
  </r>
  <r>
    <x v="62"/>
    <x v="2"/>
    <s v="0546001"/>
    <s v="2465 VAN NESS AV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6568032"/>
    <s v="3620 CESAR CHAVEZ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3719011"/>
    <s v="181 FREMONT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32"/>
    <x v="1"/>
    <n v="4276013020"/>
    <s v="1902 Wilshire Blvd"/>
    <s v="5+"/>
    <x v="0"/>
    <n v="11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57"/>
    <x v="4"/>
    <s v="445 134 08 &amp; 445 134 09"/>
    <s v="4201 &amp; 4301 Jamboree Road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57"/>
    <x v="4"/>
    <s v="427 172 02"/>
    <s v="1701 Corinthian Way"/>
    <s v="5+"/>
    <x v="0"/>
    <n v="0"/>
    <n v="0"/>
    <n v="78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5"/>
    <x v="3"/>
    <s v="039 327100505"/>
    <s v="6733 FOOTHILL BLVD, Oakland, CA 94605"/>
    <s v="5+"/>
    <x v="0"/>
    <n v="0"/>
    <n v="0"/>
    <n v="423"/>
    <n v="0"/>
    <n v="106"/>
    <n v="0"/>
    <x v="0"/>
    <n v="0"/>
    <n v="0"/>
    <n v="0"/>
    <n v="0"/>
    <n v="0"/>
    <n v="0"/>
    <n v="0"/>
    <n v="0"/>
    <n v="0"/>
    <n v="0"/>
    <n v="0"/>
    <x v="0"/>
    <n v="55"/>
    <n v="78"/>
  </r>
  <r>
    <x v="15"/>
    <x v="3"/>
    <s v="047 550900101"/>
    <s v="10550 INTERNATIONAL BLVD, Oakland, CA 94603"/>
    <s v="5+"/>
    <x v="0"/>
    <n v="0"/>
    <n v="0"/>
    <n v="208"/>
    <n v="0"/>
    <n v="0"/>
    <n v="0"/>
    <x v="0"/>
    <n v="0"/>
    <n v="0"/>
    <n v="0"/>
    <n v="0"/>
    <n v="0"/>
    <n v="0"/>
    <n v="0"/>
    <n v="0"/>
    <n v="0"/>
    <n v="0"/>
    <n v="0"/>
    <x v="0"/>
    <n v="55"/>
    <s v="55.600000000000001"/>
  </r>
  <r>
    <x v="15"/>
    <x v="3"/>
    <s v="008 066400600"/>
    <s v="2301 TELEGRAPH AVE, Oakland, CA 94612"/>
    <s v="5+"/>
    <x v="0"/>
    <n v="43"/>
    <n v="0"/>
    <n v="14"/>
    <n v="0"/>
    <n v="0"/>
    <n v="0"/>
    <x v="0"/>
    <n v="0"/>
    <n v="0"/>
    <n v="0"/>
    <n v="0"/>
    <n v="0"/>
    <n v="0"/>
    <n v="0"/>
    <n v="0"/>
    <n v="0"/>
    <n v="0"/>
    <n v="0"/>
    <x v="0"/>
    <n v="55"/>
    <s v="61.100000000000001"/>
  </r>
  <r>
    <x v="15"/>
    <x v="3"/>
    <s v="040A342201700"/>
    <s v="7994 MACARTHUR BLVD, Oakland, CA 94605"/>
    <s v="5+"/>
    <x v="0"/>
    <n v="4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81.799999999999997"/>
  </r>
  <r>
    <x v="57"/>
    <x v="4"/>
    <n v="4246027004"/>
    <s v="12575 W VENICE BLVD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0"/>
  </r>
  <r>
    <x v="4"/>
    <x v="5"/>
    <s v="052-162-007"/>
    <s v="53 Palomar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1"/>
    <n v="55"/>
    <n v="0"/>
  </r>
  <r>
    <x v="62"/>
    <x v="2"/>
    <s v="0343014"/>
    <s v="180 JONES ST"/>
    <s v="5+"/>
    <x v="0"/>
    <n v="1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2"/>
    <x v="2"/>
    <n v="3749058"/>
    <s v="390 01ST ST"/>
    <s v="5+"/>
    <x v="0"/>
    <n v="0"/>
    <n v="0"/>
    <n v="0"/>
    <n v="0"/>
    <n v="0"/>
    <n v="0"/>
    <x v="0"/>
    <n v="0"/>
    <n v="0"/>
    <n v="0"/>
    <n v="0"/>
    <n v="0"/>
    <n v="30"/>
    <n v="0"/>
    <n v="70"/>
    <n v="0"/>
    <n v="0"/>
    <n v="0"/>
    <x v="1"/>
    <m/>
    <n v="0"/>
  </r>
  <r>
    <x v="62"/>
    <x v="2"/>
    <n v="3746003"/>
    <s v="318 MAIN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s v="0855016"/>
    <s v="1700 MARKET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5"/>
    <n v="0"/>
    <x v="1"/>
    <m/>
    <n v="0"/>
  </r>
  <r>
    <x v="62"/>
    <x v="2"/>
    <s v="0794028"/>
    <s v="555 FULTON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33"/>
    <x v="3"/>
    <n v="4038025005"/>
    <s v="10501 S Buford Avenue #A, B &amp; C, Inglewood CA 90304"/>
    <s v="5+"/>
    <x v="0"/>
    <n v="0"/>
    <n v="0"/>
    <n v="0"/>
    <n v="0"/>
    <n v="0"/>
    <n v="0"/>
    <x v="0"/>
    <n v="0"/>
    <n v="0"/>
    <n v="0"/>
    <n v="0"/>
    <n v="0"/>
    <n v="0"/>
    <n v="0"/>
    <n v="2"/>
    <n v="0"/>
    <n v="0"/>
    <n v="0"/>
    <x v="0"/>
    <n v="55"/>
    <n v="35"/>
  </r>
  <r>
    <x v="133"/>
    <x v="3"/>
    <n v="6028002033"/>
    <s v="1216 Nadeau Street, Los Angeles CA 90001"/>
    <s v="5+"/>
    <x v="0"/>
    <n v="0"/>
    <n v="0"/>
    <n v="0"/>
    <n v="0"/>
    <n v="0"/>
    <n v="0"/>
    <x v="0"/>
    <n v="0"/>
    <n v="90"/>
    <n v="0"/>
    <n v="0"/>
    <n v="0"/>
    <n v="0"/>
    <n v="0"/>
    <n v="0"/>
    <n v="0"/>
    <n v="0"/>
    <n v="0"/>
    <x v="0"/>
    <n v="55"/>
    <s v="529.39999999999998"/>
  </r>
  <r>
    <x v="57"/>
    <x v="4"/>
    <n v="4368015003"/>
    <s v="862 N MORAGA DR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15"/>
    <x v="3"/>
    <s v="025 072000702"/>
    <s v="2956 INTERNATIONAL BLVD, Oakland, CA 94601"/>
    <s v="5+"/>
    <x v="0"/>
    <n v="0"/>
    <n v="0"/>
    <n v="99"/>
    <n v="0"/>
    <n v="0"/>
    <n v="0"/>
    <x v="0"/>
    <n v="0"/>
    <n v="0"/>
    <n v="0"/>
    <n v="0"/>
    <n v="0"/>
    <n v="0"/>
    <n v="0"/>
    <n v="0"/>
    <n v="0"/>
    <n v="0"/>
    <n v="0"/>
    <x v="0"/>
    <n v="55"/>
    <s v="334.80000000000001"/>
  </r>
  <r>
    <x v="15"/>
    <x v="3"/>
    <s v="001 013500100"/>
    <s v="233 BROADWAY, Oakland, CA 94607"/>
    <s v="5+"/>
    <x v="0"/>
    <n v="0"/>
    <n v="0"/>
    <n v="0"/>
    <n v="0"/>
    <n v="0"/>
    <n v="0"/>
    <x v="0"/>
    <n v="0"/>
    <n v="0"/>
    <n v="0"/>
    <n v="13"/>
    <n v="0"/>
    <n v="0"/>
    <n v="0"/>
    <n v="0"/>
    <n v="0"/>
    <n v="0"/>
    <n v="0"/>
    <x v="0"/>
    <n v="55"/>
    <n v="0"/>
  </r>
  <r>
    <x v="15"/>
    <x v="3"/>
    <s v="030 198212100"/>
    <s v="4311 MACARTHUR BLVD, Oakland, CA 94619"/>
    <s v="5+"/>
    <x v="0"/>
    <n v="0"/>
    <n v="0"/>
    <n v="0"/>
    <n v="0"/>
    <n v="0"/>
    <n v="0"/>
    <x v="98"/>
    <n v="0"/>
    <n v="113"/>
    <n v="0"/>
    <n v="38"/>
    <n v="0"/>
    <n v="0"/>
    <n v="0"/>
    <n v="0"/>
    <n v="0"/>
    <n v="0"/>
    <n v="0"/>
    <x v="0"/>
    <n v="55"/>
    <n v="65"/>
  </r>
  <r>
    <x v="57"/>
    <x v="4"/>
    <n v="2248005024"/>
    <s v="14419 W RIVERSIDE DR"/>
    <s v="5+"/>
    <x v="0"/>
    <n v="0"/>
    <n v="0"/>
    <n v="0"/>
    <n v="0"/>
    <n v="0"/>
    <n v="0"/>
    <x v="3"/>
    <n v="0"/>
    <n v="1"/>
    <n v="0"/>
    <n v="0"/>
    <n v="0"/>
    <n v="0"/>
    <n v="0"/>
    <n v="0"/>
    <n v="0"/>
    <n v="0"/>
    <n v="0"/>
    <x v="0"/>
    <n v="55"/>
    <n v="0"/>
  </r>
  <r>
    <x v="15"/>
    <x v="3"/>
    <s v="012 096500100"/>
    <s v="3737 M L KING JR WY, OAKLAND, CA 94609"/>
    <s v="5+"/>
    <x v="0"/>
    <n v="0"/>
    <n v="0"/>
    <n v="0"/>
    <n v="0"/>
    <n v="0"/>
    <n v="0"/>
    <x v="0"/>
    <n v="0"/>
    <n v="0"/>
    <n v="0"/>
    <n v="0"/>
    <n v="0"/>
    <n v="43"/>
    <n v="0"/>
    <n v="0"/>
    <n v="0"/>
    <n v="0"/>
    <n v="0"/>
    <x v="0"/>
    <n v="55"/>
    <n v="37.5"/>
  </r>
  <r>
    <x v="64"/>
    <x v="3"/>
    <s v="017-490-025-000"/>
    <s v="2930 BLUE OAKS BL, Roseville CA 95747"/>
    <s v="5+"/>
    <x v="0"/>
    <n v="53"/>
    <n v="0"/>
    <n v="62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4"/>
    <x v="3"/>
    <s v="048-260-048-000"/>
    <s v="1650 HUNTINGTON DR, BLDG 10, Roseville CA 95661"/>
    <s v="5+"/>
    <x v="0"/>
    <n v="0"/>
    <n v="0"/>
    <n v="0"/>
    <n v="0"/>
    <n v="0"/>
    <n v="0"/>
    <x v="17"/>
    <n v="0"/>
    <n v="3"/>
    <n v="0"/>
    <n v="0"/>
    <n v="0"/>
    <n v="0"/>
    <n v="0"/>
    <n v="0"/>
    <n v="0"/>
    <n v="0"/>
    <n v="0"/>
    <x v="1"/>
    <n v="55"/>
    <n v="0"/>
  </r>
  <r>
    <x v="133"/>
    <x v="3"/>
    <n v="7407008017"/>
    <s v="22905 S Vermont Avenue, Torrance CA 90502"/>
    <s v="5+"/>
    <x v="0"/>
    <n v="0"/>
    <n v="0"/>
    <n v="0"/>
    <n v="0"/>
    <n v="0"/>
    <n v="0"/>
    <x v="0"/>
    <n v="0"/>
    <n v="110"/>
    <n v="0"/>
    <n v="0"/>
    <n v="0"/>
    <n v="0"/>
    <n v="0"/>
    <n v="0"/>
    <n v="0"/>
    <n v="0"/>
    <n v="0"/>
    <x v="0"/>
    <n v="55"/>
    <s v="44.299999999999997"/>
  </r>
  <r>
    <x v="8"/>
    <x v="4"/>
    <n v="4456421200"/>
    <s v="3922 PARK BL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n v="0"/>
  </r>
  <r>
    <x v="197"/>
    <x v="4"/>
    <n v="31747201"/>
    <s v="13021 Poway Rd"/>
    <s v="5+"/>
    <x v="1"/>
    <n v="4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50"/>
    <x v="2"/>
    <n v="913210006"/>
    <s v="Cherry Street and Winchester Road"/>
    <s v="5+"/>
    <x v="0"/>
    <n v="1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79"/>
    <x v="4"/>
    <s v="034200240"/>
    <s v="31 9TH AVE"/>
    <s v="5+"/>
    <x v="0"/>
    <n v="0"/>
    <n v="0"/>
    <n v="0"/>
    <n v="0"/>
    <n v="0"/>
    <n v="0"/>
    <x v="0"/>
    <n v="0"/>
    <n v="0"/>
    <n v="0"/>
    <n v="0"/>
    <n v="0"/>
    <n v="5"/>
    <n v="0"/>
    <n v="0"/>
    <n v="0"/>
    <n v="0"/>
    <n v="0"/>
    <x v="0"/>
    <n v="1000"/>
    <n v="0"/>
  </r>
  <r>
    <x v="133"/>
    <x v="3"/>
    <n v="6149008053"/>
    <s v="11660 Compton Avenue, Los Angeles, CA 90059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3"/>
  </r>
  <r>
    <x v="205"/>
    <x v="3"/>
    <n v="921050016"/>
    <s v="28715 LAS HACIENDAS ST"/>
    <s v="5+"/>
    <x v="0"/>
    <n v="0"/>
    <n v="0"/>
    <n v="0"/>
    <n v="0"/>
    <n v="0"/>
    <n v="0"/>
    <x v="28"/>
    <n v="0"/>
    <n v="17"/>
    <n v="0"/>
    <n v="0"/>
    <n v="0"/>
    <n v="0"/>
    <n v="0"/>
    <n v="0"/>
    <n v="0"/>
    <n v="0"/>
    <n v="0"/>
    <x v="1"/>
    <n v="55"/>
    <n v="0"/>
  </r>
  <r>
    <x v="57"/>
    <x v="4"/>
    <n v="2237006018"/>
    <s v="14142 VANOWEN ST   W  91405"/>
    <s v="5+"/>
    <x v="0"/>
    <n v="18"/>
    <n v="0"/>
    <n v="4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6046019916"/>
    <s v="9919 LOU-DILLON AVE  S  90002"/>
    <s v="5+"/>
    <x v="0"/>
    <n v="0"/>
    <n v="0"/>
    <n v="62"/>
    <n v="0"/>
    <n v="7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434031005"/>
    <s v="2771 ROWENA AVE  W  90039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520017030"/>
    <s v="4055 OAKWOOD AVE  W  90004"/>
    <s v="5+"/>
    <x v="0"/>
    <n v="10"/>
    <n v="0"/>
    <n v="4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447014032"/>
    <s v="181 AVENUE 21  N  90031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174018900"/>
    <s v="100 BOYLE AVE  S  90033"/>
    <s v="5+"/>
    <x v="0"/>
    <n v="4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520022008"/>
    <s v="304 KENMORE AVE  N  90004"/>
    <s v="5+"/>
    <x v="0"/>
    <n v="2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7455007902"/>
    <s v="456 9TH ST   W  90731"/>
    <s v="5+"/>
    <x v="0"/>
    <n v="36"/>
    <n v="0"/>
    <n v="54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241017027"/>
    <s v="14818 DELANO ST   W  91411"/>
    <s v="5+"/>
    <x v="0"/>
    <n v="2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143022011"/>
    <s v="1150 WILSHIRE BLVD W  90017"/>
    <s v="5+"/>
    <x v="0"/>
    <n v="1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3"/>
    <n v="5236005003"/>
    <s v="4153 Whittier Boulevard Los Angeles, CA 90023"/>
    <s v="5+"/>
    <x v="0"/>
    <n v="10"/>
    <n v="0"/>
    <n v="7"/>
    <n v="0"/>
    <n v="0"/>
    <n v="0"/>
    <x v="0"/>
    <n v="0"/>
    <n v="0"/>
    <n v="0"/>
    <n v="0"/>
    <n v="0"/>
    <n v="0"/>
    <n v="0"/>
    <n v="0"/>
    <n v="0"/>
    <n v="0"/>
    <n v="0"/>
    <x v="0"/>
    <n v="1000"/>
    <n v="123"/>
  </r>
  <r>
    <x v="63"/>
    <x v="3"/>
    <s v="008-082-160"/>
    <s v="305 Eastmoor Ave"/>
    <s v="5+"/>
    <x v="0"/>
    <n v="0"/>
    <n v="0"/>
    <n v="0"/>
    <n v="0"/>
    <n v="0"/>
    <n v="0"/>
    <x v="0"/>
    <n v="0"/>
    <n v="6"/>
    <n v="0"/>
    <n v="0"/>
    <n v="0"/>
    <n v="0"/>
    <n v="0"/>
    <n v="0"/>
    <n v="0"/>
    <n v="0"/>
    <n v="0"/>
    <x v="1"/>
    <m/>
    <n v="0"/>
  </r>
  <r>
    <x v="4"/>
    <x v="1"/>
    <s v="053-605-002"/>
    <s v="865 Madonna Road Unit: 101_x000a_San Luis Obispo, CA 93405"/>
    <s v="5+"/>
    <x v="0"/>
    <n v="0"/>
    <n v="0"/>
    <n v="0"/>
    <n v="0"/>
    <n v="0"/>
    <n v="0"/>
    <x v="15"/>
    <n v="0"/>
    <n v="0"/>
    <n v="0"/>
    <n v="0"/>
    <n v="0"/>
    <n v="0"/>
    <n v="0"/>
    <n v="0"/>
    <n v="0"/>
    <n v="0"/>
    <n v="0"/>
    <x v="1"/>
    <m/>
    <n v="0"/>
  </r>
  <r>
    <x v="130"/>
    <x v="2"/>
    <s v="8507002034 8507002035 8507002033 8507002039 8507002038 8507002907 8507002908"/>
    <s v="123 West Pomona Avenue; 137 West Pomona Avenue; 141 West Pomona Avenue; 1528 South Primrose Avenue; 1532 South Primrose Avenue"/>
    <s v="5+"/>
    <x v="0"/>
    <n v="13"/>
    <n v="0"/>
    <n v="0"/>
    <n v="0"/>
    <n v="12"/>
    <n v="0"/>
    <x v="0"/>
    <n v="0"/>
    <n v="0"/>
    <n v="0"/>
    <n v="0"/>
    <n v="0"/>
    <n v="0"/>
    <n v="0"/>
    <n v="0"/>
    <n v="0"/>
    <n v="0"/>
    <n v="0"/>
    <x v="0"/>
    <n v="55"/>
    <n v="0"/>
  </r>
  <r>
    <x v="166"/>
    <x v="2"/>
    <s v="071-405-39"/>
    <s v="2100 5th Stree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160"/>
    <x v="1"/>
    <n v="1000"/>
    <n v="0"/>
  </r>
  <r>
    <x v="106"/>
    <x v="1"/>
    <n v="6700192109"/>
    <s v="1730 Los Feliz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15"/>
    <x v="2"/>
    <s v="008 064700100"/>
    <s v="2125 TELEGRAPH AVE, Oakland, CA 94612"/>
    <s v="5+"/>
    <x v="0"/>
    <n v="9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2"/>
    <s v="012 101300701"/>
    <s v="524 41st ST, OAKLAND, CA 94609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2"/>
    <s v="021 028803101"/>
    <s v="1495 E 22ND ST, Oakland, CA 94606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35"/>
    <x v="1"/>
    <n v="2033204800"/>
    <s v="1006 CARLSBAD VILLAGE DR Carlsbad, CA 92008"/>
    <s v="5+"/>
    <x v="0"/>
    <n v="2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35"/>
    <x v="1"/>
    <n v="2141711100"/>
    <s v="7294 PONTO DR_x000a_Carlsbad, CA 92011--460"/>
    <s v="5+"/>
    <x v="0"/>
    <n v="0"/>
    <n v="0"/>
    <n v="13"/>
    <n v="0"/>
    <n v="0"/>
    <n v="0"/>
    <x v="0"/>
    <n v="0"/>
    <n v="0"/>
    <n v="0"/>
    <n v="0"/>
    <n v="0"/>
    <n v="0"/>
    <n v="0"/>
    <n v="0"/>
    <n v="0"/>
    <n v="0"/>
    <n v="0"/>
    <x v="0"/>
    <n v="55"/>
    <s v="22.800000000000001"/>
  </r>
  <r>
    <x v="35"/>
    <x v="1"/>
    <n v="2071013500"/>
    <s v="4660 GARDEN HILL LOOP_x000a_Carlsbad, CA 92008--374"/>
    <s v="5+"/>
    <x v="0"/>
    <n v="0"/>
    <n v="0"/>
    <n v="0"/>
    <n v="0"/>
    <n v="0"/>
    <n v="0"/>
    <x v="37"/>
    <n v="0"/>
    <n v="9"/>
    <n v="0"/>
    <n v="0"/>
    <n v="0"/>
    <n v="0"/>
    <n v="0"/>
    <n v="0"/>
    <n v="0"/>
    <n v="0"/>
    <n v="0"/>
    <x v="0"/>
    <n v="55"/>
    <s v="31.300000000000001"/>
  </r>
  <r>
    <x v="35"/>
    <x v="1"/>
    <n v="2120405600"/>
    <s v="1380 LAUREL TREE LN_x000a_CARLSBAD, CA 92011"/>
    <s v="5+"/>
    <x v="0"/>
    <n v="0"/>
    <n v="0"/>
    <n v="0"/>
    <n v="0"/>
    <n v="0"/>
    <n v="0"/>
    <x v="14"/>
    <n v="0"/>
    <n v="62"/>
    <n v="0"/>
    <n v="0"/>
    <n v="0"/>
    <n v="0"/>
    <n v="0"/>
    <n v="0"/>
    <n v="0"/>
    <n v="0"/>
    <n v="0"/>
    <x v="1"/>
    <n v="55"/>
    <n v="0"/>
  </r>
  <r>
    <x v="35"/>
    <x v="1"/>
    <n v="2042920100"/>
    <s v="3835 SYDNEY WAY_x000a_Carlsbad, CA 92008--508"/>
    <s v="5+"/>
    <x v="0"/>
    <n v="0"/>
    <n v="0"/>
    <n v="0"/>
    <n v="0"/>
    <n v="0"/>
    <n v="0"/>
    <x v="0"/>
    <n v="0"/>
    <n v="24"/>
    <n v="0"/>
    <n v="0"/>
    <n v="0"/>
    <n v="0"/>
    <n v="0"/>
    <n v="0"/>
    <n v="0"/>
    <n v="0"/>
    <n v="0"/>
    <x v="1"/>
    <n v="55"/>
    <n v="0"/>
  </r>
  <r>
    <x v="35"/>
    <x v="1"/>
    <n v="2042920100"/>
    <s v="3865 SYDNEY WAY_x000a_Carlsbad, CA 92008--508"/>
    <s v="5+"/>
    <x v="0"/>
    <n v="0"/>
    <n v="0"/>
    <n v="0"/>
    <n v="0"/>
    <n v="0"/>
    <n v="0"/>
    <x v="0"/>
    <n v="0"/>
    <n v="23"/>
    <n v="0"/>
    <n v="0"/>
    <n v="0"/>
    <n v="0"/>
    <n v="0"/>
    <n v="0"/>
    <n v="0"/>
    <n v="0"/>
    <n v="0"/>
    <x v="1"/>
    <n v="55"/>
    <n v="0"/>
  </r>
  <r>
    <x v="35"/>
    <x v="1"/>
    <n v="2120405600"/>
    <s v="1205 AVIARA PKWY_x000a_Carlsbad, CA 92011--127"/>
    <s v="5+"/>
    <x v="0"/>
    <n v="0"/>
    <n v="0"/>
    <n v="0"/>
    <n v="0"/>
    <n v="0"/>
    <n v="0"/>
    <x v="0"/>
    <n v="0"/>
    <n v="0"/>
    <n v="0"/>
    <n v="12"/>
    <n v="0"/>
    <n v="0"/>
    <n v="0"/>
    <n v="0"/>
    <n v="0"/>
    <n v="0"/>
    <n v="0"/>
    <x v="1"/>
    <n v="55"/>
    <n v="0"/>
  </r>
  <r>
    <x v="62"/>
    <x v="2"/>
    <n v="1797007"/>
    <s v="1351 42ND AVE"/>
    <s v="5+"/>
    <x v="0"/>
    <n v="20"/>
    <n v="0"/>
    <n v="47"/>
    <n v="0"/>
    <n v="67"/>
    <n v="0"/>
    <x v="0"/>
    <n v="0"/>
    <n v="0"/>
    <n v="0"/>
    <n v="0"/>
    <n v="0"/>
    <n v="0"/>
    <n v="0"/>
    <n v="0"/>
    <n v="0"/>
    <n v="0"/>
    <n v="0"/>
    <x v="0"/>
    <m/>
    <n v="0"/>
  </r>
  <r>
    <x v="62"/>
    <x v="2"/>
    <s v="0645014"/>
    <s v="1567 CALIFORNIA ST"/>
    <s v="5+"/>
    <x v="0"/>
    <n v="5"/>
    <n v="0"/>
    <n v="4"/>
    <n v="0"/>
    <n v="2"/>
    <n v="0"/>
    <x v="0"/>
    <n v="0"/>
    <n v="0"/>
    <n v="0"/>
    <n v="0"/>
    <n v="0"/>
    <n v="0"/>
    <n v="0"/>
    <n v="0"/>
    <n v="0"/>
    <n v="0"/>
    <n v="0"/>
    <x v="0"/>
    <m/>
    <n v="0"/>
  </r>
  <r>
    <x v="62"/>
    <x v="2"/>
    <s v="0853032"/>
    <s v="78 HAIGHT ST"/>
    <s v="5+"/>
    <x v="0"/>
    <n v="36"/>
    <n v="0"/>
    <n v="27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62"/>
    <x v="2"/>
    <n v="3703040"/>
    <s v="1068 MISSION ST"/>
    <s v="5+"/>
    <x v="0"/>
    <n v="0"/>
    <n v="0"/>
    <n v="0"/>
    <n v="0"/>
    <n v="0"/>
    <n v="0"/>
    <x v="102"/>
    <n v="0"/>
    <n v="0"/>
    <n v="0"/>
    <n v="0"/>
    <n v="0"/>
    <n v="0"/>
    <n v="0"/>
    <n v="0"/>
    <n v="0"/>
    <n v="0"/>
    <n v="0"/>
    <x v="0"/>
    <m/>
    <n v="0"/>
  </r>
  <r>
    <x v="62"/>
    <x v="2"/>
    <n v="3505027"/>
    <s v="53V COLTON ST"/>
    <s v="5+"/>
    <x v="0"/>
    <n v="0"/>
    <n v="0"/>
    <n v="0"/>
    <n v="0"/>
    <n v="0"/>
    <n v="0"/>
    <x v="0"/>
    <n v="0"/>
    <n v="96"/>
    <n v="0"/>
    <n v="0"/>
    <n v="0"/>
    <n v="0"/>
    <n v="0"/>
    <n v="0"/>
    <n v="0"/>
    <n v="0"/>
    <n v="0"/>
    <x v="1"/>
    <m/>
    <n v="0"/>
  </r>
  <r>
    <x v="62"/>
    <x v="2"/>
    <s v="4591C674"/>
    <s v="52 KIRKWOOD AV"/>
    <s v="5+"/>
    <x v="1"/>
    <n v="0"/>
    <n v="0"/>
    <n v="0"/>
    <n v="0"/>
    <n v="0"/>
    <n v="0"/>
    <x v="0"/>
    <n v="0"/>
    <n v="9"/>
    <n v="0"/>
    <n v="0"/>
    <n v="0"/>
    <n v="0"/>
    <n v="0"/>
    <n v="0"/>
    <n v="0"/>
    <n v="0"/>
    <n v="0"/>
    <x v="1"/>
    <m/>
    <n v="0"/>
  </r>
  <r>
    <x v="62"/>
    <x v="2"/>
    <n v="3746003"/>
    <s v="301 BEALE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3736120"/>
    <s v="500 FOLSOM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3706093"/>
    <s v="706 MISSION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s v="4107001B"/>
    <s v="950 TENNESSEE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s v="0853034"/>
    <s v="188 OCTAVIA ST"/>
    <s v="5+"/>
    <x v="0"/>
    <n v="0"/>
    <n v="0"/>
    <n v="0"/>
    <n v="0"/>
    <n v="0"/>
    <n v="0"/>
    <x v="0"/>
    <n v="0"/>
    <n v="0"/>
    <n v="0"/>
    <n v="0"/>
    <n v="0"/>
    <n v="0"/>
    <n v="0"/>
    <n v="4"/>
    <n v="0"/>
    <n v="0"/>
    <n v="0"/>
    <x v="1"/>
    <m/>
    <n v="0"/>
  </r>
  <r>
    <x v="62"/>
    <x v="2"/>
    <n v="1410021"/>
    <s v="2224 CLEMENT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57"/>
    <x v="4"/>
    <n v="2347019010"/>
    <s v="12147 W MAGNOLIA BLVD 1-36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57"/>
    <x v="4"/>
    <n v="2219022018"/>
    <s v="14645 W VANOWEN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4"/>
    <n v="5214001002"/>
    <s v="4208 E HUNTINGTON DR SOUTH"/>
    <s v="5+"/>
    <x v="0"/>
    <n v="0"/>
    <n v="0"/>
    <n v="0"/>
    <n v="0"/>
    <n v="0"/>
    <n v="0"/>
    <x v="40"/>
    <n v="0"/>
    <n v="5"/>
    <n v="0"/>
    <n v="0"/>
    <n v="0"/>
    <n v="0"/>
    <n v="0"/>
    <n v="0"/>
    <n v="0"/>
    <n v="0"/>
    <n v="0"/>
    <x v="0"/>
    <n v="55"/>
    <n v="0"/>
  </r>
  <r>
    <x v="57"/>
    <x v="4"/>
    <n v="5540009010"/>
    <s v="1111 N KENMORE AVE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57"/>
    <x v="4"/>
    <n v="2219022019"/>
    <s v="14639 W VANOWEN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4"/>
    <n v="5046015030"/>
    <s v="3500 S CHESAPEAKE AVE 1-22"/>
    <s v="5+"/>
    <x v="0"/>
    <n v="0"/>
    <n v="0"/>
    <n v="0"/>
    <n v="0"/>
    <n v="0"/>
    <n v="0"/>
    <x v="17"/>
    <n v="0"/>
    <n v="1"/>
    <n v="0"/>
    <n v="0"/>
    <n v="0"/>
    <n v="0"/>
    <n v="0"/>
    <n v="0"/>
    <n v="0"/>
    <n v="0"/>
    <n v="0"/>
    <x v="0"/>
    <n v="55"/>
    <n v="0"/>
  </r>
  <r>
    <x v="57"/>
    <x v="4"/>
    <n v="4263032033"/>
    <s v="11859 SANTA MONICA BLVD W  90025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404005003"/>
    <s v="923 GLENDALE BLVD N  90026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544030010"/>
    <s v="5627 FERNWOOD AVE  W  90028"/>
    <s v="5+"/>
    <x v="0"/>
    <n v="0"/>
    <n v="0"/>
    <n v="59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4257006033"/>
    <s v="11701 GATEWAY BLVD W  90064"/>
    <s v="5+"/>
    <x v="0"/>
    <n v="6"/>
    <n v="0"/>
    <n v="0"/>
    <n v="0"/>
    <n v="1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423019026"/>
    <s v="4305 LANKERSHIM BLVD N  91602"/>
    <s v="5+"/>
    <x v="0"/>
    <n v="0"/>
    <n v="0"/>
    <n v="6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414013014"/>
    <s v="942 NORTH BROADWAY  N  90012"/>
    <s v="5+"/>
    <x v="0"/>
    <n v="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412019021"/>
    <s v="6329 CLYBOURN AVE  N  91606"/>
    <s v="5+"/>
    <x v="0"/>
    <n v="14"/>
    <n v="0"/>
    <n v="8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153003011"/>
    <s v="425 UNION AVE  S  90017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350001096"/>
    <s v="11614 BURBANK BLVD W  91601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546014058"/>
    <s v="6400 SUNSET BLVD W  90028"/>
    <s v="5+"/>
    <x v="0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037027937"/>
    <s v="3800 FIGUEROA ST   S  90037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62"/>
    <x v="2"/>
    <s v="0836008"/>
    <s v="98 FRANKLIN ST"/>
    <s v="5+"/>
    <x v="0"/>
    <n v="69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1015001"/>
    <s v="3700 CALIFORNIA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57"/>
    <x v="4"/>
    <n v="2654015017"/>
    <s v="15566 W RAYEN ST 1-30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62"/>
    <x v="2"/>
    <s v="0714016"/>
    <s v="1001 VAN NESS AV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3779133"/>
    <s v="833 BRYANT ST"/>
    <s v="5+"/>
    <x v="0"/>
    <n v="0"/>
    <n v="0"/>
    <n v="0"/>
    <n v="0"/>
    <n v="0"/>
    <n v="0"/>
    <x v="103"/>
    <n v="0"/>
    <n v="0"/>
    <n v="0"/>
    <n v="0"/>
    <n v="0"/>
    <n v="0"/>
    <n v="0"/>
    <n v="0"/>
    <n v="0"/>
    <n v="0"/>
    <n v="0"/>
    <x v="0"/>
    <m/>
    <n v="0"/>
  </r>
  <r>
    <x v="62"/>
    <x v="2"/>
    <n v="3746003"/>
    <s v="338 MAIN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s v="0811010"/>
    <s v="200 VAN NESS AV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3753079"/>
    <s v="363 06TH ST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m/>
    <n v="0"/>
  </r>
  <r>
    <x v="62"/>
    <x v="2"/>
    <n v="4059009"/>
    <s v="2290 03RD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2515001"/>
    <s v="2898 SLOAT BL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7"/>
    <n v="0"/>
    <x v="1"/>
    <m/>
    <n v="0"/>
  </r>
  <r>
    <x v="62"/>
    <x v="2"/>
    <n v="4006006"/>
    <s v="1601 MARIPOSA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57"/>
    <x v="4"/>
    <n v="2239006030"/>
    <s v="13724 W VICTORY BLVD #1 -#67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57"/>
    <x v="4"/>
    <n v="5442010027"/>
    <s v="1901 W BLAKE AVE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0"/>
  </r>
  <r>
    <x v="57"/>
    <x v="4"/>
    <n v="4265016030"/>
    <s v="12071 W WILSHIRE BLVD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15"/>
    <x v="3"/>
    <s v="004 006900400"/>
    <s v="1396 5TH ST, Oakland, CA 94607"/>
    <s v="5+"/>
    <x v="0"/>
    <n v="1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25"/>
  </r>
  <r>
    <x v="15"/>
    <x v="3"/>
    <s v="009 073200502"/>
    <s v="3403 PIEDMONT AVE, Oakland, CA 94611"/>
    <s v="5+"/>
    <x v="0"/>
    <n v="0"/>
    <n v="0"/>
    <n v="0"/>
    <n v="0"/>
    <n v="14"/>
    <n v="0"/>
    <x v="0"/>
    <n v="0"/>
    <n v="0"/>
    <n v="0"/>
    <n v="0"/>
    <n v="0"/>
    <n v="0"/>
    <n v="0"/>
    <n v="0"/>
    <n v="0"/>
    <n v="0"/>
    <n v="0"/>
    <x v="0"/>
    <n v="55"/>
    <n v="16"/>
  </r>
  <r>
    <x v="15"/>
    <x v="3"/>
    <s v="038 317503300"/>
    <s v="2611 SEMINARY AVE, Oakland, CA 94605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21.699999999999999"/>
  </r>
  <r>
    <x v="15"/>
    <x v="3"/>
    <s v="001 013500100"/>
    <s v="233 BROADWAY, Oakland, CA 94607"/>
    <s v="5+"/>
    <x v="0"/>
    <n v="0"/>
    <n v="0"/>
    <n v="0"/>
    <n v="0"/>
    <n v="13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3"/>
    <s v="020 013901702"/>
    <s v="1003 E 15TH ST, OAKLAND, CA 94606"/>
    <s v="5+"/>
    <x v="0"/>
    <n v="0"/>
    <n v="0"/>
    <n v="67"/>
    <n v="0"/>
    <n v="0"/>
    <n v="0"/>
    <x v="0"/>
    <n v="0"/>
    <n v="0"/>
    <n v="0"/>
    <n v="0"/>
    <n v="0"/>
    <n v="0"/>
    <n v="0"/>
    <n v="0"/>
    <n v="0"/>
    <n v="0"/>
    <n v="0"/>
    <x v="0"/>
    <n v="55"/>
    <s v="655.60000000000002"/>
  </r>
  <r>
    <x v="212"/>
    <x v="5"/>
    <s v="071-090-049"/>
    <s v="99 South Kellogg Ave"/>
    <s v="5+"/>
    <x v="0"/>
    <n v="0"/>
    <n v="0"/>
    <n v="0"/>
    <n v="0"/>
    <n v="0"/>
    <n v="0"/>
    <x v="0"/>
    <n v="0"/>
    <n v="0"/>
    <n v="0"/>
    <n v="0"/>
    <n v="0"/>
    <n v="1"/>
    <n v="0"/>
    <n v="1"/>
    <n v="0"/>
    <n v="0"/>
    <n v="0"/>
    <x v="0"/>
    <n v="55"/>
    <n v="0"/>
  </r>
  <r>
    <x v="212"/>
    <x v="5"/>
    <s v="071-090-049"/>
    <s v="179 South Kellogg Ave"/>
    <s v="5+"/>
    <x v="0"/>
    <n v="0"/>
    <n v="0"/>
    <n v="0"/>
    <n v="0"/>
    <n v="0"/>
    <n v="0"/>
    <x v="0"/>
    <n v="0"/>
    <n v="0"/>
    <n v="0"/>
    <n v="0"/>
    <n v="0"/>
    <n v="1"/>
    <n v="0"/>
    <n v="1"/>
    <n v="0"/>
    <n v="0"/>
    <n v="0"/>
    <x v="0"/>
    <n v="55"/>
    <n v="0"/>
  </r>
  <r>
    <x v="15"/>
    <x v="4"/>
    <s v="008 067200800"/>
    <s v="2415 VALDEZ ST, Oakland, CA 94612"/>
    <s v="5+"/>
    <x v="0"/>
    <n v="0"/>
    <n v="0"/>
    <n v="0"/>
    <n v="0"/>
    <n v="0"/>
    <n v="0"/>
    <x v="0"/>
    <n v="0"/>
    <n v="0"/>
    <n v="0"/>
    <n v="9"/>
    <n v="0"/>
    <n v="0"/>
    <n v="0"/>
    <n v="0"/>
    <n v="0"/>
    <n v="0"/>
    <n v="0"/>
    <x v="0"/>
    <n v="55"/>
    <n v="0"/>
  </r>
  <r>
    <x v="15"/>
    <x v="3"/>
    <s v="013 109402801"/>
    <s v="4400 M L KING JR WY, Oakland, CA 94609"/>
    <s v="5+"/>
    <x v="0"/>
    <n v="0"/>
    <n v="0"/>
    <n v="0"/>
    <n v="0"/>
    <n v="0"/>
    <n v="0"/>
    <x v="14"/>
    <n v="0"/>
    <n v="0"/>
    <n v="0"/>
    <n v="0"/>
    <n v="0"/>
    <n v="0"/>
    <n v="0"/>
    <n v="0"/>
    <n v="0"/>
    <n v="0"/>
    <n v="0"/>
    <x v="0"/>
    <n v="55"/>
    <s v="35.700000000000003"/>
  </r>
  <r>
    <x v="15"/>
    <x v="3"/>
    <s v="014 122600902"/>
    <s v="5110 TELEGRAPH AVE, Oakland, CA 94609"/>
    <s v="5+"/>
    <x v="0"/>
    <n v="0"/>
    <n v="0"/>
    <n v="0"/>
    <n v="0"/>
    <n v="0"/>
    <n v="0"/>
    <x v="0"/>
    <n v="0"/>
    <n v="0"/>
    <n v="0"/>
    <n v="0"/>
    <n v="0"/>
    <n v="17"/>
    <n v="0"/>
    <n v="0"/>
    <n v="0"/>
    <n v="0"/>
    <n v="0"/>
    <x v="0"/>
    <n v="55"/>
    <n v="32"/>
  </r>
  <r>
    <x v="133"/>
    <x v="3"/>
    <n v="5236016049"/>
    <s v="4252 Whittier Boulevard, Los Angeles CA 90023"/>
    <s v="5+"/>
    <x v="0"/>
    <n v="0"/>
    <n v="0"/>
    <n v="13"/>
    <n v="0"/>
    <n v="0"/>
    <n v="0"/>
    <x v="0"/>
    <n v="0"/>
    <n v="13"/>
    <n v="0"/>
    <n v="0"/>
    <n v="0"/>
    <n v="0"/>
    <n v="0"/>
    <n v="0"/>
    <n v="0"/>
    <n v="0"/>
    <n v="0"/>
    <x v="0"/>
    <n v="55"/>
    <n v="345"/>
  </r>
  <r>
    <x v="133"/>
    <x v="3"/>
    <n v="5845010020"/>
    <s v="2052 N Lake Avenue, Altadena CA 91001"/>
    <s v="5+"/>
    <x v="0"/>
    <n v="0"/>
    <n v="0"/>
    <n v="57"/>
    <n v="0"/>
    <n v="0"/>
    <n v="0"/>
    <x v="0"/>
    <n v="0"/>
    <n v="0"/>
    <n v="0"/>
    <n v="0"/>
    <n v="0"/>
    <n v="0"/>
    <n v="0"/>
    <n v="0"/>
    <n v="0"/>
    <n v="0"/>
    <n v="0"/>
    <x v="0"/>
    <n v="55"/>
    <n v="100"/>
  </r>
  <r>
    <x v="38"/>
    <x v="0"/>
    <s v="009-212-31"/>
    <s v="831 WATER ST"/>
    <s v="5+"/>
    <x v="0"/>
    <n v="0"/>
    <n v="0"/>
    <n v="55"/>
    <n v="0"/>
    <n v="0"/>
    <n v="0"/>
    <x v="0"/>
    <n v="0"/>
    <n v="0"/>
    <n v="0"/>
    <n v="0"/>
    <n v="0"/>
    <n v="0"/>
    <n v="0"/>
    <n v="0"/>
    <n v="0"/>
    <n v="0"/>
    <n v="0"/>
    <x v="0"/>
    <m/>
    <n v="50"/>
  </r>
  <r>
    <x v="35"/>
    <x v="4"/>
    <n v="1683601600"/>
    <s v="2615 CANNON RD"/>
    <s v="5+"/>
    <x v="0"/>
    <n v="0"/>
    <n v="0"/>
    <n v="0"/>
    <n v="0"/>
    <n v="0"/>
    <n v="0"/>
    <x v="0"/>
    <n v="0"/>
    <n v="20"/>
    <n v="0"/>
    <n v="0"/>
    <n v="35"/>
    <n v="0"/>
    <n v="0"/>
    <n v="0"/>
    <n v="0"/>
    <n v="0"/>
    <n v="0"/>
    <x v="1"/>
    <m/>
    <n v="0"/>
  </r>
  <r>
    <x v="15"/>
    <x v="5"/>
    <s v="012 102501200"/>
    <s v="3883 TURQUOISE WY"/>
    <s v="5+"/>
    <x v="0"/>
    <n v="0"/>
    <n v="0"/>
    <n v="0"/>
    <n v="0"/>
    <n v="0"/>
    <n v="0"/>
    <x v="0"/>
    <n v="0"/>
    <n v="0"/>
    <n v="0"/>
    <n v="45"/>
    <n v="0"/>
    <n v="0"/>
    <n v="0"/>
    <n v="0"/>
    <n v="0"/>
    <n v="0"/>
    <n v="0"/>
    <x v="0"/>
    <n v="55"/>
    <n v="0"/>
  </r>
  <r>
    <x v="57"/>
    <x v="4"/>
    <n v="2248004018"/>
    <s v="4806 N SYLMAR AVE 1-11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31"/>
    <x v="2"/>
    <s v="204-03-002"/>
    <s v="210 W AHWANEE AV"/>
    <s v="5+"/>
    <x v="1"/>
    <n v="0"/>
    <n v="0"/>
    <n v="0"/>
    <n v="0"/>
    <n v="3"/>
    <n v="0"/>
    <x v="0"/>
    <n v="0"/>
    <n v="0"/>
    <n v="0"/>
    <n v="0"/>
    <n v="0"/>
    <n v="0"/>
    <n v="0"/>
    <n v="0"/>
    <n v="0"/>
    <n v="0"/>
    <n v="0"/>
    <x v="1"/>
    <n v="30"/>
    <n v="0"/>
  </r>
  <r>
    <x v="57"/>
    <x v="4"/>
    <n v="4229002901"/>
    <s v="3233 THATCHER AVE  S  90292"/>
    <s v="5+"/>
    <x v="0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558024022"/>
    <s v="10220 FERNGLEN AVE  N  91042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163002003"/>
    <s v="19360 VENTURA BLVD W  91356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547003024"/>
    <s v="6650 FRANKLIN AVE  W  90028"/>
    <s v="5+"/>
    <x v="0"/>
    <n v="6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123003022"/>
    <s v="806 ADAMS BLVD W  90007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003017029"/>
    <s v="5431 NORMANDIE AVE  S  90037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733019025"/>
    <s v="17436 CHATSWORTH ST   W  91344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66"/>
    <x v="2"/>
    <s v="070-144-003"/>
    <s v="1111 H Street"/>
    <s v="5+"/>
    <x v="0"/>
    <n v="18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15"/>
    <x v="2"/>
    <s v="009 068401100"/>
    <s v="2600 TELEGRAPH AVE, Oakland, CA 94612"/>
    <s v="5+"/>
    <x v="1"/>
    <n v="1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57"/>
    <x v="4"/>
    <n v="2654014031"/>
    <s v="15528 W RAYEN ST 1-18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4"/>
    <n v="5153010011"/>
    <s v="264 S UNION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4"/>
    <n v="5545009035"/>
    <s v="5929 W SUNSET BLVD"/>
    <s v="5+"/>
    <x v="0"/>
    <n v="0"/>
    <n v="0"/>
    <n v="0"/>
    <n v="0"/>
    <n v="0"/>
    <n v="0"/>
    <x v="11"/>
    <n v="0"/>
    <n v="0"/>
    <n v="0"/>
    <n v="15"/>
    <n v="0"/>
    <n v="0"/>
    <n v="0"/>
    <n v="0"/>
    <n v="0"/>
    <n v="0"/>
    <n v="0"/>
    <x v="0"/>
    <n v="55"/>
    <n v="0"/>
  </r>
  <r>
    <x v="133"/>
    <x v="3"/>
    <n v="5226012009"/>
    <s v="4179 E City Terrace Drive, Los Angeles CA 90063"/>
    <s v="5+"/>
    <x v="0"/>
    <n v="1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120"/>
  </r>
  <r>
    <x v="240"/>
    <x v="4"/>
    <s v="011-370-220"/>
    <s v="1680 Mission Road"/>
    <s v="5+"/>
    <x v="0"/>
    <n v="0"/>
    <n v="0"/>
    <n v="0"/>
    <n v="0"/>
    <n v="0"/>
    <n v="0"/>
    <x v="30"/>
    <n v="0"/>
    <n v="34"/>
    <n v="0"/>
    <n v="0"/>
    <n v="0"/>
    <n v="31"/>
    <n v="0"/>
    <n v="34"/>
    <n v="0"/>
    <n v="0"/>
    <n v="0"/>
    <x v="1"/>
    <n v="55"/>
    <n v="0"/>
  </r>
  <r>
    <x v="175"/>
    <x v="2"/>
    <n v="178411017"/>
    <s v="1910 N MAIN ST"/>
    <s v="5+"/>
    <x v="0"/>
    <n v="0"/>
    <n v="0"/>
    <n v="0"/>
    <n v="0"/>
    <n v="0"/>
    <n v="0"/>
    <x v="58"/>
    <n v="0"/>
    <n v="0"/>
    <n v="0"/>
    <n v="0"/>
    <n v="0"/>
    <n v="0"/>
    <n v="0"/>
    <n v="0"/>
    <n v="0"/>
    <n v="0"/>
    <n v="0"/>
    <x v="0"/>
    <n v="55"/>
    <n v="0"/>
  </r>
  <r>
    <x v="57"/>
    <x v="4"/>
    <n v="6032006021"/>
    <s v="837 82ND ST   W  90044"/>
    <s v="5+"/>
    <x v="0"/>
    <n v="16"/>
    <n v="0"/>
    <n v="0"/>
    <n v="0"/>
    <n v="0"/>
    <n v="0"/>
    <x v="45"/>
    <n v="0"/>
    <n v="0"/>
    <n v="0"/>
    <n v="0"/>
    <n v="0"/>
    <n v="0"/>
    <n v="0"/>
    <n v="0"/>
    <n v="0"/>
    <n v="0"/>
    <n v="0"/>
    <x v="0"/>
    <n v="55"/>
    <n v="0"/>
  </r>
  <r>
    <x v="57"/>
    <x v="4"/>
    <n v="4233020016"/>
    <s v="11955 CULVER BLVD W  90066"/>
    <s v="5+"/>
    <x v="0"/>
    <n v="3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57"/>
    <x v="4"/>
    <n v="5305011900"/>
    <s v="4446 FLORIZEL ST   E  90032"/>
    <s v="5+"/>
    <x v="0"/>
    <n v="0"/>
    <n v="0"/>
    <n v="172"/>
    <n v="0"/>
    <n v="7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457004007"/>
    <s v="2910 SAN FERNANDO ROAD W  90065"/>
    <s v="5+"/>
    <x v="0"/>
    <n v="0"/>
    <n v="0"/>
    <n v="3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249001004"/>
    <s v="14534 BURBANK BLVD W  91411"/>
    <s v="5+"/>
    <x v="0"/>
    <n v="17"/>
    <n v="0"/>
    <n v="3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082023002"/>
    <s v="4200 PICO BLVD W  90019"/>
    <s v="5+"/>
    <x v="0"/>
    <n v="7"/>
    <n v="0"/>
    <n v="46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124034005"/>
    <s v="720 WASHINGTON BLVD W  90015"/>
    <s v="5+"/>
    <x v="0"/>
    <n v="12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95"/>
    <x v="2"/>
    <n v="81712020"/>
    <s v="1110 VINTAGE LN"/>
    <s v="5+"/>
    <x v="0"/>
    <n v="0"/>
    <n v="0"/>
    <n v="0"/>
    <n v="0"/>
    <n v="0"/>
    <n v="0"/>
    <x v="0"/>
    <n v="0"/>
    <n v="0"/>
    <n v="0"/>
    <n v="0"/>
    <n v="0"/>
    <n v="1"/>
    <n v="0"/>
    <n v="1"/>
    <n v="0"/>
    <n v="0"/>
    <n v="12"/>
    <x v="1"/>
    <m/>
    <n v="0"/>
  </r>
  <r>
    <x v="95"/>
    <x v="2"/>
    <n v="81712020"/>
    <s v="1180 VINTAGE LN"/>
    <s v="5+"/>
    <x v="0"/>
    <n v="0"/>
    <n v="0"/>
    <n v="0"/>
    <n v="0"/>
    <n v="0"/>
    <n v="0"/>
    <x v="0"/>
    <n v="0"/>
    <n v="0"/>
    <n v="0"/>
    <n v="0"/>
    <n v="0"/>
    <n v="1"/>
    <n v="0"/>
    <n v="1"/>
    <n v="0"/>
    <n v="0"/>
    <n v="12"/>
    <x v="1"/>
    <m/>
    <n v="0"/>
  </r>
  <r>
    <x v="95"/>
    <x v="2"/>
    <n v="81712020"/>
    <s v="1160 VINTAGE LN"/>
    <s v="5+"/>
    <x v="0"/>
    <n v="0"/>
    <n v="0"/>
    <n v="0"/>
    <n v="0"/>
    <n v="0"/>
    <n v="0"/>
    <x v="0"/>
    <n v="0"/>
    <n v="0"/>
    <n v="0"/>
    <n v="0"/>
    <n v="0"/>
    <n v="1"/>
    <n v="0"/>
    <n v="1"/>
    <n v="0"/>
    <n v="0"/>
    <n v="12"/>
    <x v="1"/>
    <m/>
    <n v="0"/>
  </r>
  <r>
    <x v="57"/>
    <x v="4"/>
    <n v="5511028025"/>
    <s v="8000 3RD ST   W  90048"/>
    <s v="5+"/>
    <x v="0"/>
    <n v="5"/>
    <n v="0"/>
    <n v="0"/>
    <n v="0"/>
    <n v="2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080017010"/>
    <s v="3170 OLYMPIC BLVD W  90006"/>
    <s v="5+"/>
    <x v="0"/>
    <n v="4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513006900"/>
    <s v="13570 W FOOTHILL BLVD"/>
    <s v="5+"/>
    <x v="0"/>
    <n v="0"/>
    <n v="0"/>
    <n v="0"/>
    <n v="0"/>
    <n v="0"/>
    <n v="0"/>
    <x v="0"/>
    <n v="0"/>
    <n v="7"/>
    <n v="0"/>
    <n v="40"/>
    <n v="0"/>
    <n v="0"/>
    <n v="0"/>
    <n v="0"/>
    <n v="0"/>
    <n v="0"/>
    <n v="0"/>
    <x v="0"/>
    <n v="55"/>
    <n v="0"/>
  </r>
  <r>
    <x v="57"/>
    <x v="4"/>
    <n v="6031019015"/>
    <s v="7823 S MAIN ST #1-#47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57"/>
    <x v="4"/>
    <n v="5459009017"/>
    <s v="3324 N CHAPMAN ST Units 1-7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4"/>
    <n v="4221023033"/>
    <s v="4965 S CENTINELA AVE #1-25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4"/>
    <n v="5407007001"/>
    <s v="708 S NEW DEPOT ST 1-33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57"/>
    <x v="4"/>
    <n v="2328012003"/>
    <s v="13654 W BASSETT ST 1-19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4"/>
    <n v="2240013007"/>
    <s v="14222 W VICTORY BLVD #1-18"/>
    <s v="5+"/>
    <x v="0"/>
    <n v="0"/>
    <n v="0"/>
    <n v="0"/>
    <n v="0"/>
    <n v="0"/>
    <n v="0"/>
    <x v="17"/>
    <n v="0"/>
    <n v="1"/>
    <n v="0"/>
    <n v="0"/>
    <n v="0"/>
    <n v="0"/>
    <n v="0"/>
    <n v="0"/>
    <n v="0"/>
    <n v="0"/>
    <n v="0"/>
    <x v="0"/>
    <n v="55"/>
    <n v="0"/>
  </r>
  <r>
    <x v="102"/>
    <x v="2"/>
    <s v="132-46-100"/>
    <s v="4115 EL CAMINO REAL"/>
    <s v="5+"/>
    <x v="1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99"/>
    <n v="0"/>
  </r>
  <r>
    <x v="57"/>
    <x v="4"/>
    <n v="4314007017"/>
    <s v="3638 S MOTOR AVE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57"/>
    <x v="4"/>
    <n v="4260034024"/>
    <s v="11588 W PICO BLVD #1-21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4"/>
    <n v="4235002015"/>
    <s v="3827 S FRANCES AVE 1-18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4"/>
    <n v="5123020011"/>
    <s v="505 W 31ST ST #1-73"/>
    <s v="5+"/>
    <x v="0"/>
    <n v="0"/>
    <n v="0"/>
    <n v="0"/>
    <n v="0"/>
    <n v="0"/>
    <n v="0"/>
    <x v="0"/>
    <n v="0"/>
    <n v="6"/>
    <n v="0"/>
    <n v="2"/>
    <n v="0"/>
    <n v="0"/>
    <n v="0"/>
    <n v="0"/>
    <n v="0"/>
    <n v="0"/>
    <n v="0"/>
    <x v="0"/>
    <n v="55"/>
    <n v="0"/>
  </r>
  <r>
    <x v="57"/>
    <x v="4"/>
    <n v="4218001042"/>
    <s v="4505-4513 S SLAUSON AVE"/>
    <s v="5+"/>
    <x v="0"/>
    <n v="0"/>
    <n v="0"/>
    <n v="0"/>
    <n v="0"/>
    <n v="0"/>
    <n v="0"/>
    <x v="17"/>
    <n v="0"/>
    <n v="0"/>
    <n v="0"/>
    <n v="0"/>
    <n v="0"/>
    <n v="2"/>
    <n v="0"/>
    <n v="0"/>
    <n v="0"/>
    <n v="0"/>
    <n v="0"/>
    <x v="0"/>
    <n v="55"/>
    <n v="0"/>
  </r>
  <r>
    <x v="62"/>
    <x v="2"/>
    <n v="3763001"/>
    <s v="400 02ND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s v="0302021"/>
    <s v="955 POST ST"/>
    <s v="5+"/>
    <x v="0"/>
    <n v="0"/>
    <n v="0"/>
    <n v="13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2"/>
    <n v="3505032"/>
    <s v="1 BRADY ST"/>
    <s v="5+"/>
    <x v="0"/>
    <n v="0"/>
    <n v="0"/>
    <n v="0"/>
    <n v="0"/>
    <n v="0"/>
    <n v="0"/>
    <x v="0"/>
    <n v="0"/>
    <n v="58"/>
    <n v="0"/>
    <n v="0"/>
    <n v="0"/>
    <n v="0"/>
    <n v="0"/>
    <n v="0"/>
    <n v="0"/>
    <n v="0"/>
    <n v="0"/>
    <x v="1"/>
    <m/>
    <n v="0"/>
  </r>
  <r>
    <x v="57"/>
    <x v="4"/>
    <n v="4006022018"/>
    <s v="6740 S BRYNHURST AVE"/>
    <s v="5+"/>
    <x v="0"/>
    <n v="0"/>
    <n v="0"/>
    <n v="0"/>
    <n v="0"/>
    <n v="0"/>
    <n v="0"/>
    <x v="17"/>
    <n v="0"/>
    <n v="0"/>
    <n v="0"/>
    <n v="0"/>
    <n v="0"/>
    <n v="2"/>
    <n v="0"/>
    <n v="0"/>
    <n v="0"/>
    <n v="0"/>
    <n v="0"/>
    <x v="0"/>
    <n v="55"/>
    <n v="0"/>
  </r>
  <r>
    <x v="62"/>
    <x v="2"/>
    <s v="0832025"/>
    <s v="300 OCTAVIA ST"/>
    <s v="5+"/>
    <x v="0"/>
    <n v="0"/>
    <n v="0"/>
    <n v="0"/>
    <n v="0"/>
    <n v="0"/>
    <n v="0"/>
    <x v="0"/>
    <n v="0"/>
    <n v="3"/>
    <n v="0"/>
    <n v="0"/>
    <n v="0"/>
    <n v="0"/>
    <n v="0"/>
    <n v="0"/>
    <n v="0"/>
    <n v="0"/>
    <n v="0"/>
    <x v="1"/>
    <m/>
    <n v="0"/>
  </r>
  <r>
    <x v="62"/>
    <x v="2"/>
    <n v="3740030"/>
    <s v="160 FOLSOM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56"/>
    <n v="0"/>
    <x v="1"/>
    <m/>
    <n v="0"/>
  </r>
  <r>
    <x v="62"/>
    <x v="2"/>
    <n v="3954016"/>
    <s v="1301 16TH ST"/>
    <s v="5+"/>
    <x v="0"/>
    <n v="0"/>
    <n v="0"/>
    <n v="0"/>
    <n v="0"/>
    <n v="0"/>
    <n v="0"/>
    <x v="0"/>
    <n v="0"/>
    <n v="0"/>
    <n v="0"/>
    <n v="0"/>
    <n v="0"/>
    <n v="0"/>
    <n v="0"/>
    <n v="29"/>
    <n v="0"/>
    <n v="0"/>
    <n v="0"/>
    <x v="1"/>
    <m/>
    <n v="0"/>
  </r>
  <r>
    <x v="62"/>
    <x v="2"/>
    <n v="4045003"/>
    <s v="2171 03RD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8"/>
    <n v="0"/>
    <x v="1"/>
    <m/>
    <n v="0"/>
  </r>
  <r>
    <x v="133"/>
    <x v="3"/>
    <n v="7344002009"/>
    <s v="800 W Carson Street, Torrance CA 90502"/>
    <s v="5+"/>
    <x v="0"/>
    <n v="3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093025005"/>
    <s v="750 S KINGSLEY DR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n v="0"/>
  </r>
  <r>
    <x v="57"/>
    <x v="4"/>
    <n v="5160025001"/>
    <s v="1100 W TEMPLE ST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0"/>
  </r>
  <r>
    <x v="133"/>
    <x v="3"/>
    <n v="5828027022"/>
    <s v="2439 N Lincoln Avenue, Altadena CA 91001"/>
    <s v="5+"/>
    <x v="0"/>
    <n v="66"/>
    <n v="0"/>
    <n v="4"/>
    <n v="0"/>
    <n v="0"/>
    <n v="0"/>
    <x v="0"/>
    <n v="0"/>
    <n v="0"/>
    <n v="0"/>
    <n v="0"/>
    <n v="0"/>
    <n v="0"/>
    <n v="0"/>
    <n v="0"/>
    <n v="0"/>
    <n v="0"/>
    <n v="0"/>
    <x v="0"/>
    <n v="55"/>
    <n v="238"/>
  </r>
  <r>
    <x v="152"/>
    <x v="2"/>
    <s v="157-970-03"/>
    <s v="802 STATE ACCESS RD"/>
    <s v="5+"/>
    <x v="1"/>
    <n v="0"/>
    <n v="0"/>
    <n v="0"/>
    <n v="0"/>
    <n v="7"/>
    <n v="0"/>
    <x v="0"/>
    <n v="0"/>
    <n v="0"/>
    <n v="0"/>
    <n v="0"/>
    <n v="0"/>
    <n v="0"/>
    <n v="0"/>
    <n v="0"/>
    <n v="0"/>
    <n v="0"/>
    <n v="0"/>
    <x v="1"/>
    <n v="99"/>
    <n v="0"/>
  </r>
  <r>
    <x v="57"/>
    <x v="4"/>
    <n v="4265008042"/>
    <s v="11727 W KIOWA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4"/>
    <n v="4315014028"/>
    <s v="2365 S FOX HILLS DR #100-#504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4"/>
    <n v="2240012014"/>
    <s v="6363 N TYRONE AVE"/>
    <s v="5+"/>
    <x v="0"/>
    <n v="0"/>
    <n v="0"/>
    <n v="0"/>
    <n v="0"/>
    <n v="0"/>
    <n v="0"/>
    <x v="5"/>
    <n v="0"/>
    <n v="2"/>
    <n v="0"/>
    <n v="0"/>
    <n v="0"/>
    <n v="0"/>
    <n v="0"/>
    <n v="0"/>
    <n v="0"/>
    <n v="0"/>
    <n v="0"/>
    <x v="0"/>
    <n v="55"/>
    <n v="0"/>
  </r>
  <r>
    <x v="211"/>
    <x v="1"/>
    <n v="23149112"/>
    <s v="12233 Choisser Rd"/>
    <s v="5+"/>
    <x v="0"/>
    <n v="5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32.5"/>
  </r>
  <r>
    <x v="133"/>
    <x v="3"/>
    <n v="4036001024"/>
    <s v="10200 S Inglewood Avenue Inglewood, CA 90304"/>
    <s v="5+"/>
    <x v="0"/>
    <n v="2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1000"/>
    <n v="25"/>
  </r>
  <r>
    <x v="184"/>
    <x v="4"/>
    <s v="097-121-25"/>
    <s v="14800 Beach Blvd"/>
    <s v="5+"/>
    <x v="0"/>
    <n v="0"/>
    <n v="0"/>
    <n v="0"/>
    <n v="0"/>
    <n v="0"/>
    <n v="0"/>
    <x v="22"/>
    <n v="0"/>
    <n v="0"/>
    <n v="0"/>
    <n v="0"/>
    <n v="1"/>
    <n v="0"/>
    <n v="0"/>
    <n v="0"/>
    <n v="0"/>
    <n v="0"/>
    <n v="0"/>
    <x v="0"/>
    <m/>
    <n v="0"/>
  </r>
  <r>
    <x v="166"/>
    <x v="2"/>
    <s v="71-100-25"/>
    <s v="2990 5th Street"/>
    <s v="5+"/>
    <x v="0"/>
    <n v="0"/>
    <n v="0"/>
    <n v="0"/>
    <n v="0"/>
    <n v="0"/>
    <n v="0"/>
    <x v="0"/>
    <n v="0"/>
    <n v="0"/>
    <n v="0"/>
    <n v="0"/>
    <n v="0"/>
    <n v="89"/>
    <n v="0"/>
    <n v="0"/>
    <n v="0"/>
    <n v="0"/>
    <n v="0"/>
    <x v="1"/>
    <n v="1000"/>
    <n v="0"/>
  </r>
  <r>
    <x v="106"/>
    <x v="1"/>
    <n v="6690202260"/>
    <s v="88 Long Court"/>
    <s v="5+"/>
    <x v="0"/>
    <n v="6"/>
    <n v="0"/>
    <n v="0"/>
    <n v="0"/>
    <n v="2"/>
    <n v="0"/>
    <x v="0"/>
    <n v="0"/>
    <n v="0"/>
    <n v="0"/>
    <n v="0"/>
    <n v="0"/>
    <n v="0"/>
    <n v="0"/>
    <n v="0"/>
    <n v="0"/>
    <n v="0"/>
    <n v="0"/>
    <x v="0"/>
    <n v="70"/>
    <n v="35"/>
  </r>
  <r>
    <x v="38"/>
    <x v="0"/>
    <s v="005-152-33"/>
    <s v="902 PACIFIC AVE"/>
    <s v="5+"/>
    <x v="0"/>
    <n v="56"/>
    <n v="0"/>
    <n v="37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15"/>
    <x v="2"/>
    <s v="001014800402"/>
    <s v="335 3rd, OAKLAND, CA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2"/>
    <s v="020014901400"/>
    <s v="2000 INTERNATIONAL BLVD, Oakland, CA 94606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"/>
    <x v="1"/>
    <s v="003-511-013"/>
    <s v="581 Higuera St_x000a_San Luis Obispo, CA 93401"/>
    <s v="5+"/>
    <x v="1"/>
    <n v="0"/>
    <n v="0"/>
    <n v="0"/>
    <n v="0"/>
    <n v="0"/>
    <n v="0"/>
    <x v="0"/>
    <n v="0"/>
    <n v="5"/>
    <n v="0"/>
    <n v="0"/>
    <n v="0"/>
    <n v="0"/>
    <n v="0"/>
    <n v="0"/>
    <n v="0"/>
    <n v="0"/>
    <n v="0"/>
    <x v="0"/>
    <m/>
    <n v="20"/>
  </r>
  <r>
    <x v="130"/>
    <x v="2"/>
    <s v="PM 82128"/>
    <s v="825 South Myrtle Avenue"/>
    <s v="5+"/>
    <x v="0"/>
    <n v="0"/>
    <n v="0"/>
    <n v="0"/>
    <n v="0"/>
    <n v="0"/>
    <n v="0"/>
    <x v="21"/>
    <n v="0"/>
    <n v="0"/>
    <n v="0"/>
    <n v="0"/>
    <n v="0"/>
    <n v="0"/>
    <n v="0"/>
    <n v="0"/>
    <n v="0"/>
    <n v="0"/>
    <n v="0"/>
    <x v="0"/>
    <n v="55"/>
    <n v="0"/>
  </r>
  <r>
    <x v="106"/>
    <x v="1"/>
    <n v="6700250230"/>
    <s v="170 Erbes"/>
    <s v="5+"/>
    <x v="0"/>
    <n v="0"/>
    <n v="0"/>
    <n v="5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102"/>
    <x v="4"/>
    <s v="124-33-068"/>
    <s v="2515 EL CAMINO REAL"/>
    <s v="5+"/>
    <x v="1"/>
    <n v="0"/>
    <n v="0"/>
    <n v="2"/>
    <n v="0"/>
    <n v="0"/>
    <n v="0"/>
    <x v="0"/>
    <n v="0"/>
    <n v="2"/>
    <n v="0"/>
    <n v="0"/>
    <n v="0"/>
    <n v="0"/>
    <n v="0"/>
    <n v="0"/>
    <n v="0"/>
    <n v="0"/>
    <n v="0"/>
    <x v="1"/>
    <n v="1000"/>
    <n v="0"/>
  </r>
  <r>
    <x v="35"/>
    <x v="4"/>
    <n v="2081951100"/>
    <s v="2600  GAGE DR"/>
    <s v="5+"/>
    <x v="0"/>
    <n v="0"/>
    <n v="0"/>
    <n v="0"/>
    <n v="0"/>
    <n v="0"/>
    <n v="0"/>
    <x v="0"/>
    <n v="0"/>
    <n v="0"/>
    <n v="0"/>
    <n v="0"/>
    <n v="0"/>
    <n v="0"/>
    <n v="0"/>
    <n v="101"/>
    <n v="0"/>
    <n v="0"/>
    <n v="0"/>
    <x v="1"/>
    <m/>
    <n v="0"/>
  </r>
  <r>
    <x v="15"/>
    <x v="2"/>
    <s v="003 002300802"/>
    <s v="2116 BRUSH ST, Oakland, CA 94612"/>
    <s v="5+"/>
    <x v="0"/>
    <n v="34"/>
    <n v="0"/>
    <n v="61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35"/>
    <x v="1"/>
    <n v="2042920100"/>
    <s v="3845 SYDNEY WAY_x000a_Carlsbad, CA 92008--508"/>
    <s v="5+"/>
    <x v="0"/>
    <n v="0"/>
    <n v="0"/>
    <n v="0"/>
    <n v="0"/>
    <n v="0"/>
    <n v="0"/>
    <x v="0"/>
    <n v="0"/>
    <n v="16"/>
    <n v="0"/>
    <n v="0"/>
    <n v="0"/>
    <n v="0"/>
    <n v="0"/>
    <n v="0"/>
    <n v="0"/>
    <n v="0"/>
    <n v="0"/>
    <x v="1"/>
    <n v="55"/>
    <n v="0"/>
  </r>
  <r>
    <x v="245"/>
    <x v="2"/>
    <s v="005-290-26"/>
    <s v="170 Ridge Road"/>
    <s v="5+"/>
    <x v="0"/>
    <n v="40"/>
    <n v="0"/>
    <n v="15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57"/>
    <x v="4"/>
    <n v="5149015036"/>
    <s v="340 HILL ST   S  90013"/>
    <s v="5+"/>
    <x v="0"/>
    <n v="22"/>
    <n v="0"/>
    <n v="43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353013013"/>
    <s v="5050 BAKMAN AVE  N  91601"/>
    <s v="5+"/>
    <x v="0"/>
    <n v="32"/>
    <n v="0"/>
    <n v="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576004044"/>
    <s v="2042 CAHUENGA BLVD N  90068"/>
    <s v="5+"/>
    <x v="0"/>
    <n v="3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142012024"/>
    <s v="1600 WILSHIRE BLVD W  90017"/>
    <s v="5+"/>
    <x v="0"/>
    <n v="0"/>
    <n v="0"/>
    <n v="8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4262008018"/>
    <s v="11674 SANTA MONICA BLVD W  90025"/>
    <s v="5+"/>
    <x v="0"/>
    <n v="2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016020005"/>
    <s v="4719 NORMANDIE AVE  S  90037"/>
    <s v="5+"/>
    <x v="0"/>
    <n v="5"/>
    <n v="0"/>
    <n v="3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2160007023"/>
    <s v="5501 RESEDA BLVD N  91356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7346003025"/>
    <s v="1609 218TH ST   W  90501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5"/>
    <s v="002 005500100"/>
    <s v="385 14TH ST"/>
    <s v="5+"/>
    <x v="0"/>
    <n v="0"/>
    <n v="0"/>
    <n v="0"/>
    <n v="0"/>
    <n v="0"/>
    <n v="0"/>
    <x v="8"/>
    <n v="0"/>
    <n v="0"/>
    <n v="0"/>
    <n v="0"/>
    <n v="0"/>
    <n v="0"/>
    <n v="0"/>
    <n v="0"/>
    <n v="0"/>
    <n v="0"/>
    <n v="0"/>
    <x v="0"/>
    <n v="30"/>
    <n v="0"/>
  </r>
  <r>
    <x v="35"/>
    <x v="1"/>
    <n v="2042920100"/>
    <s v="3855 SYDNEY WAY_x000a_Carlsbad, CA 92008--508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1"/>
    <n v="55"/>
    <n v="0"/>
  </r>
  <r>
    <x v="57"/>
    <x v="5"/>
    <n v="4262006030"/>
    <s v="1500 GRANVILLE AVE"/>
    <s v="5+"/>
    <x v="0"/>
    <n v="0"/>
    <n v="0"/>
    <n v="0"/>
    <n v="0"/>
    <n v="0"/>
    <n v="0"/>
    <x v="45"/>
    <n v="0"/>
    <n v="0"/>
    <n v="0"/>
    <n v="0"/>
    <n v="0"/>
    <n v="0"/>
    <n v="0"/>
    <n v="0"/>
    <n v="0"/>
    <n v="0"/>
    <n v="0"/>
    <x v="0"/>
    <n v="55"/>
    <n v="0"/>
  </r>
  <r>
    <x v="57"/>
    <x v="5"/>
    <n v="5540011009"/>
    <s v="1223 EDGEMONT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5406014035"/>
    <s v="1301 SUNSET BLVD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57"/>
    <x v="5"/>
    <n v="4323006027"/>
    <s v="1827 MIDVALE AVE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4321003035"/>
    <s v="10604 SANTA MONICA BLVD W  90025"/>
    <s v="5+"/>
    <x v="0"/>
    <n v="3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57"/>
    <x v="5"/>
    <n v="2356023012"/>
    <s v="5022 WHITSETT AVE  N  91607"/>
    <s v="5+"/>
    <x v="1"/>
    <n v="0"/>
    <n v="0"/>
    <n v="1"/>
    <n v="0"/>
    <n v="0"/>
    <n v="0"/>
    <x v="0"/>
    <n v="0"/>
    <n v="1"/>
    <n v="0"/>
    <n v="0"/>
    <n v="0"/>
    <n v="0"/>
    <n v="0"/>
    <n v="0"/>
    <n v="0"/>
    <n v="0"/>
    <n v="0"/>
    <x v="0"/>
    <n v="55"/>
    <n v="0"/>
  </r>
  <r>
    <x v="57"/>
    <x v="5"/>
    <n v="5049014026"/>
    <s v="2602 ORANGE DR   S  90016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157020132"/>
    <s v="226 LAKE ST   N  90026"/>
    <s v="5+"/>
    <x v="0"/>
    <n v="5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0"/>
  </r>
  <r>
    <x v="57"/>
    <x v="5"/>
    <n v="5420022023"/>
    <s v="1901 ECHO PARK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5065012045"/>
    <s v="6000 COMEY AVE  W  90034"/>
    <s v="5+"/>
    <x v="0"/>
    <n v="0"/>
    <n v="0"/>
    <n v="0"/>
    <n v="0"/>
    <n v="1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504019023"/>
    <s v="527 WILTON PL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5086026017"/>
    <s v="1127 SPAULDING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5407007007"/>
    <s v="849-857 BUNKER HILL AVE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5537003004"/>
    <s v="5342 FOUNTAIN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5537009014"/>
    <s v="5240 VIRGINIA AVE"/>
    <s v="5+"/>
    <x v="0"/>
    <n v="0"/>
    <n v="0"/>
    <n v="0"/>
    <n v="0"/>
    <n v="0"/>
    <n v="0"/>
    <x v="0"/>
    <n v="0"/>
    <n v="2"/>
    <n v="0"/>
    <n v="0"/>
    <n v="0"/>
    <n v="0"/>
    <n v="0"/>
    <n v="0"/>
    <n v="0"/>
    <n v="0"/>
    <n v="0"/>
    <x v="0"/>
    <n v="55"/>
    <n v="0"/>
  </r>
  <r>
    <x v="57"/>
    <x v="5"/>
    <n v="4217018032"/>
    <s v="11612 CULVER BLVD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57"/>
    <x v="5"/>
    <n v="2335032017"/>
    <s v="11671 ERWIN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5179019900"/>
    <s v="3401 1ST ST   E  90063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503015024"/>
    <s v="401 WESTERN AVE  S  90020"/>
    <s v="5+"/>
    <x v="0"/>
    <n v="0"/>
    <n v="0"/>
    <n v="1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214001002"/>
    <s v="4208 HUNTINGTON DR   E  90032"/>
    <s v="5+"/>
    <x v="0"/>
    <n v="78"/>
    <n v="0"/>
    <n v="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4337009016"/>
    <s v="431 LA CIENEGA BLVD N  90048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164023020"/>
    <s v="668 ALAMEDA ST   S  90021"/>
    <s v="5+"/>
    <x v="0"/>
    <n v="24"/>
    <n v="0"/>
    <n v="0"/>
    <n v="0"/>
    <n v="29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183021019"/>
    <s v="731 BOYLE AVE  S  90023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2316001046"/>
    <s v="7720 LANKERSHIM BLVD N  91605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4327005019"/>
    <s v="1645 BEVERLY GLEN BLVD S  90024"/>
    <s v="5+"/>
    <x v="0"/>
    <n v="3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003017029"/>
    <s v="1409 W 55TH ST UNIT# 1-8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4"/>
    <n v="5078003004"/>
    <s v="955 S FEDORA ST 1-60"/>
    <s v="5+"/>
    <x v="0"/>
    <n v="0"/>
    <n v="0"/>
    <n v="0"/>
    <n v="0"/>
    <n v="0"/>
    <n v="0"/>
    <x v="12"/>
    <n v="0"/>
    <n v="1"/>
    <n v="0"/>
    <n v="0"/>
    <n v="0"/>
    <n v="0"/>
    <n v="0"/>
    <n v="0"/>
    <n v="0"/>
    <n v="0"/>
    <n v="0"/>
    <x v="0"/>
    <n v="55"/>
    <n v="0"/>
  </r>
  <r>
    <x v="57"/>
    <x v="4"/>
    <n v="5518027002"/>
    <s v="150-154 N BERENDO ST"/>
    <s v="5+"/>
    <x v="0"/>
    <n v="0"/>
    <n v="0"/>
    <n v="0"/>
    <n v="0"/>
    <n v="0"/>
    <n v="0"/>
    <x v="17"/>
    <n v="0"/>
    <n v="0"/>
    <n v="0"/>
    <n v="0"/>
    <n v="0"/>
    <n v="2"/>
    <n v="0"/>
    <n v="0"/>
    <n v="0"/>
    <n v="0"/>
    <n v="0"/>
    <x v="0"/>
    <n v="55"/>
    <n v="0"/>
  </r>
  <r>
    <x v="130"/>
    <x v="2"/>
    <s v="8507002011 8507002012 8507002014 8507002015 8507002017 8507002018 8507002019 8507002020 8507002022 8507002023 8507002036 8507002037"/>
    <s v="202, 206, 210, 212, 216, 220, 224, 228, 234, 238 West Evergreen Avenue; 1551 South Primrose Avenue; 1610 South Magnolia Avenue"/>
    <s v="5+"/>
    <x v="0"/>
    <n v="1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4"/>
    <n v="5532017020"/>
    <s v="6933 W SANTA MONICA BLVD"/>
    <s v="5+"/>
    <x v="0"/>
    <n v="0"/>
    <n v="0"/>
    <n v="0"/>
    <n v="0"/>
    <n v="0"/>
    <n v="0"/>
    <x v="21"/>
    <n v="0"/>
    <n v="0"/>
    <n v="0"/>
    <n v="0"/>
    <n v="0"/>
    <n v="0"/>
    <n v="0"/>
    <n v="0"/>
    <n v="0"/>
    <n v="0"/>
    <n v="0"/>
    <x v="0"/>
    <n v="55"/>
    <n v="0"/>
  </r>
  <r>
    <x v="102"/>
    <x v="2"/>
    <s v="124-33-068"/>
    <s v="2515 EL CAMINO REAL"/>
    <s v="5+"/>
    <x v="1"/>
    <n v="0"/>
    <n v="0"/>
    <n v="2"/>
    <n v="0"/>
    <n v="0"/>
    <n v="0"/>
    <x v="0"/>
    <n v="0"/>
    <n v="2"/>
    <n v="0"/>
    <n v="0"/>
    <n v="0"/>
    <n v="0"/>
    <n v="0"/>
    <n v="0"/>
    <n v="0"/>
    <n v="0"/>
    <n v="0"/>
    <x v="1"/>
    <n v="99"/>
    <n v="0"/>
  </r>
  <r>
    <x v="212"/>
    <x v="5"/>
    <s v="071-090-049"/>
    <s v="119 South Kellogg Ave"/>
    <s v="5+"/>
    <x v="0"/>
    <n v="0"/>
    <n v="0"/>
    <n v="0"/>
    <n v="0"/>
    <n v="0"/>
    <n v="0"/>
    <x v="0"/>
    <n v="0"/>
    <n v="0"/>
    <n v="0"/>
    <n v="0"/>
    <n v="0"/>
    <n v="1"/>
    <n v="0"/>
    <n v="1"/>
    <n v="0"/>
    <n v="0"/>
    <n v="0"/>
    <x v="0"/>
    <n v="55"/>
    <n v="0"/>
  </r>
  <r>
    <x v="15"/>
    <x v="4"/>
    <s v="004 004900100"/>
    <s v="500 KIRKHAM ST"/>
    <s v="5+"/>
    <x v="0"/>
    <n v="8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4"/>
    <s v="012 098602501"/>
    <s v="230 W MACARTHUR BLVD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4"/>
    <s v="010 078001507"/>
    <s v="500 GRAND AVE"/>
    <s v="5+"/>
    <x v="0"/>
    <n v="0"/>
    <n v="0"/>
    <n v="4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95"/>
    <x v="2"/>
    <n v="81712020"/>
    <s v="1230 VINTAGE LN"/>
    <s v="5+"/>
    <x v="0"/>
    <n v="0"/>
    <n v="0"/>
    <n v="0"/>
    <n v="0"/>
    <n v="0"/>
    <n v="0"/>
    <x v="0"/>
    <n v="0"/>
    <n v="0"/>
    <n v="0"/>
    <n v="0"/>
    <n v="0"/>
    <n v="2"/>
    <n v="0"/>
    <n v="1"/>
    <n v="0"/>
    <n v="0"/>
    <n v="11"/>
    <x v="1"/>
    <m/>
    <n v="0"/>
  </r>
  <r>
    <x v="95"/>
    <x v="2"/>
    <n v="81712020"/>
    <s v="1150 VINTAGE LN"/>
    <s v="5+"/>
    <x v="0"/>
    <n v="0"/>
    <n v="0"/>
    <n v="0"/>
    <n v="0"/>
    <n v="0"/>
    <n v="0"/>
    <x v="0"/>
    <n v="0"/>
    <n v="0"/>
    <n v="0"/>
    <n v="0"/>
    <n v="0"/>
    <n v="1"/>
    <n v="0"/>
    <n v="1"/>
    <n v="0"/>
    <n v="0"/>
    <n v="12"/>
    <x v="1"/>
    <m/>
    <n v="0"/>
  </r>
  <r>
    <x v="95"/>
    <x v="2"/>
    <n v="72625061"/>
    <s v="Monterey Rd"/>
    <s v="5+"/>
    <x v="0"/>
    <n v="7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4"/>
    <n v="6147016036"/>
    <s v="12630 S Compton Avenue, Compton CA 90222"/>
    <s v="5+"/>
    <x v="0"/>
    <n v="0"/>
    <n v="0"/>
    <n v="6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4"/>
    <n v="6149008045"/>
    <s v="11668 Compton Avenue, Los Angeles CA 90059"/>
    <s v="5+"/>
    <x v="0"/>
    <n v="0"/>
    <n v="0"/>
    <n v="11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4"/>
    <n v="6149014025"/>
    <s v="11739 Holmes Avenue, Los Angeles CA 90059"/>
    <s v="5+"/>
    <x v="0"/>
    <n v="6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2"/>
    <s v="004 007100300"/>
    <s v="1451 7TH ST, Oakland, CA 94607"/>
    <s v="5+"/>
    <x v="0"/>
    <n v="90"/>
    <n v="0"/>
    <n v="148"/>
    <n v="0"/>
    <n v="2"/>
    <n v="0"/>
    <x v="0"/>
    <n v="0"/>
    <n v="0"/>
    <n v="0"/>
    <n v="0"/>
    <n v="0"/>
    <n v="0"/>
    <n v="0"/>
    <n v="0"/>
    <n v="0"/>
    <n v="0"/>
    <n v="0"/>
    <x v="0"/>
    <m/>
    <n v="0"/>
  </r>
  <r>
    <x v="45"/>
    <x v="1"/>
    <s v="093100059 093100060"/>
    <s v="301 ALVES LN, BAY POINT, CA"/>
    <s v="5+"/>
    <x v="0"/>
    <n v="30"/>
    <n v="0"/>
    <n v="69"/>
    <n v="0"/>
    <n v="0"/>
    <n v="0"/>
    <x v="46"/>
    <n v="0"/>
    <n v="69"/>
    <n v="0"/>
    <n v="0"/>
    <n v="0"/>
    <n v="0"/>
    <n v="0"/>
    <n v="0"/>
    <n v="0"/>
    <n v="0"/>
    <n v="0"/>
    <x v="0"/>
    <m/>
    <n v="20"/>
  </r>
  <r>
    <x v="17"/>
    <x v="3"/>
    <s v="402-061-03"/>
    <s v="717 S Lyon St"/>
    <s v="5+"/>
    <x v="1"/>
    <n v="0"/>
    <n v="0"/>
    <n v="8"/>
    <n v="0"/>
    <n v="0"/>
    <n v="0"/>
    <x v="0"/>
    <n v="0"/>
    <n v="0"/>
    <n v="0"/>
    <n v="0"/>
    <n v="0"/>
    <n v="0"/>
    <n v="0"/>
    <n v="0"/>
    <n v="0"/>
    <n v="0"/>
    <n v="0"/>
    <x v="0"/>
    <n v="55"/>
    <n v="46"/>
  </r>
  <r>
    <x v="17"/>
    <x v="3"/>
    <s v="198-132-23"/>
    <s v="2534  W Westminster Ave"/>
    <s v="5+"/>
    <x v="0"/>
    <n v="0"/>
    <n v="0"/>
    <n v="0"/>
    <n v="0"/>
    <n v="0"/>
    <n v="0"/>
    <x v="0"/>
    <n v="0"/>
    <n v="21"/>
    <n v="0"/>
    <n v="0"/>
    <n v="0"/>
    <n v="0"/>
    <n v="0"/>
    <n v="0"/>
    <n v="0"/>
    <n v="0"/>
    <n v="0"/>
    <x v="1"/>
    <n v="55"/>
    <n v="0"/>
  </r>
  <r>
    <x v="17"/>
    <x v="3"/>
    <s v="398-092-14"/>
    <s v="1146  E Washington Ave"/>
    <s v="5+"/>
    <x v="0"/>
    <n v="0"/>
    <n v="0"/>
    <n v="0"/>
    <n v="0"/>
    <n v="0"/>
    <n v="0"/>
    <x v="104"/>
    <n v="0"/>
    <n v="0"/>
    <n v="0"/>
    <n v="0"/>
    <n v="0"/>
    <n v="0"/>
    <n v="0"/>
    <n v="0"/>
    <n v="0"/>
    <n v="0"/>
    <n v="0"/>
    <x v="1"/>
    <n v="55"/>
    <n v="0"/>
  </r>
  <r>
    <x v="95"/>
    <x v="2"/>
    <n v="81712020"/>
    <s v="1190 VINTAGE LN"/>
    <s v="5+"/>
    <x v="0"/>
    <n v="0"/>
    <n v="0"/>
    <n v="0"/>
    <n v="0"/>
    <n v="0"/>
    <n v="0"/>
    <x v="0"/>
    <n v="0"/>
    <n v="0"/>
    <n v="0"/>
    <n v="0"/>
    <n v="0"/>
    <n v="1"/>
    <n v="0"/>
    <n v="1"/>
    <n v="0"/>
    <n v="0"/>
    <n v="12"/>
    <x v="1"/>
    <m/>
    <n v="0"/>
  </r>
  <r>
    <x v="88"/>
    <x v="2"/>
    <s v="TBD"/>
    <s v="13629-13705 San Antonio"/>
    <s v="5+"/>
    <x v="0"/>
    <n v="26"/>
    <n v="0"/>
    <n v="33"/>
    <n v="0"/>
    <n v="1"/>
    <n v="0"/>
    <x v="0"/>
    <n v="0"/>
    <n v="0"/>
    <n v="0"/>
    <n v="0"/>
    <n v="0"/>
    <n v="0"/>
    <n v="0"/>
    <n v="0"/>
    <n v="0"/>
    <n v="0"/>
    <n v="0"/>
    <x v="0"/>
    <n v="75"/>
    <n v="0"/>
  </r>
  <r>
    <x v="152"/>
    <x v="2"/>
    <s v="153-162-70"/>
    <s v="- -"/>
    <s v="5+"/>
    <x v="0"/>
    <n v="4"/>
    <n v="0"/>
    <n v="3"/>
    <n v="0"/>
    <n v="0"/>
    <n v="0"/>
    <x v="0"/>
    <n v="0"/>
    <n v="0"/>
    <n v="0"/>
    <n v="0"/>
    <n v="0"/>
    <n v="0"/>
    <n v="0"/>
    <n v="0"/>
    <n v="0"/>
    <n v="0"/>
    <n v="0"/>
    <x v="0"/>
    <n v="99"/>
    <n v="0"/>
  </r>
  <r>
    <x v="10"/>
    <x v="4"/>
    <s v="097-05-063"/>
    <s v="2343 Calle Del Mundo"/>
    <s v="5+"/>
    <x v="0"/>
    <n v="0"/>
    <n v="0"/>
    <n v="6"/>
    <n v="0"/>
    <n v="28"/>
    <n v="0"/>
    <x v="0"/>
    <n v="0"/>
    <n v="0"/>
    <n v="0"/>
    <n v="0"/>
    <n v="0"/>
    <n v="0"/>
    <n v="0"/>
    <n v="0"/>
    <n v="0"/>
    <n v="0"/>
    <n v="0"/>
    <x v="1"/>
    <m/>
    <n v="0"/>
  </r>
  <r>
    <x v="133"/>
    <x v="4"/>
    <n v="8030002900"/>
    <s v="14433 Leffingwell Road, Whittier CA 90604"/>
    <s v="5+"/>
    <x v="0"/>
    <n v="2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4"/>
    <n v="8130016026"/>
    <s v="10317 Whittier Boulevard, Whittier CA 90606"/>
    <s v="5+"/>
    <x v="0"/>
    <n v="0"/>
    <n v="0"/>
    <n v="8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64"/>
    <x v="4"/>
    <s v="017-231-033-000"/>
    <s v="500 ROSEVILLE PW, BLDG 3"/>
    <s v="5+"/>
    <x v="0"/>
    <n v="0"/>
    <n v="0"/>
    <n v="0"/>
    <n v="0"/>
    <n v="0"/>
    <n v="0"/>
    <x v="0"/>
    <n v="0"/>
    <n v="0"/>
    <n v="0"/>
    <n v="0"/>
    <n v="0"/>
    <n v="5"/>
    <n v="0"/>
    <n v="0"/>
    <n v="0"/>
    <n v="0"/>
    <n v="0"/>
    <x v="1"/>
    <n v="55"/>
    <n v="0"/>
  </r>
  <r>
    <x v="64"/>
    <x v="4"/>
    <s v="017-231-033-000"/>
    <s v="500 ROSEVILLE PW, BLDG 7"/>
    <s v="5+"/>
    <x v="0"/>
    <n v="0"/>
    <n v="0"/>
    <n v="0"/>
    <n v="0"/>
    <n v="0"/>
    <n v="0"/>
    <x v="0"/>
    <n v="0"/>
    <n v="0"/>
    <n v="0"/>
    <n v="0"/>
    <n v="0"/>
    <n v="5"/>
    <n v="0"/>
    <n v="0"/>
    <n v="0"/>
    <n v="0"/>
    <n v="0"/>
    <x v="1"/>
    <n v="55"/>
    <n v="0"/>
  </r>
  <r>
    <x v="4"/>
    <x v="1"/>
    <s v="002-402-048"/>
    <s v="564 Higuera St_x000a_San Luis Obispo, CA 93401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m/>
    <n v="22"/>
  </r>
  <r>
    <x v="38"/>
    <x v="0"/>
    <s v="008-162-19"/>
    <s v="801 RIVER ST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1000"/>
    <n v="0"/>
  </r>
  <r>
    <x v="225"/>
    <x v="0"/>
    <s v="22-732-01, 22-732-48"/>
    <s v="4104 Scotts Valley Drive"/>
    <s v="5+"/>
    <x v="1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5"/>
    <x v="5"/>
    <s v="013 109402701"/>
    <s v="4328 Martin Luther King Jr WY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5"/>
    <s v="009 070800400"/>
    <s v="3007 TELEGRAPH AVE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4"/>
    <n v="6150007911"/>
    <s v="11909 Willowbrook Avenue, Los Angeles CA 90059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28"/>
    <x v="1"/>
    <n v="61160180"/>
    <s v="961 Porter Street"/>
    <s v="5+"/>
    <x v="0"/>
    <n v="2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133"/>
    <x v="4"/>
    <n v="4057027007"/>
    <s v="11609 S Western Avenue, Los Angeles CA 90047"/>
    <s v="5+"/>
    <x v="0"/>
    <n v="0"/>
    <n v="0"/>
    <n v="56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3"/>
    <x v="4"/>
    <n v="8465002006"/>
    <s v="14558 Francisquito Ave."/>
    <s v="5+"/>
    <x v="0"/>
    <n v="0"/>
    <n v="0"/>
    <n v="0"/>
    <n v="0"/>
    <n v="0"/>
    <n v="0"/>
    <x v="0"/>
    <n v="0"/>
    <n v="53"/>
    <n v="0"/>
    <n v="0"/>
    <n v="0"/>
    <n v="0"/>
    <n v="0"/>
    <n v="0"/>
    <n v="0"/>
    <n v="0"/>
    <n v="0"/>
    <x v="0"/>
    <n v="55"/>
    <n v="0"/>
  </r>
  <r>
    <x v="15"/>
    <x v="2"/>
    <s v="008 065600100"/>
    <s v="88 GRAND AVE, OAKLAND, CA"/>
    <s v="5+"/>
    <x v="1"/>
    <n v="1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5"/>
    <x v="2"/>
    <n v="3006100603"/>
    <s v="1888 M L KING JR WY, Oakland, CA 94607"/>
    <s v="5+"/>
    <x v="0"/>
    <n v="0"/>
    <n v="0"/>
    <n v="0"/>
    <n v="0"/>
    <n v="0"/>
    <n v="0"/>
    <x v="0"/>
    <n v="0"/>
    <n v="0"/>
    <n v="0"/>
    <n v="9"/>
    <n v="0"/>
    <n v="0"/>
    <n v="0"/>
    <n v="0"/>
    <n v="0"/>
    <n v="0"/>
    <n v="0"/>
    <x v="0"/>
    <n v="55"/>
    <n v="0"/>
  </r>
  <r>
    <x v="15"/>
    <x v="2"/>
    <n v="12098602501"/>
    <s v="240 W MACARTHUR BLVD, Oakland, CA 94611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57"/>
    <x v="5"/>
    <n v="5006008026"/>
    <s v="5414 CRENSHAW BLVD"/>
    <s v="5+"/>
    <x v="0"/>
    <n v="0"/>
    <n v="0"/>
    <n v="0"/>
    <n v="0"/>
    <n v="0"/>
    <n v="0"/>
    <x v="24"/>
    <n v="0"/>
    <n v="26"/>
    <n v="0"/>
    <n v="0"/>
    <n v="1"/>
    <n v="0"/>
    <n v="0"/>
    <n v="0"/>
    <n v="0"/>
    <n v="0"/>
    <n v="0"/>
    <x v="0"/>
    <n v="55"/>
    <n v="0"/>
  </r>
  <r>
    <x v="57"/>
    <x v="5"/>
    <n v="5142023013"/>
    <s v="1532 CAMBRIA ST"/>
    <s v="5+"/>
    <x v="0"/>
    <n v="0"/>
    <n v="0"/>
    <n v="0"/>
    <n v="0"/>
    <n v="0"/>
    <n v="0"/>
    <x v="75"/>
    <n v="0"/>
    <n v="0"/>
    <n v="0"/>
    <n v="0"/>
    <n v="1"/>
    <n v="0"/>
    <n v="0"/>
    <n v="0"/>
    <n v="0"/>
    <n v="0"/>
    <n v="0"/>
    <x v="0"/>
    <n v="55"/>
    <n v="0"/>
  </r>
  <r>
    <x v="57"/>
    <x v="5"/>
    <n v="5068018013"/>
    <s v="1556 HI POINT ST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251"/>
    <x v="4"/>
    <s v="047-480-039"/>
    <s v="1580 C Street"/>
    <s v="5+"/>
    <x v="0"/>
    <n v="30"/>
    <n v="0"/>
    <n v="30"/>
    <n v="0"/>
    <n v="0"/>
    <n v="0"/>
    <x v="46"/>
    <n v="0"/>
    <n v="30"/>
    <n v="0"/>
    <n v="0"/>
    <n v="0"/>
    <n v="30"/>
    <n v="0"/>
    <n v="30"/>
    <n v="0"/>
    <n v="0"/>
    <n v="0"/>
    <x v="0"/>
    <n v="55"/>
    <n v="0"/>
  </r>
  <r>
    <x v="57"/>
    <x v="5"/>
    <n v="4334015037"/>
    <s v="426 ROBERTSON BLVD S  90048"/>
    <s v="5+"/>
    <x v="0"/>
    <n v="3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57"/>
    <x v="5"/>
    <n v="2335032012"/>
    <s v="6226 COLFAX AVE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57"/>
    <x v="5"/>
    <n v="4263023020"/>
    <s v="1301 WESTGATE AVE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5434017005"/>
    <s v="3160 RIVERSIDE DR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57"/>
    <x v="5"/>
    <n v="5522020011"/>
    <s v="4807 ELMWOOD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4006004011"/>
    <s v="6109 CRENSHAW BLVD"/>
    <s v="5+"/>
    <x v="0"/>
    <n v="0"/>
    <n v="0"/>
    <n v="0"/>
    <n v="0"/>
    <n v="0"/>
    <n v="0"/>
    <x v="25"/>
    <n v="0"/>
    <n v="0"/>
    <n v="0"/>
    <n v="0"/>
    <n v="0"/>
    <n v="0"/>
    <n v="0"/>
    <n v="0"/>
    <n v="0"/>
    <n v="0"/>
    <n v="0"/>
    <x v="0"/>
    <n v="55"/>
    <n v="0"/>
  </r>
  <r>
    <x v="57"/>
    <x v="5"/>
    <n v="2224004006"/>
    <s v="16026 SHERMAN WAY  W  91406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2260011001"/>
    <s v="16161 VENTURA BLVD W  91436"/>
    <s v="5+"/>
    <x v="0"/>
    <n v="1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544023023"/>
    <s v="5525 SUNSET BLVD W  90028"/>
    <s v="5+"/>
    <x v="0"/>
    <n v="2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094023027"/>
    <s v="923 KENMORE AVE  S  90006"/>
    <s v="5+"/>
    <x v="0"/>
    <n v="3"/>
    <n v="0"/>
    <n v="8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406016028"/>
    <s v="959 EVERETT ST   N  90026"/>
    <s v="5+"/>
    <x v="0"/>
    <n v="1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65"/>
    <x v="4"/>
    <s v="3107-012-905"/>
    <s v="45244 32nd Street West"/>
    <s v="5+"/>
    <x v="0"/>
    <n v="0"/>
    <n v="0"/>
    <n v="0"/>
    <n v="0"/>
    <n v="0"/>
    <n v="0"/>
    <x v="0"/>
    <n v="0"/>
    <n v="0"/>
    <n v="0"/>
    <n v="0"/>
    <n v="0"/>
    <n v="26"/>
    <n v="0"/>
    <n v="0"/>
    <n v="0"/>
    <n v="0"/>
    <n v="0"/>
    <x v="1"/>
    <n v="55"/>
    <n v="0"/>
  </r>
  <r>
    <x v="98"/>
    <x v="4"/>
    <s v="008-072-008,  008-072-009"/>
    <s v="810 33rd St"/>
    <s v="5+"/>
    <x v="0"/>
    <n v="0"/>
    <n v="0"/>
    <n v="0"/>
    <n v="0"/>
    <n v="0"/>
    <n v="0"/>
    <x v="0"/>
    <n v="0"/>
    <n v="0"/>
    <n v="0"/>
    <n v="0"/>
    <n v="0"/>
    <n v="3"/>
    <n v="0"/>
    <n v="1"/>
    <n v="0"/>
    <n v="0"/>
    <n v="0"/>
    <x v="0"/>
    <m/>
    <n v="0"/>
  </r>
  <r>
    <x v="98"/>
    <x v="4"/>
    <s v="008-072-008,  008-072-009"/>
    <s v="3208 Park St"/>
    <s v="5+"/>
    <x v="0"/>
    <n v="0"/>
    <n v="0"/>
    <n v="0"/>
    <n v="0"/>
    <n v="0"/>
    <n v="0"/>
    <x v="0"/>
    <n v="0"/>
    <n v="0"/>
    <n v="0"/>
    <n v="0"/>
    <n v="0"/>
    <n v="5"/>
    <n v="0"/>
    <n v="2"/>
    <n v="0"/>
    <n v="0"/>
    <n v="0"/>
    <x v="0"/>
    <m/>
    <n v="0"/>
  </r>
  <r>
    <x v="98"/>
    <x v="4"/>
    <s v="008-072-008,  008-072-009"/>
    <s v="3213 Pine St"/>
    <s v="5+"/>
    <x v="0"/>
    <n v="0"/>
    <n v="0"/>
    <n v="0"/>
    <n v="0"/>
    <n v="0"/>
    <n v="0"/>
    <x v="0"/>
    <n v="0"/>
    <n v="0"/>
    <n v="0"/>
    <n v="0"/>
    <n v="0"/>
    <n v="4"/>
    <n v="0"/>
    <n v="2"/>
    <n v="0"/>
    <n v="0"/>
    <n v="0"/>
    <x v="0"/>
    <m/>
    <n v="0"/>
  </r>
  <r>
    <x v="139"/>
    <x v="5"/>
    <s v="056-201-101"/>
    <s v="200 ELAINE'S WAY, AGUA CALIENTE CA"/>
    <s v="5+"/>
    <x v="0"/>
    <n v="0"/>
    <n v="0"/>
    <n v="0"/>
    <n v="0"/>
    <n v="0"/>
    <n v="0"/>
    <x v="2"/>
    <n v="0"/>
    <n v="7"/>
    <n v="0"/>
    <n v="0"/>
    <n v="0"/>
    <n v="3"/>
    <n v="0"/>
    <n v="7"/>
    <n v="0"/>
    <n v="0"/>
    <n v="0"/>
    <x v="0"/>
    <m/>
    <n v="0"/>
  </r>
  <r>
    <x v="139"/>
    <x v="5"/>
    <s v="056-201-101"/>
    <s v="500 LOUISE WAY, Sonoma CA 95476"/>
    <s v="5+"/>
    <x v="0"/>
    <n v="0"/>
    <n v="0"/>
    <n v="0"/>
    <n v="0"/>
    <n v="0"/>
    <n v="0"/>
    <x v="12"/>
    <n v="0"/>
    <n v="4"/>
    <n v="0"/>
    <n v="0"/>
    <n v="0"/>
    <n v="5"/>
    <n v="0"/>
    <n v="4"/>
    <n v="0"/>
    <n v="0"/>
    <n v="0"/>
    <x v="0"/>
    <m/>
    <n v="0"/>
  </r>
  <r>
    <x v="95"/>
    <x v="2"/>
    <n v="81712020"/>
    <s v="1170 VINTAGE LN"/>
    <s v="5+"/>
    <x v="0"/>
    <n v="0"/>
    <n v="0"/>
    <n v="0"/>
    <n v="0"/>
    <n v="0"/>
    <n v="0"/>
    <x v="0"/>
    <n v="0"/>
    <n v="0"/>
    <n v="0"/>
    <n v="0"/>
    <n v="0"/>
    <n v="1"/>
    <n v="0"/>
    <n v="1"/>
    <n v="0"/>
    <n v="0"/>
    <n v="12"/>
    <x v="1"/>
    <m/>
    <n v="0"/>
  </r>
  <r>
    <x v="95"/>
    <x v="2"/>
    <n v="81702067"/>
    <s v="16685 CHURCH ST"/>
    <s v="5+"/>
    <x v="0"/>
    <n v="41"/>
    <n v="0"/>
    <n v="4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65"/>
    <x v="4"/>
    <s v="3126-031-039"/>
    <s v="Street address not yet assigned"/>
    <s v="5+"/>
    <x v="0"/>
    <n v="0"/>
    <n v="0"/>
    <n v="8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149"/>
    <x v="2"/>
    <s v="TR 8180"/>
    <s v="4373 MODOC TER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8"/>
    <n v="0"/>
    <x v="1"/>
    <n v="30"/>
    <n v="0"/>
  </r>
  <r>
    <x v="152"/>
    <x v="4"/>
    <s v="151-022-09"/>
    <s v="1461 Novato Blvd"/>
    <s v="5+"/>
    <x v="0"/>
    <n v="0"/>
    <n v="0"/>
    <n v="0"/>
    <n v="0"/>
    <n v="0"/>
    <n v="0"/>
    <x v="2"/>
    <n v="0"/>
    <n v="2"/>
    <n v="0"/>
    <n v="0"/>
    <n v="0"/>
    <n v="0"/>
    <n v="0"/>
    <n v="0"/>
    <n v="0"/>
    <n v="0"/>
    <n v="0"/>
    <x v="1"/>
    <n v="1000"/>
    <n v="0"/>
  </r>
  <r>
    <x v="60"/>
    <x v="2"/>
    <s v="011-256-12"/>
    <s v="815 B Street"/>
    <s v="5+"/>
    <x v="0"/>
    <n v="0"/>
    <n v="0"/>
    <n v="0"/>
    <n v="0"/>
    <n v="0"/>
    <n v="0"/>
    <x v="5"/>
    <n v="0"/>
    <n v="2"/>
    <n v="0"/>
    <n v="0"/>
    <n v="0"/>
    <n v="0"/>
    <n v="0"/>
    <n v="0"/>
    <n v="0"/>
    <n v="0"/>
    <n v="0"/>
    <x v="0"/>
    <m/>
    <n v="0"/>
  </r>
  <r>
    <x v="60"/>
    <x v="2"/>
    <s v="011-275-01"/>
    <s v="980 Lincoln Avenue"/>
    <s v="5+"/>
    <x v="0"/>
    <n v="0"/>
    <n v="0"/>
    <n v="0"/>
    <n v="0"/>
    <n v="0"/>
    <n v="0"/>
    <x v="3"/>
    <n v="0"/>
    <n v="1"/>
    <n v="0"/>
    <n v="0"/>
    <n v="0"/>
    <n v="1"/>
    <n v="0"/>
    <n v="1"/>
    <n v="0"/>
    <n v="0"/>
    <n v="0"/>
    <x v="0"/>
    <m/>
    <n v="0"/>
  </r>
  <r>
    <x v="38"/>
    <x v="2"/>
    <s v="004-151-01"/>
    <s v="111 ERRETT CIR"/>
    <s v="5+"/>
    <x v="1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38"/>
    <x v="2"/>
    <s v="011-012-04"/>
    <s v="719 DARWIN ST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38"/>
    <x v="2"/>
    <s v="011-123-66"/>
    <s v="916 SEABRIGHT AVE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57"/>
    <x v="5"/>
    <n v="2350003059"/>
    <s v="5525 CASE AVE"/>
    <s v="5+"/>
    <x v="0"/>
    <n v="0"/>
    <n v="0"/>
    <n v="0"/>
    <n v="0"/>
    <n v="0"/>
    <n v="0"/>
    <x v="25"/>
    <n v="0"/>
    <n v="0"/>
    <n v="0"/>
    <n v="0"/>
    <n v="0"/>
    <n v="0"/>
    <n v="0"/>
    <n v="0"/>
    <n v="0"/>
    <n v="0"/>
    <n v="0"/>
    <x v="0"/>
    <n v="55"/>
    <n v="0"/>
  </r>
  <r>
    <x v="175"/>
    <x v="5"/>
    <n v="178091010"/>
    <s v="1860 Trinity Avenue"/>
    <s v="5+"/>
    <x v="0"/>
    <n v="0"/>
    <n v="0"/>
    <n v="0"/>
    <n v="0"/>
    <n v="0"/>
    <n v="0"/>
    <x v="24"/>
    <n v="0"/>
    <n v="2"/>
    <n v="0"/>
    <n v="0"/>
    <n v="0"/>
    <n v="0"/>
    <n v="0"/>
    <n v="0"/>
    <n v="0"/>
    <n v="0"/>
    <n v="0"/>
    <x v="0"/>
    <n v="55"/>
    <n v="0"/>
  </r>
  <r>
    <x v="66"/>
    <x v="2"/>
    <s v="4011-024-024"/>
    <s v="3320 W 85TH ST INGLEWOOD CA 90305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0"/>
    <x v="1"/>
    <n v="7280015097"/>
    <s v="335 Pacific Ave"/>
    <s v="5+"/>
    <x v="0"/>
    <n v="16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0"/>
    <x v="1"/>
    <n v="7267001906"/>
    <s v="1500 E ANAHEIM ST     LONG BEACH CA 90813"/>
    <s v="5+"/>
    <x v="0"/>
    <n v="0"/>
    <n v="0"/>
    <n v="0"/>
    <n v="0"/>
    <n v="0"/>
    <n v="0"/>
    <x v="0"/>
    <n v="0"/>
    <n v="0"/>
    <n v="0"/>
    <n v="0"/>
    <n v="0"/>
    <n v="0"/>
    <n v="0"/>
    <n v="88"/>
    <n v="0"/>
    <n v="0"/>
    <n v="0"/>
    <x v="0"/>
    <n v="55"/>
    <n v="35"/>
  </r>
  <r>
    <x v="152"/>
    <x v="2"/>
    <s v="157-970-04"/>
    <s v="801 STATE ACCESS RD"/>
    <s v="5+"/>
    <x v="0"/>
    <n v="0"/>
    <n v="0"/>
    <n v="0"/>
    <n v="0"/>
    <n v="0"/>
    <n v="0"/>
    <x v="0"/>
    <n v="0"/>
    <n v="0"/>
    <n v="0"/>
    <n v="0"/>
    <n v="0"/>
    <n v="5"/>
    <n v="0"/>
    <n v="4"/>
    <n v="0"/>
    <n v="0"/>
    <n v="0"/>
    <x v="1"/>
    <n v="99"/>
    <n v="0"/>
  </r>
  <r>
    <x v="212"/>
    <x v="5"/>
    <s v="073-330-022"/>
    <s v="10 Longshore Place"/>
    <s v="5+"/>
    <x v="0"/>
    <n v="0"/>
    <n v="0"/>
    <n v="0"/>
    <n v="0"/>
    <n v="0"/>
    <n v="0"/>
    <x v="0"/>
    <n v="0"/>
    <n v="0"/>
    <n v="0"/>
    <n v="0"/>
    <n v="0"/>
    <n v="0"/>
    <n v="0"/>
    <n v="30"/>
    <n v="0"/>
    <n v="0"/>
    <n v="0"/>
    <x v="1"/>
    <m/>
    <n v="0"/>
  </r>
  <r>
    <x v="212"/>
    <x v="5"/>
    <s v="073-330-022"/>
    <s v="11 Compass Lane"/>
    <s v="5+"/>
    <x v="0"/>
    <n v="0"/>
    <n v="0"/>
    <n v="0"/>
    <n v="0"/>
    <n v="0"/>
    <n v="0"/>
    <x v="0"/>
    <n v="0"/>
    <n v="0"/>
    <n v="0"/>
    <n v="0"/>
    <n v="0"/>
    <n v="0"/>
    <n v="0"/>
    <n v="16"/>
    <n v="0"/>
    <n v="0"/>
    <n v="0"/>
    <x v="1"/>
    <m/>
    <n v="0"/>
  </r>
  <r>
    <x v="112"/>
    <x v="1"/>
    <n v="43132043"/>
    <s v="2905 SANTA ROSA AVE"/>
    <s v="5+"/>
    <x v="0"/>
    <n v="0"/>
    <n v="0"/>
    <n v="0"/>
    <n v="0"/>
    <n v="0"/>
    <n v="0"/>
    <x v="59"/>
    <n v="0"/>
    <n v="68"/>
    <n v="0"/>
    <n v="52"/>
    <n v="0"/>
    <n v="0"/>
    <n v="0"/>
    <n v="0"/>
    <n v="0"/>
    <n v="0"/>
    <n v="0"/>
    <x v="0"/>
    <n v="55"/>
    <n v="35"/>
  </r>
  <r>
    <x v="112"/>
    <x v="1"/>
    <n v="173860023"/>
    <s v="619 SEMILLON LN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57"/>
    <x v="5"/>
    <n v="2409003049"/>
    <s v="10966 RATNER ST   W  91352"/>
    <s v="5+"/>
    <x v="0"/>
    <n v="7"/>
    <n v="0"/>
    <n v="36"/>
    <n v="0"/>
    <n v="0"/>
    <n v="0"/>
    <x v="24"/>
    <n v="0"/>
    <n v="0"/>
    <n v="0"/>
    <n v="0"/>
    <n v="1"/>
    <n v="0"/>
    <n v="0"/>
    <n v="0"/>
    <n v="0"/>
    <n v="0"/>
    <n v="0"/>
    <x v="0"/>
    <n v="55"/>
    <n v="0"/>
  </r>
  <r>
    <x v="57"/>
    <x v="5"/>
    <n v="2221021005"/>
    <s v="14912 WYANDOTTE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5423005003"/>
    <s v="1750 GLENDALE BLVD"/>
    <s v="5+"/>
    <x v="0"/>
    <n v="0"/>
    <n v="0"/>
    <n v="0"/>
    <n v="0"/>
    <n v="0"/>
    <n v="0"/>
    <x v="42"/>
    <n v="0"/>
    <n v="0"/>
    <n v="0"/>
    <n v="0"/>
    <n v="0"/>
    <n v="0"/>
    <n v="0"/>
    <n v="0"/>
    <n v="0"/>
    <n v="0"/>
    <n v="0"/>
    <x v="0"/>
    <n v="55"/>
    <n v="0"/>
  </r>
  <r>
    <x v="57"/>
    <x v="5"/>
    <n v="5471015050"/>
    <s v="767 AVENUE 50  N  90042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521011002"/>
    <s v="552 HOBART BLVD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5043002029"/>
    <s v="5315 ADAMS BLVD W  90016"/>
    <s v="5+"/>
    <x v="0"/>
    <n v="0"/>
    <n v="0"/>
    <n v="0"/>
    <n v="0"/>
    <n v="0"/>
    <n v="0"/>
    <x v="14"/>
    <n v="0"/>
    <n v="0"/>
    <n v="0"/>
    <n v="0"/>
    <n v="0"/>
    <n v="0"/>
    <n v="0"/>
    <n v="0"/>
    <n v="0"/>
    <n v="0"/>
    <n v="0"/>
    <x v="0"/>
    <n v="55"/>
    <n v="0"/>
  </r>
  <r>
    <x v="57"/>
    <x v="5"/>
    <n v="2239006030"/>
    <s v="13724 VICTORY BLVD W  91401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401008014"/>
    <s v="3415 BELLEVUE AVE  W  90026"/>
    <s v="5+"/>
    <x v="0"/>
    <n v="2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094017002"/>
    <s v="846 MARIPOSA AVE  S  90005"/>
    <s v="5+"/>
    <x v="0"/>
    <n v="5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2365013023"/>
    <s v="11408 SARAH ST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2423029028"/>
    <s v="10718 ACAMA ST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0"/>
    <n v="55"/>
    <n v="0"/>
  </r>
  <r>
    <x v="57"/>
    <x v="5"/>
    <n v="5085015032"/>
    <s v="1233 DUNSMUIR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2169026110"/>
    <s v="22121 CLARENDON ST"/>
    <s v="5+"/>
    <x v="0"/>
    <n v="0"/>
    <n v="0"/>
    <n v="0"/>
    <n v="0"/>
    <n v="0"/>
    <n v="0"/>
    <x v="4"/>
    <n v="0"/>
    <n v="0"/>
    <n v="0"/>
    <n v="0"/>
    <n v="0"/>
    <n v="0"/>
    <n v="0"/>
    <n v="0"/>
    <n v="0"/>
    <n v="0"/>
    <n v="0"/>
    <x v="0"/>
    <n v="55"/>
    <n v="0"/>
  </r>
  <r>
    <x v="57"/>
    <x v="5"/>
    <n v="5521004001"/>
    <s v="4864 MELROSE AVE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n v="0"/>
  </r>
  <r>
    <x v="57"/>
    <x v="5"/>
    <n v="2354012049"/>
    <s v="11445 RIVERSIDE DR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2353006015"/>
    <s v="11043 HARTSOOK ST   W  91601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4235002015"/>
    <s v="12607 PACIFIC AVE  W  90066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0"/>
    <s v="1755 3RD ST   E  90033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056004018"/>
    <s v="2261 14TH ST   W  90006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076006027"/>
    <s v="2501 OLYMPIC BLVD W  90006"/>
    <s v="5+"/>
    <x v="0"/>
    <n v="2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510005034"/>
    <s v="488 SAN VICENTE BLVD S  90048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2236011020"/>
    <s v="6569 VAN NUYS BLVD N  91401"/>
    <s v="5+"/>
    <x v="0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093008013"/>
    <s v="800 WESTERN AVE  S  90005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02"/>
    <x v="4"/>
    <s v="132-46-100"/>
    <s v="4115 EL CAMINO REAL"/>
    <s v="5+"/>
    <x v="1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23"/>
    <x v="3"/>
    <n v="19620067000"/>
    <s v="10701 Soaring Way"/>
    <s v="5+"/>
    <x v="0"/>
    <n v="0"/>
    <n v="0"/>
    <n v="18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57"/>
    <x v="5"/>
    <n v="5533026057"/>
    <s v="821 WILCOX AVE  N  90038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7"/>
    <x v="2"/>
    <s v="402-191-04"/>
    <s v="2116 E First St"/>
    <s v="5+"/>
    <x v="0"/>
    <n v="0"/>
    <n v="0"/>
    <n v="0"/>
    <n v="0"/>
    <n v="0"/>
    <n v="0"/>
    <x v="26"/>
    <n v="0"/>
    <n v="176"/>
    <n v="0"/>
    <n v="0"/>
    <n v="0"/>
    <n v="0"/>
    <n v="0"/>
    <n v="0"/>
    <n v="0"/>
    <n v="0"/>
    <n v="0"/>
    <x v="0"/>
    <n v="55"/>
    <n v="0"/>
  </r>
  <r>
    <x v="57"/>
    <x v="5"/>
    <n v="5533018001"/>
    <s v="901 VINE ST"/>
    <s v="5+"/>
    <x v="0"/>
    <n v="0"/>
    <n v="0"/>
    <n v="0"/>
    <n v="0"/>
    <n v="0"/>
    <n v="0"/>
    <x v="14"/>
    <n v="0"/>
    <n v="0"/>
    <n v="0"/>
    <n v="0"/>
    <n v="0"/>
    <n v="0"/>
    <n v="0"/>
    <n v="0"/>
    <n v="0"/>
    <n v="0"/>
    <n v="0"/>
    <x v="0"/>
    <n v="55"/>
    <n v="0"/>
  </r>
  <r>
    <x v="57"/>
    <x v="5"/>
    <n v="5086004008"/>
    <s v="1323 ORANGE GROVE AVE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0"/>
  </r>
  <r>
    <x v="57"/>
    <x v="5"/>
    <n v="4313008025"/>
    <s v="3618 DUNN DR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57"/>
    <x v="5"/>
    <n v="5093022011"/>
    <s v="800 HARVARD BLVD"/>
    <s v="5+"/>
    <x v="0"/>
    <n v="0"/>
    <n v="0"/>
    <n v="0"/>
    <n v="0"/>
    <n v="0"/>
    <n v="0"/>
    <x v="58"/>
    <n v="0"/>
    <n v="0"/>
    <n v="0"/>
    <n v="0"/>
    <n v="0"/>
    <n v="0"/>
    <n v="0"/>
    <n v="0"/>
    <n v="0"/>
    <n v="0"/>
    <n v="0"/>
    <x v="0"/>
    <n v="55"/>
    <n v="0"/>
  </r>
  <r>
    <x v="57"/>
    <x v="5"/>
    <n v="7418004008"/>
    <s v="221 E ST"/>
    <s v="5+"/>
    <x v="0"/>
    <n v="0"/>
    <n v="0"/>
    <n v="0"/>
    <n v="0"/>
    <n v="0"/>
    <n v="0"/>
    <x v="0"/>
    <n v="0"/>
    <n v="10"/>
    <n v="0"/>
    <n v="0"/>
    <n v="0"/>
    <n v="0"/>
    <n v="0"/>
    <n v="0"/>
    <n v="0"/>
    <n v="0"/>
    <n v="0"/>
    <x v="0"/>
    <n v="55"/>
    <n v="0"/>
  </r>
  <r>
    <x v="57"/>
    <x v="5"/>
    <n v="4108019029"/>
    <s v="8521 SEPULVEDA BLVD S  90045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532021030"/>
    <s v="1127 LAS PALMAS AVE"/>
    <s v="5+"/>
    <x v="0"/>
    <n v="0"/>
    <n v="0"/>
    <n v="0"/>
    <n v="0"/>
    <n v="0"/>
    <n v="0"/>
    <x v="89"/>
    <n v="0"/>
    <n v="0"/>
    <n v="0"/>
    <n v="110"/>
    <n v="0"/>
    <n v="0"/>
    <n v="0"/>
    <n v="0"/>
    <n v="0"/>
    <n v="0"/>
    <n v="0"/>
    <x v="0"/>
    <n v="55"/>
    <n v="0"/>
  </r>
  <r>
    <x v="57"/>
    <x v="5"/>
    <n v="5520024009"/>
    <s v="338 MARIPOSA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5528003040"/>
    <s v="714 SWEETZER AVE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4332025033"/>
    <s v="1051 CORNING ST   S  90035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4332022040"/>
    <s v="1226 BEDFORD S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4334016030"/>
    <s v="8555 COLGATE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2565013041"/>
    <s v="10140 HILLHAVEN AVE  N  91042"/>
    <s v="5+"/>
    <x v="0"/>
    <n v="4"/>
    <n v="0"/>
    <n v="4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160025001"/>
    <s v="1100 TEMPLE ST   W  90012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690006029"/>
    <s v="1332 COLORADO BLVD W  90041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077028006"/>
    <s v="2720 JAMES M. WOOD BLVD W  90006"/>
    <s v="5+"/>
    <x v="0"/>
    <n v="2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4110001004"/>
    <s v="6711 SEPULVEDA BLVD S  90045"/>
    <s v="5+"/>
    <x v="0"/>
    <n v="1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533026058"/>
    <s v="813 WILCOX AVE  N  90038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4"/>
    <x v="1"/>
    <s v="055236140"/>
    <s v="123 INDEPENDENCE DRIVE"/>
    <s v="5+"/>
    <x v="0"/>
    <n v="0"/>
    <n v="0"/>
    <n v="74"/>
    <n v="0"/>
    <n v="0"/>
    <n v="0"/>
    <x v="0"/>
    <n v="0"/>
    <n v="0"/>
    <n v="0"/>
    <n v="0"/>
    <n v="0"/>
    <n v="0"/>
    <n v="0"/>
    <n v="0"/>
    <n v="0"/>
    <n v="0"/>
    <n v="0"/>
    <x v="1"/>
    <n v="99"/>
    <n v="0"/>
  </r>
  <r>
    <x v="54"/>
    <x v="1"/>
    <s v="055242120"/>
    <s v="141 JEFFERSON DRIVE"/>
    <s v="5+"/>
    <x v="0"/>
    <n v="0"/>
    <n v="0"/>
    <n v="0"/>
    <n v="0"/>
    <n v="0"/>
    <n v="0"/>
    <x v="14"/>
    <n v="0"/>
    <n v="23"/>
    <n v="0"/>
    <n v="31"/>
    <n v="0"/>
    <n v="0"/>
    <n v="0"/>
    <n v="0"/>
    <n v="0"/>
    <n v="0"/>
    <n v="0"/>
    <x v="1"/>
    <n v="55"/>
    <n v="0"/>
  </r>
  <r>
    <x v="10"/>
    <x v="4"/>
    <s v="097-46-017"/>
    <s v="2300 Calle De Luna"/>
    <s v="5+"/>
    <x v="0"/>
    <n v="0"/>
    <n v="0"/>
    <n v="0"/>
    <n v="0"/>
    <n v="49"/>
    <n v="0"/>
    <x v="0"/>
    <n v="0"/>
    <n v="0"/>
    <n v="0"/>
    <n v="0"/>
    <n v="0"/>
    <n v="0"/>
    <n v="0"/>
    <n v="0"/>
    <n v="0"/>
    <n v="0"/>
    <n v="0"/>
    <x v="1"/>
    <m/>
    <n v="0"/>
  </r>
  <r>
    <x v="10"/>
    <x v="4"/>
    <s v="220-32-059"/>
    <s v="3035 El Camino Real"/>
    <s v="5+"/>
    <x v="1"/>
    <n v="0"/>
    <n v="0"/>
    <n v="0"/>
    <n v="0"/>
    <n v="4"/>
    <n v="0"/>
    <x v="0"/>
    <n v="0"/>
    <n v="0"/>
    <n v="0"/>
    <n v="0"/>
    <n v="0"/>
    <n v="0"/>
    <n v="0"/>
    <n v="0"/>
    <n v="0"/>
    <n v="0"/>
    <n v="0"/>
    <x v="1"/>
    <m/>
    <n v="0"/>
  </r>
  <r>
    <x v="82"/>
    <x v="3"/>
    <s v="037-231-23"/>
    <s v="2838 PARK AVE Ste 100 SOQUEL, CA 95073-2843"/>
    <s v="5+"/>
    <x v="0"/>
    <n v="0"/>
    <n v="0"/>
    <n v="0"/>
    <n v="0"/>
    <n v="0"/>
    <n v="0"/>
    <x v="66"/>
    <n v="0"/>
    <n v="1"/>
    <n v="0"/>
    <n v="0"/>
    <n v="0"/>
    <n v="0"/>
    <n v="0"/>
    <n v="0"/>
    <n v="0"/>
    <n v="0"/>
    <n v="0"/>
    <x v="0"/>
    <n v="1000"/>
    <n v="80"/>
  </r>
  <r>
    <x v="245"/>
    <x v="3"/>
    <s v="005-290-26"/>
    <s v="170 Ridge Road"/>
    <s v="5+"/>
    <x v="0"/>
    <n v="40"/>
    <n v="0"/>
    <n v="15"/>
    <n v="0"/>
    <n v="0"/>
    <n v="0"/>
    <x v="31"/>
    <n v="0"/>
    <n v="18"/>
    <n v="0"/>
    <n v="0"/>
    <n v="0"/>
    <n v="32"/>
    <n v="0"/>
    <n v="18"/>
    <n v="0"/>
    <n v="0"/>
    <n v="0"/>
    <x v="0"/>
    <n v="55"/>
    <n v="80"/>
  </r>
  <r>
    <x v="17"/>
    <x v="2"/>
    <s v="398-264-13"/>
    <s v="201 W Third St"/>
    <s v="5+"/>
    <x v="0"/>
    <n v="1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12"/>
    <x v="1"/>
    <n v="35063035"/>
    <s v="851 Brittain Ln"/>
    <s v="5+"/>
    <x v="1"/>
    <n v="0"/>
    <n v="0"/>
    <n v="0"/>
    <n v="0"/>
    <n v="8"/>
    <n v="0"/>
    <x v="0"/>
    <n v="0"/>
    <n v="0"/>
    <n v="0"/>
    <n v="0"/>
    <n v="0"/>
    <n v="0"/>
    <n v="0"/>
    <n v="0"/>
    <n v="0"/>
    <n v="0"/>
    <n v="0"/>
    <x v="0"/>
    <n v="55"/>
    <n v="6"/>
  </r>
  <r>
    <x v="112"/>
    <x v="1"/>
    <n v="173860017"/>
    <s v="659 SEMILLON LN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112"/>
    <x v="1"/>
    <n v="173850052"/>
    <s v="455 SEMILLON LN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112"/>
    <x v="1"/>
    <n v="173870040"/>
    <s v="493 UNOCAL PL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57"/>
    <x v="5"/>
    <n v="5523022012"/>
    <s v="647 BEACHWOOD DR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0"/>
  </r>
  <r>
    <x v="57"/>
    <x v="5"/>
    <n v="5522003006"/>
    <s v="667-671 WILTON PL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57"/>
    <x v="5"/>
    <n v="5546025003"/>
    <s v="6240 SUNSET BLVD"/>
    <s v="5+"/>
    <x v="0"/>
    <n v="0"/>
    <n v="0"/>
    <n v="0"/>
    <n v="0"/>
    <n v="0"/>
    <n v="0"/>
    <x v="25"/>
    <n v="0"/>
    <n v="0"/>
    <n v="0"/>
    <n v="0"/>
    <n v="0"/>
    <n v="0"/>
    <n v="0"/>
    <n v="0"/>
    <n v="0"/>
    <n v="0"/>
    <n v="0"/>
    <x v="0"/>
    <n v="55"/>
    <n v="0"/>
  </r>
  <r>
    <x v="57"/>
    <x v="5"/>
    <n v="4332019021"/>
    <s v="1101 BEDFORD DR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5522016116"/>
    <s v="5122 MAPLEWOOD AVE  W  90004"/>
    <s v="5+"/>
    <x v="0"/>
    <n v="2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6048004030"/>
    <s v="9543 COMPTON AVE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2565015132"/>
    <s v="10240 COMMERCE AVE  N  91042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57"/>
    <x v="5"/>
    <n v="7418004009"/>
    <s v="505 MARINE AVE"/>
    <s v="5+"/>
    <x v="0"/>
    <n v="0"/>
    <n v="0"/>
    <n v="0"/>
    <n v="0"/>
    <n v="0"/>
    <n v="0"/>
    <x v="0"/>
    <n v="0"/>
    <n v="17"/>
    <n v="0"/>
    <n v="0"/>
    <n v="0"/>
    <n v="0"/>
    <n v="0"/>
    <n v="0"/>
    <n v="0"/>
    <n v="0"/>
    <n v="0"/>
    <x v="0"/>
    <n v="55"/>
    <n v="0"/>
  </r>
  <r>
    <x v="57"/>
    <x v="5"/>
    <n v="5522019003"/>
    <s v="4749 ELMWOOD AVE  W  90004"/>
    <s v="5+"/>
    <x v="0"/>
    <n v="1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4332017014"/>
    <s v="1021 SHENANDOAH S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4313010033"/>
    <s v="3536 HUGHES AVE  S  90034"/>
    <s v="5+"/>
    <x v="0"/>
    <n v="0"/>
    <n v="0"/>
    <n v="0"/>
    <n v="0"/>
    <n v="4"/>
    <n v="0"/>
    <x v="0"/>
    <n v="0"/>
    <n v="0"/>
    <n v="0"/>
    <n v="4"/>
    <n v="0"/>
    <n v="0"/>
    <n v="0"/>
    <n v="0"/>
    <n v="0"/>
    <n v="0"/>
    <n v="0"/>
    <x v="0"/>
    <n v="55"/>
    <n v="0"/>
  </r>
  <r>
    <x v="57"/>
    <x v="5"/>
    <n v="4254024024"/>
    <s v="3355 OVERLAND AVE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57"/>
    <x v="5"/>
    <n v="2654008024"/>
    <s v="8837 BURNET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5076006025"/>
    <s v="2600 SAN MARINO ST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57"/>
    <x v="5"/>
    <n v="2138003020"/>
    <s v="7043-7047 JORDAN AVE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57"/>
    <x v="5"/>
    <n v="5533035019"/>
    <s v="718 HUDSON AVE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5493004005"/>
    <s v="6417 FIGUEROA S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4267034020"/>
    <s v="12431 ROCHESTER AVE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n v="55"/>
    <n v="0"/>
  </r>
  <r>
    <x v="57"/>
    <x v="5"/>
    <n v="4265015010"/>
    <s v="11837 MAYFIELD AVE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85"/>
    <x v="1"/>
    <s v="214-010-243"/>
    <s v="1111 Amethyst Ct.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5"/>
    <n v="0"/>
  </r>
  <r>
    <x v="31"/>
    <x v="0"/>
    <n v="30901006"/>
    <s v="166 E FREMONT AV"/>
    <s v="5+"/>
    <x v="1"/>
    <n v="0"/>
    <n v="0"/>
    <n v="0"/>
    <n v="0"/>
    <n v="6"/>
    <n v="0"/>
    <x v="0"/>
    <n v="0"/>
    <n v="0"/>
    <n v="0"/>
    <n v="0"/>
    <n v="0"/>
    <n v="0"/>
    <n v="0"/>
    <n v="0"/>
    <n v="0"/>
    <n v="0"/>
    <n v="0"/>
    <x v="0"/>
    <n v="30"/>
    <n v="0.5"/>
  </r>
  <r>
    <x v="31"/>
    <x v="0"/>
    <n v="-4623"/>
    <s v="1040 INDIAN WELLS AV 100"/>
    <s v="5+"/>
    <x v="0"/>
    <n v="0"/>
    <n v="0"/>
    <n v="0"/>
    <n v="0"/>
    <n v="0"/>
    <n v="0"/>
    <x v="21"/>
    <n v="0"/>
    <n v="0"/>
    <n v="0"/>
    <n v="0"/>
    <n v="0"/>
    <n v="0"/>
    <n v="0"/>
    <n v="0"/>
    <n v="0"/>
    <n v="0"/>
    <n v="0"/>
    <x v="0"/>
    <n v="55"/>
    <n v="4"/>
  </r>
  <r>
    <x v="31"/>
    <x v="0"/>
    <n v="-4783"/>
    <s v="380 CHARLES ST"/>
    <s v="5+"/>
    <x v="0"/>
    <n v="0"/>
    <n v="0"/>
    <n v="0"/>
    <n v="0"/>
    <n v="0"/>
    <n v="0"/>
    <x v="17"/>
    <n v="0"/>
    <n v="5"/>
    <n v="0"/>
    <n v="0"/>
    <n v="0"/>
    <n v="0"/>
    <n v="0"/>
    <n v="0"/>
    <n v="0"/>
    <n v="0"/>
    <n v="0"/>
    <x v="0"/>
    <n v="67"/>
    <s v="34.299999999999997"/>
  </r>
  <r>
    <x v="57"/>
    <x v="5"/>
    <n v="5503018008"/>
    <s v="4170 5TH ST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0"/>
  </r>
  <r>
    <x v="57"/>
    <x v="5"/>
    <n v="5546017014"/>
    <s v="1331 CAHUENGA BLVD"/>
    <s v="5+"/>
    <x v="0"/>
    <n v="0"/>
    <n v="0"/>
    <n v="0"/>
    <n v="0"/>
    <n v="0"/>
    <n v="0"/>
    <x v="0"/>
    <n v="0"/>
    <n v="0"/>
    <n v="0"/>
    <n v="20"/>
    <n v="0"/>
    <n v="0"/>
    <n v="0"/>
    <n v="0"/>
    <n v="0"/>
    <n v="0"/>
    <n v="0"/>
    <x v="0"/>
    <n v="55"/>
    <n v="0"/>
  </r>
  <r>
    <x v="57"/>
    <x v="5"/>
    <n v="5143020013"/>
    <s v="1237 7TH ST   W  90017"/>
    <s v="5+"/>
    <x v="0"/>
    <n v="3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2241013032"/>
    <s v="14558 ERWIN ST   W  91411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425017022"/>
    <s v="1620 WESTERLY TER  N  90026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544006053"/>
    <s v="1868 WESTERN AVE  N  90027"/>
    <s v="5+"/>
    <x v="0"/>
    <n v="1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154026008"/>
    <s v="451 BONNIE BRAE ST   S  90057"/>
    <s v="5+"/>
    <x v="0"/>
    <n v="2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0"/>
    <x v="4"/>
    <s v="230-46-061"/>
    <s v="1205 Coleman"/>
    <s v="5+"/>
    <x v="0"/>
    <n v="0"/>
    <n v="0"/>
    <n v="0"/>
    <n v="0"/>
    <n v="157"/>
    <n v="0"/>
    <x v="0"/>
    <n v="0"/>
    <n v="0"/>
    <n v="0"/>
    <n v="0"/>
    <n v="0"/>
    <n v="0"/>
    <n v="0"/>
    <n v="0"/>
    <n v="0"/>
    <n v="0"/>
    <n v="0"/>
    <x v="1"/>
    <m/>
    <n v="0"/>
  </r>
  <r>
    <x v="64"/>
    <x v="4"/>
    <s v="017-231-033-000"/>
    <s v="500 ROSEVILLE PW, BLDG 10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1"/>
    <n v="55"/>
    <n v="0"/>
  </r>
  <r>
    <x v="64"/>
    <x v="4"/>
    <s v="017-231-033-000"/>
    <s v="500 ROSEVILLE PW, BLDG 11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152"/>
    <x v="1"/>
    <s v="157-970-03"/>
    <s v="702 ROCKVIEW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152"/>
    <x v="1"/>
    <s v="157-970-03"/>
    <s v="709 ROCKVIEW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57"/>
    <x v="5"/>
    <n v="5547020003"/>
    <s v="6701 SUNSET BLVD W  90028"/>
    <s v="5+"/>
    <x v="0"/>
    <n v="10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52"/>
    <x v="2"/>
    <s v="06-700-220"/>
    <s v="9027 N St Bld 9  8 units"/>
    <s v="5+"/>
    <x v="0"/>
    <n v="1"/>
    <n v="0"/>
    <n v="7"/>
    <n v="0"/>
    <n v="0"/>
    <n v="0"/>
    <x v="3"/>
    <n v="0"/>
    <n v="7"/>
    <n v="0"/>
    <n v="0"/>
    <n v="0"/>
    <n v="1"/>
    <n v="0"/>
    <n v="7"/>
    <n v="0"/>
    <n v="0"/>
    <n v="0"/>
    <x v="1"/>
    <n v="55"/>
    <n v="0"/>
  </r>
  <r>
    <x v="15"/>
    <x v="5"/>
    <s v="014 122600902"/>
    <s v="5110 TELEGRAPH AVE"/>
    <s v="5+"/>
    <x v="0"/>
    <n v="0"/>
    <n v="0"/>
    <n v="0"/>
    <n v="0"/>
    <n v="0"/>
    <n v="0"/>
    <x v="84"/>
    <n v="0"/>
    <n v="0"/>
    <n v="0"/>
    <n v="0"/>
    <n v="0"/>
    <n v="0"/>
    <n v="0"/>
    <n v="0"/>
    <n v="0"/>
    <n v="0"/>
    <n v="0"/>
    <x v="0"/>
    <n v="55"/>
    <n v="0"/>
  </r>
  <r>
    <x v="64"/>
    <x v="4"/>
    <s v="017-231-033-000"/>
    <s v="500 ROSEVILLE PW, BLDG 6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1"/>
    <n v="55"/>
    <n v="0"/>
  </r>
  <r>
    <x v="64"/>
    <x v="4"/>
    <s v="017-231-033-000"/>
    <s v="500 ROSEVILLE PW, BLDG 8"/>
    <s v="5+"/>
    <x v="0"/>
    <n v="0"/>
    <n v="0"/>
    <n v="0"/>
    <n v="0"/>
    <n v="0"/>
    <n v="0"/>
    <x v="0"/>
    <n v="0"/>
    <n v="0"/>
    <n v="0"/>
    <n v="0"/>
    <n v="0"/>
    <n v="6"/>
    <n v="0"/>
    <n v="0"/>
    <n v="0"/>
    <n v="0"/>
    <n v="0"/>
    <x v="1"/>
    <n v="55"/>
    <n v="0"/>
  </r>
  <r>
    <x v="218"/>
    <x v="0"/>
    <s v="067-040-12"/>
    <s v="400 W. Mojave View Avenue"/>
    <s v="5+"/>
    <x v="0"/>
    <n v="0"/>
    <n v="0"/>
    <n v="0"/>
    <n v="0"/>
    <n v="0"/>
    <n v="0"/>
    <x v="53"/>
    <n v="0"/>
    <n v="25"/>
    <n v="0"/>
    <n v="0"/>
    <n v="0"/>
    <n v="0"/>
    <n v="0"/>
    <n v="0"/>
    <n v="0"/>
    <n v="0"/>
    <n v="0"/>
    <x v="0"/>
    <n v="50"/>
    <n v="25"/>
  </r>
  <r>
    <x v="133"/>
    <x v="4"/>
    <n v="7407008016"/>
    <s v="22801 S Vermont Avenue, Torrance CA 90502"/>
    <s v="5+"/>
    <x v="0"/>
    <n v="63"/>
    <n v="0"/>
    <n v="4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53"/>
    <x v="5"/>
    <s v="069261440"/>
    <s v="1811 WOODSIDE RD, REDWOOD CITY, CA"/>
    <s v="5+"/>
    <x v="0"/>
    <n v="0"/>
    <n v="0"/>
    <n v="0"/>
    <n v="0"/>
    <n v="0"/>
    <n v="0"/>
    <x v="0"/>
    <n v="0"/>
    <n v="0"/>
    <n v="0"/>
    <n v="0"/>
    <n v="0"/>
    <n v="0"/>
    <n v="0"/>
    <n v="2"/>
    <n v="0"/>
    <n v="0"/>
    <n v="0"/>
    <x v="1"/>
    <n v="55"/>
    <n v="0"/>
  </r>
  <r>
    <x v="44"/>
    <x v="2"/>
    <s v="26138001; 26138004; 26138005; 26138030; 26138047; 26138048; 26138049"/>
    <s v="0 MCEVOY ST SAN JOSE, CA 95126-0000; 254 MCEVOY ST SAN JOSE, CA 95126-4835; 277 DUPONT ST SAN JOSE, CA 95126-4809; 258 MCEVOY ST SAN JOSE, CA 95126-4835; 699 W SAN CARLOS ST SAN JOSE, CA 95126-4807"/>
    <s v="5+"/>
    <x v="0"/>
    <n v="108"/>
    <n v="0"/>
    <n v="253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80"/>
    <x v="1"/>
    <s v="402-166-030"/>
    <s v="811 San Pablo Ave"/>
    <s v="5+"/>
    <x v="0"/>
    <n v="26"/>
    <n v="0"/>
    <n v="7"/>
    <n v="0"/>
    <n v="0"/>
    <n v="0"/>
    <x v="4"/>
    <n v="0"/>
    <n v="7"/>
    <n v="0"/>
    <n v="0"/>
    <n v="0"/>
    <n v="0"/>
    <n v="0"/>
    <n v="0"/>
    <n v="0"/>
    <n v="0"/>
    <n v="0"/>
    <x v="0"/>
    <n v="55"/>
    <s v="73.700000000000003"/>
  </r>
  <r>
    <x v="44"/>
    <x v="4"/>
    <n v="29638013"/>
    <s v="4360 STEVENS CREEK BL"/>
    <s v="5+"/>
    <x v="0"/>
    <n v="0"/>
    <n v="0"/>
    <n v="88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254"/>
    <x v="4"/>
    <s v="085-150-047"/>
    <s v="109 S Third St"/>
    <s v="5+"/>
    <x v="0"/>
    <n v="1"/>
    <n v="0"/>
    <n v="1"/>
    <n v="0"/>
    <n v="1"/>
    <n v="0"/>
    <x v="0"/>
    <n v="0"/>
    <n v="0"/>
    <n v="0"/>
    <n v="0"/>
    <n v="0"/>
    <n v="0"/>
    <n v="0"/>
    <n v="0"/>
    <n v="0"/>
    <n v="0"/>
    <n v="0"/>
    <x v="0"/>
    <n v="55"/>
    <n v="0"/>
  </r>
  <r>
    <x v="254"/>
    <x v="4"/>
    <s v="085-150-089"/>
    <s v="1401 E Cypress Ave"/>
    <s v="5+"/>
    <x v="0"/>
    <n v="1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02"/>
    <x v="0"/>
    <s v="132-46-100"/>
    <s v="4115 EL CAMINO REAL"/>
    <s v="5+"/>
    <x v="1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4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1"/>
    <n v="55"/>
    <n v="0"/>
  </r>
  <r>
    <x v="64"/>
    <x v="4"/>
    <s v="017-231-033-000"/>
    <s v="500 ROSEVILLE PW, BLDG 9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1"/>
    <n v="55"/>
    <n v="0"/>
  </r>
  <r>
    <x v="64"/>
    <x v="4"/>
    <s v="011-146-018-000"/>
    <s v="140 MAIN ST"/>
    <s v="5+"/>
    <x v="0"/>
    <n v="0"/>
    <n v="0"/>
    <n v="0"/>
    <n v="0"/>
    <n v="0"/>
    <n v="0"/>
    <x v="89"/>
    <n v="0"/>
    <n v="6"/>
    <n v="0"/>
    <n v="0"/>
    <n v="0"/>
    <n v="0"/>
    <n v="0"/>
    <n v="0"/>
    <n v="0"/>
    <n v="0"/>
    <n v="0"/>
    <x v="1"/>
    <n v="55"/>
    <n v="0"/>
  </r>
  <r>
    <x v="45"/>
    <x v="1"/>
    <n v="148170001"/>
    <s v="3010 DEL HOMBRE WALNUT CREEK, CA"/>
    <s v="5+"/>
    <x v="0"/>
    <n v="0"/>
    <n v="0"/>
    <n v="0"/>
    <n v="0"/>
    <n v="0"/>
    <n v="0"/>
    <x v="28"/>
    <n v="0"/>
    <n v="0"/>
    <n v="0"/>
    <n v="24"/>
    <n v="0"/>
    <n v="12"/>
    <n v="0"/>
    <n v="0"/>
    <n v="0"/>
    <n v="24"/>
    <n v="0"/>
    <x v="0"/>
    <n v="55"/>
    <n v="20"/>
  </r>
  <r>
    <x v="139"/>
    <x v="5"/>
    <s v="058-050-042"/>
    <s v="4420 Old Redwood Hwy Santa Rosa 95403"/>
    <s v="5+"/>
    <x v="0"/>
    <n v="0"/>
    <n v="0"/>
    <n v="6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39"/>
    <x v="5"/>
    <s v="039-012-055"/>
    <s v="5354 OLD REDWOOD HWY, WINDSOR (COUNTY) CA"/>
    <s v="5+"/>
    <x v="0"/>
    <n v="0"/>
    <n v="0"/>
    <n v="0"/>
    <n v="0"/>
    <n v="0"/>
    <n v="0"/>
    <x v="2"/>
    <n v="0"/>
    <n v="5"/>
    <n v="0"/>
    <n v="0"/>
    <n v="0"/>
    <n v="3"/>
    <n v="0"/>
    <n v="5"/>
    <n v="0"/>
    <n v="0"/>
    <n v="0"/>
    <x v="0"/>
    <m/>
    <n v="0"/>
  </r>
  <r>
    <x v="139"/>
    <x v="5"/>
    <s v="058-050-042"/>
    <s v="4496 Old Redwood Hwy"/>
    <s v="5+"/>
    <x v="0"/>
    <n v="0"/>
    <n v="0"/>
    <n v="0"/>
    <n v="0"/>
    <n v="0"/>
    <n v="0"/>
    <x v="0"/>
    <n v="0"/>
    <n v="6"/>
    <n v="0"/>
    <n v="0"/>
    <n v="0"/>
    <n v="0"/>
    <n v="0"/>
    <n v="0"/>
    <n v="0"/>
    <n v="0"/>
    <n v="0"/>
    <x v="0"/>
    <n v="55"/>
    <n v="0"/>
  </r>
  <r>
    <x v="45"/>
    <x v="1"/>
    <n v="357151002"/>
    <s v="375 PARKER AVE, RODEO, CA"/>
    <s v="5+"/>
    <x v="0"/>
    <n v="0"/>
    <n v="0"/>
    <n v="0"/>
    <n v="0"/>
    <n v="0"/>
    <n v="0"/>
    <x v="3"/>
    <n v="0"/>
    <n v="2"/>
    <n v="0"/>
    <n v="0"/>
    <n v="0"/>
    <n v="0"/>
    <n v="0"/>
    <n v="0"/>
    <n v="0"/>
    <n v="0"/>
    <n v="0"/>
    <x v="0"/>
    <n v="55"/>
    <n v="38"/>
  </r>
  <r>
    <x v="255"/>
    <x v="4"/>
    <s v="0131-021-40"/>
    <m/>
    <s v="5+"/>
    <x v="0"/>
    <n v="0"/>
    <n v="55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22"/>
    <x v="4"/>
    <s v="8575-019-902"/>
    <s v="3650 Center"/>
    <s v="5+"/>
    <x v="0"/>
    <n v="0"/>
    <n v="0"/>
    <n v="5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91"/>
    <x v="2"/>
    <s v="179-022-01, 02, 05, 06, 07, 24, 23, 25"/>
    <s v="501-515 S. Santa Fe Avenue"/>
    <s v="5+"/>
    <x v="0"/>
    <n v="0"/>
    <n v="0"/>
    <n v="0"/>
    <n v="0"/>
    <n v="0"/>
    <n v="0"/>
    <x v="0"/>
    <n v="0"/>
    <n v="59"/>
    <n v="0"/>
    <n v="0"/>
    <n v="0"/>
    <n v="0"/>
    <n v="0"/>
    <n v="0"/>
    <n v="0"/>
    <n v="0"/>
    <n v="0"/>
    <x v="0"/>
    <n v="99"/>
    <n v="0"/>
  </r>
  <r>
    <x v="91"/>
    <x v="2"/>
    <n v="1753233300"/>
    <s v="815 Civic Center Drive"/>
    <s v="5+"/>
    <x v="0"/>
    <n v="0"/>
    <n v="0"/>
    <n v="0"/>
    <n v="0"/>
    <n v="0"/>
    <n v="0"/>
    <x v="0"/>
    <n v="0"/>
    <n v="0"/>
    <n v="0"/>
    <n v="0"/>
    <n v="0"/>
    <n v="60"/>
    <n v="0"/>
    <n v="20"/>
    <n v="0"/>
    <n v="0"/>
    <n v="0"/>
    <x v="0"/>
    <n v="55"/>
    <n v="0"/>
  </r>
  <r>
    <x v="29"/>
    <x v="4"/>
    <s v="6224-007-002 &amp; 6224-006-016"/>
    <s v="4302-4312 Elizabeth Street"/>
    <s v="5+"/>
    <x v="0"/>
    <n v="6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1000"/>
    <n v="0"/>
  </r>
  <r>
    <x v="151"/>
    <x v="2"/>
    <s v="137520070; 137520064; 137520066; 137520067; 137520069; 137520060; 137520075"/>
    <s v="1412 Mauro Pietro"/>
    <s v="5+"/>
    <x v="1"/>
    <n v="0"/>
    <n v="0"/>
    <n v="0"/>
    <n v="0"/>
    <n v="0"/>
    <n v="0"/>
    <x v="0"/>
    <n v="0"/>
    <n v="3"/>
    <n v="0"/>
    <n v="0"/>
    <n v="0"/>
    <n v="0"/>
    <n v="0"/>
    <n v="0"/>
    <n v="0"/>
    <n v="0"/>
    <n v="0"/>
    <x v="1"/>
    <m/>
    <n v="0"/>
  </r>
  <r>
    <x v="116"/>
    <x v="4"/>
    <n v="2200320500"/>
    <s v="604 W RICHMAR AVE"/>
    <s v="5+"/>
    <x v="0"/>
    <n v="64"/>
    <n v="0"/>
    <n v="35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59"/>
    <x v="4"/>
    <s v="5722-030-021"/>
    <s v="178 S EUCLID AVE"/>
    <s v="5+"/>
    <x v="1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1"/>
    <n v="55"/>
    <n v="0"/>
  </r>
  <r>
    <x v="159"/>
    <x v="4"/>
    <s v="5726-010-042"/>
    <s v="690 N Orange Grove Blvd"/>
    <s v="5+"/>
    <x v="0"/>
    <n v="0"/>
    <n v="0"/>
    <n v="8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59"/>
    <x v="4"/>
    <s v="5752-023-039"/>
    <s v="3202 E Foothill Blvd"/>
    <s v="5+"/>
    <x v="0"/>
    <n v="0"/>
    <n v="0"/>
    <n v="46"/>
    <n v="0"/>
    <n v="23"/>
    <n v="0"/>
    <x v="0"/>
    <n v="0"/>
    <n v="0"/>
    <n v="0"/>
    <n v="0"/>
    <n v="0"/>
    <n v="0"/>
    <n v="0"/>
    <n v="0"/>
    <n v="0"/>
    <n v="0"/>
    <n v="0"/>
    <x v="1"/>
    <n v="55"/>
    <n v="0"/>
  </r>
  <r>
    <x v="112"/>
    <x v="0"/>
    <n v="43132043"/>
    <s v="2905 SANTA ROSA AVE"/>
    <s v="5+"/>
    <x v="0"/>
    <n v="0"/>
    <n v="0"/>
    <n v="0"/>
    <n v="0"/>
    <n v="0"/>
    <n v="0"/>
    <x v="0"/>
    <n v="34"/>
    <n v="35"/>
    <n v="33"/>
    <n v="50"/>
    <n v="2"/>
    <n v="0"/>
    <n v="0"/>
    <n v="0"/>
    <n v="0"/>
    <n v="0"/>
    <n v="0"/>
    <x v="0"/>
    <n v="55"/>
    <n v="35"/>
  </r>
  <r>
    <x v="64"/>
    <x v="4"/>
    <s v="017-231-033-000"/>
    <s v="500 ROSEVILLE PW, BLDG 13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1"/>
    <n v="55"/>
    <n v="0"/>
  </r>
  <r>
    <x v="33"/>
    <x v="4"/>
    <s v="S.B.E. 200-41-1 (1 Adrian Ct) &amp; 200-4-6 (45 Adrian Ct)"/>
    <s v="1 &amp; 45 Adrian Court"/>
    <s v="5+"/>
    <x v="0"/>
    <n v="0"/>
    <n v="0"/>
    <n v="38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20"/>
    <x v="5"/>
    <s v="038-260-059"/>
    <s v="801 S Corcoran BLD 4C"/>
    <s v="5+"/>
    <x v="0"/>
    <n v="0"/>
    <n v="0"/>
    <n v="0"/>
    <n v="0"/>
    <n v="0"/>
    <n v="0"/>
    <x v="0"/>
    <n v="0"/>
    <n v="8"/>
    <n v="0"/>
    <n v="0"/>
    <n v="0"/>
    <n v="0"/>
    <n v="0"/>
    <n v="0"/>
    <n v="0"/>
    <n v="0"/>
    <n v="0"/>
    <x v="1"/>
    <n v="30"/>
    <n v="0"/>
  </r>
  <r>
    <x v="169"/>
    <x v="2"/>
    <s v="044-062-033"/>
    <s v="4190 Soscol Ave"/>
    <s v="5+"/>
    <x v="0"/>
    <n v="0"/>
    <n v="0"/>
    <n v="0"/>
    <n v="0"/>
    <n v="0"/>
    <n v="0"/>
    <x v="46"/>
    <n v="0"/>
    <n v="20"/>
    <n v="0"/>
    <n v="0"/>
    <n v="0"/>
    <n v="0"/>
    <n v="0"/>
    <n v="0"/>
    <n v="0"/>
    <n v="0"/>
    <n v="0"/>
    <x v="0"/>
    <n v="55"/>
    <n v="0"/>
  </r>
  <r>
    <x v="120"/>
    <x v="2"/>
    <n v="58049129"/>
    <s v="1103 HAMAL"/>
    <s v="5+"/>
    <x v="0"/>
    <n v="0"/>
    <n v="0"/>
    <n v="0"/>
    <n v="0"/>
    <n v="0"/>
    <n v="0"/>
    <x v="0"/>
    <n v="0"/>
    <n v="0"/>
    <n v="0"/>
    <n v="0"/>
    <n v="0"/>
    <n v="95"/>
    <n v="0"/>
    <n v="0"/>
    <n v="0"/>
    <n v="1"/>
    <n v="0"/>
    <x v="0"/>
    <n v="1000"/>
    <n v="0"/>
  </r>
  <r>
    <x v="175"/>
    <x v="5"/>
    <n v="178411017"/>
    <s v="1910 N MAIN ST"/>
    <s v="5+"/>
    <x v="0"/>
    <n v="1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0"/>
    <x v="1"/>
    <n v="7281023013"/>
    <s v="615 E. Ocean Blvd"/>
    <s v="5+"/>
    <x v="0"/>
    <n v="1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40"/>
  </r>
  <r>
    <x v="0"/>
    <x v="1"/>
    <n v="7274015054"/>
    <s v="912-946 Linden Ave"/>
    <s v="5+"/>
    <x v="0"/>
    <n v="0"/>
    <n v="0"/>
    <n v="99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3"/>
    <x v="5"/>
    <s v="045-316-075"/>
    <s v="9380 CIELO AZUL C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0"/>
    <n v="30"/>
    <n v="0"/>
  </r>
  <r>
    <x v="78"/>
    <x v="0"/>
    <n v="41208065"/>
    <s v="300 RAILWAY AVE"/>
    <s v="5+"/>
    <x v="0"/>
    <n v="0"/>
    <n v="0"/>
    <n v="0"/>
    <n v="0"/>
    <n v="0"/>
    <n v="0"/>
    <x v="0"/>
    <n v="0"/>
    <n v="0"/>
    <n v="0"/>
    <n v="0"/>
    <n v="0"/>
    <n v="7"/>
    <n v="0"/>
    <n v="0"/>
    <n v="0"/>
    <n v="0"/>
    <n v="0"/>
    <x v="0"/>
    <n v="55"/>
    <n v="0"/>
  </r>
  <r>
    <x v="251"/>
    <x v="2"/>
    <s v="047-320-103"/>
    <s v="350 South 18th Street"/>
    <s v="5+"/>
    <x v="0"/>
    <n v="40"/>
    <n v="0"/>
    <n v="35"/>
    <n v="0"/>
    <n v="0"/>
    <n v="0"/>
    <x v="98"/>
    <n v="0"/>
    <n v="35"/>
    <n v="0"/>
    <n v="0"/>
    <n v="0"/>
    <n v="40"/>
    <n v="0"/>
    <n v="35"/>
    <n v="0"/>
    <n v="0"/>
    <n v="0"/>
    <x v="0"/>
    <m/>
    <n v="0"/>
  </r>
  <r>
    <x v="74"/>
    <x v="4"/>
    <n v="37546148"/>
    <s v="1249 E Katella Ave"/>
    <s v="5+"/>
    <x v="0"/>
    <n v="0"/>
    <n v="0"/>
    <n v="74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96"/>
    <x v="4"/>
    <n v="44310410"/>
    <s v="3039 N BLACKSTONE AVE"/>
    <s v="5+"/>
    <x v="0"/>
    <n v="0"/>
    <n v="0"/>
    <n v="41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32"/>
    <x v="1"/>
    <s v="4291-022003-"/>
    <s v="710  BROADWAY"/>
    <s v="5+"/>
    <x v="0"/>
    <n v="0"/>
    <n v="0"/>
    <n v="0"/>
    <n v="0"/>
    <n v="0"/>
    <n v="0"/>
    <x v="31"/>
    <n v="0"/>
    <n v="25"/>
    <n v="0"/>
    <n v="27"/>
    <n v="0"/>
    <n v="0"/>
    <n v="0"/>
    <n v="0"/>
    <n v="0"/>
    <n v="0"/>
    <n v="0"/>
    <x v="1"/>
    <n v="55"/>
    <n v="0"/>
  </r>
  <r>
    <x v="0"/>
    <x v="1"/>
    <n v="7280005025"/>
    <s v="450 The Promenade North/501-599 Long Beach Blvd."/>
    <s v="5+"/>
    <x v="0"/>
    <n v="54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12"/>
    <x v="1"/>
    <n v="44041096"/>
    <s v="500 KAWANA SPRINGS RD"/>
    <s v="5+"/>
    <x v="0"/>
    <n v="0"/>
    <n v="0"/>
    <n v="0"/>
    <n v="0"/>
    <n v="0"/>
    <n v="0"/>
    <x v="64"/>
    <n v="0"/>
    <n v="67"/>
    <n v="0"/>
    <n v="15"/>
    <n v="0"/>
    <n v="0"/>
    <n v="0"/>
    <n v="0"/>
    <n v="0"/>
    <n v="0"/>
    <n v="0"/>
    <x v="0"/>
    <n v="55"/>
    <n v="100"/>
  </r>
  <r>
    <x v="112"/>
    <x v="1"/>
    <n v="173860032"/>
    <s v="639 SEMILLON LN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57"/>
    <x v="5"/>
    <n v="2241013013"/>
    <s v="14540 ERWIN ST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n v="0"/>
  </r>
  <r>
    <x v="57"/>
    <x v="5"/>
    <n v="5536004012"/>
    <s v="5639 LEXINGTON AVE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57"/>
    <x v="5"/>
    <n v="2338028034"/>
    <s v="5610 CAMELLIA AVE  N  91601"/>
    <s v="5+"/>
    <x v="0"/>
    <n v="6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n v="0"/>
  </r>
  <r>
    <x v="57"/>
    <x v="5"/>
    <n v="4260034024"/>
    <s v="11588 PICO BLVD W  90064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2317017002"/>
    <s v="7401 LANKERSHIM BLVD N  91605"/>
    <s v="5+"/>
    <x v="0"/>
    <n v="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6003030013"/>
    <s v="6211 VERMONT AVE"/>
    <s v="5+"/>
    <x v="0"/>
    <n v="0"/>
    <n v="0"/>
    <n v="0"/>
    <n v="0"/>
    <n v="0"/>
    <n v="0"/>
    <x v="0"/>
    <n v="0"/>
    <n v="15"/>
    <n v="0"/>
    <n v="0"/>
    <n v="0"/>
    <n v="0"/>
    <n v="0"/>
    <n v="0"/>
    <n v="0"/>
    <n v="0"/>
    <n v="0"/>
    <x v="0"/>
    <n v="55"/>
    <n v="0"/>
  </r>
  <r>
    <x v="57"/>
    <x v="5"/>
    <n v="2350010016"/>
    <s v="11525 CHANDLER BLVD"/>
    <s v="5+"/>
    <x v="0"/>
    <n v="0"/>
    <n v="0"/>
    <n v="0"/>
    <n v="0"/>
    <n v="0"/>
    <n v="0"/>
    <x v="0"/>
    <n v="0"/>
    <n v="3"/>
    <n v="0"/>
    <n v="3"/>
    <n v="0"/>
    <n v="0"/>
    <n v="0"/>
    <n v="0"/>
    <n v="0"/>
    <n v="0"/>
    <n v="0"/>
    <x v="0"/>
    <n v="55"/>
    <n v="0"/>
  </r>
  <r>
    <x v="57"/>
    <x v="5"/>
    <n v="2764013011"/>
    <s v="9131 DARBY AVE"/>
    <s v="5+"/>
    <x v="0"/>
    <n v="0"/>
    <n v="0"/>
    <n v="0"/>
    <n v="0"/>
    <n v="0"/>
    <n v="0"/>
    <x v="84"/>
    <n v="0"/>
    <n v="0"/>
    <n v="0"/>
    <n v="0"/>
    <n v="0"/>
    <n v="0"/>
    <n v="0"/>
    <n v="0"/>
    <n v="0"/>
    <n v="0"/>
    <n v="0"/>
    <x v="0"/>
    <n v="55"/>
    <n v="0"/>
  </r>
  <r>
    <x v="57"/>
    <x v="5"/>
    <n v="2350007065"/>
    <s v="11433 ALBERS ST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n v="0"/>
  </r>
  <r>
    <x v="57"/>
    <x v="5"/>
    <n v="5547009024"/>
    <s v="1718 LAS PALMAS AVE"/>
    <s v="5+"/>
    <x v="0"/>
    <n v="0"/>
    <n v="0"/>
    <n v="0"/>
    <n v="0"/>
    <n v="0"/>
    <n v="0"/>
    <x v="35"/>
    <n v="0"/>
    <n v="0"/>
    <n v="0"/>
    <n v="0"/>
    <n v="0"/>
    <n v="0"/>
    <n v="0"/>
    <n v="0"/>
    <n v="0"/>
    <n v="0"/>
    <n v="0"/>
    <x v="0"/>
    <n v="55"/>
    <n v="0"/>
  </r>
  <r>
    <x v="57"/>
    <x v="5"/>
    <n v="5068021007"/>
    <s v="1545 FAIRFAX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57"/>
    <x v="5"/>
    <n v="4313003029"/>
    <s v="3672 JASMINE AVE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57"/>
    <x v="5"/>
    <n v="5537002027"/>
    <s v="1276 WESTERN AVE  N  90029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2239023014"/>
    <s v="13713 OXNARD ST   W  91401"/>
    <s v="5+"/>
    <x v="1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4116007069"/>
    <s v="138 CULVER BLVD E  90293"/>
    <s v="5+"/>
    <x v="1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2135038011"/>
    <s v="20126 SHERMAN WAY  W  91306"/>
    <s v="5+"/>
    <x v="0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502025016"/>
    <s v="631 VERMONT AVE  S  90010"/>
    <s v="5+"/>
    <x v="1"/>
    <n v="2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141007016"/>
    <s v="668 CORONADO ST   S  90057"/>
    <s v="5+"/>
    <x v="0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532017020"/>
    <s v="6909 SANTA MONICA BLVD W  90038"/>
    <s v="5+"/>
    <x v="0"/>
    <n v="1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2119020901"/>
    <s v="7227 CANBY AVE  N  91335"/>
    <s v="5+"/>
    <x v="0"/>
    <n v="3"/>
    <n v="0"/>
    <n v="23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5"/>
    <n v="5511003024"/>
    <s v="8000 BEVERLY BLVD W  90048"/>
    <s v="5+"/>
    <x v="0"/>
    <n v="6"/>
    <n v="0"/>
    <n v="0"/>
    <n v="0"/>
    <n v="2"/>
    <n v="0"/>
    <x v="0"/>
    <n v="0"/>
    <n v="0"/>
    <n v="0"/>
    <n v="0"/>
    <n v="0"/>
    <n v="0"/>
    <n v="0"/>
    <n v="0"/>
    <n v="0"/>
    <n v="0"/>
    <n v="0"/>
    <x v="0"/>
    <n v="55"/>
    <n v="0"/>
  </r>
  <r>
    <x v="32"/>
    <x v="1"/>
    <n v="4291010027"/>
    <s v="528 Arizona Ave"/>
    <s v="5+"/>
    <x v="0"/>
    <n v="0"/>
    <n v="0"/>
    <n v="0"/>
    <n v="0"/>
    <n v="7"/>
    <n v="0"/>
    <x v="0"/>
    <n v="0"/>
    <n v="0"/>
    <n v="0"/>
    <n v="0"/>
    <n v="0"/>
    <n v="0"/>
    <n v="0"/>
    <n v="0"/>
    <n v="0"/>
    <n v="0"/>
    <n v="0"/>
    <x v="1"/>
    <n v="55"/>
    <n v="0"/>
  </r>
  <r>
    <x v="32"/>
    <x v="1"/>
    <s v="4291-025-028"/>
    <s v="407 Colorado Ave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107"/>
    <x v="2"/>
    <s v="08329203"/>
    <s v="915 E ORANGEWOOD AVE"/>
    <s v="5+"/>
    <x v="0"/>
    <n v="66"/>
    <n v="0"/>
    <n v="35"/>
    <n v="0"/>
    <n v="0"/>
    <n v="0"/>
    <x v="87"/>
    <n v="0"/>
    <n v="35"/>
    <n v="0"/>
    <n v="0"/>
    <n v="0"/>
    <n v="0"/>
    <n v="0"/>
    <n v="0"/>
    <n v="0"/>
    <n v="0"/>
    <n v="0"/>
    <x v="0"/>
    <n v="55"/>
    <n v="0"/>
  </r>
  <r>
    <x v="218"/>
    <x v="2"/>
    <s v="067-040-12"/>
    <s v="602 N Norma St"/>
    <s v="5+"/>
    <x v="0"/>
    <n v="0"/>
    <n v="0"/>
    <n v="0"/>
    <n v="75"/>
    <n v="0"/>
    <n v="0"/>
    <x v="0"/>
    <n v="0"/>
    <n v="0"/>
    <n v="0"/>
    <n v="0"/>
    <n v="0"/>
    <n v="0"/>
    <n v="0"/>
    <n v="0"/>
    <n v="0"/>
    <n v="0"/>
    <n v="0"/>
    <x v="0"/>
    <m/>
    <n v="0"/>
  </r>
  <r>
    <x v="10"/>
    <x v="5"/>
    <s v="269-01-081"/>
    <s v="1850 El Camino Real"/>
    <s v="5+"/>
    <x v="1"/>
    <n v="0"/>
    <n v="0"/>
    <n v="0"/>
    <n v="0"/>
    <n v="0"/>
    <n v="0"/>
    <x v="0"/>
    <n v="0"/>
    <n v="0"/>
    <n v="0"/>
    <n v="5"/>
    <n v="0"/>
    <n v="0"/>
    <n v="0"/>
    <n v="0"/>
    <n v="0"/>
    <n v="0"/>
    <n v="0"/>
    <x v="1"/>
    <n v="50"/>
    <n v="0"/>
  </r>
  <r>
    <x v="10"/>
    <x v="5"/>
    <s v="269-07-057"/>
    <s v="1368 El Camino Real Unit¬† 305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0"/>
    <n v="20"/>
    <n v="0"/>
  </r>
  <r>
    <x v="5"/>
    <x v="4"/>
    <n v="482161021"/>
    <s v="MORENO VALLEY"/>
    <s v="5+"/>
    <x v="0"/>
    <n v="0"/>
    <n v="0"/>
    <n v="8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79"/>
    <x v="5"/>
    <s v="033-101-160"/>
    <s v="220 N BAYSHORE Blvd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45"/>
    <n v="0"/>
  </r>
  <r>
    <x v="79"/>
    <x v="5"/>
    <s v="033-101-160"/>
    <s v="220 N BAYSHORE Blvd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45"/>
    <n v="0"/>
  </r>
  <r>
    <x v="79"/>
    <x v="5"/>
    <n v="34144240"/>
    <s v="99 - 157 E. 5TH AVE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107"/>
    <x v="2"/>
    <s v="03717352"/>
    <s v="1248 E LINCOLN AVE"/>
    <s v="5+"/>
    <x v="0"/>
    <n v="49"/>
    <n v="0"/>
    <n v="4"/>
    <n v="0"/>
    <n v="0"/>
    <n v="0"/>
    <x v="22"/>
    <n v="0"/>
    <n v="4"/>
    <n v="0"/>
    <n v="0"/>
    <n v="0"/>
    <n v="49"/>
    <n v="0"/>
    <n v="4"/>
    <n v="0"/>
    <n v="0"/>
    <n v="0"/>
    <x v="0"/>
    <n v="55"/>
    <n v="0"/>
  </r>
  <r>
    <x v="40"/>
    <x v="2"/>
    <s v="098 024000117"/>
    <s v="460 N LIVERMORE AVE"/>
    <s v="5+"/>
    <x v="0"/>
    <n v="0"/>
    <n v="0"/>
    <n v="24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200"/>
    <x v="3"/>
    <s v="024-071-69"/>
    <s v="5400 Gaddy Lane, KELSEYVILLE, CA 95451"/>
    <s v="5+"/>
    <x v="0"/>
    <n v="0"/>
    <n v="0"/>
    <n v="0"/>
    <n v="0"/>
    <n v="0"/>
    <n v="0"/>
    <x v="0"/>
    <n v="0"/>
    <n v="69"/>
    <n v="0"/>
    <n v="0"/>
    <n v="0"/>
    <n v="0"/>
    <n v="0"/>
    <n v="0"/>
    <n v="0"/>
    <n v="0"/>
    <n v="0"/>
    <x v="0"/>
    <n v="55"/>
    <n v="20"/>
  </r>
  <r>
    <x v="40"/>
    <x v="2"/>
    <s v="099B576001300"/>
    <s v="1023 WESTWIND ST"/>
    <s v="5+"/>
    <x v="0"/>
    <n v="0"/>
    <n v="0"/>
    <n v="0"/>
    <n v="0"/>
    <n v="0"/>
    <n v="0"/>
    <x v="0"/>
    <n v="0"/>
    <n v="0"/>
    <n v="0"/>
    <n v="0"/>
    <n v="0"/>
    <n v="11"/>
    <n v="0"/>
    <n v="0"/>
    <n v="0"/>
    <n v="0"/>
    <n v="0"/>
    <x v="1"/>
    <m/>
    <n v="0"/>
  </r>
  <r>
    <x v="40"/>
    <x v="2"/>
    <s v="099B576001300"/>
    <s v="1097 WESTWIND ST"/>
    <s v="5+"/>
    <x v="0"/>
    <n v="0"/>
    <n v="0"/>
    <n v="0"/>
    <n v="0"/>
    <n v="0"/>
    <n v="0"/>
    <x v="0"/>
    <n v="0"/>
    <n v="0"/>
    <n v="0"/>
    <n v="0"/>
    <n v="0"/>
    <n v="8"/>
    <n v="0"/>
    <n v="0"/>
    <n v="0"/>
    <n v="0"/>
    <n v="0"/>
    <x v="1"/>
    <m/>
    <n v="0"/>
  </r>
  <r>
    <x v="112"/>
    <x v="4"/>
    <s v="182520050 ¬†"/>
    <s v="746 ACACIA LN"/>
    <s v="5+"/>
    <x v="0"/>
    <n v="0"/>
    <n v="0"/>
    <n v="3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80"/>
    <x v="2"/>
    <s v="050-131-060, 070, 080"/>
    <s v="626  Walnut"/>
    <s v="5+"/>
    <x v="1"/>
    <n v="0"/>
    <n v="0"/>
    <n v="3"/>
    <n v="0"/>
    <n v="1"/>
    <n v="0"/>
    <x v="0"/>
    <n v="0"/>
    <n v="0"/>
    <n v="0"/>
    <n v="0"/>
    <n v="0"/>
    <n v="0"/>
    <n v="0"/>
    <n v="0"/>
    <n v="0"/>
    <n v="0"/>
    <n v="0"/>
    <x v="1"/>
    <n v="45"/>
    <n v="0"/>
  </r>
  <r>
    <x v="96"/>
    <x v="4"/>
    <n v="45106416"/>
    <s v="1501 1507 N BLACKSTONE AVE"/>
    <s v="5+"/>
    <x v="0"/>
    <n v="53"/>
    <n v="0"/>
    <n v="34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09"/>
    <x v="1"/>
    <s v="538-181-001"/>
    <s v="100 W. Macdonald Avenue"/>
    <s v="5+"/>
    <x v="0"/>
    <n v="25"/>
    <n v="0"/>
    <n v="6"/>
    <n v="0"/>
    <n v="0"/>
    <n v="0"/>
    <x v="0"/>
    <n v="0"/>
    <n v="0"/>
    <n v="0"/>
    <n v="0"/>
    <n v="0"/>
    <n v="0"/>
    <n v="0"/>
    <n v="0"/>
    <n v="0"/>
    <n v="0"/>
    <n v="0"/>
    <x v="0"/>
    <n v="55"/>
    <n v="146"/>
  </r>
  <r>
    <x v="256"/>
    <x v="5"/>
    <n v="13905501"/>
    <s v="804 North Hunter"/>
    <s v="5+"/>
    <x v="0"/>
    <n v="40"/>
    <n v="0"/>
    <n v="34"/>
    <n v="0"/>
    <n v="0"/>
    <n v="1"/>
    <x v="0"/>
    <n v="0"/>
    <n v="0"/>
    <n v="0"/>
    <n v="0"/>
    <n v="0"/>
    <n v="0"/>
    <n v="0"/>
    <n v="0"/>
    <n v="0"/>
    <n v="0"/>
    <n v="0"/>
    <x v="0"/>
    <m/>
    <n v="0"/>
  </r>
  <r>
    <x v="54"/>
    <x v="1"/>
    <s v="055236020"/>
    <s v="110 CONSTITUTION DRIVE"/>
    <s v="5+"/>
    <x v="0"/>
    <n v="0"/>
    <n v="0"/>
    <n v="0"/>
    <n v="0"/>
    <n v="0"/>
    <n v="0"/>
    <x v="2"/>
    <n v="0"/>
    <n v="14"/>
    <n v="0"/>
    <n v="31"/>
    <n v="0"/>
    <n v="0"/>
    <n v="0"/>
    <n v="0"/>
    <n v="0"/>
    <n v="0"/>
    <n v="0"/>
    <x v="0"/>
    <n v="55"/>
    <s v="4.7000000000000002"/>
  </r>
  <r>
    <x v="257"/>
    <x v="4"/>
    <s v="012-191-001"/>
    <s v="Broadway &amp; Terrace"/>
    <s v="5+"/>
    <x v="0"/>
    <n v="0"/>
    <n v="0"/>
    <n v="16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0"/>
    <x v="4"/>
    <s v="216-33-034"/>
    <s v="3311 Kifer Rd"/>
    <s v="5+"/>
    <x v="0"/>
    <n v="130"/>
    <n v="0"/>
    <n v="14"/>
    <n v="0"/>
    <n v="0"/>
    <n v="0"/>
    <x v="105"/>
    <n v="0"/>
    <n v="14"/>
    <n v="0"/>
    <n v="0"/>
    <n v="0"/>
    <n v="0"/>
    <n v="0"/>
    <n v="0"/>
    <n v="0"/>
    <n v="0"/>
    <n v="0"/>
    <x v="1"/>
    <m/>
    <n v="0"/>
  </r>
  <r>
    <x v="258"/>
    <x v="2"/>
    <s v="119021063, 119021055, 119021013"/>
    <s v="6170 High St, 6450 and 6490 Marsh Creek Road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64"/>
    <x v="2"/>
    <s v="017-231-024-000"/>
    <s v="350 ROSEVILLE PW, BLDG 24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9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1"/>
    <n v="55"/>
    <n v="0"/>
  </r>
  <r>
    <x v="40"/>
    <x v="1"/>
    <s v="905 001000600"/>
    <s v="Triad Dr"/>
    <s v="5+"/>
    <x v="1"/>
    <n v="0"/>
    <n v="0"/>
    <n v="0"/>
    <n v="0"/>
    <n v="22"/>
    <n v="0"/>
    <x v="0"/>
    <n v="0"/>
    <n v="0"/>
    <n v="0"/>
    <n v="0"/>
    <n v="0"/>
    <n v="0"/>
    <n v="0"/>
    <n v="0"/>
    <n v="0"/>
    <n v="0"/>
    <n v="0"/>
    <x v="0"/>
    <m/>
    <n v="0"/>
  </r>
  <r>
    <x v="40"/>
    <x v="1"/>
    <s v="903 001003000"/>
    <s v="Portola Ave"/>
    <s v="5+"/>
    <x v="0"/>
    <n v="14"/>
    <n v="0"/>
    <n v="14"/>
    <n v="0"/>
    <n v="14"/>
    <n v="0"/>
    <x v="0"/>
    <n v="0"/>
    <n v="0"/>
    <n v="0"/>
    <n v="0"/>
    <n v="0"/>
    <n v="0"/>
    <n v="0"/>
    <n v="0"/>
    <n v="0"/>
    <n v="0"/>
    <n v="0"/>
    <x v="0"/>
    <m/>
    <n v="0"/>
  </r>
  <r>
    <x v="10"/>
    <x v="5"/>
    <s v="216-34-051"/>
    <s v="3560 Rambla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0"/>
    <x v="5"/>
    <s v="216-33-001"/>
    <s v="3305 Kifer Road"/>
    <s v="5+"/>
    <x v="1"/>
    <n v="0"/>
    <n v="0"/>
    <n v="0"/>
    <n v="0"/>
    <n v="5"/>
    <n v="0"/>
    <x v="0"/>
    <n v="0"/>
    <n v="0"/>
    <n v="0"/>
    <n v="0"/>
    <n v="0"/>
    <n v="0"/>
    <n v="0"/>
    <n v="0"/>
    <n v="0"/>
    <n v="0"/>
    <n v="0"/>
    <x v="1"/>
    <n v="20"/>
    <n v="0"/>
  </r>
  <r>
    <x v="10"/>
    <x v="5"/>
    <s v="224-77-040"/>
    <s v="1567 Pratt Plac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20"/>
    <n v="0"/>
  </r>
  <r>
    <x v="120"/>
    <x v="2"/>
    <n v="58049130"/>
    <s v="100 MAGNET"/>
    <s v="5+"/>
    <x v="0"/>
    <n v="0"/>
    <n v="0"/>
    <n v="0"/>
    <n v="0"/>
    <n v="0"/>
    <n v="0"/>
    <x v="10"/>
    <n v="0"/>
    <n v="0"/>
    <n v="0"/>
    <n v="0"/>
    <n v="0"/>
    <n v="0"/>
    <n v="0"/>
    <n v="0"/>
    <n v="0"/>
    <n v="0"/>
    <n v="0"/>
    <x v="0"/>
    <n v="1000"/>
    <n v="0"/>
  </r>
  <r>
    <x v="120"/>
    <x v="2"/>
    <n v="58049129"/>
    <s v="1102 HAMAL"/>
    <s v="5+"/>
    <x v="0"/>
    <n v="0"/>
    <n v="0"/>
    <n v="0"/>
    <n v="0"/>
    <n v="0"/>
    <n v="0"/>
    <x v="0"/>
    <n v="0"/>
    <n v="0"/>
    <n v="0"/>
    <n v="0"/>
    <n v="0"/>
    <n v="68"/>
    <n v="0"/>
    <n v="0"/>
    <n v="0"/>
    <n v="1"/>
    <n v="0"/>
    <x v="0"/>
    <n v="1000"/>
    <n v="0"/>
  </r>
  <r>
    <x v="120"/>
    <x v="2"/>
    <n v="43510147"/>
    <s v="2700 MAIN ST"/>
    <s v="5+"/>
    <x v="0"/>
    <n v="0"/>
    <n v="0"/>
    <n v="0"/>
    <n v="0"/>
    <n v="0"/>
    <n v="0"/>
    <x v="0"/>
    <n v="0"/>
    <n v="0"/>
    <n v="0"/>
    <n v="0"/>
    <n v="0"/>
    <n v="24"/>
    <n v="0"/>
    <n v="0"/>
    <n v="0"/>
    <n v="15"/>
    <n v="0"/>
    <x v="0"/>
    <n v="30"/>
    <n v="0"/>
  </r>
  <r>
    <x v="112"/>
    <x v="4"/>
    <n v="44051048"/>
    <s v="1040 KAWANA SPRINGS ROAD"/>
    <s v="5+"/>
    <x v="0"/>
    <n v="0"/>
    <n v="0"/>
    <n v="0"/>
    <n v="0"/>
    <n v="0"/>
    <n v="0"/>
    <x v="6"/>
    <n v="0"/>
    <n v="12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1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3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6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33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5"/>
    <n v="0"/>
  </r>
  <r>
    <x v="17"/>
    <x v="3"/>
    <s v="402-211-03"/>
    <s v="1814 E First St"/>
    <s v="5+"/>
    <x v="1"/>
    <n v="0"/>
    <n v="0"/>
    <n v="0"/>
    <n v="0"/>
    <n v="4"/>
    <n v="0"/>
    <x v="0"/>
    <n v="0"/>
    <n v="0"/>
    <n v="0"/>
    <n v="0"/>
    <n v="0"/>
    <n v="0"/>
    <n v="0"/>
    <n v="0"/>
    <n v="0"/>
    <n v="0"/>
    <n v="0"/>
    <x v="0"/>
    <n v="55"/>
    <n v="0"/>
  </r>
  <r>
    <x v="124"/>
    <x v="0"/>
    <s v="029-072-013"/>
    <s v="215 E VICTORIA ST, SANTA BARBARA, CA"/>
    <s v="5+"/>
    <x v="0"/>
    <n v="0"/>
    <n v="0"/>
    <n v="0"/>
    <n v="0"/>
    <n v="1"/>
    <n v="0"/>
    <x v="0"/>
    <n v="0"/>
    <n v="0"/>
    <n v="0"/>
    <n v="0"/>
    <n v="0"/>
    <n v="0"/>
    <n v="0"/>
    <n v="0"/>
    <n v="0"/>
    <n v="0"/>
    <n v="0"/>
    <x v="1"/>
    <m/>
    <n v="0"/>
  </r>
  <r>
    <x v="64"/>
    <x v="4"/>
    <s v="481-260-025-000"/>
    <s v="350 ROSEVILLE PW"/>
    <s v="5+"/>
    <x v="0"/>
    <n v="45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14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1"/>
    <n v="55"/>
    <n v="0"/>
  </r>
  <r>
    <x v="64"/>
    <x v="4"/>
    <s v="011-145-005-000"/>
    <s v="300 WASHINGTON BL"/>
    <s v="5+"/>
    <x v="0"/>
    <n v="0"/>
    <n v="0"/>
    <n v="0"/>
    <n v="0"/>
    <n v="0"/>
    <n v="0"/>
    <x v="70"/>
    <n v="0"/>
    <n v="14"/>
    <n v="0"/>
    <n v="0"/>
    <n v="0"/>
    <n v="0"/>
    <n v="0"/>
    <n v="0"/>
    <n v="0"/>
    <n v="0"/>
    <n v="0"/>
    <x v="1"/>
    <n v="55"/>
    <n v="0"/>
  </r>
  <r>
    <x v="124"/>
    <x v="0"/>
    <s v="025-311-014"/>
    <s v="16 W MISSION ST, SANTA BARBARA, CA 93101"/>
    <s v="5+"/>
    <x v="0"/>
    <n v="2"/>
    <n v="0"/>
    <n v="0"/>
    <n v="0"/>
    <n v="0"/>
    <n v="0"/>
    <x v="17"/>
    <n v="0"/>
    <n v="0"/>
    <n v="0"/>
    <n v="0"/>
    <n v="0"/>
    <n v="2"/>
    <n v="0"/>
    <n v="0"/>
    <n v="0"/>
    <n v="0"/>
    <n v="0"/>
    <x v="0"/>
    <n v="55"/>
    <n v="10"/>
  </r>
  <r>
    <x v="180"/>
    <x v="2"/>
    <s v="050-163-190"/>
    <s v="817 Walnut"/>
    <s v="5+"/>
    <x v="0"/>
    <n v="23"/>
    <n v="0"/>
    <n v="0"/>
    <n v="0"/>
    <n v="0"/>
    <n v="0"/>
    <x v="43"/>
    <n v="0"/>
    <n v="0"/>
    <n v="0"/>
    <n v="0"/>
    <n v="0"/>
    <n v="0"/>
    <n v="0"/>
    <n v="0"/>
    <n v="0"/>
    <n v="0"/>
    <n v="0"/>
    <x v="1"/>
    <n v="75"/>
    <n v="0"/>
  </r>
  <r>
    <x v="254"/>
    <x v="4"/>
    <s v="085-081-022"/>
    <s v="233 N H St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98"/>
    <x v="4"/>
    <s v="008-072-008,  008-072-009"/>
    <s v="802 32nd St"/>
    <s v="5+"/>
    <x v="0"/>
    <n v="0"/>
    <n v="0"/>
    <n v="0"/>
    <n v="0"/>
    <n v="0"/>
    <n v="0"/>
    <x v="0"/>
    <n v="0"/>
    <n v="0"/>
    <n v="0"/>
    <n v="0"/>
    <n v="0"/>
    <n v="4"/>
    <n v="0"/>
    <n v="4"/>
    <n v="0"/>
    <n v="0"/>
    <n v="0"/>
    <x v="0"/>
    <m/>
    <n v="0"/>
  </r>
  <r>
    <x v="147"/>
    <x v="4"/>
    <s v="016-101-55"/>
    <s v="1205 FREEDOM BLVD."/>
    <s v="5+"/>
    <x v="1"/>
    <n v="0"/>
    <n v="0"/>
    <n v="0"/>
    <n v="0"/>
    <n v="0"/>
    <n v="0"/>
    <x v="0"/>
    <n v="0"/>
    <n v="1"/>
    <n v="0"/>
    <n v="1"/>
    <n v="0"/>
    <n v="0"/>
    <n v="0"/>
    <n v="0"/>
    <n v="0"/>
    <n v="0"/>
    <n v="0"/>
    <x v="1"/>
    <m/>
    <n v="0"/>
  </r>
  <r>
    <x v="112"/>
    <x v="4"/>
    <n v="10121025"/>
    <s v="80 COLLEGE AVE"/>
    <s v="5+"/>
    <x v="0"/>
    <n v="0"/>
    <n v="0"/>
    <n v="54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40"/>
    <x v="1"/>
    <s v="903 001003000"/>
    <s v="Portola Ave"/>
    <s v="5+"/>
    <x v="1"/>
    <n v="0"/>
    <n v="0"/>
    <n v="0"/>
    <n v="0"/>
    <n v="18"/>
    <n v="0"/>
    <x v="0"/>
    <n v="0"/>
    <n v="0"/>
    <n v="0"/>
    <n v="0"/>
    <n v="0"/>
    <n v="0"/>
    <n v="0"/>
    <n v="0"/>
    <n v="0"/>
    <n v="0"/>
    <n v="0"/>
    <x v="0"/>
    <m/>
    <n v="0"/>
  </r>
  <r>
    <x v="54"/>
    <x v="0"/>
    <s v="055242030, 055242040, 055242140"/>
    <s v="180-186 Constitution Drive and 141 Jefferson Drive"/>
    <s v="5+"/>
    <x v="0"/>
    <n v="7"/>
    <n v="0"/>
    <n v="23"/>
    <n v="0"/>
    <n v="37"/>
    <n v="0"/>
    <x v="0"/>
    <n v="0"/>
    <n v="0"/>
    <n v="0"/>
    <n v="0"/>
    <n v="0"/>
    <n v="0"/>
    <n v="0"/>
    <n v="0"/>
    <n v="0"/>
    <n v="0"/>
    <n v="0"/>
    <x v="1"/>
    <n v="55"/>
    <n v="0"/>
  </r>
  <r>
    <x v="154"/>
    <x v="1"/>
    <n v="54012170"/>
    <s v="1501 BROADWAY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8"/>
    <x v="2"/>
    <n v="233032021"/>
    <s v="3410 MT DIABLO"/>
    <s v="5+"/>
    <x v="1"/>
    <n v="0"/>
    <n v="0"/>
    <n v="0"/>
    <n v="0"/>
    <n v="0"/>
    <n v="0"/>
    <x v="0"/>
    <n v="0"/>
    <n v="0"/>
    <n v="0"/>
    <n v="2"/>
    <n v="0"/>
    <n v="0"/>
    <n v="0"/>
    <n v="0"/>
    <n v="0"/>
    <n v="0"/>
    <n v="0"/>
    <x v="1"/>
    <n v="45"/>
    <n v="0"/>
  </r>
  <r>
    <x v="10"/>
    <x v="5"/>
    <s v="269-07-068"/>
    <s v="1368 El Camino Real Unit¬† 409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0"/>
    <n v="20"/>
    <n v="0"/>
  </r>
  <r>
    <x v="116"/>
    <x v="4"/>
    <s v="2201000800, see notes"/>
    <s v="340 W MISSION ROAD"/>
    <s v="5+"/>
    <x v="0"/>
    <n v="49"/>
    <n v="0"/>
    <n v="34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41"/>
    <x v="4"/>
    <s v="002354027000"/>
    <s v="439 Soledad Street"/>
    <s v="5+"/>
    <x v="0"/>
    <n v="4"/>
    <n v="6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9"/>
    <x v="4"/>
    <s v="5735-024-702"/>
    <s v="137 S Wilson Ave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1"/>
    <n v="55"/>
    <n v="0"/>
  </r>
  <r>
    <x v="82"/>
    <x v="3"/>
    <s v="026-741-25"/>
    <s v="1520 CAPITOLA RD Ste 1 SANTA CRUZ, CA 95062"/>
    <s v="5+"/>
    <x v="0"/>
    <n v="0"/>
    <n v="0"/>
    <n v="0"/>
    <n v="0"/>
    <n v="0"/>
    <n v="0"/>
    <x v="14"/>
    <n v="0"/>
    <n v="0"/>
    <n v="0"/>
    <n v="0"/>
    <n v="0"/>
    <n v="0"/>
    <n v="0"/>
    <n v="0"/>
    <n v="0"/>
    <n v="0"/>
    <n v="0"/>
    <x v="0"/>
    <n v="1000"/>
    <n v="20"/>
  </r>
  <r>
    <x v="64"/>
    <x v="2"/>
    <s v="017-231-024-000"/>
    <s v="350 ROSEVILLE PW, BLDG 35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1"/>
    <n v="55"/>
    <n v="0"/>
  </r>
  <r>
    <x v="66"/>
    <x v="2"/>
    <s v="4017-025-902"/>
    <s v="716 W BEACH AVE INGLEWOOD CA 90302"/>
    <s v="5+"/>
    <x v="0"/>
    <n v="41"/>
    <n v="0"/>
    <n v="0"/>
    <n v="0"/>
    <n v="0"/>
    <n v="0"/>
    <x v="49"/>
    <n v="0"/>
    <n v="0"/>
    <n v="0"/>
    <n v="0"/>
    <n v="0"/>
    <n v="0"/>
    <n v="0"/>
    <n v="0"/>
    <n v="0"/>
    <n v="0"/>
    <n v="0"/>
    <x v="0"/>
    <n v="55"/>
    <n v="0"/>
  </r>
  <r>
    <x v="18"/>
    <x v="2"/>
    <s v="241-050-015"/>
    <s v="3721 Mt Diablo Blvd"/>
    <s v="5+"/>
    <x v="1"/>
    <n v="0"/>
    <n v="0"/>
    <n v="0"/>
    <n v="0"/>
    <n v="2"/>
    <n v="0"/>
    <x v="0"/>
    <n v="0"/>
    <n v="0"/>
    <n v="0"/>
    <n v="0"/>
    <n v="0"/>
    <n v="0"/>
    <n v="0"/>
    <n v="0"/>
    <n v="0"/>
    <n v="0"/>
    <n v="0"/>
    <x v="0"/>
    <n v="45"/>
    <n v="0"/>
  </r>
  <r>
    <x v="216"/>
    <x v="2"/>
    <s v="323-231-08"/>
    <s v="18551 ALTRUDY LN, YORBA LINDA, CA"/>
    <s v="5+"/>
    <x v="0"/>
    <n v="0"/>
    <n v="0"/>
    <n v="0"/>
    <n v="0"/>
    <n v="0"/>
    <n v="0"/>
    <x v="58"/>
    <n v="0"/>
    <n v="0"/>
    <n v="0"/>
    <n v="0"/>
    <n v="0"/>
    <n v="0"/>
    <n v="0"/>
    <n v="0"/>
    <n v="0"/>
    <n v="0"/>
    <n v="0"/>
    <x v="0"/>
    <n v="55"/>
    <n v="0"/>
  </r>
  <r>
    <x v="40"/>
    <x v="2"/>
    <s v="099B576001300"/>
    <s v="1055 WESTWIND ST"/>
    <s v="5+"/>
    <x v="0"/>
    <n v="0"/>
    <n v="0"/>
    <n v="0"/>
    <n v="0"/>
    <n v="0"/>
    <n v="0"/>
    <x v="0"/>
    <n v="0"/>
    <n v="0"/>
    <n v="0"/>
    <n v="0"/>
    <n v="0"/>
    <n v="6"/>
    <n v="0"/>
    <n v="0"/>
    <n v="0"/>
    <n v="0"/>
    <n v="0"/>
    <x v="1"/>
    <m/>
    <n v="0"/>
  </r>
  <r>
    <x v="25"/>
    <x v="3"/>
    <n v="8636036"/>
    <s v="308 Sango Ct"/>
    <s v="5+"/>
    <x v="0"/>
    <n v="0"/>
    <n v="0"/>
    <n v="0"/>
    <n v="0"/>
    <n v="0"/>
    <n v="0"/>
    <x v="0"/>
    <n v="0"/>
    <n v="51"/>
    <n v="0"/>
    <n v="34"/>
    <n v="0"/>
    <n v="0"/>
    <n v="0"/>
    <n v="0"/>
    <n v="0"/>
    <n v="0"/>
    <n v="0"/>
    <x v="0"/>
    <n v="55"/>
    <n v="27"/>
  </r>
  <r>
    <x v="25"/>
    <x v="3"/>
    <n v="2606009"/>
    <s v="1730 SUNNYHILLS DR"/>
    <s v="5+"/>
    <x v="0"/>
    <n v="0"/>
    <n v="0"/>
    <n v="0"/>
    <n v="0"/>
    <n v="0"/>
    <n v="0"/>
    <x v="14"/>
    <n v="0"/>
    <n v="0"/>
    <n v="0"/>
    <n v="0"/>
    <n v="0"/>
    <n v="0"/>
    <n v="0"/>
    <n v="0"/>
    <n v="0"/>
    <n v="0"/>
    <n v="0"/>
    <x v="1"/>
    <n v="55"/>
    <n v="0"/>
  </r>
  <r>
    <x v="181"/>
    <x v="2"/>
    <s v="094-010-520"/>
    <s v="501 PILGRIM DR"/>
    <s v="5+"/>
    <x v="0"/>
    <n v="0"/>
    <n v="0"/>
    <n v="0"/>
    <n v="0"/>
    <n v="0"/>
    <n v="0"/>
    <x v="17"/>
    <n v="0"/>
    <n v="2"/>
    <n v="0"/>
    <n v="10"/>
    <n v="0"/>
    <n v="0"/>
    <n v="0"/>
    <n v="0"/>
    <n v="0"/>
    <n v="0"/>
    <n v="0"/>
    <x v="1"/>
    <m/>
    <n v="0"/>
  </r>
  <r>
    <x v="133"/>
    <x v="6"/>
    <n v="4071019035"/>
    <s v="3127 W 147th Street, Gardena CA 90249"/>
    <s v="5+"/>
    <x v="0"/>
    <n v="0"/>
    <n v="0"/>
    <n v="31"/>
    <n v="0"/>
    <n v="0"/>
    <n v="0"/>
    <x v="0"/>
    <n v="0"/>
    <n v="0"/>
    <n v="0"/>
    <n v="0"/>
    <n v="0"/>
    <n v="0"/>
    <n v="0"/>
    <n v="0"/>
    <n v="0"/>
    <n v="0"/>
    <n v="0"/>
    <x v="0"/>
    <n v="55"/>
    <s v="1.4299999999999999"/>
  </r>
  <r>
    <x v="133"/>
    <x v="6"/>
    <n v="6077011036"/>
    <s v="11208 S Western Avenue, Los Angeles CA 90047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53000000000000003"/>
  </r>
  <r>
    <x v="85"/>
    <x v="1"/>
    <s v="214-010-034"/>
    <s v="1709 Cinnabar Ct.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5"/>
    <n v="0"/>
  </r>
  <r>
    <x v="31"/>
    <x v="0"/>
    <n v="20522034"/>
    <s v="959 STEWART DR 511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31"/>
    <x v="0"/>
    <n v="20522034"/>
    <s v="959 STEWART DR 411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118"/>
    <x v="1"/>
    <s v="083-090-47S"/>
    <m/>
    <s v="5+"/>
    <x v="0"/>
    <n v="48"/>
    <n v="0"/>
    <n v="32"/>
    <n v="0"/>
    <n v="0"/>
    <n v="0"/>
    <x v="57"/>
    <n v="0"/>
    <n v="32"/>
    <n v="0"/>
    <n v="0"/>
    <n v="0"/>
    <n v="0"/>
    <n v="0"/>
    <n v="0"/>
    <n v="0"/>
    <n v="0"/>
    <n v="0"/>
    <x v="0"/>
    <n v="55"/>
    <n v="0"/>
  </r>
  <r>
    <x v="152"/>
    <x v="1"/>
    <s v="157-970-03"/>
    <s v="123 ROCKVIEW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152"/>
    <x v="1"/>
    <s v="141-221-75"/>
    <s v="1602 VALLEJO #9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52"/>
    <x v="1"/>
    <s v="125-580-16"/>
    <s v="614 Verandah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252"/>
    <x v="2"/>
    <s v="06-700-220"/>
    <s v="9027 N St Bld 7  8 units"/>
    <s v="5+"/>
    <x v="0"/>
    <n v="1"/>
    <n v="0"/>
    <n v="7"/>
    <n v="0"/>
    <n v="0"/>
    <n v="0"/>
    <x v="3"/>
    <n v="0"/>
    <n v="7"/>
    <n v="0"/>
    <n v="0"/>
    <n v="0"/>
    <n v="1"/>
    <n v="0"/>
    <n v="7"/>
    <n v="0"/>
    <n v="0"/>
    <n v="0"/>
    <x v="1"/>
    <n v="55"/>
    <n v="0"/>
  </r>
  <r>
    <x v="166"/>
    <x v="3"/>
    <s v="069-530-030-000"/>
    <s v="2555 Research Park Dr."/>
    <s v="5+"/>
    <x v="0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33"/>
    <x v="6"/>
    <n v="6046011053"/>
    <s v="9605 Kalmia Street, Los Angeles CA 90002"/>
    <s v="5+"/>
    <x v="0"/>
    <n v="0"/>
    <n v="0"/>
    <n v="5"/>
    <n v="0"/>
    <n v="0"/>
    <n v="0"/>
    <x v="0"/>
    <n v="0"/>
    <n v="0"/>
    <n v="0"/>
    <n v="0"/>
    <n v="0"/>
    <n v="0"/>
    <n v="0"/>
    <n v="0"/>
    <n v="0"/>
    <n v="0"/>
    <n v="0"/>
    <x v="0"/>
    <n v="55"/>
    <n v="4"/>
  </r>
  <r>
    <x v="133"/>
    <x v="6"/>
    <n v="5235020055"/>
    <s v="4763 Cesar E Chavez Avenue, Los Angeles CA 90022"/>
    <s v="5+"/>
    <x v="0"/>
    <n v="19"/>
    <n v="0"/>
    <n v="40"/>
    <n v="0"/>
    <n v="0"/>
    <n v="0"/>
    <x v="0"/>
    <n v="0"/>
    <n v="0"/>
    <n v="0"/>
    <n v="0"/>
    <n v="0"/>
    <n v="0"/>
    <n v="0"/>
    <n v="0"/>
    <n v="0"/>
    <n v="0"/>
    <n v="0"/>
    <x v="0"/>
    <n v="55"/>
    <s v="7.4199999999999999"/>
  </r>
  <r>
    <x v="133"/>
    <x v="6"/>
    <n v="5845022019"/>
    <s v="2212 El Molino Avenue, Altadena CA 91001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14000000000000001"/>
  </r>
  <r>
    <x v="149"/>
    <x v="3"/>
    <s v="525 034502104"/>
    <s v="41868 Osgood Rd"/>
    <s v="5+"/>
    <x v="0"/>
    <n v="6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88"/>
  </r>
  <r>
    <x v="259"/>
    <x v="6"/>
    <n v="118270055"/>
    <s v="NONE"/>
    <s v="5+"/>
    <x v="0"/>
    <n v="0"/>
    <n v="0"/>
    <n v="19"/>
    <n v="0"/>
    <n v="5"/>
    <n v="0"/>
    <x v="0"/>
    <n v="0"/>
    <n v="0"/>
    <n v="0"/>
    <n v="0"/>
    <n v="0"/>
    <n v="0"/>
    <n v="0"/>
    <n v="0"/>
    <n v="0"/>
    <n v="0"/>
    <n v="0"/>
    <x v="0"/>
    <n v="55"/>
    <n v="0"/>
  </r>
  <r>
    <x v="71"/>
    <x v="0"/>
    <s v="4215-001-020, 4215-001-016, 4215-001-010, 4215-001-013"/>
    <s v="11111 Jefferson"/>
    <s v="5+"/>
    <x v="0"/>
    <n v="0"/>
    <n v="0"/>
    <n v="19"/>
    <n v="0"/>
    <n v="0"/>
    <n v="0"/>
    <x v="0"/>
    <n v="0"/>
    <n v="0"/>
    <n v="0"/>
    <n v="0"/>
    <n v="0"/>
    <n v="0"/>
    <n v="0"/>
    <n v="0"/>
    <n v="0"/>
    <n v="0"/>
    <n v="0"/>
    <x v="0"/>
    <m/>
    <s v="0.34999999999999998"/>
  </r>
  <r>
    <x v="64"/>
    <x v="2"/>
    <s v="017-231-024-000"/>
    <s v="350 ROSEVILLE PW, BLDG 32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1"/>
    <n v="55"/>
    <n v="0"/>
  </r>
  <r>
    <x v="17"/>
    <x v="3"/>
    <s v="398-523-04"/>
    <s v="1411 N Broadway"/>
    <s v="5+"/>
    <x v="0"/>
    <n v="47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7"/>
    <x v="3"/>
    <s v="198-132-21"/>
    <s v="2530  W Westminster Ave"/>
    <s v="5+"/>
    <x v="0"/>
    <n v="0"/>
    <n v="0"/>
    <n v="0"/>
    <n v="0"/>
    <n v="0"/>
    <n v="0"/>
    <x v="32"/>
    <n v="0"/>
    <n v="0"/>
    <n v="0"/>
    <n v="0"/>
    <n v="0"/>
    <n v="0"/>
    <n v="0"/>
    <n v="0"/>
    <n v="0"/>
    <n v="0"/>
    <n v="0"/>
    <x v="1"/>
    <n v="55"/>
    <n v="0"/>
  </r>
  <r>
    <x v="18"/>
    <x v="2"/>
    <n v="241020018"/>
    <s v="15, 20, 25, 30, 35, 40 WOODBURY HIGHLANDS"/>
    <s v="5+"/>
    <x v="1"/>
    <n v="0"/>
    <n v="0"/>
    <n v="0"/>
    <n v="0"/>
    <n v="0"/>
    <n v="0"/>
    <x v="12"/>
    <n v="0"/>
    <n v="0"/>
    <n v="0"/>
    <n v="5"/>
    <n v="0"/>
    <n v="0"/>
    <n v="0"/>
    <n v="0"/>
    <n v="0"/>
    <n v="0"/>
    <n v="0"/>
    <x v="1"/>
    <n v="45"/>
    <n v="0"/>
  </r>
  <r>
    <x v="209"/>
    <x v="1"/>
    <s v="052-090008-"/>
    <s v="1550 San Juan Rd"/>
    <s v="5+"/>
    <x v="0"/>
    <n v="0"/>
    <n v="0"/>
    <n v="16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85"/>
    <x v="1"/>
    <s v="213-020-037"/>
    <s v="3401 Crow Canyon Rd."/>
    <s v="5+"/>
    <x v="1"/>
    <n v="1"/>
    <n v="0"/>
    <n v="2"/>
    <n v="0"/>
    <n v="2"/>
    <n v="0"/>
    <x v="0"/>
    <n v="0"/>
    <n v="0"/>
    <n v="0"/>
    <n v="0"/>
    <n v="0"/>
    <n v="0"/>
    <n v="0"/>
    <n v="0"/>
    <n v="0"/>
    <n v="0"/>
    <n v="0"/>
    <x v="1"/>
    <n v="55"/>
    <n v="0"/>
  </r>
  <r>
    <x v="31"/>
    <x v="0"/>
    <n v="20935023"/>
    <s v="200 S TAAFFE ST"/>
    <s v="5+"/>
    <x v="0"/>
    <n v="16"/>
    <n v="0"/>
    <n v="31"/>
    <n v="0"/>
    <n v="6"/>
    <n v="0"/>
    <x v="0"/>
    <n v="0"/>
    <n v="0"/>
    <n v="0"/>
    <n v="0"/>
    <n v="0"/>
    <n v="0"/>
    <n v="0"/>
    <n v="0"/>
    <n v="0"/>
    <n v="0"/>
    <n v="0"/>
    <x v="1"/>
    <n v="55"/>
    <n v="0"/>
  </r>
  <r>
    <x v="31"/>
    <x v="0"/>
    <n v="11014197"/>
    <s v="1139 KARLSTAD DR"/>
    <s v="5+"/>
    <x v="1"/>
    <n v="0"/>
    <n v="0"/>
    <n v="0"/>
    <n v="0"/>
    <n v="16"/>
    <n v="0"/>
    <x v="0"/>
    <n v="0"/>
    <n v="0"/>
    <n v="0"/>
    <n v="0"/>
    <n v="0"/>
    <n v="0"/>
    <n v="0"/>
    <n v="0"/>
    <n v="0"/>
    <n v="0"/>
    <n v="0"/>
    <x v="0"/>
    <n v="30"/>
    <n v="0"/>
  </r>
  <r>
    <x v="60"/>
    <x v="1"/>
    <s v="01124526"/>
    <s v="1515 4th St"/>
    <s v="5+"/>
    <x v="0"/>
    <n v="13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0"/>
    <x v="1"/>
    <s v="01126501"/>
    <s v="999 3rd St"/>
    <s v="5+"/>
    <x v="0"/>
    <n v="0"/>
    <n v="0"/>
    <n v="0"/>
    <n v="0"/>
    <n v="0"/>
    <n v="0"/>
    <x v="0"/>
    <n v="0"/>
    <n v="0"/>
    <n v="0"/>
    <n v="0"/>
    <n v="0"/>
    <n v="0"/>
    <n v="0"/>
    <n v="66"/>
    <n v="0"/>
    <n v="0"/>
    <n v="0"/>
    <x v="0"/>
    <m/>
    <n v="35"/>
  </r>
  <r>
    <x v="152"/>
    <x v="1"/>
    <s v="157-970-03"/>
    <s v="705 ROCKVIEW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201"/>
    <x v="6"/>
    <n v="2546121400"/>
    <s v="1600 San Remo Pl 101, Encinitas, CA 92024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1000"/>
    <n v="0"/>
  </r>
  <r>
    <x v="201"/>
    <x v="6"/>
    <n v="2546121400"/>
    <s v="1300 Bergamo Pl 201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501 Livorno Pl 206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201"/>
    <x v="6"/>
    <n v="2546121943"/>
    <s v="1403 Anacona Pl 104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0"/>
    <x v="1"/>
    <n v="7242011013"/>
    <s v="6615 E. Pacific Coast Hwy."/>
    <s v="5+"/>
    <x v="0"/>
    <n v="1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20"/>
  </r>
  <r>
    <x v="0"/>
    <x v="1"/>
    <n v="7269026001"/>
    <s v="1400 Long Beach Blvd"/>
    <s v="5+"/>
    <x v="0"/>
    <n v="18"/>
    <n v="0"/>
    <n v="143"/>
    <n v="0"/>
    <n v="0"/>
    <n v="0"/>
    <x v="0"/>
    <n v="0"/>
    <n v="0"/>
    <n v="0"/>
    <n v="0"/>
    <n v="0"/>
    <n v="0"/>
    <n v="0"/>
    <n v="0"/>
    <n v="0"/>
    <n v="0"/>
    <n v="0"/>
    <x v="0"/>
    <m/>
    <n v="1.3"/>
  </r>
  <r>
    <x v="0"/>
    <x v="1"/>
    <n v="7275001083"/>
    <s v="300 Alamitos Ave."/>
    <s v="5+"/>
    <x v="0"/>
    <n v="10"/>
    <n v="0"/>
    <n v="72"/>
    <n v="0"/>
    <n v="0"/>
    <n v="0"/>
    <x v="0"/>
    <n v="0"/>
    <n v="0"/>
    <n v="0"/>
    <n v="0"/>
    <n v="0"/>
    <n v="0"/>
    <n v="0"/>
    <n v="0"/>
    <n v="0"/>
    <n v="0"/>
    <n v="0"/>
    <x v="0"/>
    <m/>
    <s v="95.400000000000006"/>
  </r>
  <r>
    <x v="252"/>
    <x v="2"/>
    <s v="06-700-220"/>
    <s v="9027 N St Bld 8  8 units"/>
    <s v="5+"/>
    <x v="0"/>
    <n v="1"/>
    <n v="0"/>
    <n v="7"/>
    <n v="0"/>
    <n v="0"/>
    <n v="0"/>
    <x v="3"/>
    <n v="0"/>
    <n v="7"/>
    <n v="0"/>
    <n v="0"/>
    <n v="0"/>
    <n v="1"/>
    <n v="0"/>
    <n v="7"/>
    <n v="0"/>
    <n v="0"/>
    <n v="0"/>
    <x v="1"/>
    <n v="55"/>
    <n v="0"/>
  </r>
  <r>
    <x v="166"/>
    <x v="3"/>
    <s v="036-060-035"/>
    <s v="Covell Drive"/>
    <s v="5+"/>
    <x v="0"/>
    <n v="100"/>
    <n v="0"/>
    <n v="5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32"/>
    <x v="1"/>
    <s v="4276-007-021"/>
    <s v="2025 Wilshire Blvd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32"/>
    <x v="1"/>
    <n v="4289019019"/>
    <s v="234 Pico Blvd"/>
    <s v="5+"/>
    <x v="0"/>
    <n v="1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32"/>
    <x v="1"/>
    <s v="4285-001-030"/>
    <s v="2601 Lincoln Blvd"/>
    <s v="5+"/>
    <x v="0"/>
    <n v="5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0"/>
  </r>
  <r>
    <x v="32"/>
    <x v="1"/>
    <s v="4291-019027-"/>
    <s v="501  BROADWAY"/>
    <s v="5+"/>
    <x v="0"/>
    <n v="0"/>
    <n v="0"/>
    <n v="0"/>
    <n v="0"/>
    <n v="0"/>
    <n v="0"/>
    <x v="6"/>
    <n v="0"/>
    <n v="5"/>
    <n v="0"/>
    <n v="7"/>
    <n v="0"/>
    <n v="0"/>
    <n v="0"/>
    <n v="0"/>
    <n v="0"/>
    <n v="0"/>
    <n v="0"/>
    <x v="1"/>
    <n v="55"/>
    <n v="0"/>
  </r>
  <r>
    <x v="98"/>
    <x v="4"/>
    <s v="008-072-008,  008-072-009"/>
    <s v="900 32nd ST"/>
    <s v="5+"/>
    <x v="0"/>
    <n v="0"/>
    <n v="0"/>
    <n v="0"/>
    <n v="0"/>
    <n v="0"/>
    <n v="0"/>
    <x v="0"/>
    <n v="0"/>
    <n v="0"/>
    <n v="0"/>
    <n v="0"/>
    <n v="0"/>
    <n v="4"/>
    <n v="0"/>
    <n v="2"/>
    <n v="0"/>
    <n v="0"/>
    <n v="0"/>
    <x v="0"/>
    <m/>
    <n v="0"/>
  </r>
  <r>
    <x v="98"/>
    <x v="4"/>
    <s v="008-072-008,  008-072-009"/>
    <s v="3214 Park St"/>
    <s v="5+"/>
    <x v="0"/>
    <n v="0"/>
    <n v="0"/>
    <n v="0"/>
    <n v="0"/>
    <n v="0"/>
    <n v="0"/>
    <x v="0"/>
    <n v="0"/>
    <n v="0"/>
    <n v="0"/>
    <n v="0"/>
    <n v="0"/>
    <n v="4"/>
    <n v="0"/>
    <n v="2"/>
    <n v="0"/>
    <n v="0"/>
    <n v="0"/>
    <x v="0"/>
    <m/>
    <n v="0"/>
  </r>
  <r>
    <x v="98"/>
    <x v="4"/>
    <s v="008-072-008,  008-072-009"/>
    <s v="3209 Pine St"/>
    <s v="5+"/>
    <x v="0"/>
    <n v="0"/>
    <n v="0"/>
    <n v="0"/>
    <n v="0"/>
    <n v="0"/>
    <n v="0"/>
    <x v="0"/>
    <n v="0"/>
    <n v="0"/>
    <n v="0"/>
    <n v="0"/>
    <n v="0"/>
    <n v="5"/>
    <n v="0"/>
    <n v="2"/>
    <n v="0"/>
    <n v="0"/>
    <n v="0"/>
    <x v="0"/>
    <m/>
    <n v="0"/>
  </r>
  <r>
    <x v="98"/>
    <x v="4"/>
    <s v="008-072-008,  008-072-009"/>
    <s v="903 32nd St"/>
    <s v="5+"/>
    <x v="0"/>
    <n v="0"/>
    <n v="0"/>
    <n v="0"/>
    <n v="0"/>
    <n v="0"/>
    <n v="0"/>
    <x v="0"/>
    <n v="0"/>
    <n v="0"/>
    <n v="0"/>
    <n v="0"/>
    <n v="0"/>
    <n v="5"/>
    <n v="0"/>
    <n v="2"/>
    <n v="0"/>
    <n v="0"/>
    <n v="0"/>
    <x v="0"/>
    <m/>
    <n v="0"/>
  </r>
  <r>
    <x v="14"/>
    <x v="2"/>
    <n v="63603306"/>
    <s v="27665 FORBES RD"/>
    <s v="5+"/>
    <x v="0"/>
    <n v="0"/>
    <n v="0"/>
    <n v="0"/>
    <n v="0"/>
    <n v="0"/>
    <n v="0"/>
    <x v="0"/>
    <n v="0"/>
    <n v="0"/>
    <n v="0"/>
    <n v="0"/>
    <n v="0"/>
    <n v="14"/>
    <n v="0"/>
    <n v="0"/>
    <n v="0"/>
    <n v="0"/>
    <n v="0"/>
    <x v="0"/>
    <n v="30"/>
    <n v="0"/>
  </r>
  <r>
    <x v="40"/>
    <x v="2"/>
    <s v="099B576001300"/>
    <s v="1001 WESTWIND ST"/>
    <s v="5+"/>
    <x v="0"/>
    <n v="0"/>
    <n v="0"/>
    <n v="0"/>
    <n v="0"/>
    <n v="0"/>
    <n v="0"/>
    <x v="0"/>
    <n v="0"/>
    <n v="0"/>
    <n v="0"/>
    <n v="0"/>
    <n v="0"/>
    <n v="9"/>
    <n v="0"/>
    <n v="0"/>
    <n v="0"/>
    <n v="0"/>
    <n v="0"/>
    <x v="1"/>
    <m/>
    <n v="0"/>
  </r>
  <r>
    <x v="186"/>
    <x v="2"/>
    <s v="428-0006-0058-01"/>
    <s v="21659 Mission Blvd"/>
    <s v="5+"/>
    <x v="1"/>
    <n v="1"/>
    <n v="0"/>
    <n v="0"/>
    <n v="0"/>
    <n v="3"/>
    <n v="0"/>
    <x v="0"/>
    <n v="0"/>
    <n v="0"/>
    <n v="0"/>
    <n v="0"/>
    <n v="0"/>
    <n v="0"/>
    <n v="0"/>
    <n v="0"/>
    <n v="0"/>
    <n v="0"/>
    <n v="0"/>
    <x v="0"/>
    <n v="1000"/>
    <n v="0"/>
  </r>
  <r>
    <x v="186"/>
    <x v="2"/>
    <s v="444-0057-006-00"/>
    <s v="24997 O'Neil Avenue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25"/>
    <x v="2"/>
    <n v="8601034"/>
    <s v="600 BARBER LN"/>
    <s v="5+"/>
    <x v="0"/>
    <n v="15"/>
    <n v="0"/>
    <n v="41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86"/>
    <x v="4"/>
    <s v="078C-0461-007-00"/>
    <s v="28870 Mission Blvd"/>
    <s v="5+"/>
    <x v="0"/>
    <n v="77"/>
    <n v="0"/>
    <n v="3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64"/>
    <x v="2"/>
    <s v="017-231-024-000"/>
    <s v="350 ROSEVILLE PW, BLDG 20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8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34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5"/>
    <n v="0"/>
  </r>
  <r>
    <x v="3"/>
    <x v="2"/>
    <n v="5529019019"/>
    <s v="1011 CRESCENT HEIGHTS"/>
    <s v="5+"/>
    <x v="0"/>
    <n v="0"/>
    <n v="0"/>
    <n v="1"/>
    <n v="0"/>
    <n v="0"/>
    <n v="0"/>
    <x v="0"/>
    <n v="0"/>
    <n v="1"/>
    <n v="0"/>
    <n v="0"/>
    <n v="0"/>
    <n v="0"/>
    <n v="0"/>
    <n v="0"/>
    <n v="0"/>
    <n v="0"/>
    <n v="0"/>
    <x v="0"/>
    <n v="1000"/>
    <n v="0"/>
  </r>
  <r>
    <x v="3"/>
    <x v="2"/>
    <n v="4340013025"/>
    <s v="702 DOHENY DR"/>
    <s v="5+"/>
    <x v="0"/>
    <n v="2"/>
    <n v="0"/>
    <n v="4"/>
    <n v="0"/>
    <n v="6"/>
    <n v="0"/>
    <x v="17"/>
    <n v="0"/>
    <n v="4"/>
    <n v="0"/>
    <n v="6"/>
    <n v="0"/>
    <n v="2"/>
    <n v="0"/>
    <n v="4"/>
    <n v="0"/>
    <n v="6"/>
    <n v="0"/>
    <x v="0"/>
    <n v="1000"/>
    <n v="0"/>
  </r>
  <r>
    <x v="44"/>
    <x v="2"/>
    <n v="27414152"/>
    <s v="259 MERIDIAN AV SAN JOSE, CA 95126-2905"/>
    <s v="5+"/>
    <x v="0"/>
    <n v="14"/>
    <n v="0"/>
    <n v="0"/>
    <n v="0"/>
    <n v="20"/>
    <n v="0"/>
    <x v="0"/>
    <n v="0"/>
    <n v="0"/>
    <n v="0"/>
    <n v="0"/>
    <n v="0"/>
    <n v="0"/>
    <n v="0"/>
    <n v="0"/>
    <n v="0"/>
    <n v="0"/>
    <n v="0"/>
    <x v="1"/>
    <n v="55"/>
    <n v="0"/>
  </r>
  <r>
    <x v="98"/>
    <x v="4"/>
    <s v="008-072-008,  008-072-009"/>
    <s v="3111 Pine St"/>
    <s v="5+"/>
    <x v="0"/>
    <n v="0"/>
    <n v="0"/>
    <n v="0"/>
    <n v="0"/>
    <n v="0"/>
    <n v="0"/>
    <x v="0"/>
    <n v="0"/>
    <n v="0"/>
    <n v="0"/>
    <n v="0"/>
    <n v="0"/>
    <n v="3"/>
    <n v="0"/>
    <n v="1"/>
    <n v="0"/>
    <n v="0"/>
    <n v="0"/>
    <x v="0"/>
    <m/>
    <n v="0"/>
  </r>
  <r>
    <x v="197"/>
    <x v="2"/>
    <n v="31710106"/>
    <s v="13098 Poway Road"/>
    <s v="5+"/>
    <x v="0"/>
    <n v="0"/>
    <n v="0"/>
    <n v="0"/>
    <n v="0"/>
    <n v="0"/>
    <n v="0"/>
    <x v="89"/>
    <n v="0"/>
    <n v="29"/>
    <n v="0"/>
    <n v="0"/>
    <n v="1"/>
    <n v="0"/>
    <n v="0"/>
    <n v="0"/>
    <n v="0"/>
    <n v="0"/>
    <n v="0"/>
    <x v="0"/>
    <n v="55"/>
    <n v="0"/>
  </r>
  <r>
    <x v="201"/>
    <x v="1"/>
    <s v="254-144-01-00, 216-110-35-00"/>
    <s v="NE corner of Piraeus Street and Plato Place"/>
    <s v="5+"/>
    <x v="1"/>
    <n v="0"/>
    <n v="0"/>
    <n v="14"/>
    <n v="0"/>
    <n v="0"/>
    <n v="0"/>
    <x v="0"/>
    <n v="0"/>
    <n v="0"/>
    <n v="0"/>
    <n v="0"/>
    <n v="0"/>
    <n v="0"/>
    <n v="0"/>
    <n v="0"/>
    <n v="0"/>
    <n v="0"/>
    <n v="0"/>
    <x v="0"/>
    <n v="1000"/>
    <n v="0.5"/>
  </r>
  <r>
    <x v="201"/>
    <x v="1"/>
    <n v="2546121400"/>
    <s v="1600 San Remo Pl 101, Encinitas, CA 92024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120"/>
    <x v="0"/>
    <n v="43514239"/>
    <s v="17861 Cartwright Road"/>
    <s v="5+"/>
    <x v="0"/>
    <n v="20"/>
    <n v="0"/>
    <n v="39"/>
    <n v="0"/>
    <n v="0"/>
    <n v="0"/>
    <x v="0"/>
    <n v="0"/>
    <n v="0"/>
    <n v="0"/>
    <n v="0"/>
    <n v="0"/>
    <n v="0"/>
    <n v="0"/>
    <n v="0"/>
    <n v="0"/>
    <n v="0"/>
    <n v="0"/>
    <x v="0"/>
    <n v="1000"/>
    <n v="35"/>
  </r>
  <r>
    <x v="194"/>
    <x v="6"/>
    <n v="513371005"/>
    <s v="1711-1755 EASTSHORE BLVD"/>
    <s v="5+"/>
    <x v="0"/>
    <n v="0"/>
    <n v="0"/>
    <n v="73"/>
    <n v="0"/>
    <n v="15"/>
    <n v="0"/>
    <x v="0"/>
    <n v="0"/>
    <n v="0"/>
    <n v="0"/>
    <n v="0"/>
    <n v="0"/>
    <n v="0"/>
    <n v="0"/>
    <n v="0"/>
    <n v="0"/>
    <n v="0"/>
    <n v="0"/>
    <x v="0"/>
    <m/>
    <s v="0.40000000000000002"/>
  </r>
  <r>
    <x v="260"/>
    <x v="2"/>
    <s v="PM 20276 parcel 1"/>
    <s v="555 S 7th Ave"/>
    <s v="5+"/>
    <x v="0"/>
    <n v="20"/>
    <n v="0"/>
    <n v="30"/>
    <n v="0"/>
    <n v="30"/>
    <n v="0"/>
    <x v="0"/>
    <n v="0"/>
    <n v="0"/>
    <n v="0"/>
    <n v="0"/>
    <n v="0"/>
    <n v="0"/>
    <n v="0"/>
    <n v="0"/>
    <n v="0"/>
    <n v="0"/>
    <n v="0"/>
    <x v="0"/>
    <n v="55"/>
    <n v="0"/>
  </r>
  <r>
    <x v="120"/>
    <x v="2"/>
    <n v="44503110"/>
    <s v="1000 ELEMENTS WAY"/>
    <s v="5+"/>
    <x v="0"/>
    <n v="0"/>
    <n v="0"/>
    <n v="0"/>
    <n v="0"/>
    <n v="0"/>
    <n v="0"/>
    <x v="0"/>
    <n v="0"/>
    <n v="0"/>
    <n v="0"/>
    <n v="0"/>
    <n v="0"/>
    <n v="19"/>
    <n v="0"/>
    <n v="0"/>
    <n v="0"/>
    <n v="20"/>
    <n v="0"/>
    <x v="0"/>
    <n v="30"/>
    <n v="0"/>
  </r>
  <r>
    <x v="82"/>
    <x v="3"/>
    <s v="026-741-25"/>
    <s v="1520 CAPITOLA RD Ste 1 SANTA CRUZ, CA 95062"/>
    <s v="5+"/>
    <x v="0"/>
    <n v="0"/>
    <n v="0"/>
    <n v="0"/>
    <n v="0"/>
    <n v="0"/>
    <n v="0"/>
    <x v="3"/>
    <n v="0"/>
    <n v="19"/>
    <n v="0"/>
    <n v="0"/>
    <n v="0"/>
    <n v="0"/>
    <n v="0"/>
    <n v="0"/>
    <n v="0"/>
    <n v="0"/>
    <n v="0"/>
    <x v="0"/>
    <n v="1000"/>
    <n v="20"/>
  </r>
  <r>
    <x v="120"/>
    <x v="0"/>
    <n v="10458447"/>
    <s v="501 NIGHTMIST  IRVINE, CA 92618"/>
    <s v="5+"/>
    <x v="0"/>
    <n v="0"/>
    <n v="0"/>
    <n v="0"/>
    <n v="0"/>
    <n v="0"/>
    <n v="0"/>
    <x v="0"/>
    <n v="0"/>
    <n v="0"/>
    <n v="0"/>
    <n v="0"/>
    <n v="0"/>
    <n v="24"/>
    <n v="0"/>
    <n v="0"/>
    <n v="0"/>
    <n v="0"/>
    <n v="0"/>
    <x v="0"/>
    <n v="1000"/>
    <n v="0"/>
  </r>
  <r>
    <x v="92"/>
    <x v="3"/>
    <s v="201-0300-180-0000"/>
    <s v="3518 HAMMOCK ,SACRAMENTO,CA"/>
    <s v="5+"/>
    <x v="0"/>
    <n v="0"/>
    <n v="0"/>
    <n v="0"/>
    <n v="0"/>
    <n v="0"/>
    <n v="0"/>
    <x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96 HAMMOCK ,SACRAMENTO,CA"/>
    <s v="5+"/>
    <x v="0"/>
    <n v="0"/>
    <n v="0"/>
    <n v="0"/>
    <n v="0"/>
    <n v="0"/>
    <n v="0"/>
    <x v="0"/>
    <n v="0"/>
    <n v="7"/>
    <n v="0"/>
    <n v="0"/>
    <n v="1"/>
    <n v="0"/>
    <n v="0"/>
    <n v="7"/>
    <n v="0"/>
    <n v="0"/>
    <n v="1"/>
    <x v="1"/>
    <n v="55"/>
    <n v="0"/>
  </r>
  <r>
    <x v="149"/>
    <x v="3"/>
    <s v="519 131003418"/>
    <s v="45025 S Grimmer Blvd"/>
    <s v="5+"/>
    <x v="0"/>
    <n v="0"/>
    <n v="0"/>
    <n v="0"/>
    <n v="0"/>
    <n v="0"/>
    <n v="0"/>
    <x v="0"/>
    <n v="0"/>
    <n v="0"/>
    <n v="0"/>
    <n v="0"/>
    <n v="0"/>
    <n v="42"/>
    <n v="0"/>
    <n v="28"/>
    <n v="0"/>
    <n v="1"/>
    <n v="0"/>
    <x v="0"/>
    <n v="55"/>
    <n v="0"/>
  </r>
  <r>
    <x v="261"/>
    <x v="3"/>
    <s v="020835302-0000"/>
    <s v="10575 FOOTHILL BLVD, RANCHO CUCAMONGA 91730"/>
    <s v="5+"/>
    <x v="0"/>
    <n v="1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5"/>
  </r>
  <r>
    <x v="85"/>
    <x v="1"/>
    <s v="214-010-033"/>
    <s v="1602 Cinnabar Ct.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31"/>
    <x v="0"/>
    <n v="-4625"/>
    <s v="1055 STEWART DR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0"/>
    <n v="55"/>
    <n v="4"/>
  </r>
  <r>
    <x v="31"/>
    <x v="0"/>
    <n v="20550046"/>
    <s v="1130 KIFER RD"/>
    <s v="5+"/>
    <x v="0"/>
    <n v="0"/>
    <n v="0"/>
    <n v="0"/>
    <n v="0"/>
    <n v="0"/>
    <n v="0"/>
    <x v="0"/>
    <n v="0"/>
    <n v="0"/>
    <n v="0"/>
    <n v="0"/>
    <n v="0"/>
    <n v="0"/>
    <n v="0"/>
    <n v="40"/>
    <n v="0"/>
    <n v="0"/>
    <n v="0"/>
    <x v="1"/>
    <n v="55"/>
    <n v="0"/>
  </r>
  <r>
    <x v="31"/>
    <x v="0"/>
    <n v="20934019"/>
    <s v="333 W IOWA AV"/>
    <s v="5+"/>
    <x v="0"/>
    <n v="0"/>
    <n v="0"/>
    <n v="0"/>
    <n v="0"/>
    <n v="0"/>
    <n v="0"/>
    <x v="0"/>
    <n v="0"/>
    <n v="0"/>
    <n v="0"/>
    <n v="0"/>
    <n v="0"/>
    <n v="0"/>
    <n v="0"/>
    <n v="9"/>
    <n v="0"/>
    <n v="0"/>
    <n v="0"/>
    <x v="1"/>
    <n v="55"/>
    <n v="0"/>
  </r>
  <r>
    <x v="209"/>
    <x v="1"/>
    <s v="057-860046-"/>
    <s v="Brighton Dr"/>
    <s v="5+"/>
    <x v="0"/>
    <n v="50"/>
    <n v="0"/>
    <n v="5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09"/>
    <x v="1"/>
    <s v="051-110-001, 054-110-002"/>
    <s v="375 Fourth St"/>
    <s v="5+"/>
    <x v="0"/>
    <n v="0"/>
    <n v="0"/>
    <n v="50"/>
    <n v="0"/>
    <n v="0"/>
    <n v="0"/>
    <x v="0"/>
    <n v="0"/>
    <n v="0"/>
    <n v="0"/>
    <n v="0"/>
    <n v="0"/>
    <n v="0"/>
    <n v="0"/>
    <n v="0"/>
    <n v="0"/>
    <n v="0"/>
    <n v="0"/>
    <x v="0"/>
    <n v="55"/>
    <n v="80"/>
  </r>
  <r>
    <x v="102"/>
    <x v="0"/>
    <s v="124-33-068"/>
    <s v="2515 EL CAMINO REAL"/>
    <s v="5+"/>
    <x v="1"/>
    <n v="0"/>
    <n v="0"/>
    <n v="2"/>
    <n v="0"/>
    <n v="0"/>
    <n v="0"/>
    <x v="0"/>
    <n v="0"/>
    <n v="2"/>
    <n v="0"/>
    <n v="0"/>
    <n v="0"/>
    <n v="0"/>
    <n v="0"/>
    <n v="2"/>
    <n v="0"/>
    <n v="0"/>
    <n v="0"/>
    <x v="1"/>
    <n v="55"/>
    <n v="0"/>
  </r>
  <r>
    <x v="98"/>
    <x v="4"/>
    <s v="008-072-008,  008-072-009"/>
    <s v="3202 Park St"/>
    <s v="5+"/>
    <x v="0"/>
    <n v="0"/>
    <n v="0"/>
    <n v="0"/>
    <n v="0"/>
    <n v="0"/>
    <n v="0"/>
    <x v="0"/>
    <n v="0"/>
    <n v="0"/>
    <n v="0"/>
    <n v="0"/>
    <n v="0"/>
    <n v="6"/>
    <n v="0"/>
    <n v="2"/>
    <n v="0"/>
    <n v="0"/>
    <n v="0"/>
    <x v="0"/>
    <m/>
    <n v="0"/>
  </r>
  <r>
    <x v="152"/>
    <x v="1"/>
    <s v="125-580-16"/>
    <s v="610 Verandah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98"/>
    <x v="4"/>
    <s v="008-072-008,  008-072-009"/>
    <s v="3212 Pine St"/>
    <s v="5+"/>
    <x v="0"/>
    <n v="0"/>
    <n v="0"/>
    <n v="0"/>
    <n v="0"/>
    <n v="0"/>
    <n v="0"/>
    <x v="0"/>
    <n v="0"/>
    <n v="0"/>
    <n v="0"/>
    <n v="0"/>
    <n v="0"/>
    <n v="3"/>
    <n v="0"/>
    <n v="1"/>
    <n v="0"/>
    <n v="0"/>
    <n v="0"/>
    <x v="0"/>
    <m/>
    <n v="0"/>
  </r>
  <r>
    <x v="92"/>
    <x v="1"/>
    <s v="049-0250-027-0000"/>
    <s v="57 CORAL GABLES ,SACRAMENTO,CA"/>
    <s v="5+"/>
    <x v="0"/>
    <n v="0"/>
    <n v="0"/>
    <n v="0"/>
    <n v="0"/>
    <n v="0"/>
    <n v="0"/>
    <x v="0"/>
    <n v="0"/>
    <n v="0"/>
    <n v="0"/>
    <n v="0"/>
    <n v="0"/>
    <n v="8"/>
    <n v="0"/>
    <n v="0"/>
    <n v="0"/>
    <n v="0"/>
    <n v="1"/>
    <x v="0"/>
    <n v="30"/>
    <n v="0.16"/>
  </r>
  <r>
    <x v="112"/>
    <x v="4"/>
    <n v="125061026"/>
    <s v="206 W. 3RD"/>
    <s v="5+"/>
    <x v="0"/>
    <n v="26"/>
    <n v="0"/>
    <n v="14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9"/>
    <x v="0"/>
    <s v="5738-015-130"/>
    <s v="256 N Michigan Ave"/>
    <s v="5+"/>
    <x v="0"/>
    <n v="3"/>
    <n v="0"/>
    <n v="0"/>
    <n v="0"/>
    <n v="2"/>
    <n v="0"/>
    <x v="0"/>
    <n v="0"/>
    <n v="0"/>
    <n v="0"/>
    <n v="0"/>
    <n v="0"/>
    <n v="0"/>
    <n v="0"/>
    <n v="0"/>
    <n v="0"/>
    <n v="0"/>
    <n v="0"/>
    <x v="1"/>
    <n v="1000"/>
    <n v="0"/>
  </r>
  <r>
    <x v="63"/>
    <x v="4"/>
    <s v="008-111-080"/>
    <s v="123 Mabuhay Way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0"/>
    <n v="0"/>
  </r>
  <r>
    <x v="63"/>
    <x v="4"/>
    <s v="008-111-080"/>
    <s v="125 D St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0"/>
    <n v="0"/>
  </r>
  <r>
    <x v="89"/>
    <x v="1"/>
    <s v="150-210-059"/>
    <s v="85 Cleaveland Road"/>
    <s v="5+"/>
    <x v="0"/>
    <n v="9"/>
    <n v="0"/>
    <n v="0"/>
    <n v="0"/>
    <n v="10"/>
    <n v="0"/>
    <x v="25"/>
    <n v="0"/>
    <n v="0"/>
    <n v="0"/>
    <n v="10"/>
    <n v="0"/>
    <n v="0"/>
    <n v="0"/>
    <n v="0"/>
    <n v="0"/>
    <n v="0"/>
    <n v="0"/>
    <x v="1"/>
    <m/>
    <n v="0"/>
  </r>
  <r>
    <x v="70"/>
    <x v="2"/>
    <s v="986-0034-009-00"/>
    <s v="5421 Campbell Lane"/>
    <s v="5+"/>
    <x v="0"/>
    <n v="0"/>
    <n v="0"/>
    <n v="0"/>
    <n v="0"/>
    <n v="0"/>
    <n v="0"/>
    <x v="0"/>
    <n v="0"/>
    <n v="0"/>
    <n v="0"/>
    <n v="22"/>
    <n v="0"/>
    <n v="0"/>
    <n v="0"/>
    <n v="0"/>
    <n v="0"/>
    <n v="0"/>
    <n v="0"/>
    <x v="1"/>
    <n v="55"/>
    <n v="0"/>
  </r>
  <r>
    <x v="112"/>
    <x v="0"/>
    <n v="10510021"/>
    <s v="1385 W. College"/>
    <s v="5+"/>
    <x v="0"/>
    <n v="0"/>
    <n v="0"/>
    <n v="0"/>
    <n v="136"/>
    <n v="0"/>
    <n v="0"/>
    <x v="0"/>
    <n v="0"/>
    <n v="0"/>
    <n v="0"/>
    <n v="0"/>
    <n v="0"/>
    <n v="0"/>
    <n v="0"/>
    <n v="0"/>
    <n v="0"/>
    <n v="0"/>
    <n v="0"/>
    <x v="0"/>
    <m/>
    <s v="11.699999999999999"/>
  </r>
  <r>
    <x v="4"/>
    <x v="4"/>
    <s v="004-705-021"/>
    <s v="3550 Ranch House"/>
    <s v="5+"/>
    <x v="0"/>
    <n v="0"/>
    <n v="0"/>
    <n v="0"/>
    <n v="0"/>
    <n v="0"/>
    <n v="0"/>
    <x v="0"/>
    <n v="0"/>
    <n v="2"/>
    <n v="0"/>
    <n v="0"/>
    <n v="0"/>
    <n v="0"/>
    <n v="0"/>
    <n v="0"/>
    <n v="0"/>
    <n v="0"/>
    <n v="0"/>
    <x v="1"/>
    <n v="55"/>
    <n v="0"/>
  </r>
  <r>
    <x v="10"/>
    <x v="5"/>
    <s v="224-77-004"/>
    <s v="1583 Alviso Stree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20"/>
    <n v="0"/>
  </r>
  <r>
    <x v="159"/>
    <x v="0"/>
    <s v="5725-002-913"/>
    <s v="710 N Fair Oaks"/>
    <s v="5+"/>
    <x v="0"/>
    <n v="7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134"/>
    <x v="6"/>
    <n v="1560180485"/>
    <s v="2783 SOMIS RD, SOMIS, CA  93066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85 SOMIS RD, SOMIS, CA  93066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31 SOMIS RD, SOMIS, CA  93066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47 Somis Rd, Somis, CA 93066"/>
    <s v="5+"/>
    <x v="0"/>
    <n v="0"/>
    <n v="0"/>
    <n v="0"/>
    <n v="0"/>
    <n v="0"/>
    <n v="0"/>
    <x v="0"/>
    <n v="0"/>
    <n v="0"/>
    <n v="0"/>
    <n v="0"/>
    <n v="0"/>
    <n v="6"/>
    <n v="0"/>
    <n v="0"/>
    <n v="0"/>
    <n v="0"/>
    <n v="0"/>
    <x v="1"/>
    <n v="1000"/>
    <n v="0"/>
  </r>
  <r>
    <x v="186"/>
    <x v="4"/>
    <s v="078C-0438-013-06"/>
    <s v="29497 Mission Blvd"/>
    <s v="5+"/>
    <x v="0"/>
    <n v="26"/>
    <n v="0"/>
    <n v="113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85"/>
    <x v="1"/>
    <s v="214-010-251"/>
    <s v="1309 Azure Ct.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5"/>
    <n v="0"/>
  </r>
  <r>
    <x v="31"/>
    <x v="0"/>
    <n v="20550013"/>
    <s v="1178  SONORA CT"/>
    <s v="5+"/>
    <x v="0"/>
    <n v="55"/>
    <n v="0"/>
    <n v="119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31"/>
    <x v="0"/>
    <n v="-4624"/>
    <s v="1025 STEWART DR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0"/>
    <n v="55"/>
    <n v="4"/>
  </r>
  <r>
    <x v="118"/>
    <x v="1"/>
    <s v="083-080-63ST"/>
    <m/>
    <s v="5+"/>
    <x v="0"/>
    <n v="50"/>
    <n v="0"/>
    <n v="25"/>
    <n v="0"/>
    <n v="0"/>
    <n v="0"/>
    <x v="53"/>
    <n v="0"/>
    <n v="25"/>
    <n v="0"/>
    <n v="0"/>
    <n v="0"/>
    <n v="0"/>
    <n v="0"/>
    <n v="0"/>
    <n v="0"/>
    <n v="0"/>
    <n v="0"/>
    <x v="0"/>
    <n v="55"/>
    <n v="0"/>
  </r>
  <r>
    <x v="152"/>
    <x v="1"/>
    <s v="125-580-16"/>
    <s v="521 VALLEY OAKS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152"/>
    <x v="1"/>
    <s v="157-970-03"/>
    <s v="609 ROCKVIEW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152"/>
    <x v="1"/>
    <s v="157-970-03"/>
    <s v="704 ROCKVIEW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152"/>
    <x v="1"/>
    <s v="125-580-16"/>
    <s v="634 Verandah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152"/>
    <x v="1"/>
    <s v="125-580-16"/>
    <s v="814 Verandah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166"/>
    <x v="3"/>
    <s v="71-405-38"/>
    <s v="2050 5th Street"/>
    <s v="5+"/>
    <x v="0"/>
    <n v="19"/>
    <n v="0"/>
    <n v="19"/>
    <n v="0"/>
    <n v="0"/>
    <n v="0"/>
    <x v="13"/>
    <n v="0"/>
    <n v="19"/>
    <n v="0"/>
    <n v="0"/>
    <n v="0"/>
    <n v="19"/>
    <n v="0"/>
    <n v="19"/>
    <n v="0"/>
    <n v="0"/>
    <n v="0"/>
    <x v="1"/>
    <n v="1000"/>
    <n v="0"/>
  </r>
  <r>
    <x v="262"/>
    <x v="5"/>
    <s v="8621-002-001, 8621-022-002"/>
    <s v="360 E. Gladstone St."/>
    <s v="5+"/>
    <x v="0"/>
    <n v="0"/>
    <n v="0"/>
    <n v="0"/>
    <n v="0"/>
    <n v="0"/>
    <n v="0"/>
    <x v="0"/>
    <n v="0"/>
    <n v="6"/>
    <n v="0"/>
    <n v="0"/>
    <n v="54"/>
    <n v="0"/>
    <n v="0"/>
    <n v="6"/>
    <n v="0"/>
    <n v="0"/>
    <n v="54"/>
    <x v="0"/>
    <n v="55"/>
    <n v="0"/>
  </r>
  <r>
    <x v="120"/>
    <x v="0"/>
    <n v="52748127"/>
    <s v="2171 CAMPUS DR  IRVINE, CA 92612"/>
    <s v="5+"/>
    <x v="0"/>
    <n v="0"/>
    <n v="0"/>
    <n v="0"/>
    <n v="0"/>
    <n v="0"/>
    <n v="0"/>
    <x v="11"/>
    <n v="0"/>
    <n v="0"/>
    <n v="0"/>
    <n v="10"/>
    <n v="0"/>
    <n v="0"/>
    <n v="0"/>
    <n v="0"/>
    <n v="0"/>
    <n v="0"/>
    <n v="0"/>
    <x v="0"/>
    <n v="55"/>
    <n v="25"/>
  </r>
  <r>
    <x v="49"/>
    <x v="6"/>
    <s v="118-010-058"/>
    <s v="820 W BATTLES RD Bldg 2"/>
    <s v="5+"/>
    <x v="0"/>
    <n v="0"/>
    <n v="0"/>
    <n v="0"/>
    <n v="0"/>
    <n v="0"/>
    <n v="0"/>
    <x v="0"/>
    <n v="0"/>
    <n v="0"/>
    <n v="0"/>
    <n v="0"/>
    <n v="0"/>
    <n v="4"/>
    <n v="0"/>
    <n v="14"/>
    <n v="0"/>
    <n v="0"/>
    <n v="0"/>
    <x v="0"/>
    <n v="55"/>
    <s v="0.20999999999999999"/>
  </r>
  <r>
    <x v="49"/>
    <x v="6"/>
    <s v="118-010-058"/>
    <s v="880 W BATTLES RD"/>
    <s v="5+"/>
    <x v="0"/>
    <n v="0"/>
    <n v="0"/>
    <n v="0"/>
    <n v="0"/>
    <n v="0"/>
    <n v="0"/>
    <x v="0"/>
    <n v="0"/>
    <n v="0"/>
    <n v="0"/>
    <n v="0"/>
    <n v="0"/>
    <n v="5"/>
    <n v="0"/>
    <n v="19"/>
    <n v="0"/>
    <n v="0"/>
    <n v="0"/>
    <x v="0"/>
    <n v="55"/>
    <s v="0.20999999999999999"/>
  </r>
  <r>
    <x v="49"/>
    <x v="6"/>
    <s v="118-010-058"/>
    <s v="870 W BATTLES RD"/>
    <s v="5+"/>
    <x v="0"/>
    <n v="0"/>
    <n v="0"/>
    <n v="0"/>
    <n v="0"/>
    <n v="0"/>
    <n v="0"/>
    <x v="0"/>
    <n v="0"/>
    <n v="0"/>
    <n v="0"/>
    <n v="0"/>
    <n v="0"/>
    <n v="4"/>
    <n v="0"/>
    <n v="14"/>
    <n v="0"/>
    <n v="0"/>
    <n v="0"/>
    <x v="0"/>
    <n v="55"/>
    <s v="0.20999999999999999"/>
  </r>
  <r>
    <x v="26"/>
    <x v="5"/>
    <s v="189-32-085"/>
    <s v="1313-1347 W. El Camino Real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5"/>
    <n v="47723043"/>
    <s v="2128 MONTEREY RD  MET SOUTH (BEPM 100%) LIVING UNITS"/>
    <s v="5+"/>
    <x v="0"/>
    <n v="0"/>
    <n v="0"/>
    <n v="0"/>
    <n v="0"/>
    <n v="0"/>
    <n v="0"/>
    <x v="0"/>
    <n v="0"/>
    <n v="0"/>
    <n v="0"/>
    <n v="0"/>
    <n v="0"/>
    <n v="30"/>
    <n v="0"/>
    <n v="0"/>
    <n v="0"/>
    <n v="0"/>
    <n v="0"/>
    <x v="1"/>
    <n v="55"/>
    <n v="0"/>
  </r>
  <r>
    <x v="4"/>
    <x v="4"/>
    <s v="053-061-055"/>
    <s v="3750 Bullock"/>
    <s v="5+"/>
    <x v="0"/>
    <n v="29"/>
    <n v="0"/>
    <n v="38"/>
    <n v="0"/>
    <n v="1"/>
    <n v="0"/>
    <x v="0"/>
    <n v="0"/>
    <n v="0"/>
    <n v="0"/>
    <n v="0"/>
    <n v="0"/>
    <n v="0"/>
    <n v="0"/>
    <n v="0"/>
    <n v="0"/>
    <n v="0"/>
    <n v="0"/>
    <x v="0"/>
    <n v="55"/>
    <n v="0"/>
  </r>
  <r>
    <x v="4"/>
    <x v="4"/>
    <s v="004-961-087"/>
    <s v="1259 Laurel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"/>
    <x v="4"/>
    <s v="004-705-002"/>
    <s v="3520 Ranch House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44"/>
    <x v="2"/>
    <s v="28403015; 28403016; 28403049"/>
    <s v="961 MERIDIAN AV SAN JOSE, CA 95126-4039; 971 MERIDIAN AV SAN JOSE, CA 95126-4039; 0 MERIDIAN AV SAN JOSE, CA 95128-0000"/>
    <s v="5+"/>
    <x v="0"/>
    <n v="0"/>
    <n v="0"/>
    <n v="233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31"/>
    <x v="6"/>
    <s v="057 202401300"/>
    <s v="2099 M L KING JR Way"/>
    <s v="5+"/>
    <x v="0"/>
    <n v="0"/>
    <n v="0"/>
    <n v="0"/>
    <n v="0"/>
    <n v="0"/>
    <n v="0"/>
    <x v="0"/>
    <n v="0"/>
    <n v="0"/>
    <n v="0"/>
    <n v="0"/>
    <n v="0"/>
    <n v="5"/>
    <n v="0"/>
    <n v="0"/>
    <n v="0"/>
    <n v="0"/>
    <n v="0"/>
    <x v="0"/>
    <m/>
    <s v="0.34999999999999998"/>
  </r>
  <r>
    <x v="131"/>
    <x v="6"/>
    <s v="057 203100101"/>
    <s v="2128 OXFORD St"/>
    <s v="5+"/>
    <x v="0"/>
    <n v="4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39000000000000001"/>
  </r>
  <r>
    <x v="131"/>
    <x v="6"/>
    <s v="056 197701101"/>
    <s v="2136 San Pablo Ave"/>
    <s v="5+"/>
    <x v="0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33000000000000002"/>
  </r>
  <r>
    <x v="131"/>
    <x v="6"/>
    <s v="055 187701601"/>
    <s v="2530 BANCROFT Way"/>
    <s v="5+"/>
    <x v="0"/>
    <n v="1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.5"/>
  </r>
  <r>
    <x v="131"/>
    <x v="6"/>
    <s v="055 184702000"/>
    <s v="2555 College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m/>
    <s v="0.46000000000000002"/>
  </r>
  <r>
    <x v="56"/>
    <x v="6"/>
    <s v="71-291-10-3"/>
    <s v="2141 STANFORD ST"/>
    <s v="5+"/>
    <x v="1"/>
    <n v="1"/>
    <n v="0"/>
    <n v="0"/>
    <n v="0"/>
    <n v="0"/>
    <n v="0"/>
    <x v="3"/>
    <n v="0"/>
    <n v="0"/>
    <n v="0"/>
    <n v="0"/>
    <n v="0"/>
    <n v="1"/>
    <n v="0"/>
    <n v="0"/>
    <n v="0"/>
    <n v="0"/>
    <n v="0"/>
    <x v="0"/>
    <n v="55"/>
    <s v="0.20000000000000001"/>
  </r>
  <r>
    <x v="56"/>
    <x v="6"/>
    <s v="71-293-22"/>
    <s v="2050 BARNES  WHARF LN"/>
    <s v="5+"/>
    <x v="1"/>
    <n v="1"/>
    <n v="0"/>
    <n v="0"/>
    <n v="0"/>
    <n v="1"/>
    <n v="0"/>
    <x v="3"/>
    <n v="0"/>
    <n v="0"/>
    <n v="0"/>
    <n v="1"/>
    <n v="0"/>
    <n v="0"/>
    <n v="0"/>
    <n v="0"/>
    <n v="0"/>
    <n v="0"/>
    <n v="0"/>
    <x v="0"/>
    <n v="59"/>
    <s v="0.20000000000000001"/>
  </r>
  <r>
    <x v="166"/>
    <x v="6"/>
    <s v="71-405-38"/>
    <s v="2050 5th Street"/>
    <s v="5+"/>
    <x v="0"/>
    <n v="19"/>
    <n v="0"/>
    <n v="19"/>
    <n v="0"/>
    <n v="0"/>
    <n v="0"/>
    <x v="13"/>
    <n v="0"/>
    <n v="19"/>
    <n v="0"/>
    <n v="0"/>
    <n v="0"/>
    <n v="19"/>
    <n v="0"/>
    <n v="19"/>
    <n v="0"/>
    <n v="0"/>
    <n v="0"/>
    <x v="1"/>
    <n v="1000"/>
    <n v="0"/>
  </r>
  <r>
    <x v="248"/>
    <x v="6"/>
    <s v="298-260-45 298-260-46"/>
    <s v="637-717 S Nardo Ave, 821 Stevens Ave"/>
    <s v="5+"/>
    <x v="0"/>
    <n v="0"/>
    <n v="0"/>
    <n v="0"/>
    <n v="0"/>
    <n v="0"/>
    <n v="0"/>
    <x v="0"/>
    <n v="0"/>
    <n v="32"/>
    <n v="0"/>
    <n v="0"/>
    <n v="0"/>
    <n v="0"/>
    <n v="0"/>
    <n v="0"/>
    <n v="0"/>
    <n v="0"/>
    <n v="0"/>
    <x v="0"/>
    <n v="55"/>
    <n v="0.25"/>
  </r>
  <r>
    <x v="82"/>
    <x v="3"/>
    <s v="026-741-25"/>
    <s v="1520 CAPITOLA RD Ste 1 SANTA CRUZ, CA 95062"/>
    <s v="5+"/>
    <x v="0"/>
    <n v="0"/>
    <n v="0"/>
    <n v="0"/>
    <n v="0"/>
    <n v="0"/>
    <n v="0"/>
    <x v="21"/>
    <n v="0"/>
    <n v="0"/>
    <n v="0"/>
    <n v="0"/>
    <n v="0"/>
    <n v="0"/>
    <n v="0"/>
    <n v="0"/>
    <n v="0"/>
    <n v="0"/>
    <n v="0"/>
    <x v="0"/>
    <n v="1000"/>
    <n v="20"/>
  </r>
  <r>
    <x v="82"/>
    <x v="3"/>
    <s v="026-741-25"/>
    <s v="1520 CAPITOLA RD Ste 1 SANTA CRUZ, CA 95062"/>
    <s v="5+"/>
    <x v="0"/>
    <n v="0"/>
    <n v="0"/>
    <n v="0"/>
    <n v="0"/>
    <n v="0"/>
    <n v="0"/>
    <x v="84"/>
    <n v="0"/>
    <n v="0"/>
    <n v="0"/>
    <n v="0"/>
    <n v="0"/>
    <n v="0"/>
    <n v="0"/>
    <n v="0"/>
    <n v="0"/>
    <n v="0"/>
    <n v="0"/>
    <x v="0"/>
    <n v="1000"/>
    <n v="20"/>
  </r>
  <r>
    <x v="3"/>
    <x v="2"/>
    <n v="5530011037"/>
    <s v="7617 SANTA MONICA BLVD"/>
    <s v="5+"/>
    <x v="0"/>
    <n v="6"/>
    <n v="0"/>
    <n v="0"/>
    <n v="0"/>
    <n v="5"/>
    <n v="0"/>
    <x v="6"/>
    <n v="0"/>
    <n v="0"/>
    <n v="0"/>
    <n v="5"/>
    <n v="0"/>
    <n v="0"/>
    <n v="0"/>
    <n v="0"/>
    <n v="0"/>
    <n v="0"/>
    <n v="0"/>
    <x v="0"/>
    <n v="1000"/>
    <n v="0"/>
  </r>
  <r>
    <x v="3"/>
    <x v="2"/>
    <n v="5554011011"/>
    <s v="1223 HAYWORTH AVE"/>
    <s v="5+"/>
    <x v="0"/>
    <n v="0"/>
    <n v="0"/>
    <n v="1"/>
    <n v="0"/>
    <n v="0"/>
    <n v="0"/>
    <x v="0"/>
    <n v="0"/>
    <n v="1"/>
    <n v="0"/>
    <n v="0"/>
    <n v="0"/>
    <n v="0"/>
    <n v="0"/>
    <n v="0"/>
    <n v="0"/>
    <n v="0"/>
    <n v="0"/>
    <x v="0"/>
    <n v="1000"/>
    <n v="0"/>
  </r>
  <r>
    <x v="263"/>
    <x v="1"/>
    <s v="020-034-14"/>
    <s v="1135-1169 Magnolia Avenue"/>
    <s v="5+"/>
    <x v="1"/>
    <n v="0"/>
    <n v="0"/>
    <n v="2"/>
    <n v="0"/>
    <n v="2"/>
    <n v="0"/>
    <x v="0"/>
    <n v="0"/>
    <n v="0"/>
    <n v="0"/>
    <n v="0"/>
    <n v="0"/>
    <n v="0"/>
    <n v="0"/>
    <n v="0"/>
    <n v="0"/>
    <n v="0"/>
    <n v="0"/>
    <x v="0"/>
    <n v="1000"/>
    <n v="0"/>
  </r>
  <r>
    <x v="159"/>
    <x v="0"/>
    <s v="5723-006-037"/>
    <s v="274 N Oakland Ave"/>
    <s v="5+"/>
    <x v="0"/>
    <n v="10"/>
    <n v="0"/>
    <n v="0"/>
    <n v="0"/>
    <n v="170"/>
    <n v="0"/>
    <x v="7"/>
    <n v="0"/>
    <n v="0"/>
    <n v="0"/>
    <n v="170"/>
    <n v="0"/>
    <n v="0"/>
    <n v="0"/>
    <n v="0"/>
    <n v="0"/>
    <n v="0"/>
    <n v="0"/>
    <x v="1"/>
    <n v="1000"/>
    <n v="0"/>
  </r>
  <r>
    <x v="159"/>
    <x v="0"/>
    <s v="5738-003-083"/>
    <s v="1000 E Walnut Ave"/>
    <s v="5+"/>
    <x v="0"/>
    <n v="0"/>
    <n v="0"/>
    <n v="0"/>
    <n v="0"/>
    <n v="0"/>
    <n v="0"/>
    <x v="106"/>
    <n v="0"/>
    <n v="0"/>
    <n v="0"/>
    <n v="0"/>
    <n v="0"/>
    <n v="0"/>
    <n v="0"/>
    <n v="0"/>
    <n v="0"/>
    <n v="0"/>
    <n v="0"/>
    <x v="0"/>
    <n v="1000"/>
    <n v="118"/>
  </r>
  <r>
    <x v="64"/>
    <x v="2"/>
    <s v="017-231-024-000"/>
    <s v="350 ROSEVILLE PW, BLDG 22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7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31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1"/>
    <n v="55"/>
    <n v="0"/>
  </r>
  <r>
    <x v="54"/>
    <x v="6"/>
    <n v="71103420"/>
    <s v="1220 HOOVER STREET"/>
    <s v="5+"/>
    <x v="1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s v="0.10000000000000001"/>
  </r>
  <r>
    <x v="149"/>
    <x v="3"/>
    <s v="525 034200500"/>
    <s v="41829 Osgood Rd"/>
    <s v="5+"/>
    <x v="0"/>
    <n v="0"/>
    <n v="0"/>
    <n v="0"/>
    <n v="0"/>
    <n v="0"/>
    <n v="0"/>
    <x v="35"/>
    <n v="0"/>
    <n v="64"/>
    <n v="0"/>
    <n v="23"/>
    <n v="0"/>
    <n v="0"/>
    <n v="0"/>
    <n v="0"/>
    <n v="0"/>
    <n v="0"/>
    <n v="0"/>
    <x v="0"/>
    <n v="55"/>
    <n v="17"/>
  </r>
  <r>
    <x v="149"/>
    <x v="3"/>
    <s v="501 142603600"/>
    <s v="3900 Thornton Ave"/>
    <s v="5+"/>
    <x v="0"/>
    <n v="0"/>
    <n v="0"/>
    <n v="12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49"/>
    <x v="3"/>
    <s v="525 033900102"/>
    <s v="41911 Osgood Rd"/>
    <s v="5+"/>
    <x v="0"/>
    <n v="20"/>
    <n v="0"/>
    <n v="79"/>
    <n v="0"/>
    <n v="0"/>
    <n v="0"/>
    <x v="0"/>
    <n v="0"/>
    <n v="0"/>
    <n v="0"/>
    <n v="0"/>
    <n v="0"/>
    <n v="0"/>
    <n v="0"/>
    <n v="0"/>
    <n v="0"/>
    <n v="0"/>
    <n v="0"/>
    <x v="0"/>
    <n v="55"/>
    <n v="46"/>
  </r>
  <r>
    <x v="264"/>
    <x v="5"/>
    <s v="032-291-044"/>
    <s v="264 Carmel Ave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9"/>
    <x v="0"/>
    <s v="5746-016-088"/>
    <s v="1870 E Walnut St"/>
    <s v="5+"/>
    <x v="1"/>
    <n v="0"/>
    <n v="0"/>
    <n v="0"/>
    <n v="0"/>
    <n v="27"/>
    <n v="0"/>
    <x v="0"/>
    <n v="0"/>
    <n v="0"/>
    <n v="0"/>
    <n v="0"/>
    <n v="0"/>
    <n v="0"/>
    <n v="0"/>
    <n v="0"/>
    <n v="0"/>
    <n v="0"/>
    <n v="0"/>
    <x v="0"/>
    <n v="1000"/>
    <n v="26"/>
  </r>
  <r>
    <x v="46"/>
    <x v="6"/>
    <n v="16741019"/>
    <s v="425 FIRST STREET UNIT 17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79"/>
    <x v="6"/>
    <n v="41650480"/>
    <s v="2427 WILLOW WAY Unit: BLDG J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79"/>
    <x v="6"/>
    <n v="41650500"/>
    <s v="2429 WILLOW WAY Unit: BLDG I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79"/>
    <x v="6"/>
    <n v="40031040"/>
    <s v="3069 E KYNE ST"/>
    <s v="5+"/>
    <x v="0"/>
    <n v="0"/>
    <n v="0"/>
    <n v="0"/>
    <n v="0"/>
    <n v="0"/>
    <n v="0"/>
    <x v="0"/>
    <n v="0"/>
    <n v="0"/>
    <n v="0"/>
    <n v="0"/>
    <n v="0"/>
    <n v="0"/>
    <n v="0"/>
    <n v="5"/>
    <n v="0"/>
    <n v="0"/>
    <n v="0"/>
    <x v="1"/>
    <n v="1000"/>
    <n v="0"/>
  </r>
  <r>
    <x v="135"/>
    <x v="6"/>
    <n v="1600093295"/>
    <s v="5110 VERDUGO WY"/>
    <s v="5+"/>
    <x v="0"/>
    <n v="1"/>
    <n v="0"/>
    <n v="0"/>
    <n v="0"/>
    <n v="2"/>
    <n v="0"/>
    <x v="3"/>
    <n v="0"/>
    <n v="0"/>
    <n v="0"/>
    <n v="2"/>
    <n v="0"/>
    <n v="0"/>
    <n v="0"/>
    <n v="0"/>
    <n v="0"/>
    <n v="0"/>
    <n v="0"/>
    <x v="0"/>
    <n v="55"/>
    <n v="0"/>
  </r>
  <r>
    <x v="135"/>
    <x v="6"/>
    <n v="1600093295"/>
    <s v="5172 VERDUGO WY"/>
    <s v="5+"/>
    <x v="0"/>
    <n v="0"/>
    <n v="0"/>
    <n v="0"/>
    <n v="0"/>
    <n v="3"/>
    <n v="0"/>
    <x v="0"/>
    <n v="0"/>
    <n v="0"/>
    <n v="0"/>
    <n v="3"/>
    <n v="0"/>
    <n v="0"/>
    <n v="0"/>
    <n v="0"/>
    <n v="0"/>
    <n v="0"/>
    <n v="0"/>
    <x v="0"/>
    <n v="55"/>
    <n v="0"/>
  </r>
  <r>
    <x v="95"/>
    <x v="4"/>
    <n v="76709029"/>
    <s v="16873 Montery Rd"/>
    <s v="5+"/>
    <x v="0"/>
    <n v="0"/>
    <n v="0"/>
    <n v="0"/>
    <n v="0"/>
    <n v="0"/>
    <n v="0"/>
    <x v="0"/>
    <n v="0"/>
    <n v="0"/>
    <n v="0"/>
    <n v="0"/>
    <n v="0"/>
    <n v="2"/>
    <n v="0"/>
    <n v="6"/>
    <n v="0"/>
    <n v="0"/>
    <n v="0"/>
    <x v="0"/>
    <m/>
    <n v="0"/>
  </r>
  <r>
    <x v="31"/>
    <x v="0"/>
    <n v="11012093"/>
    <s v="245 W WEDDELL DR"/>
    <s v="5+"/>
    <x v="0"/>
    <n v="87"/>
    <n v="0"/>
    <n v="34"/>
    <n v="0"/>
    <n v="0"/>
    <n v="0"/>
    <x v="0"/>
    <n v="0"/>
    <n v="0"/>
    <n v="0"/>
    <n v="0"/>
    <n v="0"/>
    <n v="0"/>
    <n v="0"/>
    <n v="0"/>
    <n v="0"/>
    <n v="0"/>
    <n v="0"/>
    <x v="0"/>
    <n v="55"/>
    <s v="98.599999999999994"/>
  </r>
  <r>
    <x v="95"/>
    <x v="4"/>
    <n v="81701080"/>
    <s v="40 E Dunne Ave"/>
    <s v="5+"/>
    <x v="0"/>
    <n v="0"/>
    <n v="0"/>
    <n v="0"/>
    <n v="0"/>
    <n v="0"/>
    <n v="0"/>
    <x v="0"/>
    <n v="0"/>
    <n v="0"/>
    <n v="0"/>
    <n v="0"/>
    <n v="0"/>
    <n v="12"/>
    <n v="0"/>
    <n v="2"/>
    <n v="0"/>
    <n v="0"/>
    <n v="0"/>
    <x v="0"/>
    <m/>
    <n v="0"/>
  </r>
  <r>
    <x v="79"/>
    <x v="5"/>
    <s v="034-157-120"/>
    <s v="106 Tilton Ave"/>
    <s v="5+"/>
    <x v="1"/>
    <n v="0"/>
    <n v="0"/>
    <n v="0"/>
    <n v="0"/>
    <n v="0"/>
    <n v="0"/>
    <x v="0"/>
    <n v="0"/>
    <n v="0"/>
    <n v="0"/>
    <n v="0"/>
    <n v="0"/>
    <n v="0"/>
    <n v="0"/>
    <n v="3"/>
    <n v="0"/>
    <n v="0"/>
    <n v="0"/>
    <x v="1"/>
    <n v="45"/>
    <n v="0"/>
  </r>
  <r>
    <x v="41"/>
    <x v="2"/>
    <s v="003773057000"/>
    <s v="1112 PARKSIDE ST"/>
    <s v="5+"/>
    <x v="0"/>
    <n v="156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"/>
    <x v="4"/>
    <s v="004-583-057"/>
    <s v="3214 Rockview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37"/>
    <x v="6"/>
    <s v="077660024"/>
    <s v="3709 W HOUSTON AVE"/>
    <s v="5+"/>
    <x v="0"/>
    <n v="0"/>
    <n v="0"/>
    <n v="0"/>
    <n v="0"/>
    <n v="0"/>
    <n v="0"/>
    <x v="0"/>
    <n v="0"/>
    <n v="30"/>
    <n v="0"/>
    <n v="0"/>
    <n v="0"/>
    <n v="0"/>
    <n v="0"/>
    <n v="0"/>
    <n v="0"/>
    <n v="0"/>
    <n v="0"/>
    <x v="0"/>
    <m/>
    <n v="0"/>
  </r>
  <r>
    <x v="26"/>
    <x v="6"/>
    <n v="16060013"/>
    <s v="675-685 E Middlefield Rd"/>
    <s v="5+"/>
    <x v="0"/>
    <n v="102"/>
    <n v="0"/>
    <n v="48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26"/>
    <x v="6"/>
    <s v="14816009, 14816008"/>
    <s v="2645-2655 Fayette Dr"/>
    <s v="5+"/>
    <x v="1"/>
    <n v="4"/>
    <n v="0"/>
    <n v="1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2"/>
    <x v="6"/>
    <n v="5637003054"/>
    <s v="314 W DORAN ST"/>
    <s v="5+"/>
    <x v="0"/>
    <n v="0"/>
    <n v="0"/>
    <n v="3"/>
    <n v="0"/>
    <n v="0"/>
    <n v="0"/>
    <x v="0"/>
    <n v="0"/>
    <n v="3"/>
    <n v="0"/>
    <n v="0"/>
    <n v="0"/>
    <n v="0"/>
    <n v="0"/>
    <n v="3"/>
    <n v="0"/>
    <n v="0"/>
    <n v="0"/>
    <x v="0"/>
    <m/>
    <s v="0.34999999999999998"/>
  </r>
  <r>
    <x v="4"/>
    <x v="4"/>
    <s v="004-705-002"/>
    <s v="3510 Ranch House"/>
    <s v="5+"/>
    <x v="0"/>
    <n v="0"/>
    <n v="0"/>
    <n v="0"/>
    <n v="0"/>
    <n v="0"/>
    <n v="0"/>
    <x v="0"/>
    <n v="0"/>
    <n v="1"/>
    <n v="0"/>
    <n v="1"/>
    <n v="0"/>
    <n v="0"/>
    <n v="0"/>
    <n v="0"/>
    <n v="0"/>
    <n v="0"/>
    <n v="0"/>
    <x v="1"/>
    <n v="55"/>
    <n v="0"/>
  </r>
  <r>
    <x v="4"/>
    <x v="4"/>
    <s v="052-174-002"/>
    <s v="22 Chorro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0"/>
    <n v="55"/>
    <n v="0"/>
  </r>
  <r>
    <x v="152"/>
    <x v="1"/>
    <s v="125-580-16"/>
    <s v="517 VALLEY OAKS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112"/>
    <x v="0"/>
    <n v="44041096"/>
    <s v="500 KAWANA SPRINGS RD"/>
    <s v="5+"/>
    <x v="0"/>
    <n v="0"/>
    <n v="0"/>
    <n v="0"/>
    <n v="0"/>
    <n v="0"/>
    <n v="0"/>
    <x v="0"/>
    <n v="67"/>
    <n v="33"/>
    <n v="34"/>
    <n v="15"/>
    <n v="2"/>
    <n v="0"/>
    <n v="0"/>
    <n v="0"/>
    <n v="0"/>
    <n v="0"/>
    <n v="0"/>
    <x v="0"/>
    <n v="55"/>
    <n v="35"/>
  </r>
  <r>
    <x v="112"/>
    <x v="0"/>
    <n v="125111037"/>
    <s v="665 SEBASTOPOL RD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2"/>
  </r>
  <r>
    <x v="112"/>
    <x v="0"/>
    <n v="15492019"/>
    <s v="2900 McBride Lan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32"/>
  </r>
  <r>
    <x v="112"/>
    <x v="0"/>
    <n v="9333009"/>
    <s v="702 Bennett Valley Road"/>
    <s v="5+"/>
    <x v="0"/>
    <n v="6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80"/>
  </r>
  <r>
    <x v="112"/>
    <x v="0"/>
    <n v="125551016"/>
    <s v="2542 Old Stony Point Road"/>
    <s v="5+"/>
    <x v="0"/>
    <n v="0"/>
    <n v="56"/>
    <n v="15"/>
    <n v="69"/>
    <n v="0"/>
    <n v="0"/>
    <x v="0"/>
    <n v="0"/>
    <n v="0"/>
    <n v="0"/>
    <n v="0"/>
    <n v="0"/>
    <n v="0"/>
    <n v="0"/>
    <n v="0"/>
    <n v="0"/>
    <n v="0"/>
    <n v="0"/>
    <x v="0"/>
    <n v="55"/>
    <n v="20"/>
  </r>
  <r>
    <x v="220"/>
    <x v="5"/>
    <s v="038-260-059"/>
    <s v="801 S Corcoran BLD 3B"/>
    <s v="5+"/>
    <x v="0"/>
    <n v="0"/>
    <n v="0"/>
    <n v="0"/>
    <n v="0"/>
    <n v="0"/>
    <n v="0"/>
    <x v="0"/>
    <n v="0"/>
    <n v="8"/>
    <n v="0"/>
    <n v="0"/>
    <n v="0"/>
    <n v="0"/>
    <n v="0"/>
    <n v="0"/>
    <n v="0"/>
    <n v="0"/>
    <n v="0"/>
    <x v="1"/>
    <n v="30"/>
    <n v="0"/>
  </r>
  <r>
    <x v="220"/>
    <x v="5"/>
    <s v="038-260-059"/>
    <s v="801 S Corcoran BLD 5B"/>
    <s v="5+"/>
    <x v="0"/>
    <n v="0"/>
    <n v="0"/>
    <n v="0"/>
    <n v="0"/>
    <n v="0"/>
    <n v="0"/>
    <x v="0"/>
    <n v="0"/>
    <n v="8"/>
    <n v="0"/>
    <n v="0"/>
    <n v="0"/>
    <n v="0"/>
    <n v="0"/>
    <n v="0"/>
    <n v="0"/>
    <n v="0"/>
    <n v="0"/>
    <x v="1"/>
    <n v="30"/>
    <n v="0"/>
  </r>
  <r>
    <x v="217"/>
    <x v="3"/>
    <s v="001-280-018"/>
    <s v="100 Asti Rd"/>
    <s v="5+"/>
    <x v="0"/>
    <n v="54"/>
    <n v="0"/>
    <n v="20"/>
    <n v="0"/>
    <n v="0"/>
    <n v="0"/>
    <x v="0"/>
    <n v="0"/>
    <n v="0"/>
    <n v="0"/>
    <n v="0"/>
    <n v="0"/>
    <n v="0"/>
    <n v="0"/>
    <n v="0"/>
    <n v="0"/>
    <n v="0"/>
    <n v="0"/>
    <x v="0"/>
    <n v="55"/>
    <n v="13"/>
  </r>
  <r>
    <x v="160"/>
    <x v="6"/>
    <n v="8303026011"/>
    <s v="1364 N Towne Ave."/>
    <s v="5+"/>
    <x v="0"/>
    <n v="7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76000000000000001"/>
  </r>
  <r>
    <x v="27"/>
    <x v="6"/>
    <s v="941 278001901"/>
    <s v="5713 OWENS DR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1000"/>
    <n v="0"/>
  </r>
  <r>
    <x v="127"/>
    <x v="6"/>
    <n v="2130090275"/>
    <s v="2151 Lockwood Street"/>
    <s v="5+"/>
    <x v="0"/>
    <n v="8"/>
    <n v="0"/>
    <n v="30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25"/>
    <x v="5"/>
    <s v="086-36-013"/>
    <s v="355 Sango Court"/>
    <s v="5+"/>
    <x v="0"/>
    <n v="85"/>
    <n v="0"/>
    <n v="16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213"/>
    <x v="5"/>
    <s v="005-060-025;-053,-058,-059"/>
    <s v="4275 Meade Street"/>
    <s v="5+"/>
    <x v="0"/>
    <n v="3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6"/>
    <x v="5"/>
    <s v="150-26-006"/>
    <s v="460 N. Shoreline Blvd."/>
    <s v="5+"/>
    <x v="0"/>
    <n v="5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26"/>
    <x v="5"/>
    <s v="148-36-039"/>
    <s v="2268-2280 W. El Camino Real"/>
    <s v="5+"/>
    <x v="0"/>
    <n v="0"/>
    <n v="0"/>
    <n v="0"/>
    <n v="0"/>
    <n v="0"/>
    <n v="0"/>
    <x v="0"/>
    <n v="0"/>
    <n v="10"/>
    <n v="0"/>
    <n v="0"/>
    <n v="0"/>
    <n v="0"/>
    <n v="0"/>
    <n v="0"/>
    <n v="0"/>
    <n v="0"/>
    <n v="0"/>
    <x v="1"/>
    <n v="55"/>
    <n v="0"/>
  </r>
  <r>
    <x v="26"/>
    <x v="5"/>
    <s v="189-64-001 to -052"/>
    <s v="1101 W. El Camino Real"/>
    <s v="5+"/>
    <x v="1"/>
    <n v="0"/>
    <n v="0"/>
    <n v="0"/>
    <n v="0"/>
    <n v="0"/>
    <n v="0"/>
    <x v="0"/>
    <n v="0"/>
    <n v="0"/>
    <n v="0"/>
    <n v="0"/>
    <n v="0"/>
    <n v="5"/>
    <n v="0"/>
    <n v="0"/>
    <n v="0"/>
    <n v="0"/>
    <n v="0"/>
    <x v="0"/>
    <n v="55"/>
    <n v="0"/>
  </r>
  <r>
    <x v="26"/>
    <x v="5"/>
    <s v="189-01-157, 189-01-158"/>
    <s v="801 W El Camino Real"/>
    <s v="5+"/>
    <x v="0"/>
    <n v="0"/>
    <n v="0"/>
    <n v="0"/>
    <n v="0"/>
    <n v="0"/>
    <n v="0"/>
    <x v="0"/>
    <n v="0"/>
    <n v="0"/>
    <n v="0"/>
    <n v="0"/>
    <n v="0"/>
    <n v="0"/>
    <n v="0"/>
    <n v="5"/>
    <n v="0"/>
    <n v="0"/>
    <n v="0"/>
    <x v="1"/>
    <n v="55"/>
    <n v="0"/>
  </r>
  <r>
    <x v="55"/>
    <x v="0"/>
    <s v="193-061-03"/>
    <s v="31 Wharf Rd"/>
    <s v="5+"/>
    <x v="0"/>
    <n v="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33"/>
  </r>
  <r>
    <x v="78"/>
    <x v="0"/>
    <n v="30534061"/>
    <s v="2305 S WINCHESTER BL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0"/>
  </r>
  <r>
    <x v="78"/>
    <x v="0"/>
    <n v="41208061"/>
    <s v="200 - 212 MALLEY WY (7 UNITS) BUILDING 1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45"/>
    <n v="0"/>
  </r>
  <r>
    <x v="194"/>
    <x v="3"/>
    <n v="513372035"/>
    <s v="6115 Potrero Av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94"/>
    <x v="3"/>
    <n v="502112038"/>
    <s v="1715 Elm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264"/>
    <x v="5"/>
    <s v="032-201-138"/>
    <s v="3108 Seacrest Ave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27"/>
    <x v="6"/>
    <s v="223-0-041-060"/>
    <s v="5536 CYPRESS RD"/>
    <s v="5+"/>
    <x v="0"/>
    <n v="0"/>
    <n v="0"/>
    <n v="0"/>
    <n v="0"/>
    <n v="0"/>
    <n v="0"/>
    <x v="0"/>
    <n v="0"/>
    <n v="89"/>
    <n v="0"/>
    <n v="0"/>
    <n v="0"/>
    <n v="0"/>
    <n v="0"/>
    <n v="0"/>
    <n v="0"/>
    <n v="0"/>
    <n v="0"/>
    <x v="0"/>
    <m/>
    <n v="50"/>
  </r>
  <r>
    <x v="188"/>
    <x v="6"/>
    <n v="60237018"/>
    <s v="1176 Ramona Ave"/>
    <s v="5+"/>
    <x v="0"/>
    <n v="0"/>
    <n v="0"/>
    <n v="3"/>
    <n v="0"/>
    <n v="0"/>
    <n v="0"/>
    <x v="0"/>
    <n v="0"/>
    <n v="3"/>
    <n v="0"/>
    <n v="0"/>
    <n v="16"/>
    <n v="0"/>
    <n v="0"/>
    <n v="0"/>
    <n v="0"/>
    <n v="0"/>
    <n v="0"/>
    <x v="0"/>
    <m/>
    <s v="0.34999999999999998"/>
  </r>
  <r>
    <x v="253"/>
    <x v="5"/>
    <s v="047271200"/>
    <s v="195 AVENUE CABRILLO, EL GRANADA, CA 94018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0"/>
    <x v="3"/>
    <n v="7208010024"/>
    <s v="2400 LONG BEACH BLVD"/>
    <s v="5+"/>
    <x v="0"/>
    <n v="0"/>
    <n v="0"/>
    <n v="0"/>
    <n v="0"/>
    <n v="0"/>
    <n v="0"/>
    <x v="58"/>
    <n v="0"/>
    <n v="83"/>
    <n v="0"/>
    <n v="0"/>
    <n v="0"/>
    <n v="0"/>
    <n v="0"/>
    <n v="0"/>
    <n v="0"/>
    <n v="0"/>
    <n v="0"/>
    <x v="0"/>
    <n v="55"/>
    <n v="0"/>
  </r>
  <r>
    <x v="265"/>
    <x v="6"/>
    <s v="7589-005-020"/>
    <s v="27525 Norris Center Drive"/>
    <s v="5+"/>
    <x v="0"/>
    <n v="0"/>
    <n v="0"/>
    <n v="0"/>
    <n v="0"/>
    <n v="9"/>
    <n v="0"/>
    <x v="0"/>
    <n v="0"/>
    <n v="0"/>
    <n v="0"/>
    <n v="0"/>
    <n v="0"/>
    <n v="0"/>
    <n v="0"/>
    <n v="0"/>
    <n v="0"/>
    <n v="0"/>
    <n v="0"/>
    <x v="0"/>
    <m/>
    <s v="0.45000000000000001"/>
  </r>
  <r>
    <x v="154"/>
    <x v="6"/>
    <n v="52261680"/>
    <s v="590 Veterans Blvd &amp; _x000a_91 Winslow St"/>
    <s v="5+"/>
    <x v="1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30"/>
    <n v="0.5"/>
  </r>
  <r>
    <x v="35"/>
    <x v="6"/>
    <n v="2031021500"/>
    <s v="2680 ROOSEVELT ST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5"/>
    <n v="0"/>
  </r>
  <r>
    <x v="186"/>
    <x v="4"/>
    <s v="078C-0455-001-04"/>
    <s v="29212 Mission Blvd"/>
    <s v="5+"/>
    <x v="1"/>
    <n v="0"/>
    <n v="0"/>
    <n v="0"/>
    <n v="0"/>
    <n v="20"/>
    <n v="0"/>
    <x v="0"/>
    <n v="0"/>
    <n v="0"/>
    <n v="0"/>
    <n v="0"/>
    <n v="0"/>
    <n v="0"/>
    <n v="0"/>
    <n v="0"/>
    <n v="0"/>
    <n v="0"/>
    <n v="0"/>
    <x v="1"/>
    <n v="1000"/>
    <n v="0"/>
  </r>
  <r>
    <x v="196"/>
    <x v="1"/>
    <s v="299-100-48"/>
    <s v="Vacant"/>
    <s v="5+"/>
    <x v="1"/>
    <n v="4"/>
    <n v="0"/>
    <n v="6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05"/>
    <x v="0"/>
    <s v="020-406-730, 020-406-700, 020-406-690, 020-406-870, 020-406-590, 020-406-790"/>
    <s v="271 El Camino Real"/>
    <s v="5+"/>
    <x v="0"/>
    <n v="0"/>
    <n v="0"/>
    <n v="1"/>
    <n v="0"/>
    <n v="2"/>
    <n v="0"/>
    <x v="0"/>
    <n v="0"/>
    <n v="0"/>
    <n v="0"/>
    <n v="0"/>
    <n v="0"/>
    <n v="0"/>
    <n v="0"/>
    <n v="0"/>
    <n v="0"/>
    <n v="0"/>
    <n v="0"/>
    <x v="1"/>
    <n v="55"/>
    <n v="0"/>
  </r>
  <r>
    <x v="79"/>
    <x v="5"/>
    <n v="34200240"/>
    <s v="31 9th Ave"/>
    <s v="5+"/>
    <x v="0"/>
    <n v="0"/>
    <n v="0"/>
    <n v="0"/>
    <n v="0"/>
    <n v="0"/>
    <n v="0"/>
    <x v="12"/>
    <n v="0"/>
    <n v="0"/>
    <n v="0"/>
    <n v="0"/>
    <n v="0"/>
    <n v="0"/>
    <n v="0"/>
    <n v="0"/>
    <n v="0"/>
    <n v="0"/>
    <n v="0"/>
    <x v="1"/>
    <n v="1000"/>
    <n v="0"/>
  </r>
  <r>
    <x v="79"/>
    <x v="5"/>
    <n v="34182160"/>
    <s v="405 E 4th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1"/>
    <n v="1000"/>
    <n v="0"/>
  </r>
  <r>
    <x v="149"/>
    <x v="3"/>
    <s v="543 046400300"/>
    <s v="34320 Fremont Blvd"/>
    <s v="5+"/>
    <x v="0"/>
    <n v="0"/>
    <n v="0"/>
    <n v="0"/>
    <n v="0"/>
    <n v="0"/>
    <n v="0"/>
    <x v="24"/>
    <n v="0"/>
    <n v="10"/>
    <n v="0"/>
    <n v="0"/>
    <n v="0"/>
    <n v="0"/>
    <n v="0"/>
    <n v="0"/>
    <n v="0"/>
    <n v="0"/>
    <n v="0"/>
    <x v="0"/>
    <n v="55"/>
    <n v="35"/>
  </r>
  <r>
    <x v="3"/>
    <x v="2"/>
    <n v="4340011013"/>
    <s v="9001 SANTA MONICA BLVD"/>
    <s v="5+"/>
    <x v="0"/>
    <n v="0"/>
    <n v="0"/>
    <n v="4"/>
    <n v="0"/>
    <n v="4"/>
    <n v="0"/>
    <x v="0"/>
    <n v="0"/>
    <n v="4"/>
    <n v="0"/>
    <n v="4"/>
    <n v="0"/>
    <n v="0"/>
    <n v="0"/>
    <n v="0"/>
    <n v="0"/>
    <n v="0"/>
    <n v="0"/>
    <x v="0"/>
    <n v="1000"/>
    <n v="0"/>
  </r>
  <r>
    <x v="3"/>
    <x v="2"/>
    <n v="4340013025"/>
    <s v="702 DOHENY DR"/>
    <s v="5+"/>
    <x v="0"/>
    <n v="2"/>
    <n v="0"/>
    <n v="4"/>
    <n v="0"/>
    <n v="6"/>
    <n v="0"/>
    <x v="17"/>
    <n v="0"/>
    <n v="4"/>
    <n v="0"/>
    <n v="6"/>
    <n v="0"/>
    <n v="2"/>
    <n v="0"/>
    <n v="4"/>
    <n v="0"/>
    <n v="6"/>
    <n v="0"/>
    <x v="0"/>
    <n v="1000"/>
    <n v="0"/>
  </r>
  <r>
    <x v="42"/>
    <x v="4"/>
    <s v="128-181-001"/>
    <s v="1269 Broadway"/>
    <s v="5+"/>
    <x v="0"/>
    <n v="7"/>
    <n v="0"/>
    <n v="1"/>
    <n v="0"/>
    <n v="0"/>
    <n v="0"/>
    <x v="3"/>
    <n v="0"/>
    <n v="1"/>
    <n v="0"/>
    <n v="0"/>
    <n v="0"/>
    <n v="0"/>
    <n v="0"/>
    <n v="0"/>
    <n v="0"/>
    <n v="0"/>
    <n v="0"/>
    <x v="0"/>
    <m/>
    <n v="0"/>
  </r>
  <r>
    <x v="85"/>
    <x v="1"/>
    <s v="214-010-118"/>
    <s v="1516 Carmine Ct.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31"/>
    <x v="0"/>
    <n v="21301034"/>
    <s v="1175 ASTER AV"/>
    <s v="5+"/>
    <x v="0"/>
    <n v="0"/>
    <n v="0"/>
    <n v="0"/>
    <n v="0"/>
    <n v="0"/>
    <n v="0"/>
    <x v="0"/>
    <n v="0"/>
    <n v="41"/>
    <n v="0"/>
    <n v="0"/>
    <n v="0"/>
    <n v="0"/>
    <n v="0"/>
    <n v="0"/>
    <n v="0"/>
    <n v="0"/>
    <n v="0"/>
    <x v="1"/>
    <n v="55"/>
    <n v="0"/>
  </r>
  <r>
    <x v="31"/>
    <x v="0"/>
    <n v="-4783"/>
    <s v="397 S MATHILDA AV"/>
    <s v="5+"/>
    <x v="0"/>
    <n v="0"/>
    <n v="0"/>
    <n v="0"/>
    <n v="0"/>
    <n v="0"/>
    <n v="0"/>
    <x v="40"/>
    <n v="0"/>
    <n v="4"/>
    <n v="0"/>
    <n v="0"/>
    <n v="0"/>
    <n v="0"/>
    <n v="0"/>
    <n v="0"/>
    <n v="0"/>
    <n v="0"/>
    <n v="0"/>
    <x v="0"/>
    <n v="67"/>
    <s v="34.299999999999997"/>
  </r>
  <r>
    <x v="31"/>
    <x v="0"/>
    <n v="20522034"/>
    <s v="959 STEWART DR 311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61"/>
    <x v="0"/>
    <s v="022-083-030"/>
    <s v="801 Fassler"/>
    <s v="5+"/>
    <x v="1"/>
    <n v="2"/>
    <n v="0"/>
    <n v="0"/>
    <n v="0"/>
    <n v="2"/>
    <n v="0"/>
    <x v="0"/>
    <n v="0"/>
    <n v="2"/>
    <n v="0"/>
    <n v="2"/>
    <n v="0"/>
    <n v="0"/>
    <n v="0"/>
    <n v="0"/>
    <n v="0"/>
    <n v="0"/>
    <n v="0"/>
    <x v="1"/>
    <n v="45"/>
    <n v="0"/>
  </r>
  <r>
    <x v="157"/>
    <x v="0"/>
    <s v="425 471 55"/>
    <s v="2510 Coast Highway W."/>
    <s v="5+"/>
    <x v="1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30"/>
    <n v="35"/>
  </r>
  <r>
    <x v="152"/>
    <x v="1"/>
    <s v="141-221-75"/>
    <s v="1602 VALLEJO #8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52"/>
    <x v="1"/>
    <s v="157-970-03"/>
    <s v="601 ROCKVIEW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152"/>
    <x v="1"/>
    <s v="157-970-03"/>
    <s v="605 ROCKVIEW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152"/>
    <x v="1"/>
    <s v="125-580-16"/>
    <s v="638 Verandah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x v="17"/>
    <n v="0"/>
    <n v="2"/>
    <n v="0"/>
    <n v="2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x v="17"/>
    <n v="0"/>
    <n v="2"/>
    <n v="0"/>
    <n v="2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x v="17"/>
    <n v="0"/>
    <n v="2"/>
    <n v="0"/>
    <n v="2"/>
    <n v="0"/>
    <n v="0"/>
    <n v="0"/>
    <n v="0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x v="5"/>
    <n v="0"/>
    <n v="19"/>
    <n v="0"/>
    <n v="0"/>
    <n v="0"/>
    <n v="4"/>
    <n v="0"/>
    <n v="19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x v="17"/>
    <n v="0"/>
    <n v="20"/>
    <n v="0"/>
    <n v="0"/>
    <n v="0"/>
    <n v="2"/>
    <n v="0"/>
    <n v="2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x v="11"/>
    <n v="0"/>
    <n v="1"/>
    <n v="0"/>
    <n v="0"/>
    <n v="0"/>
    <n v="0"/>
    <n v="0"/>
    <n v="0"/>
    <n v="0"/>
    <n v="0"/>
    <n v="0"/>
    <x v="1"/>
    <n v="55"/>
    <n v="0"/>
  </r>
  <r>
    <x v="45"/>
    <x v="6"/>
    <n v="357151002"/>
    <s v="375 PARKER AVE, RODEO, CA"/>
    <s v="5+"/>
    <x v="0"/>
    <n v="0"/>
    <n v="0"/>
    <n v="0"/>
    <n v="0"/>
    <n v="0"/>
    <n v="0"/>
    <x v="3"/>
    <n v="0"/>
    <n v="2"/>
    <n v="0"/>
    <n v="0"/>
    <n v="0"/>
    <n v="0"/>
    <n v="0"/>
    <n v="0"/>
    <n v="0"/>
    <n v="0"/>
    <n v="0"/>
    <x v="0"/>
    <n v="55"/>
    <n v="0.38"/>
  </r>
  <r>
    <x v="42"/>
    <x v="4"/>
    <s v="128-181-001"/>
    <s v="1269 Broadway"/>
    <s v="5+"/>
    <x v="0"/>
    <n v="7"/>
    <n v="0"/>
    <n v="1"/>
    <n v="0"/>
    <n v="0"/>
    <n v="0"/>
    <x v="3"/>
    <n v="0"/>
    <n v="1"/>
    <n v="0"/>
    <n v="0"/>
    <n v="0"/>
    <n v="0"/>
    <n v="0"/>
    <n v="0"/>
    <n v="0"/>
    <n v="0"/>
    <n v="0"/>
    <x v="0"/>
    <m/>
    <n v="0"/>
  </r>
  <r>
    <x v="154"/>
    <x v="1"/>
    <n v="53148090"/>
    <s v="1201 Main St"/>
    <s v="5+"/>
    <x v="0"/>
    <n v="1"/>
    <n v="0"/>
    <n v="2"/>
    <n v="0"/>
    <n v="1"/>
    <n v="0"/>
    <x v="0"/>
    <n v="0"/>
    <n v="0"/>
    <n v="0"/>
    <n v="0"/>
    <n v="0"/>
    <n v="0"/>
    <n v="0"/>
    <n v="0"/>
    <n v="0"/>
    <n v="0"/>
    <n v="0"/>
    <x v="1"/>
    <m/>
    <n v="0"/>
  </r>
  <r>
    <x v="154"/>
    <x v="1"/>
    <n v="52520010"/>
    <s v="505 E Bayshore Road"/>
    <s v="5+"/>
    <x v="1"/>
    <n v="0"/>
    <n v="0"/>
    <n v="0"/>
    <n v="0"/>
    <n v="8"/>
    <n v="0"/>
    <x v="0"/>
    <n v="0"/>
    <n v="0"/>
    <n v="0"/>
    <n v="0"/>
    <n v="0"/>
    <n v="0"/>
    <n v="0"/>
    <n v="0"/>
    <n v="0"/>
    <n v="0"/>
    <n v="0"/>
    <x v="1"/>
    <m/>
    <n v="0"/>
  </r>
  <r>
    <x v="154"/>
    <x v="1"/>
    <n v="53063070"/>
    <s v="1304 El Camino"/>
    <s v="5+"/>
    <x v="0"/>
    <n v="0"/>
    <n v="0"/>
    <n v="0"/>
    <n v="0"/>
    <n v="0"/>
    <n v="0"/>
    <x v="0"/>
    <n v="0"/>
    <n v="0"/>
    <n v="0"/>
    <n v="0"/>
    <n v="0"/>
    <n v="30"/>
    <n v="0"/>
    <n v="8"/>
    <n v="0"/>
    <n v="0"/>
    <n v="0"/>
    <x v="1"/>
    <m/>
    <n v="0"/>
  </r>
  <r>
    <x v="211"/>
    <x v="3"/>
    <n v="8907253"/>
    <s v="10201 GARDEN GROVE BLVD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35"/>
    <n v="22.5"/>
  </r>
  <r>
    <x v="46"/>
    <x v="4"/>
    <n v="17003085"/>
    <s v="4898 El Camino Real"/>
    <s v="5+"/>
    <x v="1"/>
    <n v="2"/>
    <n v="0"/>
    <n v="2"/>
    <n v="0"/>
    <n v="2"/>
    <n v="0"/>
    <x v="0"/>
    <n v="0"/>
    <n v="0"/>
    <n v="0"/>
    <n v="0"/>
    <n v="0"/>
    <n v="0"/>
    <n v="0"/>
    <n v="0"/>
    <n v="0"/>
    <n v="0"/>
    <n v="0"/>
    <x v="1"/>
    <n v="55"/>
    <n v="0"/>
  </r>
  <r>
    <x v="46"/>
    <x v="4"/>
    <n v="16741019"/>
    <s v="425 First Street"/>
    <s v="5+"/>
    <x v="1"/>
    <n v="0"/>
    <n v="0"/>
    <n v="1"/>
    <n v="0"/>
    <n v="2"/>
    <n v="0"/>
    <x v="0"/>
    <n v="0"/>
    <n v="0"/>
    <n v="0"/>
    <n v="0"/>
    <n v="0"/>
    <n v="0"/>
    <n v="0"/>
    <n v="0"/>
    <n v="0"/>
    <n v="0"/>
    <n v="0"/>
    <x v="1"/>
    <n v="55"/>
    <n v="0"/>
  </r>
  <r>
    <x v="157"/>
    <x v="0"/>
    <s v="445 131 29"/>
    <s v="4440 Von Karman"/>
    <s v="5+"/>
    <x v="0"/>
    <n v="1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30"/>
    <n v="20"/>
  </r>
  <r>
    <x v="23"/>
    <x v="6"/>
    <s v="019-820-001-000"/>
    <s v="10011 Winter Creek Loop"/>
    <s v="5+"/>
    <x v="0"/>
    <n v="0"/>
    <n v="0"/>
    <n v="5"/>
    <n v="0"/>
    <n v="0"/>
    <n v="0"/>
    <x v="0"/>
    <n v="0"/>
    <n v="0"/>
    <n v="0"/>
    <n v="0"/>
    <n v="0"/>
    <n v="0"/>
    <n v="0"/>
    <n v="0"/>
    <n v="0"/>
    <n v="0"/>
    <n v="0"/>
    <x v="0"/>
    <n v="1000"/>
    <n v="0.13"/>
  </r>
  <r>
    <x v="186"/>
    <x v="4"/>
    <s v="415-0170-019-00"/>
    <s v="21339 Oak Street"/>
    <s v="5+"/>
    <x v="0"/>
    <n v="0"/>
    <n v="0"/>
    <n v="0"/>
    <n v="0"/>
    <n v="4"/>
    <n v="0"/>
    <x v="0"/>
    <n v="0"/>
    <n v="0"/>
    <n v="0"/>
    <n v="0"/>
    <n v="0"/>
    <n v="0"/>
    <n v="0"/>
    <n v="0"/>
    <n v="0"/>
    <n v="0"/>
    <n v="0"/>
    <x v="1"/>
    <n v="1000"/>
    <n v="0"/>
  </r>
  <r>
    <x v="211"/>
    <x v="6"/>
    <n v="23138348"/>
    <s v="12701 BUARO ST"/>
    <s v="5+"/>
    <x v="1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35"/>
    <s v="0.17000000000000001"/>
  </r>
  <r>
    <x v="77"/>
    <x v="0"/>
    <s v="007-270-007"/>
    <s v="664/682 NORTH STAR DR"/>
    <s v="5+"/>
    <x v="0"/>
    <n v="0"/>
    <n v="0"/>
    <n v="72"/>
    <n v="0"/>
    <n v="0"/>
    <n v="0"/>
    <x v="0"/>
    <n v="0"/>
    <n v="0"/>
    <n v="0"/>
    <n v="0"/>
    <n v="0"/>
    <n v="0"/>
    <n v="0"/>
    <n v="0"/>
    <n v="0"/>
    <n v="0"/>
    <n v="0"/>
    <x v="0"/>
    <n v="55"/>
    <n v="80"/>
  </r>
  <r>
    <x v="211"/>
    <x v="6"/>
    <n v="23159102"/>
    <s v="12681 HASTER ST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48999999999999999"/>
  </r>
  <r>
    <x v="50"/>
    <x v="4"/>
    <s v="5288-004-066"/>
    <s v="8479 Garvey Ave"/>
    <s v="5+"/>
    <x v="0"/>
    <n v="0"/>
    <n v="0"/>
    <n v="0"/>
    <n v="0"/>
    <n v="0"/>
    <n v="0"/>
    <x v="0"/>
    <n v="0"/>
    <n v="0"/>
    <n v="0"/>
    <n v="0"/>
    <n v="0"/>
    <n v="0"/>
    <n v="0"/>
    <n v="7"/>
    <n v="0"/>
    <n v="0"/>
    <n v="0"/>
    <x v="0"/>
    <n v="55"/>
    <n v="0"/>
  </r>
  <r>
    <x v="15"/>
    <x v="6"/>
    <s v="008 062503401"/>
    <s v="1510 WEBSTER ST, Oakland, CA 94612"/>
    <s v="5+"/>
    <x v="0"/>
    <n v="13"/>
    <n v="0"/>
    <n v="0"/>
    <n v="0"/>
    <n v="43"/>
    <n v="0"/>
    <x v="0"/>
    <n v="0"/>
    <n v="0"/>
    <n v="0"/>
    <n v="0"/>
    <n v="0"/>
    <n v="0"/>
    <n v="0"/>
    <n v="0"/>
    <n v="0"/>
    <n v="0"/>
    <n v="0"/>
    <x v="0"/>
    <n v="55"/>
    <n v="0.5"/>
  </r>
  <r>
    <x v="15"/>
    <x v="6"/>
    <s v="020 016500200"/>
    <s v="1715 FOOTHILL BLVD, Oakland, CA 94606"/>
    <s v="5+"/>
    <x v="0"/>
    <n v="23"/>
    <n v="0"/>
    <n v="6"/>
    <n v="0"/>
    <n v="0"/>
    <n v="0"/>
    <x v="0"/>
    <n v="0"/>
    <n v="0"/>
    <n v="0"/>
    <n v="0"/>
    <n v="0"/>
    <n v="0"/>
    <n v="0"/>
    <n v="0"/>
    <n v="0"/>
    <n v="0"/>
    <n v="0"/>
    <x v="0"/>
    <n v="55"/>
    <n v="1"/>
  </r>
  <r>
    <x v="3"/>
    <x v="2"/>
    <n v="4340028006"/>
    <s v="1012 CORY AVE"/>
    <s v="5+"/>
    <x v="1"/>
    <n v="0"/>
    <n v="0"/>
    <n v="1"/>
    <n v="0"/>
    <n v="0"/>
    <n v="0"/>
    <x v="0"/>
    <n v="0"/>
    <n v="1"/>
    <n v="0"/>
    <n v="0"/>
    <n v="0"/>
    <n v="0"/>
    <n v="0"/>
    <n v="0"/>
    <n v="0"/>
    <n v="0"/>
    <n v="0"/>
    <x v="0"/>
    <n v="1000"/>
    <n v="0"/>
  </r>
  <r>
    <x v="3"/>
    <x v="2"/>
    <n v="5555004033"/>
    <s v="1136 LA CIENEGA BLVD"/>
    <s v="5+"/>
    <x v="1"/>
    <n v="2"/>
    <n v="0"/>
    <n v="0"/>
    <n v="0"/>
    <n v="2"/>
    <n v="0"/>
    <x v="17"/>
    <n v="0"/>
    <n v="0"/>
    <n v="0"/>
    <n v="2"/>
    <n v="0"/>
    <n v="0"/>
    <n v="0"/>
    <n v="0"/>
    <n v="0"/>
    <n v="0"/>
    <n v="0"/>
    <x v="0"/>
    <n v="1000"/>
    <n v="0"/>
  </r>
  <r>
    <x v="3"/>
    <x v="2"/>
    <n v="5531003010"/>
    <s v="1155 FULLER AVE"/>
    <s v="5+"/>
    <x v="0"/>
    <n v="0"/>
    <n v="0"/>
    <n v="1"/>
    <n v="0"/>
    <n v="0"/>
    <n v="0"/>
    <x v="0"/>
    <n v="0"/>
    <n v="1"/>
    <n v="0"/>
    <n v="0"/>
    <n v="0"/>
    <n v="0"/>
    <n v="0"/>
    <n v="0"/>
    <n v="0"/>
    <n v="0"/>
    <n v="0"/>
    <x v="0"/>
    <n v="1000"/>
    <n v="0"/>
  </r>
  <r>
    <x v="58"/>
    <x v="2"/>
    <s v="070-222-23"/>
    <s v="3801 Franklin Ave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102"/>
    <x v="0"/>
    <s v="147-03-041"/>
    <s v="788 SAN ANTONIO AVE"/>
    <s v="5+"/>
    <x v="0"/>
    <n v="0"/>
    <n v="0"/>
    <n v="0"/>
    <n v="0"/>
    <n v="16"/>
    <n v="0"/>
    <x v="0"/>
    <n v="0"/>
    <n v="0"/>
    <n v="0"/>
    <n v="0"/>
    <n v="0"/>
    <n v="0"/>
    <n v="0"/>
    <n v="0"/>
    <n v="0"/>
    <n v="0"/>
    <n v="0"/>
    <x v="1"/>
    <m/>
    <n v="0"/>
  </r>
  <r>
    <x v="120"/>
    <x v="0"/>
    <n v="10458447"/>
    <s v="101 NIGHTMIST  IRVINE, CA 92618"/>
    <s v="5+"/>
    <x v="0"/>
    <n v="0"/>
    <n v="0"/>
    <n v="0"/>
    <n v="0"/>
    <n v="0"/>
    <n v="0"/>
    <x v="0"/>
    <n v="0"/>
    <n v="0"/>
    <n v="0"/>
    <n v="0"/>
    <n v="0"/>
    <n v="45"/>
    <n v="0"/>
    <n v="10"/>
    <n v="0"/>
    <n v="1"/>
    <n v="0"/>
    <x v="0"/>
    <n v="1000"/>
    <n v="0"/>
  </r>
  <r>
    <x v="54"/>
    <x v="0"/>
    <s v="055236010, 055236020, 055236190"/>
    <s v="104 and 110 Constitution Drive and 115 Independence Drive"/>
    <s v="5+"/>
    <x v="0"/>
    <n v="3"/>
    <n v="0"/>
    <n v="14"/>
    <n v="0"/>
    <n v="31"/>
    <n v="0"/>
    <x v="0"/>
    <n v="0"/>
    <n v="0"/>
    <n v="0"/>
    <n v="0"/>
    <n v="0"/>
    <n v="0"/>
    <n v="0"/>
    <n v="0"/>
    <n v="0"/>
    <n v="0"/>
    <n v="0"/>
    <x v="0"/>
    <n v="55"/>
    <s v="4.7000000000000002"/>
  </r>
  <r>
    <x v="54"/>
    <x v="0"/>
    <n v="55236120"/>
    <s v="111 Independence Drive"/>
    <s v="5+"/>
    <x v="0"/>
    <n v="4"/>
    <n v="0"/>
    <n v="9"/>
    <n v="0"/>
    <n v="5"/>
    <n v="0"/>
    <x v="0"/>
    <n v="0"/>
    <n v="0"/>
    <n v="0"/>
    <n v="0"/>
    <n v="0"/>
    <n v="0"/>
    <n v="0"/>
    <n v="0"/>
    <n v="0"/>
    <n v="0"/>
    <n v="0"/>
    <x v="0"/>
    <n v="55"/>
    <n v="14.1"/>
  </r>
  <r>
    <x v="4"/>
    <x v="4"/>
    <s v="004-705-020"/>
    <s v="3560 Ranch House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15"/>
    <x v="6"/>
    <s v="012 098602501"/>
    <s v="240 W MACARTHUR BLVD, Oakland, CA 94611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0"/>
    <m/>
    <s v="0.34999999999999998"/>
  </r>
  <r>
    <x v="15"/>
    <x v="6"/>
    <s v="003 006100603"/>
    <s v="1888 M L KING JR WY, Oakland, CA 94607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9"/>
    <n v="0"/>
    <x v="1"/>
    <n v="55"/>
    <n v="0"/>
  </r>
  <r>
    <x v="42"/>
    <x v="4"/>
    <s v="128-181-001"/>
    <s v="1269 Broadway"/>
    <s v="5+"/>
    <x v="0"/>
    <n v="5"/>
    <n v="0"/>
    <n v="1"/>
    <n v="0"/>
    <n v="0"/>
    <n v="0"/>
    <x v="3"/>
    <n v="0"/>
    <n v="1"/>
    <n v="0"/>
    <n v="0"/>
    <n v="0"/>
    <n v="0"/>
    <n v="0"/>
    <n v="0"/>
    <n v="0"/>
    <n v="0"/>
    <n v="0"/>
    <x v="0"/>
    <m/>
    <n v="0"/>
  </r>
  <r>
    <x v="154"/>
    <x v="1"/>
    <n v="53145260"/>
    <s v="1304 Middlefield Rd"/>
    <s v="5+"/>
    <x v="0"/>
    <n v="0"/>
    <n v="0"/>
    <n v="92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0"/>
    <x v="3"/>
    <n v="7208010024"/>
    <s v="2400 Long Beach Blvd"/>
    <s v="5+"/>
    <x v="0"/>
    <n v="22"/>
    <n v="0"/>
    <n v="17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0"/>
    <x v="3"/>
    <n v="7210013901"/>
    <s v="941E PACIFIC COAST HWY"/>
    <s v="5+"/>
    <x v="0"/>
    <n v="0"/>
    <n v="0"/>
    <n v="0"/>
    <n v="0"/>
    <n v="0"/>
    <n v="0"/>
    <x v="0"/>
    <n v="0"/>
    <n v="67"/>
    <n v="0"/>
    <n v="0"/>
    <n v="0"/>
    <n v="0"/>
    <n v="0"/>
    <n v="0"/>
    <n v="0"/>
    <n v="0"/>
    <n v="0"/>
    <x v="0"/>
    <n v="55"/>
    <n v="0"/>
  </r>
  <r>
    <x v="42"/>
    <x v="4"/>
    <s v="128-181-001"/>
    <s v="1269 Broadway"/>
    <s v="5+"/>
    <x v="0"/>
    <n v="7"/>
    <n v="0"/>
    <n v="1"/>
    <n v="0"/>
    <n v="0"/>
    <n v="0"/>
    <x v="3"/>
    <n v="0"/>
    <n v="3"/>
    <n v="0"/>
    <n v="0"/>
    <n v="0"/>
    <n v="0"/>
    <n v="0"/>
    <n v="0"/>
    <n v="0"/>
    <n v="0"/>
    <n v="0"/>
    <x v="0"/>
    <m/>
    <n v="0"/>
  </r>
  <r>
    <x v="143"/>
    <x v="6"/>
    <n v="1532741900"/>
    <s v="1931 S COAST HWY"/>
    <s v="5+"/>
    <x v="0"/>
    <n v="0"/>
    <n v="0"/>
    <n v="0"/>
    <n v="0"/>
    <n v="0"/>
    <n v="0"/>
    <x v="17"/>
    <n v="0"/>
    <n v="0"/>
    <n v="0"/>
    <n v="0"/>
    <n v="0"/>
    <n v="2"/>
    <n v="0"/>
    <n v="0"/>
    <n v="0"/>
    <n v="0"/>
    <n v="0"/>
    <x v="0"/>
    <m/>
    <n v="0.5"/>
  </r>
  <r>
    <x v="47"/>
    <x v="6"/>
    <s v="017-172-014-000"/>
    <s v="818 UNIVERSITY AVE"/>
    <s v="5+"/>
    <x v="0"/>
    <n v="0"/>
    <n v="0"/>
    <n v="0"/>
    <n v="0"/>
    <n v="0"/>
    <n v="0"/>
    <x v="0"/>
    <n v="0"/>
    <n v="0"/>
    <n v="0"/>
    <n v="0"/>
    <n v="0"/>
    <n v="16"/>
    <n v="0"/>
    <n v="5"/>
    <n v="0"/>
    <n v="0"/>
    <n v="0"/>
    <x v="0"/>
    <m/>
    <s v="0.23000000000000001"/>
  </r>
  <r>
    <x v="47"/>
    <x v="6"/>
    <s v="017-172-014-000"/>
    <s v="812 UNIVERSITY AVE"/>
    <s v="5+"/>
    <x v="0"/>
    <n v="0"/>
    <n v="0"/>
    <n v="0"/>
    <n v="0"/>
    <n v="0"/>
    <n v="0"/>
    <x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10 UNIVERSITY AVE"/>
    <s v="5+"/>
    <x v="0"/>
    <n v="0"/>
    <n v="0"/>
    <n v="0"/>
    <n v="0"/>
    <n v="0"/>
    <n v="0"/>
    <x v="0"/>
    <n v="0"/>
    <n v="0"/>
    <n v="0"/>
    <n v="0"/>
    <n v="0"/>
    <n v="6"/>
    <n v="0"/>
    <n v="18"/>
    <n v="0"/>
    <n v="0"/>
    <n v="0"/>
    <x v="0"/>
    <m/>
    <s v="0.23000000000000001"/>
  </r>
  <r>
    <x v="133"/>
    <x v="6"/>
    <n v="4038020018"/>
    <s v="10213 S Inglewood Avenue, Inglewood CA 90304"/>
    <s v="5+"/>
    <x v="0"/>
    <n v="0"/>
    <n v="0"/>
    <n v="6"/>
    <n v="0"/>
    <n v="0"/>
    <n v="0"/>
    <x v="0"/>
    <n v="0"/>
    <n v="6"/>
    <n v="0"/>
    <n v="0"/>
    <n v="0"/>
    <n v="0"/>
    <n v="0"/>
    <n v="0"/>
    <n v="0"/>
    <n v="0"/>
    <n v="0"/>
    <x v="0"/>
    <n v="55"/>
    <s v="7.8499999999999996"/>
  </r>
  <r>
    <x v="133"/>
    <x v="6"/>
    <n v="4140007003"/>
    <s v="11934 Aviation Boulevard, Inglewood CA 90304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56999999999999995"/>
  </r>
  <r>
    <x v="46"/>
    <x v="4"/>
    <n v="17004066"/>
    <s v="5150 El Camino Real"/>
    <s v="5+"/>
    <x v="1"/>
    <n v="0"/>
    <n v="0"/>
    <n v="16"/>
    <n v="0"/>
    <n v="12"/>
    <n v="0"/>
    <x v="0"/>
    <n v="0"/>
    <n v="0"/>
    <n v="0"/>
    <n v="0"/>
    <n v="0"/>
    <n v="0"/>
    <n v="0"/>
    <n v="0"/>
    <n v="0"/>
    <n v="0"/>
    <n v="0"/>
    <x v="1"/>
    <n v="55"/>
    <n v="0"/>
  </r>
  <r>
    <x v="54"/>
    <x v="0"/>
    <n v="61441100"/>
    <s v="1162 El Camino Real"/>
    <s v="5+"/>
    <x v="0"/>
    <n v="1"/>
    <n v="0"/>
    <n v="2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59"/>
    <x v="0"/>
    <s v="5734-023-022"/>
    <s v="139 S Oak Knoll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23"/>
    <x v="6"/>
    <n v="19700006000"/>
    <s v="10969 INDUSTRIAL WAY, TRUCKEE, CA 96161"/>
    <s v="5+"/>
    <x v="0"/>
    <n v="0"/>
    <n v="0"/>
    <n v="0"/>
    <n v="0"/>
    <n v="0"/>
    <n v="0"/>
    <x v="0"/>
    <n v="0"/>
    <n v="0"/>
    <n v="0"/>
    <n v="0"/>
    <n v="0"/>
    <n v="0"/>
    <n v="0"/>
    <n v="1"/>
    <n v="0"/>
    <n v="0"/>
    <n v="8"/>
    <x v="1"/>
    <n v="1000"/>
    <n v="0"/>
  </r>
  <r>
    <x v="223"/>
    <x v="6"/>
    <s v="380-100-022"/>
    <s v="23403 CATT RD"/>
    <s v="5+"/>
    <x v="0"/>
    <n v="0"/>
    <n v="0"/>
    <n v="0"/>
    <n v="0"/>
    <n v="0"/>
    <n v="0"/>
    <x v="45"/>
    <n v="0"/>
    <n v="0"/>
    <n v="0"/>
    <n v="0"/>
    <n v="0"/>
    <n v="0"/>
    <n v="0"/>
    <n v="0"/>
    <n v="0"/>
    <n v="0"/>
    <n v="0"/>
    <x v="0"/>
    <n v="55"/>
    <s v="8.6999999999999993"/>
  </r>
  <r>
    <x v="133"/>
    <x v="6"/>
    <n v="4070001001"/>
    <s v="15101 Crenshaw Boulevard, Gardena CA 90249"/>
    <s v="5+"/>
    <x v="0"/>
    <n v="9"/>
    <n v="0"/>
    <n v="6"/>
    <n v="0"/>
    <n v="0"/>
    <n v="0"/>
    <x v="0"/>
    <n v="0"/>
    <n v="0"/>
    <n v="0"/>
    <n v="0"/>
    <n v="0"/>
    <n v="0"/>
    <n v="0"/>
    <n v="0"/>
    <n v="0"/>
    <n v="0"/>
    <n v="0"/>
    <x v="0"/>
    <n v="55"/>
    <s v="12.869999999999999"/>
  </r>
  <r>
    <x v="133"/>
    <x v="6"/>
    <s v="5804002017, 5804002018"/>
    <s v="2413 Foothill Boulevard, La Crescenta CA 91214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47999999999999998"/>
  </r>
  <r>
    <x v="112"/>
    <x v="0"/>
    <n v="125061028"/>
    <s v="214 West 3rd Street"/>
    <s v="5+"/>
    <x v="0"/>
    <n v="0"/>
    <n v="0"/>
    <n v="0"/>
    <n v="0"/>
    <n v="0"/>
    <n v="0"/>
    <x v="0"/>
    <n v="0"/>
    <n v="0"/>
    <n v="0"/>
    <n v="0"/>
    <n v="0"/>
    <n v="26"/>
    <n v="0"/>
    <n v="14"/>
    <n v="0"/>
    <n v="0"/>
    <n v="0"/>
    <x v="0"/>
    <n v="55"/>
    <n v="35"/>
  </r>
  <r>
    <x v="112"/>
    <x v="0"/>
    <n v="125521008"/>
    <s v="2268 STONY POINT RD"/>
    <s v="5+"/>
    <x v="0"/>
    <n v="0"/>
    <n v="0"/>
    <n v="0"/>
    <n v="0"/>
    <n v="0"/>
    <n v="50"/>
    <x v="0"/>
    <n v="0"/>
    <n v="0"/>
    <n v="0"/>
    <n v="0"/>
    <n v="0"/>
    <n v="0"/>
    <n v="0"/>
    <n v="0"/>
    <n v="0"/>
    <n v="0"/>
    <n v="0"/>
    <x v="0"/>
    <n v="55"/>
    <n v="2"/>
  </r>
  <r>
    <x v="4"/>
    <x v="4"/>
    <s v="004-705-002"/>
    <s v="3540 Ranch House"/>
    <s v="5+"/>
    <x v="0"/>
    <n v="0"/>
    <n v="0"/>
    <n v="0"/>
    <n v="0"/>
    <n v="0"/>
    <n v="0"/>
    <x v="0"/>
    <n v="0"/>
    <n v="1"/>
    <n v="0"/>
    <n v="1"/>
    <n v="0"/>
    <n v="0"/>
    <n v="0"/>
    <n v="0"/>
    <n v="0"/>
    <n v="0"/>
    <n v="0"/>
    <x v="1"/>
    <n v="55"/>
    <n v="0"/>
  </r>
  <r>
    <x v="4"/>
    <x v="4"/>
    <s v="053-222-007"/>
    <s v="803 Orcutt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4"/>
    <x v="4"/>
    <s v="053-203-002"/>
    <s v="3110 Duncan"/>
    <s v="5+"/>
    <x v="0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23"/>
    <x v="6"/>
    <s v="019-102-011-000"/>
    <s v="10012 Jibboom Street_x000a_10090 Jibboom Stree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.5"/>
  </r>
  <r>
    <x v="235"/>
    <x v="6"/>
    <s v="564-040-21-00"/>
    <s v="2542 ridgeway dr, national city, ca 91950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s v="0.28000000000000003"/>
  </r>
  <r>
    <x v="157"/>
    <x v="6"/>
    <s v="425 471 58"/>
    <s v="2510 West Coast Highway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m/>
    <s v="0.34999999999999998"/>
  </r>
  <r>
    <x v="65"/>
    <x v="6"/>
    <n v="3112003013"/>
    <s v="2720 W Avenue K-12, Bldg 2 93536"/>
    <s v="5+"/>
    <x v="0"/>
    <n v="0"/>
    <n v="0"/>
    <n v="0"/>
    <n v="0"/>
    <n v="0"/>
    <n v="0"/>
    <x v="0"/>
    <n v="0"/>
    <n v="0"/>
    <n v="0"/>
    <n v="0"/>
    <n v="0"/>
    <n v="0"/>
    <n v="0"/>
    <n v="16"/>
    <n v="0"/>
    <n v="0"/>
    <n v="0"/>
    <x v="0"/>
    <n v="55"/>
    <n v="0"/>
  </r>
  <r>
    <x v="65"/>
    <x v="6"/>
    <n v="3133002026"/>
    <s v="44948 W 10th St, Lancaster 93534"/>
    <s v="5+"/>
    <x v="0"/>
    <n v="0"/>
    <n v="0"/>
    <n v="0"/>
    <n v="0"/>
    <n v="0"/>
    <n v="0"/>
    <x v="0"/>
    <n v="0"/>
    <n v="0"/>
    <n v="0"/>
    <n v="0"/>
    <n v="0"/>
    <n v="0"/>
    <n v="0"/>
    <n v="69"/>
    <n v="0"/>
    <n v="0"/>
    <n v="0"/>
    <x v="0"/>
    <n v="55"/>
    <n v="0"/>
  </r>
  <r>
    <x v="65"/>
    <x v="6"/>
    <n v="3148041001"/>
    <s v="1727 E Avenue J-4, Lancaster, CA 93535"/>
    <s v="5+"/>
    <x v="0"/>
    <n v="0"/>
    <n v="0"/>
    <n v="0"/>
    <n v="0"/>
    <n v="0"/>
    <n v="0"/>
    <x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59 E Avenue J-4, Lancaster, CA 93535"/>
    <s v="5+"/>
    <x v="0"/>
    <n v="0"/>
    <n v="0"/>
    <n v="0"/>
    <n v="0"/>
    <n v="0"/>
    <n v="0"/>
    <x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05 E Avenue J-4, Lancaster, CA 93535"/>
    <s v="5+"/>
    <x v="0"/>
    <n v="0"/>
    <n v="0"/>
    <n v="0"/>
    <n v="0"/>
    <n v="0"/>
    <n v="0"/>
    <x v="0"/>
    <n v="0"/>
    <n v="0"/>
    <n v="0"/>
    <n v="0"/>
    <n v="0"/>
    <n v="0"/>
    <n v="0"/>
    <n v="24"/>
    <n v="0"/>
    <n v="0"/>
    <n v="0"/>
    <x v="0"/>
    <n v="55"/>
    <n v="0"/>
  </r>
  <r>
    <x v="26"/>
    <x v="5"/>
    <s v="147-17-002, 148-18-015"/>
    <s v="2580 California Street"/>
    <s v="5+"/>
    <x v="0"/>
    <n v="0"/>
    <n v="0"/>
    <n v="14"/>
    <n v="0"/>
    <n v="18"/>
    <n v="0"/>
    <x v="0"/>
    <n v="0"/>
    <n v="0"/>
    <n v="0"/>
    <n v="0"/>
    <n v="0"/>
    <n v="0"/>
    <n v="0"/>
    <n v="0"/>
    <n v="0"/>
    <n v="0"/>
    <n v="0"/>
    <x v="1"/>
    <n v="55"/>
    <n v="0"/>
  </r>
  <r>
    <x v="26"/>
    <x v="5"/>
    <s v="153-26-084, 153-28-090"/>
    <s v="100 Moffett Blvd"/>
    <s v="5+"/>
    <x v="0"/>
    <n v="0"/>
    <n v="0"/>
    <n v="0"/>
    <n v="0"/>
    <n v="0"/>
    <n v="0"/>
    <x v="0"/>
    <n v="0"/>
    <n v="0"/>
    <n v="0"/>
    <n v="0"/>
    <n v="0"/>
    <n v="0"/>
    <n v="0"/>
    <n v="6"/>
    <n v="0"/>
    <n v="0"/>
    <n v="0"/>
    <x v="1"/>
    <n v="55"/>
    <n v="0"/>
  </r>
  <r>
    <x v="78"/>
    <x v="0"/>
    <n v="41208061"/>
    <s v="228 - 246 RAILWAY AVE (10 UNITS) BUILDING 4"/>
    <s v="5+"/>
    <x v="1"/>
    <n v="0"/>
    <n v="0"/>
    <n v="0"/>
    <n v="0"/>
    <n v="0"/>
    <n v="0"/>
    <x v="0"/>
    <n v="0"/>
    <n v="0"/>
    <n v="0"/>
    <n v="0"/>
    <n v="0"/>
    <n v="1"/>
    <n v="0"/>
    <n v="1"/>
    <n v="0"/>
    <n v="0"/>
    <n v="0"/>
    <x v="0"/>
    <n v="0"/>
    <n v="0"/>
  </r>
  <r>
    <x v="211"/>
    <x v="6"/>
    <s v="09720113"/>
    <s v="13171 Jefferson St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39000000000000001"/>
  </r>
  <r>
    <x v="133"/>
    <x v="6"/>
    <n v="5828026005"/>
    <s v="2439 N Lincoln Avenue, Altadena CA 91001"/>
    <s v="5+"/>
    <x v="0"/>
    <n v="0"/>
    <n v="0"/>
    <n v="0"/>
    <n v="0"/>
    <n v="0"/>
    <n v="0"/>
    <x v="0"/>
    <n v="0"/>
    <n v="0"/>
    <n v="0"/>
    <n v="0"/>
    <n v="0"/>
    <n v="66"/>
    <n v="0"/>
    <n v="4"/>
    <n v="0"/>
    <n v="0"/>
    <n v="0"/>
    <x v="0"/>
    <n v="55"/>
    <s v="2.3300000000000001"/>
  </r>
  <r>
    <x v="30"/>
    <x v="6"/>
    <n v="3018027036"/>
    <s v="2650 E AVENUE Q 12, PALMDALE, CA 93550"/>
    <s v="5+"/>
    <x v="0"/>
    <n v="0"/>
    <n v="0"/>
    <n v="0"/>
    <n v="0"/>
    <n v="0"/>
    <n v="0"/>
    <x v="0"/>
    <n v="0"/>
    <n v="0"/>
    <n v="0"/>
    <n v="0"/>
    <n v="0"/>
    <n v="0"/>
    <n v="0"/>
    <n v="149"/>
    <n v="0"/>
    <n v="0"/>
    <n v="0"/>
    <x v="0"/>
    <m/>
    <s v="0.20000000000000001"/>
  </r>
  <r>
    <x v="264"/>
    <x v="5"/>
    <s v="032-171-018"/>
    <s v="3125 DeForest Ave"/>
    <s v="5+"/>
    <x v="0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85"/>
    <x v="6"/>
    <s v="214-010-307"/>
    <s v="5710 Melon  Court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5"/>
    <n v="0"/>
  </r>
  <r>
    <x v="133"/>
    <x v="6"/>
    <n v="6148003032"/>
    <s v="1342 E IMPERIAL HWY LOS ANGELES CA 90059"/>
    <s v="5+"/>
    <x v="0"/>
    <n v="0"/>
    <n v="0"/>
    <n v="25"/>
    <n v="0"/>
    <n v="95"/>
    <n v="0"/>
    <x v="0"/>
    <n v="0"/>
    <n v="0"/>
    <n v="0"/>
    <n v="0"/>
    <n v="0"/>
    <n v="0"/>
    <n v="0"/>
    <n v="0"/>
    <n v="0"/>
    <n v="0"/>
    <n v="0"/>
    <x v="0"/>
    <n v="55"/>
    <s v="3.6499999999999999"/>
  </r>
  <r>
    <x v="133"/>
    <x v="6"/>
    <n v="4036031023"/>
    <s v="10618 S Inglewood Avenue, Inglewood CA 90304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79"/>
    <x v="5"/>
    <s v="124-510-030"/>
    <s v="2600 S DELAWARE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45"/>
    <n v="0"/>
  </r>
  <r>
    <x v="85"/>
    <x v="6"/>
    <s v="214-010-125"/>
    <s v="1216 Azure Ct.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188"/>
    <x v="2"/>
    <n v="60237018"/>
    <s v="1176 Ramona Ave"/>
    <s v="5+"/>
    <x v="0"/>
    <n v="0"/>
    <n v="0"/>
    <n v="3"/>
    <n v="0"/>
    <n v="0"/>
    <n v="0"/>
    <x v="0"/>
    <n v="0"/>
    <n v="3"/>
    <n v="0"/>
    <n v="0"/>
    <n v="16"/>
    <n v="0"/>
    <n v="0"/>
    <n v="0"/>
    <n v="0"/>
    <n v="0"/>
    <n v="0"/>
    <x v="0"/>
    <n v="30"/>
    <n v="0"/>
  </r>
  <r>
    <x v="259"/>
    <x v="6"/>
    <s v="118270051 118270053 118270055"/>
    <s v="NONE"/>
    <s v="5+"/>
    <x v="0"/>
    <n v="0"/>
    <n v="0"/>
    <n v="91"/>
    <n v="0"/>
    <n v="23"/>
    <n v="0"/>
    <x v="0"/>
    <n v="0"/>
    <n v="0"/>
    <n v="0"/>
    <n v="0"/>
    <n v="0"/>
    <n v="0"/>
    <n v="0"/>
    <n v="0"/>
    <n v="0"/>
    <n v="0"/>
    <n v="0"/>
    <x v="0"/>
    <n v="55"/>
    <n v="0"/>
  </r>
  <r>
    <x v="103"/>
    <x v="6"/>
    <s v="Tract 18148 Unit 76, 77, 78, 79, 80, 81, 82, &amp; 83"/>
    <s v="32004, 32005, 32008, 32009, 32012, 32013, 32016, 32020 Paseo Legado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03"/>
    <x v="6"/>
    <s v="Tract 18148 Lots 66, 67, 68, 69, &amp; 70"/>
    <s v="27078, 27074, 27040, 27066, &amp; 27062 Via Caminata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30"/>
    <n v="0"/>
  </r>
  <r>
    <x v="103"/>
    <x v="6"/>
    <s v="Tract 18148 Lots 90, 91, 92, 93, 94, 95, 96, 97, 98, &amp; 99"/>
    <s v="32028, 32024, 32020, 32016, 32009, 32013, 32017, 32021, 32025, &amp; 32029 Paseo Rama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30"/>
    <n v="0"/>
  </r>
  <r>
    <x v="201"/>
    <x v="6"/>
    <n v="2546121400"/>
    <s v="1301 Bergamo Pl 102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3 Bergamo Pl 103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2 Bergamo Pl 105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2 Bergamo Pl 101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201 Ustica Pl 102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201"/>
    <x v="6"/>
    <s v="216-052-01-00"/>
    <s v="1967 N Vulcan Ave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0"/>
    <n v="1000"/>
    <s v="0.34999999999999998"/>
  </r>
  <r>
    <x v="164"/>
    <x v="0"/>
    <s v="159-550-007"/>
    <s v="6000 Kerry Road"/>
    <s v="5+"/>
    <x v="0"/>
    <n v="0"/>
    <n v="0"/>
    <n v="0"/>
    <n v="0"/>
    <n v="0"/>
    <n v="0"/>
    <x v="0"/>
    <n v="0"/>
    <n v="0"/>
    <n v="0"/>
    <n v="0"/>
    <n v="0"/>
    <n v="0"/>
    <n v="109"/>
    <n v="0"/>
    <n v="109"/>
    <n v="0"/>
    <n v="0"/>
    <x v="1"/>
    <n v="55"/>
    <n v="0"/>
  </r>
  <r>
    <x v="51"/>
    <x v="0"/>
    <s v="065-386-015"/>
    <s v="2783 Coral Ave"/>
    <s v="5+"/>
    <x v="1"/>
    <n v="0"/>
    <n v="0"/>
    <n v="0"/>
    <n v="0"/>
    <n v="1"/>
    <n v="0"/>
    <x v="0"/>
    <n v="0"/>
    <n v="0"/>
    <n v="0"/>
    <n v="0"/>
    <n v="0"/>
    <n v="0"/>
    <n v="0"/>
    <n v="0"/>
    <n v="0"/>
    <n v="0"/>
    <n v="0"/>
    <x v="0"/>
    <m/>
    <n v="0"/>
  </r>
  <r>
    <x v="195"/>
    <x v="0"/>
    <s v="678-060-058"/>
    <s v="30600 LANDAU BLVD"/>
    <s v="5+"/>
    <x v="0"/>
    <n v="0"/>
    <n v="0"/>
    <n v="0"/>
    <n v="0"/>
    <n v="0"/>
    <n v="0"/>
    <x v="0"/>
    <n v="0"/>
    <n v="60"/>
    <n v="0"/>
    <n v="0"/>
    <n v="0"/>
    <n v="0"/>
    <n v="0"/>
    <n v="0"/>
    <n v="0"/>
    <n v="0"/>
    <n v="0"/>
    <x v="0"/>
    <n v="1000"/>
    <n v="0"/>
  </r>
  <r>
    <x v="11"/>
    <x v="3"/>
    <s v="5767-026-008, 5767-026-036"/>
    <s v="30 Suffolk"/>
    <s v="5+"/>
    <x v="0"/>
    <n v="0"/>
    <n v="0"/>
    <n v="0"/>
    <n v="0"/>
    <n v="1"/>
    <n v="0"/>
    <x v="0"/>
    <n v="0"/>
    <n v="0"/>
    <n v="0"/>
    <n v="1"/>
    <n v="0"/>
    <n v="0"/>
    <n v="0"/>
    <n v="0"/>
    <n v="0"/>
    <n v="0"/>
    <n v="0"/>
    <x v="0"/>
    <n v="55"/>
    <n v="15"/>
  </r>
  <r>
    <x v="266"/>
    <x v="3"/>
    <n v="51151065"/>
    <s v="10528 Broken Oak Court"/>
    <s v="5+"/>
    <x v="0"/>
    <n v="0"/>
    <n v="0"/>
    <n v="31"/>
    <n v="0"/>
    <n v="0"/>
    <n v="0"/>
    <x v="0"/>
    <n v="0"/>
    <n v="0"/>
    <n v="0"/>
    <n v="0"/>
    <n v="0"/>
    <n v="0"/>
    <n v="0"/>
    <n v="0"/>
    <n v="0"/>
    <n v="0"/>
    <n v="0"/>
    <x v="0"/>
    <n v="55"/>
    <n v="37"/>
  </r>
  <r>
    <x v="42"/>
    <x v="4"/>
    <s v="128-181-001"/>
    <s v="1269 Broadway"/>
    <s v="5+"/>
    <x v="0"/>
    <n v="7"/>
    <n v="0"/>
    <n v="1"/>
    <n v="0"/>
    <n v="0"/>
    <n v="0"/>
    <x v="12"/>
    <n v="0"/>
    <n v="5"/>
    <n v="0"/>
    <n v="0"/>
    <n v="0"/>
    <n v="0"/>
    <n v="0"/>
    <n v="0"/>
    <n v="0"/>
    <n v="0"/>
    <n v="0"/>
    <x v="0"/>
    <n v="55"/>
    <n v="0"/>
  </r>
  <r>
    <x v="64"/>
    <x v="6"/>
    <s v="492-012-091-000"/>
    <s v="2700 N HAYDEN PW, BLDG 3"/>
    <s v="5+"/>
    <x v="0"/>
    <n v="0"/>
    <n v="0"/>
    <n v="0"/>
    <n v="0"/>
    <n v="0"/>
    <n v="0"/>
    <x v="0"/>
    <n v="0"/>
    <n v="0"/>
    <n v="0"/>
    <n v="0"/>
    <n v="0"/>
    <n v="9"/>
    <n v="0"/>
    <n v="13"/>
    <n v="0"/>
    <n v="8"/>
    <n v="0"/>
    <x v="0"/>
    <m/>
    <n v="0.19"/>
  </r>
  <r>
    <x v="189"/>
    <x v="3"/>
    <s v="167-471-02"/>
    <s v="17532 Cameron Ln."/>
    <s v="5+"/>
    <x v="1"/>
    <n v="0"/>
    <n v="0"/>
    <n v="0"/>
    <n v="0"/>
    <n v="0"/>
    <n v="0"/>
    <x v="0"/>
    <n v="0"/>
    <n v="0"/>
    <n v="0"/>
    <n v="2"/>
    <n v="0"/>
    <n v="0"/>
    <n v="0"/>
    <n v="0"/>
    <n v="0"/>
    <n v="0"/>
    <n v="0"/>
    <x v="0"/>
    <n v="45"/>
    <n v="0"/>
  </r>
  <r>
    <x v="154"/>
    <x v="1"/>
    <n v="53063090"/>
    <s v="1330 El Camino Real"/>
    <s v="5+"/>
    <x v="0"/>
    <n v="7"/>
    <n v="0"/>
    <n v="6"/>
    <n v="0"/>
    <n v="13"/>
    <n v="0"/>
    <x v="0"/>
    <n v="0"/>
    <n v="0"/>
    <n v="0"/>
    <n v="0"/>
    <n v="0"/>
    <n v="0"/>
    <n v="0"/>
    <n v="0"/>
    <n v="0"/>
    <n v="0"/>
    <n v="0"/>
    <x v="1"/>
    <m/>
    <n v="0"/>
  </r>
  <r>
    <x v="201"/>
    <x v="1"/>
    <s v="258-111-16-00, 258-130-34-00, 258-130-81-00, and 258-130-45-00"/>
    <s v="550-590 and 696 Encinitas Boulevard"/>
    <s v="5+"/>
    <x v="0"/>
    <n v="0"/>
    <n v="0"/>
    <n v="30"/>
    <n v="0"/>
    <n v="0"/>
    <n v="0"/>
    <x v="0"/>
    <n v="0"/>
    <n v="0"/>
    <n v="0"/>
    <n v="0"/>
    <n v="0"/>
    <n v="0"/>
    <n v="0"/>
    <n v="0"/>
    <n v="0"/>
    <n v="0"/>
    <n v="0"/>
    <x v="0"/>
    <n v="1000"/>
    <s v="0.34999999999999998"/>
  </r>
  <r>
    <x v="201"/>
    <x v="1"/>
    <n v="2546121200"/>
    <s v="1240 Molara Ln, Encinitas, CA 92024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34999999999999998"/>
  </r>
  <r>
    <x v="201"/>
    <x v="1"/>
    <n v="2546121200"/>
    <s v="1503 Livorno Pl 101, Encinitas, CA 92024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201"/>
    <x v="1"/>
    <n v="2546121400"/>
    <s v="1601 San Remo Pl 105, Encinitas, CA 92024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211"/>
    <x v="6"/>
    <n v="9015320"/>
    <s v="11432 STANFORD AVE, 11462 STANFORD AVE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28000000000000003"/>
  </r>
  <r>
    <x v="92"/>
    <x v="3"/>
    <s v="201-0300-180-0000"/>
    <s v="3536 HAMMOCK ,SACRAMENTO,CA"/>
    <s v="5+"/>
    <x v="0"/>
    <n v="0"/>
    <n v="0"/>
    <n v="0"/>
    <n v="0"/>
    <n v="0"/>
    <n v="0"/>
    <x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42 HAMMOCK ,SACRAMENTO,CA"/>
    <s v="5+"/>
    <x v="0"/>
    <n v="0"/>
    <n v="0"/>
    <n v="0"/>
    <n v="0"/>
    <n v="0"/>
    <n v="0"/>
    <x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24 HAMMOCK ,SACRAMENTO,CA"/>
    <s v="5+"/>
    <x v="0"/>
    <n v="0"/>
    <n v="0"/>
    <n v="0"/>
    <n v="0"/>
    <n v="0"/>
    <n v="0"/>
    <x v="0"/>
    <n v="0"/>
    <n v="15"/>
    <n v="0"/>
    <n v="0"/>
    <n v="0"/>
    <n v="0"/>
    <n v="0"/>
    <n v="15"/>
    <n v="0"/>
    <n v="0"/>
    <n v="0"/>
    <x v="1"/>
    <n v="55"/>
    <n v="0"/>
  </r>
  <r>
    <x v="92"/>
    <x v="3"/>
    <s v="201-0300-180-0000"/>
    <s v="3560 HAMMOCK ,SACRAMENTO,CA"/>
    <s v="5+"/>
    <x v="0"/>
    <n v="0"/>
    <n v="0"/>
    <n v="0"/>
    <n v="0"/>
    <n v="0"/>
    <n v="0"/>
    <x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78 HAMMOCK ,SACRAMENTO,CA"/>
    <s v="5+"/>
    <x v="0"/>
    <n v="0"/>
    <n v="0"/>
    <n v="0"/>
    <n v="0"/>
    <n v="0"/>
    <n v="0"/>
    <x v="0"/>
    <n v="0"/>
    <n v="8"/>
    <n v="0"/>
    <n v="0"/>
    <n v="0"/>
    <n v="0"/>
    <n v="0"/>
    <n v="8"/>
    <n v="0"/>
    <n v="0"/>
    <n v="0"/>
    <x v="1"/>
    <n v="55"/>
    <n v="0"/>
  </r>
  <r>
    <x v="133"/>
    <x v="6"/>
    <n v="5845010020"/>
    <s v="2052 N Lake Avenue, Altadena CA 91001"/>
    <s v="5+"/>
    <x v="0"/>
    <n v="0"/>
    <n v="0"/>
    <n v="57"/>
    <n v="0"/>
    <n v="0"/>
    <n v="0"/>
    <x v="0"/>
    <n v="0"/>
    <n v="57"/>
    <n v="0"/>
    <n v="0"/>
    <n v="0"/>
    <n v="0"/>
    <n v="0"/>
    <n v="0"/>
    <n v="0"/>
    <n v="0"/>
    <n v="0"/>
    <x v="0"/>
    <n v="55"/>
    <s v="0.93000000000000005"/>
  </r>
  <r>
    <x v="92"/>
    <x v="1"/>
    <s v="049-0250-028-0000"/>
    <s v="65 CORAL GABLES ,SACRAMENTO,CA"/>
    <s v="5+"/>
    <x v="0"/>
    <n v="0"/>
    <n v="0"/>
    <n v="0"/>
    <n v="0"/>
    <n v="0"/>
    <n v="0"/>
    <x v="0"/>
    <n v="0"/>
    <n v="0"/>
    <n v="0"/>
    <n v="0"/>
    <n v="0"/>
    <n v="9"/>
    <n v="0"/>
    <n v="0"/>
    <n v="0"/>
    <n v="0"/>
    <n v="0"/>
    <x v="0"/>
    <n v="30"/>
    <n v="0.16"/>
  </r>
  <r>
    <x v="133"/>
    <x v="6"/>
    <n v="6056004031"/>
    <s v="9325 S Vermont Avenue, Los Angeles CA 90044"/>
    <s v="5+"/>
    <x v="0"/>
    <n v="2"/>
    <n v="0"/>
    <n v="13"/>
    <n v="0"/>
    <n v="0"/>
    <n v="0"/>
    <x v="0"/>
    <n v="0"/>
    <n v="0"/>
    <n v="0"/>
    <n v="0"/>
    <n v="0"/>
    <n v="0"/>
    <n v="0"/>
    <n v="0"/>
    <n v="0"/>
    <n v="0"/>
    <n v="0"/>
    <x v="0"/>
    <n v="55"/>
    <s v="2.4399999999999999"/>
  </r>
  <r>
    <x v="267"/>
    <x v="6"/>
    <s v="003-251-021"/>
    <s v="4745 Carpinteria Avenue"/>
    <s v="5+"/>
    <x v="0"/>
    <n v="1"/>
    <n v="0"/>
    <n v="2"/>
    <n v="0"/>
    <n v="0"/>
    <n v="0"/>
    <x v="3"/>
    <n v="0"/>
    <n v="2"/>
    <n v="0"/>
    <n v="0"/>
    <n v="0"/>
    <n v="0"/>
    <n v="0"/>
    <n v="0"/>
    <n v="0"/>
    <n v="0"/>
    <n v="0"/>
    <x v="0"/>
    <n v="99"/>
    <s v="0.059999999999999998"/>
  </r>
  <r>
    <x v="53"/>
    <x v="6"/>
    <s v="058-220-048"/>
    <s v="1555   DEVONWOOD DR"/>
    <s v="5+"/>
    <x v="0"/>
    <n v="0"/>
    <n v="0"/>
    <n v="0"/>
    <n v="0"/>
    <n v="0"/>
    <n v="0"/>
    <x v="0"/>
    <n v="0"/>
    <n v="24"/>
    <n v="0"/>
    <n v="0"/>
    <n v="0"/>
    <n v="0"/>
    <n v="0"/>
    <n v="0"/>
    <n v="0"/>
    <n v="0"/>
    <n v="0"/>
    <x v="0"/>
    <n v="55"/>
    <n v="0"/>
  </r>
  <r>
    <x v="133"/>
    <x v="6"/>
    <n v="5845022019"/>
    <s v="2212 El Molino Avenue, Altadena CA 91001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14000000000000001"/>
  </r>
  <r>
    <x v="133"/>
    <x v="6"/>
    <n v="3102021004"/>
    <s v="5038 W Avenue L10, Lancaster CA 93536"/>
    <s v="5+"/>
    <x v="0"/>
    <n v="0"/>
    <n v="0"/>
    <n v="4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134"/>
    <x v="6"/>
    <n v="1560180485"/>
    <s v="2789 SOMIS RD, SOMIS, CA  93066"/>
    <s v="5+"/>
    <x v="0"/>
    <n v="0"/>
    <n v="0"/>
    <n v="0"/>
    <n v="0"/>
    <n v="0"/>
    <n v="0"/>
    <x v="0"/>
    <n v="0"/>
    <n v="0"/>
    <n v="0"/>
    <n v="0"/>
    <n v="0"/>
    <n v="0"/>
    <n v="0"/>
    <n v="11"/>
    <n v="0"/>
    <n v="0"/>
    <n v="0"/>
    <x v="1"/>
    <n v="1000"/>
    <n v="0"/>
  </r>
  <r>
    <x v="134"/>
    <x v="6"/>
    <n v="1560180485"/>
    <s v="2773 SOMIS RD, SOMIS, CA  93066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1000"/>
    <n v="0"/>
  </r>
  <r>
    <x v="155"/>
    <x v="6"/>
    <n v="200140011"/>
    <s v="375 West El Pintado Ave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20000000000000001"/>
  </r>
  <r>
    <x v="155"/>
    <x v="6"/>
    <n v="208022041"/>
    <s v="600 Hartz Ave"/>
    <s v="5+"/>
    <x v="1"/>
    <n v="0"/>
    <n v="0"/>
    <n v="0"/>
    <n v="0"/>
    <n v="5"/>
    <n v="0"/>
    <x v="0"/>
    <n v="0"/>
    <n v="0"/>
    <n v="0"/>
    <n v="0"/>
    <n v="0"/>
    <n v="0"/>
    <n v="0"/>
    <n v="0"/>
    <n v="0"/>
    <n v="0"/>
    <n v="0"/>
    <x v="1"/>
    <n v="20"/>
    <n v="0"/>
  </r>
  <r>
    <x v="134"/>
    <x v="6"/>
    <n v="1560180485"/>
    <s v="2779 SOMIS RD, SOMIS, CA  93066"/>
    <s v="5+"/>
    <x v="0"/>
    <n v="0"/>
    <n v="0"/>
    <n v="0"/>
    <n v="0"/>
    <n v="0"/>
    <n v="0"/>
    <x v="0"/>
    <n v="0"/>
    <n v="0"/>
    <n v="0"/>
    <n v="0"/>
    <n v="0"/>
    <n v="0"/>
    <n v="0"/>
    <n v="11"/>
    <n v="0"/>
    <n v="0"/>
    <n v="0"/>
    <x v="1"/>
    <n v="1000"/>
    <n v="0"/>
  </r>
  <r>
    <x v="72"/>
    <x v="6"/>
    <n v="5662321800"/>
    <s v="178 THIRD AV"/>
    <s v="5+"/>
    <x v="0"/>
    <n v="0"/>
    <n v="0"/>
    <n v="0"/>
    <n v="0"/>
    <n v="0"/>
    <n v="0"/>
    <x v="0"/>
    <n v="0"/>
    <n v="0"/>
    <n v="0"/>
    <n v="0"/>
    <n v="0"/>
    <n v="0"/>
    <n v="0"/>
    <n v="57"/>
    <n v="0"/>
    <n v="0"/>
    <n v="0"/>
    <x v="0"/>
    <n v="55"/>
    <n v="1"/>
  </r>
  <r>
    <x v="72"/>
    <x v="6"/>
    <n v="5662321700"/>
    <s v="305 E ST"/>
    <s v="5+"/>
    <x v="0"/>
    <n v="0"/>
    <n v="0"/>
    <n v="0"/>
    <n v="0"/>
    <n v="0"/>
    <n v="0"/>
    <x v="89"/>
    <n v="0"/>
    <n v="41"/>
    <n v="0"/>
    <n v="0"/>
    <n v="0"/>
    <n v="0"/>
    <n v="0"/>
    <n v="0"/>
    <n v="0"/>
    <n v="0"/>
    <n v="0"/>
    <x v="1"/>
    <n v="55"/>
    <n v="0"/>
  </r>
  <r>
    <x v="51"/>
    <x v="0"/>
    <s v="068-323-034"/>
    <s v="405 Atascadero Road"/>
    <s v="5+"/>
    <x v="0"/>
    <n v="13"/>
    <n v="0"/>
    <n v="21"/>
    <n v="0"/>
    <n v="1"/>
    <n v="0"/>
    <x v="21"/>
    <n v="0"/>
    <n v="21"/>
    <n v="0"/>
    <n v="1"/>
    <n v="0"/>
    <n v="0"/>
    <n v="0"/>
    <n v="0"/>
    <n v="0"/>
    <n v="0"/>
    <n v="0"/>
    <x v="0"/>
    <n v="55"/>
    <n v="60"/>
  </r>
  <r>
    <x v="72"/>
    <x v="6"/>
    <n v="6430606100"/>
    <s v="2040 TRANSIT GUIDEWAY"/>
    <s v="5+"/>
    <x v="0"/>
    <n v="0"/>
    <n v="0"/>
    <n v="0"/>
    <n v="0"/>
    <n v="0"/>
    <n v="0"/>
    <x v="0"/>
    <n v="0"/>
    <n v="0"/>
    <n v="0"/>
    <n v="0"/>
    <n v="0"/>
    <n v="42"/>
    <n v="0"/>
    <n v="54"/>
    <n v="0"/>
    <n v="0"/>
    <n v="0"/>
    <x v="1"/>
    <n v="55"/>
    <n v="0"/>
  </r>
  <r>
    <x v="72"/>
    <x v="6"/>
    <n v="6430606100"/>
    <s v="2055 OPTIMA ST"/>
    <s v="5+"/>
    <x v="0"/>
    <n v="0"/>
    <n v="0"/>
    <n v="0"/>
    <n v="0"/>
    <n v="0"/>
    <n v="0"/>
    <x v="0"/>
    <n v="0"/>
    <n v="0"/>
    <n v="0"/>
    <n v="0"/>
    <n v="0"/>
    <n v="0"/>
    <n v="0"/>
    <n v="102"/>
    <n v="0"/>
    <n v="0"/>
    <n v="0"/>
    <x v="1"/>
    <n v="55"/>
    <n v="0"/>
  </r>
  <r>
    <x v="133"/>
    <x v="6"/>
    <n v="5232013039"/>
    <s v="3565 E 1st Street, Los Angeles CA 90063"/>
    <s v="5+"/>
    <x v="0"/>
    <n v="0"/>
    <n v="0"/>
    <n v="0"/>
    <n v="0"/>
    <n v="18"/>
    <n v="0"/>
    <x v="0"/>
    <n v="0"/>
    <n v="0"/>
    <n v="0"/>
    <n v="0"/>
    <n v="0"/>
    <n v="0"/>
    <n v="0"/>
    <n v="0"/>
    <n v="0"/>
    <n v="0"/>
    <n v="0"/>
    <x v="0"/>
    <n v="55"/>
    <s v="2.6600000000000001"/>
  </r>
  <r>
    <x v="49"/>
    <x v="6"/>
    <s v="118-010-058"/>
    <s v="890 W BATTLES RD"/>
    <s v="5+"/>
    <x v="0"/>
    <n v="0"/>
    <n v="0"/>
    <n v="0"/>
    <n v="0"/>
    <n v="0"/>
    <n v="0"/>
    <x v="0"/>
    <n v="0"/>
    <n v="0"/>
    <n v="0"/>
    <n v="0"/>
    <n v="0"/>
    <n v="2"/>
    <n v="0"/>
    <n v="10"/>
    <n v="0"/>
    <n v="0"/>
    <n v="0"/>
    <x v="0"/>
    <n v="55"/>
    <s v="0.20999999999999999"/>
  </r>
  <r>
    <x v="49"/>
    <x v="6"/>
    <s v="118-010-058"/>
    <s v="840 W BATTLES RD"/>
    <s v="5+"/>
    <x v="0"/>
    <n v="0"/>
    <n v="0"/>
    <n v="0"/>
    <n v="0"/>
    <n v="0"/>
    <n v="0"/>
    <x v="0"/>
    <n v="0"/>
    <n v="0"/>
    <n v="0"/>
    <n v="0"/>
    <n v="0"/>
    <n v="5"/>
    <n v="0"/>
    <n v="19"/>
    <n v="0"/>
    <n v="0"/>
    <n v="0"/>
    <x v="0"/>
    <n v="55"/>
    <s v="0.20999999999999999"/>
  </r>
  <r>
    <x v="124"/>
    <x v="0"/>
    <s v="037-212-022"/>
    <s v="410 STATE ST, SANTA BARBARA, CA 93101"/>
    <s v="5+"/>
    <x v="0"/>
    <n v="0"/>
    <n v="0"/>
    <n v="0"/>
    <n v="0"/>
    <n v="8"/>
    <n v="0"/>
    <x v="0"/>
    <n v="0"/>
    <n v="0"/>
    <n v="0"/>
    <n v="0"/>
    <n v="0"/>
    <n v="0"/>
    <n v="0"/>
    <n v="0"/>
    <n v="0"/>
    <n v="0"/>
    <n v="0"/>
    <x v="1"/>
    <m/>
    <n v="0"/>
  </r>
  <r>
    <x v="261"/>
    <x v="6"/>
    <s v="020863247-0000"/>
    <s v="NEC Foothill and Lion"/>
    <s v="5+"/>
    <x v="0"/>
    <n v="1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.11"/>
  </r>
  <r>
    <x v="40"/>
    <x v="6"/>
    <s v="903 001004800"/>
    <s v="Isabel Ave, Portola Ave"/>
    <s v="5+"/>
    <x v="0"/>
    <n v="65"/>
    <n v="0"/>
    <n v="113"/>
    <n v="0"/>
    <n v="185"/>
    <n v="0"/>
    <x v="0"/>
    <n v="0"/>
    <n v="0"/>
    <n v="0"/>
    <n v="0"/>
    <n v="0"/>
    <n v="0"/>
    <n v="0"/>
    <n v="0"/>
    <n v="0"/>
    <n v="0"/>
    <n v="0"/>
    <x v="0"/>
    <n v="55"/>
    <n v="0"/>
  </r>
  <r>
    <x v="56"/>
    <x v="6"/>
    <s v="74-1373-10-21"/>
    <s v="451 MARTIN MARINER AVE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1"/>
    <n v="0"/>
    <x v="0"/>
    <n v="1000"/>
    <s v="0.20000000000000001"/>
  </r>
  <r>
    <x v="56"/>
    <x v="6"/>
    <s v="71-293-20"/>
    <s v="2055 BARNES  WHARF LN"/>
    <s v="5+"/>
    <x v="1"/>
    <n v="1"/>
    <n v="0"/>
    <n v="0"/>
    <n v="0"/>
    <n v="1"/>
    <n v="0"/>
    <x v="3"/>
    <n v="0"/>
    <n v="0"/>
    <n v="0"/>
    <n v="1"/>
    <n v="0"/>
    <n v="0"/>
    <n v="0"/>
    <n v="0"/>
    <n v="0"/>
    <n v="0"/>
    <n v="0"/>
    <x v="0"/>
    <n v="59"/>
    <s v="0.20000000000000001"/>
  </r>
  <r>
    <x v="56"/>
    <x v="6"/>
    <s v="71-293-19"/>
    <s v="2171 BARNES  WHARF LN"/>
    <s v="5+"/>
    <x v="1"/>
    <n v="0"/>
    <n v="0"/>
    <n v="1"/>
    <n v="0"/>
    <n v="1"/>
    <n v="0"/>
    <x v="0"/>
    <n v="0"/>
    <n v="1"/>
    <n v="0"/>
    <n v="1"/>
    <n v="0"/>
    <n v="0"/>
    <n v="0"/>
    <n v="0"/>
    <n v="0"/>
    <n v="0"/>
    <n v="0"/>
    <x v="0"/>
    <n v="59"/>
    <s v="0.20000000000000001"/>
  </r>
  <r>
    <x v="166"/>
    <x v="6"/>
    <s v="069-530-030-000"/>
    <s v="2555 Research Park Dr."/>
    <s v="5+"/>
    <x v="0"/>
    <n v="10"/>
    <n v="0"/>
    <n v="0"/>
    <n v="0"/>
    <n v="0"/>
    <n v="0"/>
    <x v="7"/>
    <n v="0"/>
    <n v="0"/>
    <n v="0"/>
    <n v="0"/>
    <n v="190"/>
    <n v="0"/>
    <n v="0"/>
    <n v="0"/>
    <n v="0"/>
    <n v="0"/>
    <n v="0"/>
    <x v="1"/>
    <m/>
    <n v="0"/>
  </r>
  <r>
    <x v="133"/>
    <x v="6"/>
    <n v="5845022019"/>
    <s v="2212 El Molino Avenue, Altadena CA 91001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14000000000000001"/>
  </r>
  <r>
    <x v="171"/>
    <x v="6"/>
    <s v="6331611400, 6331611300, 6331611200"/>
    <s v="1368 HOLLY AVE, 1376 HOLLY AVE, 1368 14TH ST"/>
    <s v="5+"/>
    <x v="1"/>
    <n v="3"/>
    <n v="0"/>
    <n v="0"/>
    <n v="0"/>
    <n v="3"/>
    <n v="0"/>
    <x v="0"/>
    <n v="0"/>
    <n v="0"/>
    <n v="0"/>
    <n v="0"/>
    <n v="0"/>
    <n v="0"/>
    <n v="0"/>
    <n v="0"/>
    <n v="0"/>
    <n v="0"/>
    <n v="0"/>
    <x v="0"/>
    <m/>
    <n v="1"/>
  </r>
  <r>
    <x v="3"/>
    <x v="6"/>
    <n v="4336014025"/>
    <s v="401 ROBERTSON BLVD_x000a_WEST HOLLYWOOD, CA 90048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201"/>
    <x v="6"/>
    <n v="2546121400"/>
    <s v="1601 San Remo Pl 105, Encinitas, CA 92024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1000"/>
    <n v="0"/>
  </r>
  <r>
    <x v="201"/>
    <x v="6"/>
    <n v="2546121400"/>
    <s v="1603 San Remo Pl 102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1 Bergamo Pl 105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400 Anacona Pl 202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264"/>
    <x v="6"/>
    <s v="031-221-015"/>
    <s v="BMR Site 1"/>
    <s v="5+"/>
    <x v="0"/>
    <n v="92"/>
    <n v="0"/>
    <n v="0"/>
    <n v="0"/>
    <n v="0"/>
    <n v="0"/>
    <x v="107"/>
    <n v="0"/>
    <n v="0"/>
    <n v="0"/>
    <n v="0"/>
    <n v="0"/>
    <n v="92"/>
    <n v="0"/>
    <n v="0"/>
    <n v="0"/>
    <n v="0"/>
    <n v="0"/>
    <x v="1"/>
    <m/>
    <n v="0"/>
  </r>
  <r>
    <x v="64"/>
    <x v="6"/>
    <s v="492-012-091-000"/>
    <s v="2700 N HAYDEN PW, BLDG 2"/>
    <s v="5+"/>
    <x v="0"/>
    <n v="0"/>
    <n v="0"/>
    <n v="0"/>
    <n v="0"/>
    <n v="0"/>
    <n v="0"/>
    <x v="0"/>
    <n v="0"/>
    <n v="0"/>
    <n v="0"/>
    <n v="0"/>
    <n v="0"/>
    <n v="9"/>
    <n v="0"/>
    <n v="14"/>
    <n v="0"/>
    <n v="7"/>
    <n v="0"/>
    <x v="0"/>
    <m/>
    <n v="0.19"/>
  </r>
  <r>
    <x v="8"/>
    <x v="6"/>
    <n v="6450603500"/>
    <s v="0 Otay Mesa Road"/>
    <s v="5+"/>
    <x v="0"/>
    <n v="0"/>
    <n v="0"/>
    <n v="0"/>
    <n v="0"/>
    <n v="9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6461007100"/>
    <s v="2440 Cactus Rd, San Diego, CA"/>
    <s v="5+"/>
    <x v="0"/>
    <n v="0"/>
    <n v="0"/>
    <n v="53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4453622500"/>
    <s v="4360 UTAH ST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1"/>
    <m/>
    <n v="0"/>
  </r>
  <r>
    <x v="8"/>
    <x v="6"/>
    <n v="5472303500"/>
    <s v="465 47TH ST"/>
    <s v="5+"/>
    <x v="0"/>
    <n v="0"/>
    <n v="0"/>
    <n v="0"/>
    <n v="0"/>
    <n v="0"/>
    <n v="0"/>
    <x v="0"/>
    <n v="0"/>
    <n v="0"/>
    <n v="0"/>
    <n v="0"/>
    <n v="0"/>
    <n v="0"/>
    <n v="0"/>
    <n v="18"/>
    <n v="0"/>
    <n v="0"/>
    <n v="0"/>
    <x v="1"/>
    <m/>
    <n v="0"/>
  </r>
  <r>
    <x v="8"/>
    <x v="6"/>
    <n v="4456921800"/>
    <s v="3918 ARIZONA ST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0"/>
    <n v="55"/>
    <n v="1"/>
  </r>
  <r>
    <x v="8"/>
    <x v="6"/>
    <n v="4531521000"/>
    <s v="3066 NORTH PARK WY"/>
    <s v="5+"/>
    <x v="0"/>
    <n v="0"/>
    <n v="0"/>
    <n v="0"/>
    <n v="0"/>
    <n v="0"/>
    <n v="0"/>
    <x v="0"/>
    <n v="0"/>
    <n v="0"/>
    <n v="0"/>
    <n v="0"/>
    <n v="0"/>
    <n v="5"/>
    <n v="0"/>
    <n v="0"/>
    <n v="0"/>
    <n v="0"/>
    <n v="0"/>
    <x v="0"/>
    <n v="55"/>
    <n v="1"/>
  </r>
  <r>
    <x v="8"/>
    <x v="6"/>
    <n v="5313051000"/>
    <s v="3111 FENELON ST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0"/>
    <n v="55"/>
    <n v="0.5"/>
  </r>
  <r>
    <x v="8"/>
    <x v="6"/>
    <n v="4714612400"/>
    <s v="4020 44TH ST"/>
    <s v="5+"/>
    <x v="0"/>
    <n v="0"/>
    <n v="0"/>
    <n v="0"/>
    <n v="0"/>
    <n v="0"/>
    <n v="0"/>
    <x v="0"/>
    <n v="0"/>
    <n v="0"/>
    <n v="0"/>
    <n v="0"/>
    <n v="0"/>
    <n v="0"/>
    <n v="0"/>
    <n v="60"/>
    <n v="0"/>
    <n v="0"/>
    <n v="0"/>
    <x v="0"/>
    <n v="55"/>
    <n v="0.88"/>
  </r>
  <r>
    <x v="8"/>
    <x v="6"/>
    <n v="5303711000"/>
    <s v="3027 KEATS ST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m/>
    <n v="0"/>
  </r>
  <r>
    <x v="201"/>
    <x v="1"/>
    <s v="216-052-01-00"/>
    <s v="1967 N Vulcan Ave"/>
    <s v="5+"/>
    <x v="0"/>
    <n v="0"/>
    <n v="0"/>
    <n v="0"/>
    <n v="0"/>
    <n v="0"/>
    <n v="0"/>
    <x v="0"/>
    <n v="0"/>
    <n v="12"/>
    <n v="0"/>
    <n v="0"/>
    <n v="0"/>
    <n v="0"/>
    <n v="0"/>
    <n v="0"/>
    <n v="0"/>
    <n v="0"/>
    <n v="0"/>
    <x v="0"/>
    <n v="1000"/>
    <s v="0.34999999999999998"/>
  </r>
  <r>
    <x v="201"/>
    <x v="1"/>
    <n v="2546121400"/>
    <s v="1502 Livorno Pl 208, Encinitas, CA 92024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103"/>
    <x v="6"/>
    <s v="Tract 18148 Lots 48, 49, 50, 51, 52, 53, 54, 55, 56, 57, 58, 59, &amp; 60"/>
    <s v="31990, 31994, 31998, 32002, 32006 Paseo Deriva, 27101 Via Caminata, 32010, 32011, 32007, 32003, 31999, 31995, &amp; 31991 Paseo Deriva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2"/>
    <n v="0"/>
    <x v="0"/>
    <n v="30"/>
    <n v="0"/>
  </r>
  <r>
    <x v="3"/>
    <x v="6"/>
    <n v="5531008001"/>
    <s v="1201 DETROIT ST_x000a_WEST HOLLYWOOD, CA 90046"/>
    <s v="5+"/>
    <x v="0"/>
    <n v="0"/>
    <n v="0"/>
    <n v="0"/>
    <n v="0"/>
    <n v="0"/>
    <n v="0"/>
    <x v="66"/>
    <n v="0"/>
    <n v="12"/>
    <n v="0"/>
    <n v="1"/>
    <n v="0"/>
    <n v="0"/>
    <n v="0"/>
    <n v="0"/>
    <n v="0"/>
    <n v="0"/>
    <n v="0"/>
    <x v="0"/>
    <n v="1000"/>
    <n v="3"/>
  </r>
  <r>
    <x v="201"/>
    <x v="6"/>
    <n v="2546121400"/>
    <s v="1602 San Remo Pl 101, Encinitas, CA 92024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1000"/>
    <n v="0"/>
  </r>
  <r>
    <x v="30"/>
    <x v="6"/>
    <s v="3008-040-012"/>
    <s v="38225 9th Street East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s v="0.050000000000000003"/>
  </r>
  <r>
    <x v="30"/>
    <x v="6"/>
    <n v="3010030023"/>
    <s v="150 E AVENUE R, PALMDALE, CA"/>
    <s v="5+"/>
    <x v="0"/>
    <n v="0"/>
    <n v="0"/>
    <n v="0"/>
    <n v="0"/>
    <n v="0"/>
    <n v="0"/>
    <x v="0"/>
    <n v="0"/>
    <n v="0"/>
    <n v="0"/>
    <n v="0"/>
    <n v="0"/>
    <n v="0"/>
    <n v="0"/>
    <n v="101"/>
    <n v="0"/>
    <n v="0"/>
    <n v="0"/>
    <x v="0"/>
    <m/>
    <s v="0.20000000000000001"/>
  </r>
  <r>
    <x v="8"/>
    <x v="6"/>
    <n v="3561206700"/>
    <s v="8333 Clairemont Mesa Bl, San Diego, CA"/>
    <s v="5+"/>
    <x v="0"/>
    <n v="0"/>
    <n v="0"/>
    <n v="0"/>
    <n v="0"/>
    <n v="0"/>
    <n v="0"/>
    <x v="11"/>
    <n v="0"/>
    <n v="0"/>
    <n v="0"/>
    <n v="0"/>
    <n v="0"/>
    <n v="0"/>
    <n v="0"/>
    <n v="0"/>
    <n v="0"/>
    <n v="0"/>
    <n v="0"/>
    <x v="0"/>
    <n v="55"/>
    <s v="0.34000000000000002"/>
  </r>
  <r>
    <x v="8"/>
    <x v="6"/>
    <n v="6454100100"/>
    <s v="5335 Seacliff Pl, San Diego, CA 92154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7"/>
    <n v="0"/>
    <x v="1"/>
    <m/>
    <n v="0"/>
  </r>
  <r>
    <x v="186"/>
    <x v="6"/>
    <s v="078C-0626-009-02"/>
    <s v="28000 Mission Blvd_x000a_Hayward, CA 94544"/>
    <s v="5+"/>
    <x v="0"/>
    <n v="0"/>
    <n v="0"/>
    <n v="0"/>
    <n v="0"/>
    <n v="0"/>
    <n v="0"/>
    <x v="0"/>
    <n v="0"/>
    <n v="0"/>
    <n v="0"/>
    <n v="0"/>
    <n v="0"/>
    <n v="38"/>
    <n v="0"/>
    <n v="8"/>
    <n v="0"/>
    <n v="0"/>
    <n v="0"/>
    <x v="0"/>
    <n v="1000"/>
    <n v="20"/>
  </r>
  <r>
    <x v="201"/>
    <x v="6"/>
    <n v="2546121400"/>
    <s v="1501 Livorno Pl 209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201"/>
    <x v="6"/>
    <n v="2546121400"/>
    <s v="1201 Ustica Pl 209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201"/>
    <x v="6"/>
    <n v="2546121939"/>
    <s v="1403 Anacona Pl 201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49"/>
    <x v="6"/>
    <s v="118-010-058"/>
    <s v="850 W BATTLES RD"/>
    <s v="5+"/>
    <x v="0"/>
    <n v="0"/>
    <n v="0"/>
    <n v="0"/>
    <n v="0"/>
    <n v="0"/>
    <n v="0"/>
    <x v="0"/>
    <n v="0"/>
    <n v="0"/>
    <n v="0"/>
    <n v="0"/>
    <n v="0"/>
    <n v="2"/>
    <n v="0"/>
    <n v="10"/>
    <n v="0"/>
    <n v="0"/>
    <n v="0"/>
    <x v="0"/>
    <n v="55"/>
    <s v="0.20999999999999999"/>
  </r>
  <r>
    <x v="184"/>
    <x v="6"/>
    <s v="096-041-30"/>
    <s v="13552 Goldenwest ST_x000a_Westminster, CA 92683"/>
    <s v="5+"/>
    <x v="1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45"/>
    <s v="0.34999999999999998"/>
  </r>
  <r>
    <x v="190"/>
    <x v="6"/>
    <n v="6270020275"/>
    <s v="4415 ALAMO ST"/>
    <s v="5+"/>
    <x v="0"/>
    <n v="0"/>
    <n v="0"/>
    <n v="0"/>
    <n v="0"/>
    <n v="0"/>
    <n v="0"/>
    <x v="34"/>
    <n v="0"/>
    <n v="214"/>
    <n v="0"/>
    <n v="0"/>
    <n v="0"/>
    <n v="54"/>
    <n v="0"/>
    <n v="214"/>
    <n v="0"/>
    <n v="0"/>
    <n v="0"/>
    <x v="0"/>
    <m/>
    <n v="0.12"/>
  </r>
  <r>
    <x v="158"/>
    <x v="0"/>
    <s v="103-0-082-225"/>
    <s v="603 E Main St"/>
    <s v="5+"/>
    <x v="0"/>
    <n v="0"/>
    <n v="0"/>
    <n v="7"/>
    <n v="0"/>
    <n v="0"/>
    <n v="0"/>
    <x v="0"/>
    <n v="0"/>
    <n v="0"/>
    <n v="0"/>
    <n v="0"/>
    <n v="0"/>
    <n v="0"/>
    <n v="0"/>
    <n v="0"/>
    <n v="0"/>
    <n v="0"/>
    <n v="0"/>
    <x v="0"/>
    <n v="55"/>
    <n v="58"/>
  </r>
  <r>
    <x v="201"/>
    <x v="3"/>
    <s v="2561712400 2561711500 2561711300"/>
    <s v="662, 672 &amp; 682 Clark Ave._x000a_556 Union St."/>
    <s v="5+"/>
    <x v="0"/>
    <n v="0"/>
    <n v="0"/>
    <n v="4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46"/>
    <x v="6"/>
    <n v="17004066"/>
    <s v="5150 EL CAMINO REAL"/>
    <s v="5+"/>
    <x v="0"/>
    <n v="0"/>
    <n v="0"/>
    <n v="0"/>
    <n v="0"/>
    <n v="0"/>
    <n v="0"/>
    <x v="0"/>
    <n v="0"/>
    <n v="29"/>
    <n v="0"/>
    <n v="0"/>
    <n v="0"/>
    <n v="0"/>
    <n v="0"/>
    <n v="0"/>
    <n v="0"/>
    <n v="0"/>
    <n v="0"/>
    <x v="1"/>
    <n v="55"/>
    <n v="0"/>
  </r>
  <r>
    <x v="79"/>
    <x v="6"/>
    <n v="32322130"/>
    <s v="303 BALDWIN AVE"/>
    <s v="5+"/>
    <x v="0"/>
    <n v="0"/>
    <n v="0"/>
    <n v="0"/>
    <n v="0"/>
    <n v="0"/>
    <n v="0"/>
    <x v="0"/>
    <n v="0"/>
    <n v="0"/>
    <n v="0"/>
    <n v="0"/>
    <n v="0"/>
    <n v="6"/>
    <n v="0"/>
    <n v="0"/>
    <n v="0"/>
    <n v="0"/>
    <n v="0"/>
    <x v="0"/>
    <n v="1000"/>
    <s v="0.35999999999999999"/>
  </r>
  <r>
    <x v="131"/>
    <x v="6"/>
    <s v="055 189400200"/>
    <s v="2037 Durant Ave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20000000000000001"/>
  </r>
  <r>
    <x v="131"/>
    <x v="6"/>
    <s v="055 189000900"/>
    <s v="2137 Dwight Way"/>
    <s v="5+"/>
    <x v="0"/>
    <n v="0"/>
    <n v="0"/>
    <n v="0"/>
    <n v="0"/>
    <n v="0"/>
    <n v="0"/>
    <x v="12"/>
    <n v="0"/>
    <n v="3"/>
    <n v="0"/>
    <n v="0"/>
    <n v="0"/>
    <n v="0"/>
    <n v="0"/>
    <n v="0"/>
    <n v="0"/>
    <n v="0"/>
    <n v="0"/>
    <x v="0"/>
    <m/>
    <n v="0.25"/>
  </r>
  <r>
    <x v="131"/>
    <x v="6"/>
    <s v="055 183901901"/>
    <s v="2587 Telegraph St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.5"/>
  </r>
  <r>
    <x v="131"/>
    <x v="6"/>
    <s v="054 171900100"/>
    <s v="2701 Shattuck Ave"/>
    <s v="5+"/>
    <x v="0"/>
    <n v="0"/>
    <n v="0"/>
    <n v="0"/>
    <n v="0"/>
    <n v="0"/>
    <n v="0"/>
    <x v="0"/>
    <n v="0"/>
    <n v="0"/>
    <n v="0"/>
    <n v="0"/>
    <n v="0"/>
    <n v="5"/>
    <n v="0"/>
    <n v="0"/>
    <n v="0"/>
    <n v="0"/>
    <n v="0"/>
    <x v="0"/>
    <m/>
    <s v="0.34999999999999998"/>
  </r>
  <r>
    <x v="56"/>
    <x v="6"/>
    <s v="74-1373-10-21"/>
    <s v="400 SENTINEL DR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1"/>
    <n v="0"/>
    <x v="0"/>
    <n v="1000"/>
    <s v="0.20000000000000001"/>
  </r>
  <r>
    <x v="135"/>
    <x v="6"/>
    <n v="1600093295"/>
    <s v="5180 VERDUGO WY"/>
    <s v="5+"/>
    <x v="0"/>
    <n v="0"/>
    <n v="0"/>
    <n v="0"/>
    <n v="0"/>
    <n v="2"/>
    <n v="0"/>
    <x v="0"/>
    <n v="0"/>
    <n v="0"/>
    <n v="0"/>
    <n v="2"/>
    <n v="0"/>
    <n v="0"/>
    <n v="0"/>
    <n v="0"/>
    <n v="0"/>
    <n v="0"/>
    <n v="0"/>
    <x v="0"/>
    <n v="55"/>
    <n v="0"/>
  </r>
  <r>
    <x v="135"/>
    <x v="6"/>
    <n v="1600093295"/>
    <s v="5190 VERDUGO WY"/>
    <s v="5+"/>
    <x v="0"/>
    <n v="2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"/>
  </r>
  <r>
    <x v="135"/>
    <x v="6"/>
    <n v="1600093295"/>
    <s v="5192 VERDUGO WY"/>
    <s v="5+"/>
    <x v="0"/>
    <n v="3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135"/>
    <x v="6"/>
    <n v="1600093295"/>
    <s v="390 CAMINO RUIZ"/>
    <s v="5+"/>
    <x v="0"/>
    <n v="3"/>
    <n v="0"/>
    <n v="0"/>
    <n v="0"/>
    <n v="1"/>
    <n v="0"/>
    <x v="2"/>
    <n v="0"/>
    <n v="0"/>
    <n v="0"/>
    <n v="1"/>
    <n v="0"/>
    <n v="0"/>
    <n v="0"/>
    <n v="0"/>
    <n v="0"/>
    <n v="0"/>
    <n v="0"/>
    <x v="0"/>
    <n v="55"/>
    <n v="0"/>
  </r>
  <r>
    <x v="200"/>
    <x v="6"/>
    <s v="024-071-69"/>
    <s v="5400 Gaddy Lane, KELSEYVILLE, CA 95451"/>
    <s v="5+"/>
    <x v="0"/>
    <n v="20"/>
    <n v="0"/>
    <n v="20"/>
    <n v="0"/>
    <n v="0"/>
    <n v="29"/>
    <x v="0"/>
    <n v="0"/>
    <n v="1"/>
    <n v="0"/>
    <n v="0"/>
    <n v="0"/>
    <n v="0"/>
    <n v="0"/>
    <n v="0"/>
    <n v="0"/>
    <n v="0"/>
    <n v="0"/>
    <x v="0"/>
    <n v="55"/>
    <s v="0.20000000000000001"/>
  </r>
  <r>
    <x v="173"/>
    <x v="6"/>
    <s v="002-064-006"/>
    <s v="1805 4TH ST"/>
    <s v="5+"/>
    <x v="0"/>
    <n v="2"/>
    <n v="0"/>
    <n v="0"/>
    <n v="0"/>
    <n v="0"/>
    <n v="0"/>
    <x v="17"/>
    <n v="0"/>
    <n v="0"/>
    <n v="0"/>
    <n v="0"/>
    <n v="0"/>
    <n v="2"/>
    <n v="0"/>
    <n v="0"/>
    <n v="0"/>
    <n v="0"/>
    <n v="0"/>
    <x v="0"/>
    <m/>
    <n v="0"/>
  </r>
  <r>
    <x v="162"/>
    <x v="6"/>
    <s v="080C 0500 032 00"/>
    <s v="15693 E 14th St, San Leandro, CA 94578"/>
    <s v="5+"/>
    <x v="0"/>
    <n v="7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261"/>
    <x v="6"/>
    <s v="020701144-0000"/>
    <s v="NEC Foothill and Grove"/>
    <s v="5+"/>
    <x v="0"/>
    <n v="1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050000000000000003"/>
  </r>
  <r>
    <x v="23"/>
    <x v="6"/>
    <s v="019-102-011-000"/>
    <s v="10012 Jibboom Street_x000a_10090 Jibboom Street"/>
    <s v="5+"/>
    <x v="0"/>
    <n v="0"/>
    <n v="0"/>
    <n v="10"/>
    <n v="0"/>
    <n v="0"/>
    <n v="0"/>
    <x v="0"/>
    <n v="0"/>
    <n v="0"/>
    <n v="0"/>
    <n v="0"/>
    <n v="0"/>
    <n v="0"/>
    <n v="0"/>
    <n v="0"/>
    <n v="0"/>
    <n v="0"/>
    <n v="0"/>
    <x v="0"/>
    <n v="1000"/>
    <n v="0.5"/>
  </r>
  <r>
    <x v="92"/>
    <x v="3"/>
    <s v="201-0300-180-0000"/>
    <s v="3512 HAMMOCK ,SACRAMENTO,CA"/>
    <s v="5+"/>
    <x v="0"/>
    <n v="0"/>
    <n v="0"/>
    <n v="0"/>
    <n v="0"/>
    <n v="0"/>
    <n v="0"/>
    <x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30 HAMMOCK ,SACRAMENTO,CA"/>
    <s v="5+"/>
    <x v="0"/>
    <n v="0"/>
    <n v="0"/>
    <n v="0"/>
    <n v="0"/>
    <n v="0"/>
    <n v="0"/>
    <x v="0"/>
    <n v="0"/>
    <n v="16"/>
    <n v="0"/>
    <n v="0"/>
    <n v="0"/>
    <n v="0"/>
    <n v="0"/>
    <n v="16"/>
    <n v="0"/>
    <n v="0"/>
    <n v="0"/>
    <x v="1"/>
    <n v="55"/>
    <n v="0"/>
  </r>
  <r>
    <x v="31"/>
    <x v="6"/>
    <n v="16513078"/>
    <s v="380 CHARLES ST"/>
    <s v="5+"/>
    <x v="0"/>
    <n v="0"/>
    <n v="0"/>
    <n v="0"/>
    <n v="0"/>
    <n v="0"/>
    <n v="0"/>
    <x v="0"/>
    <n v="0"/>
    <n v="0"/>
    <n v="0"/>
    <n v="0"/>
    <n v="0"/>
    <n v="2"/>
    <n v="0"/>
    <n v="5"/>
    <n v="0"/>
    <n v="0"/>
    <n v="0"/>
    <x v="0"/>
    <n v="67"/>
    <s v="0.34000000000000002"/>
  </r>
  <r>
    <x v="3"/>
    <x v="6"/>
    <n v="5531022019"/>
    <s v="1041 MARTEL AVE_x000a_WEST HOLLYWOOD, CA 90046"/>
    <s v="5+"/>
    <x v="0"/>
    <n v="0"/>
    <n v="0"/>
    <n v="0"/>
    <n v="0"/>
    <n v="0"/>
    <n v="0"/>
    <x v="86"/>
    <n v="0"/>
    <n v="16"/>
    <n v="0"/>
    <n v="1"/>
    <n v="0"/>
    <n v="0"/>
    <n v="0"/>
    <n v="0"/>
    <n v="0"/>
    <n v="0"/>
    <n v="0"/>
    <x v="0"/>
    <n v="1000"/>
    <n v="1.77"/>
  </r>
  <r>
    <x v="3"/>
    <x v="6"/>
    <n v="4337001013"/>
    <s v="8500 SANTA MONICA BLVD_x000a_WEST HOLLYWOOD, CA 90069"/>
    <s v="5+"/>
    <x v="0"/>
    <n v="0"/>
    <n v="0"/>
    <n v="0"/>
    <n v="0"/>
    <n v="0"/>
    <n v="0"/>
    <x v="2"/>
    <n v="0"/>
    <n v="0"/>
    <n v="0"/>
    <n v="1"/>
    <n v="0"/>
    <n v="0"/>
    <n v="0"/>
    <n v="0"/>
    <n v="0"/>
    <n v="0"/>
    <n v="0"/>
    <x v="0"/>
    <n v="1000"/>
    <n v="0.5"/>
  </r>
  <r>
    <x v="3"/>
    <x v="6"/>
    <n v="5554014011"/>
    <s v="8025 SANTA MONICA BLVD, WEST HOLLYWOOD, CA 90046"/>
    <s v="5+"/>
    <x v="0"/>
    <n v="11"/>
    <n v="0"/>
    <n v="0"/>
    <n v="0"/>
    <n v="4"/>
    <n v="0"/>
    <x v="0"/>
    <n v="0"/>
    <n v="0"/>
    <n v="0"/>
    <n v="0"/>
    <n v="0"/>
    <n v="0"/>
    <n v="0"/>
    <n v="0"/>
    <n v="0"/>
    <n v="0"/>
    <n v="0"/>
    <x v="0"/>
    <n v="1000"/>
    <s v="0.48999999999999999"/>
  </r>
  <r>
    <x v="223"/>
    <x v="6"/>
    <s v="380-100-022"/>
    <s v="23391 CATT RD"/>
    <s v="5+"/>
    <x v="0"/>
    <n v="0"/>
    <n v="0"/>
    <n v="0"/>
    <n v="0"/>
    <n v="0"/>
    <n v="0"/>
    <x v="35"/>
    <n v="0"/>
    <n v="0"/>
    <n v="0"/>
    <n v="0"/>
    <n v="0"/>
    <n v="0"/>
    <n v="0"/>
    <n v="0"/>
    <n v="0"/>
    <n v="0"/>
    <n v="0"/>
    <x v="0"/>
    <n v="55"/>
    <s v="8.6999999999999993"/>
  </r>
  <r>
    <x v="223"/>
    <x v="6"/>
    <s v="380-100-022"/>
    <s v="23415 CATT RD"/>
    <s v="5+"/>
    <x v="0"/>
    <n v="0"/>
    <n v="0"/>
    <n v="0"/>
    <n v="0"/>
    <n v="0"/>
    <n v="0"/>
    <x v="35"/>
    <n v="0"/>
    <n v="0"/>
    <n v="0"/>
    <n v="0"/>
    <n v="0"/>
    <n v="0"/>
    <n v="0"/>
    <n v="0"/>
    <n v="0"/>
    <n v="0"/>
    <n v="0"/>
    <x v="0"/>
    <n v="55"/>
    <s v="8.6999999999999993"/>
  </r>
  <r>
    <x v="137"/>
    <x v="6"/>
    <s v="077660024"/>
    <s v="3741 W HOUSTON AVE"/>
    <s v="5+"/>
    <x v="0"/>
    <n v="0"/>
    <n v="0"/>
    <n v="0"/>
    <n v="0"/>
    <n v="0"/>
    <n v="0"/>
    <x v="45"/>
    <n v="0"/>
    <n v="6"/>
    <n v="2"/>
    <n v="0"/>
    <n v="0"/>
    <n v="0"/>
    <n v="0"/>
    <n v="0"/>
    <n v="0"/>
    <n v="0"/>
    <n v="0"/>
    <x v="0"/>
    <m/>
    <n v="0"/>
  </r>
  <r>
    <x v="137"/>
    <x v="6"/>
    <s v="077660022"/>
    <s v="3825 W HOUSTON AVE"/>
    <s v="5+"/>
    <x v="0"/>
    <n v="0"/>
    <n v="0"/>
    <n v="0"/>
    <n v="0"/>
    <n v="0"/>
    <n v="0"/>
    <x v="0"/>
    <n v="0"/>
    <n v="30"/>
    <n v="0"/>
    <n v="0"/>
    <n v="0"/>
    <n v="0"/>
    <n v="0"/>
    <n v="0"/>
    <n v="0"/>
    <n v="0"/>
    <n v="0"/>
    <x v="0"/>
    <m/>
    <n v="0"/>
  </r>
  <r>
    <x v="137"/>
    <x v="6"/>
    <s v="077660024"/>
    <s v="3747 W HOUSTON AVE"/>
    <s v="5+"/>
    <x v="0"/>
    <n v="0"/>
    <n v="0"/>
    <n v="0"/>
    <n v="0"/>
    <n v="0"/>
    <n v="0"/>
    <x v="0"/>
    <n v="0"/>
    <n v="30"/>
    <n v="0"/>
    <n v="0"/>
    <n v="0"/>
    <n v="0"/>
    <n v="0"/>
    <n v="0"/>
    <n v="0"/>
    <n v="0"/>
    <n v="0"/>
    <x v="0"/>
    <m/>
    <n v="0"/>
  </r>
  <r>
    <x v="201"/>
    <x v="6"/>
    <s v="2581309700, 2581309800"/>
    <s v="155 Quail Gardens Dr"/>
    <s v="5+"/>
    <x v="0"/>
    <n v="0"/>
    <n v="0"/>
    <n v="0"/>
    <n v="0"/>
    <n v="0"/>
    <n v="0"/>
    <x v="0"/>
    <n v="0"/>
    <n v="21"/>
    <n v="0"/>
    <n v="0"/>
    <n v="0"/>
    <n v="0"/>
    <n v="0"/>
    <n v="0"/>
    <n v="0"/>
    <n v="0"/>
    <n v="0"/>
    <x v="0"/>
    <n v="1000"/>
    <s v="0.34999999999999998"/>
  </r>
  <r>
    <x v="201"/>
    <x v="6"/>
    <n v="2592312800"/>
    <s v="2220 Encinitas Blvd"/>
    <s v="5+"/>
    <x v="0"/>
    <n v="0"/>
    <n v="0"/>
    <n v="0"/>
    <n v="0"/>
    <n v="0"/>
    <n v="0"/>
    <x v="50"/>
    <n v="0"/>
    <n v="29"/>
    <n v="0"/>
    <n v="0"/>
    <n v="0"/>
    <n v="0"/>
    <n v="0"/>
    <n v="0"/>
    <n v="0"/>
    <n v="0"/>
    <n v="0"/>
    <x v="0"/>
    <n v="1000"/>
    <n v="0.22"/>
  </r>
  <r>
    <x v="201"/>
    <x v="6"/>
    <n v="2546121400"/>
    <s v="1303 Bergamo Pl 101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201 Ustica Pl 101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201"/>
    <x v="6"/>
    <n v="2546122216"/>
    <s v="1107 Catania Ct 102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201"/>
    <x v="6"/>
    <s v="258-130-80-00"/>
    <s v="258-130-80-00"/>
    <s v="5+"/>
    <x v="0"/>
    <n v="0"/>
    <n v="0"/>
    <n v="90"/>
    <n v="0"/>
    <n v="0"/>
    <n v="0"/>
    <x v="0"/>
    <n v="0"/>
    <n v="0"/>
    <n v="0"/>
    <n v="0"/>
    <n v="0"/>
    <n v="0"/>
    <n v="0"/>
    <n v="0"/>
    <n v="0"/>
    <n v="0"/>
    <n v="0"/>
    <x v="0"/>
    <n v="1000"/>
    <n v="0.5"/>
  </r>
  <r>
    <x v="201"/>
    <x v="6"/>
    <n v="2574702400"/>
    <s v="601 N. El Camino Real"/>
    <s v="5+"/>
    <x v="0"/>
    <n v="1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.5"/>
  </r>
  <r>
    <x v="201"/>
    <x v="6"/>
    <n v="2540531700"/>
    <s v="145 Sanford St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1000"/>
    <n v="0.31"/>
  </r>
  <r>
    <x v="92"/>
    <x v="1"/>
    <s v="225-2060-003-0000, 225-2060-004-0000, 225-2060-005-0000"/>
    <s v="3531 DEL PASO ,SACRAMENTO,CA"/>
    <s v="5+"/>
    <x v="0"/>
    <n v="0"/>
    <n v="6"/>
    <n v="0"/>
    <n v="0"/>
    <n v="0"/>
    <n v="114"/>
    <x v="0"/>
    <n v="0"/>
    <n v="0"/>
    <n v="0"/>
    <n v="0"/>
    <n v="0"/>
    <n v="0"/>
    <n v="0"/>
    <n v="0"/>
    <n v="0"/>
    <n v="0"/>
    <n v="0"/>
    <x v="0"/>
    <m/>
    <s v="0.050000000000000003"/>
  </r>
  <r>
    <x v="92"/>
    <x v="1"/>
    <s v="265-0011-002-0000"/>
    <s v="3139 RIO LINDA ,SACRAMENTO,CA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070000000000000007"/>
  </r>
  <r>
    <x v="26"/>
    <x v="6"/>
    <s v="148-15-020"/>
    <s v="334 San Antonio Rd"/>
    <s v="5+"/>
    <x v="0"/>
    <n v="22"/>
    <n v="0"/>
    <n v="77"/>
    <n v="0"/>
    <n v="1"/>
    <n v="0"/>
    <x v="0"/>
    <n v="0"/>
    <n v="0"/>
    <n v="0"/>
    <n v="0"/>
    <n v="0"/>
    <n v="0"/>
    <n v="0"/>
    <n v="0"/>
    <n v="0"/>
    <n v="0"/>
    <n v="0"/>
    <x v="0"/>
    <n v="1000"/>
    <n v="0"/>
  </r>
  <r>
    <x v="123"/>
    <x v="6"/>
    <s v="326 27 049"/>
    <s v="21301 Point Reyes"/>
    <s v="5+"/>
    <x v="0"/>
    <n v="0"/>
    <n v="0"/>
    <n v="0"/>
    <n v="0"/>
    <n v="0"/>
    <n v="0"/>
    <x v="0"/>
    <n v="0"/>
    <n v="0"/>
    <n v="0"/>
    <n v="0"/>
    <n v="0"/>
    <n v="29"/>
    <n v="0"/>
    <n v="19"/>
    <n v="0"/>
    <n v="0"/>
    <n v="0"/>
    <x v="0"/>
    <n v="99"/>
    <s v="0.089999999999999997"/>
  </r>
  <r>
    <x v="46"/>
    <x v="6"/>
    <n v="16741019"/>
    <s v="425 FIRST STREET UNIT 16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135"/>
    <x v="6"/>
    <n v="2290070305"/>
    <s v="580 LEWIS RD"/>
    <s v="5+"/>
    <x v="0"/>
    <n v="0"/>
    <n v="0"/>
    <n v="1"/>
    <n v="0"/>
    <n v="0"/>
    <n v="0"/>
    <x v="0"/>
    <n v="0"/>
    <n v="1"/>
    <n v="0"/>
    <n v="0"/>
    <n v="0"/>
    <n v="0"/>
    <n v="0"/>
    <n v="0"/>
    <n v="0"/>
    <n v="0"/>
    <n v="0"/>
    <x v="0"/>
    <n v="55"/>
    <n v="0"/>
  </r>
  <r>
    <x v="135"/>
    <x v="6"/>
    <n v="1600093295"/>
    <s v="5138 VERDUGO WY"/>
    <s v="5+"/>
    <x v="0"/>
    <n v="2"/>
    <n v="0"/>
    <n v="0"/>
    <n v="0"/>
    <n v="1"/>
    <n v="0"/>
    <x v="17"/>
    <n v="0"/>
    <n v="0"/>
    <n v="0"/>
    <n v="1"/>
    <n v="0"/>
    <n v="0"/>
    <n v="0"/>
    <n v="0"/>
    <n v="0"/>
    <n v="0"/>
    <n v="0"/>
    <x v="0"/>
    <n v="55"/>
    <n v="0"/>
  </r>
  <r>
    <x v="135"/>
    <x v="6"/>
    <n v="1600093295"/>
    <s v="5154 VERDUGO WY"/>
    <s v="5+"/>
    <x v="0"/>
    <n v="1"/>
    <n v="0"/>
    <n v="0"/>
    <n v="0"/>
    <n v="2"/>
    <n v="0"/>
    <x v="3"/>
    <n v="0"/>
    <n v="0"/>
    <n v="0"/>
    <n v="2"/>
    <n v="0"/>
    <n v="0"/>
    <n v="0"/>
    <n v="0"/>
    <n v="0"/>
    <n v="0"/>
    <n v="0"/>
    <x v="0"/>
    <n v="55"/>
    <n v="0"/>
  </r>
  <r>
    <x v="108"/>
    <x v="6"/>
    <s v="144-040-011"/>
    <s v="7515 Alder Avenue &amp; 8145 Gravenstein Hwy"/>
    <s v="5+"/>
    <x v="0"/>
    <n v="1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.5"/>
  </r>
  <r>
    <x v="134"/>
    <x v="6"/>
    <n v="1560180485"/>
    <s v="2737 SOMIS RD, SOMIS, CA  93066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1000"/>
    <n v="0"/>
  </r>
  <r>
    <x v="49"/>
    <x v="6"/>
    <s v="125-044-007"/>
    <s v="124 S COLLEGE DR"/>
    <s v="5+"/>
    <x v="0"/>
    <n v="0"/>
    <n v="0"/>
    <n v="119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203"/>
    <x v="6"/>
    <s v="051-210-028"/>
    <s v="5301 Elm Lane"/>
    <s v="5+"/>
    <x v="0"/>
    <n v="0"/>
    <n v="0"/>
    <n v="0"/>
    <n v="0"/>
    <n v="0"/>
    <n v="0"/>
    <x v="0"/>
    <n v="0"/>
    <n v="0"/>
    <n v="0"/>
    <n v="0"/>
    <n v="0"/>
    <n v="0"/>
    <n v="0"/>
    <n v="16"/>
    <n v="0"/>
    <n v="0"/>
    <n v="154"/>
    <x v="0"/>
    <n v="55"/>
    <s v="0.34999999999999998"/>
  </r>
  <r>
    <x v="129"/>
    <x v="6"/>
    <s v="4137-001-031 4137-001-027"/>
    <s v="401 Rosecrans Avenue_x000a_3770 Highland Avenue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s v="0.51000000000000001"/>
  </r>
  <r>
    <x v="56"/>
    <x v="6"/>
    <s v="74-1373-13-29"/>
    <s v="450 SENTINEL DR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1"/>
    <n v="0"/>
    <x v="0"/>
    <n v="1000"/>
    <s v="0.20000000000000001"/>
  </r>
  <r>
    <x v="56"/>
    <x v="6"/>
    <s v="72-381-01"/>
    <s v="1644 CLEMENT AVE"/>
    <s v="5+"/>
    <x v="1"/>
    <n v="0"/>
    <n v="0"/>
    <n v="2"/>
    <n v="0"/>
    <n v="0"/>
    <n v="0"/>
    <x v="0"/>
    <n v="0"/>
    <n v="2"/>
    <n v="0"/>
    <n v="0"/>
    <n v="0"/>
    <n v="0"/>
    <n v="0"/>
    <n v="0"/>
    <n v="0"/>
    <n v="0"/>
    <n v="0"/>
    <x v="0"/>
    <n v="59"/>
    <s v="0.20000000000000001"/>
  </r>
  <r>
    <x v="166"/>
    <x v="6"/>
    <s v="036-060-035"/>
    <s v="Covell Drive"/>
    <s v="5+"/>
    <x v="0"/>
    <n v="100"/>
    <n v="0"/>
    <n v="5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173"/>
    <x v="6"/>
    <s v="009-073-001"/>
    <s v="3230 HILER, EUREKA, Ca 95503"/>
    <s v="5+"/>
    <x v="0"/>
    <n v="35"/>
    <n v="0"/>
    <n v="8"/>
    <n v="0"/>
    <n v="0"/>
    <n v="0"/>
    <x v="0"/>
    <n v="0"/>
    <n v="0"/>
    <n v="0"/>
    <n v="0"/>
    <n v="0"/>
    <n v="0"/>
    <n v="0"/>
    <n v="0"/>
    <n v="0"/>
    <n v="0"/>
    <n v="0"/>
    <x v="0"/>
    <m/>
    <s v="0.80000000000000004"/>
  </r>
  <r>
    <x v="31"/>
    <x v="6"/>
    <n v="20522041"/>
    <s v="1055 STEWART DR"/>
    <s v="5+"/>
    <x v="0"/>
    <n v="0"/>
    <n v="0"/>
    <n v="0"/>
    <n v="0"/>
    <n v="0"/>
    <n v="0"/>
    <x v="0"/>
    <n v="0"/>
    <n v="0"/>
    <n v="0"/>
    <n v="0"/>
    <n v="0"/>
    <n v="10"/>
    <n v="0"/>
    <n v="0"/>
    <n v="0"/>
    <n v="0"/>
    <n v="101"/>
    <x v="1"/>
    <n v="55"/>
    <n v="0"/>
  </r>
  <r>
    <x v="142"/>
    <x v="6"/>
    <s v="511-013-03-00"/>
    <s v="1471 East Main Street"/>
    <s v="5+"/>
    <x v="1"/>
    <n v="0"/>
    <n v="0"/>
    <n v="0"/>
    <n v="0"/>
    <n v="2"/>
    <n v="0"/>
    <x v="0"/>
    <n v="0"/>
    <n v="0"/>
    <n v="0"/>
    <n v="0"/>
    <n v="0"/>
    <n v="0"/>
    <n v="0"/>
    <n v="0"/>
    <n v="0"/>
    <n v="0"/>
    <n v="0"/>
    <x v="0"/>
    <n v="55"/>
    <s v="0.29999999999999999"/>
  </r>
  <r>
    <x v="46"/>
    <x v="6"/>
    <n v="16741066"/>
    <s v="389 FIRST STREET UNIT 22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46"/>
    <x v="6"/>
    <n v="17002026"/>
    <s v="4896 El Camino Real"/>
    <s v="5+"/>
    <x v="1"/>
    <n v="2"/>
    <n v="0"/>
    <n v="0"/>
    <n v="0"/>
    <n v="3"/>
    <n v="0"/>
    <x v="0"/>
    <n v="0"/>
    <n v="0"/>
    <n v="0"/>
    <n v="0"/>
    <n v="0"/>
    <n v="0"/>
    <n v="0"/>
    <n v="0"/>
    <n v="0"/>
    <n v="0"/>
    <n v="0"/>
    <x v="0"/>
    <n v="55"/>
    <n v="0"/>
  </r>
  <r>
    <x v="2"/>
    <x v="6"/>
    <n v="5674010024"/>
    <s v="920 E BROADWAY"/>
    <s v="5+"/>
    <x v="0"/>
    <n v="31"/>
    <n v="0"/>
    <n v="8"/>
    <n v="0"/>
    <n v="0"/>
    <n v="0"/>
    <x v="30"/>
    <n v="0"/>
    <n v="8"/>
    <n v="0"/>
    <n v="0"/>
    <n v="0"/>
    <n v="0"/>
    <n v="0"/>
    <n v="0"/>
    <n v="0"/>
    <n v="0"/>
    <n v="0"/>
    <x v="0"/>
    <n v="75"/>
    <s v="0.17000000000000001"/>
  </r>
  <r>
    <x v="2"/>
    <x v="6"/>
    <n v="5640029014"/>
    <s v="1642 S CENTRAL AVENUE_x000a_GLENDALE, CA 91204"/>
    <s v="5+"/>
    <x v="0"/>
    <n v="0"/>
    <n v="0"/>
    <n v="3"/>
    <n v="0"/>
    <n v="0"/>
    <n v="0"/>
    <x v="0"/>
    <n v="0"/>
    <n v="0"/>
    <n v="0"/>
    <n v="0"/>
    <n v="0"/>
    <n v="0"/>
    <n v="0"/>
    <n v="0"/>
    <n v="0"/>
    <n v="0"/>
    <n v="0"/>
    <x v="0"/>
    <m/>
    <s v="0.34999999999999998"/>
  </r>
  <r>
    <x v="2"/>
    <x v="6"/>
    <n v="5640030023"/>
    <s v="345 W CERRITOS AVENUE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29999999999999999"/>
  </r>
  <r>
    <x v="160"/>
    <x v="6"/>
    <n v="8310019013"/>
    <s v="731 Harrison Ave."/>
    <s v="5+"/>
    <x v="1"/>
    <n v="0"/>
    <n v="0"/>
    <n v="0"/>
    <n v="0"/>
    <n v="0"/>
    <n v="0"/>
    <x v="86"/>
    <n v="0"/>
    <n v="0"/>
    <n v="0"/>
    <n v="0"/>
    <n v="0"/>
    <n v="0"/>
    <n v="0"/>
    <n v="0"/>
    <n v="0"/>
    <n v="0"/>
    <n v="0"/>
    <x v="0"/>
    <m/>
    <s v="0.80000000000000004"/>
  </r>
  <r>
    <x v="64"/>
    <x v="6"/>
    <s v="496-100-034-000"/>
    <s v="4201 SANTUCCI BL, Roseville CA 95747"/>
    <s v="5+"/>
    <x v="0"/>
    <n v="92"/>
    <n v="0"/>
    <n v="100"/>
    <n v="0"/>
    <n v="0"/>
    <n v="0"/>
    <x v="0"/>
    <n v="0"/>
    <n v="0"/>
    <n v="0"/>
    <n v="0"/>
    <n v="0"/>
    <n v="0"/>
    <n v="0"/>
    <n v="0"/>
    <n v="0"/>
    <n v="0"/>
    <n v="0"/>
    <x v="0"/>
    <m/>
    <n v="0.5"/>
  </r>
  <r>
    <x v="46"/>
    <x v="6"/>
    <n v="16741078"/>
    <s v="450 FIRST STREET UNIT 105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5"/>
    <x v="6"/>
    <n v="482161026"/>
    <s v="24550 COTTONWOOD AVE"/>
    <s v="5+"/>
    <x v="0"/>
    <n v="0"/>
    <n v="0"/>
    <n v="0"/>
    <n v="0"/>
    <n v="0"/>
    <n v="0"/>
    <x v="0"/>
    <n v="0"/>
    <n v="0"/>
    <n v="0"/>
    <n v="0"/>
    <n v="0"/>
    <n v="0"/>
    <n v="0"/>
    <n v="16"/>
    <n v="0"/>
    <n v="0"/>
    <n v="0"/>
    <x v="0"/>
    <n v="55"/>
    <s v="0.34999999999999998"/>
  </r>
  <r>
    <x v="116"/>
    <x v="6"/>
    <n v="2200320500"/>
    <s v="596 W RICHMAR AVE"/>
    <s v="5+"/>
    <x v="0"/>
    <n v="0"/>
    <n v="0"/>
    <n v="0"/>
    <n v="0"/>
    <n v="0"/>
    <n v="0"/>
    <x v="0"/>
    <n v="0"/>
    <n v="0"/>
    <n v="0"/>
    <n v="18"/>
    <n v="0"/>
    <n v="0"/>
    <n v="0"/>
    <n v="0"/>
    <n v="0"/>
    <n v="18"/>
    <n v="0"/>
    <x v="0"/>
    <n v="55"/>
    <s v="0.34999999999999998"/>
  </r>
  <r>
    <x v="133"/>
    <x v="6"/>
    <n v="6059027018"/>
    <s v="1559 W 101st Street, Los Angeles CA 90047"/>
    <s v="5+"/>
    <x v="0"/>
    <n v="0"/>
    <n v="0"/>
    <n v="8"/>
    <n v="0"/>
    <n v="38"/>
    <n v="0"/>
    <x v="0"/>
    <n v="0"/>
    <n v="0"/>
    <n v="0"/>
    <n v="0"/>
    <n v="0"/>
    <n v="0"/>
    <n v="0"/>
    <n v="0"/>
    <n v="0"/>
    <n v="0"/>
    <n v="0"/>
    <x v="0"/>
    <n v="55"/>
    <s v="4.2199999999999998"/>
  </r>
  <r>
    <x v="35"/>
    <x v="6"/>
    <n v="2042920100"/>
    <s v="3865 SYDNEY WAY"/>
    <s v="5+"/>
    <x v="0"/>
    <n v="0"/>
    <n v="0"/>
    <n v="0"/>
    <n v="0"/>
    <n v="0"/>
    <n v="0"/>
    <x v="0"/>
    <n v="0"/>
    <n v="0"/>
    <n v="0"/>
    <n v="0"/>
    <n v="0"/>
    <n v="0"/>
    <n v="0"/>
    <n v="23"/>
    <n v="0"/>
    <n v="0"/>
    <n v="0"/>
    <x v="1"/>
    <n v="55"/>
    <n v="0"/>
  </r>
  <r>
    <x v="135"/>
    <x v="6"/>
    <n v="1600093295"/>
    <s v="5150 VERDUGO WY"/>
    <s v="5+"/>
    <x v="0"/>
    <n v="3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n v="0"/>
  </r>
  <r>
    <x v="127"/>
    <x v="6"/>
    <s v="225-0-014-020"/>
    <s v="2161 ETTING RD"/>
    <s v="5+"/>
    <x v="0"/>
    <n v="0"/>
    <n v="0"/>
    <n v="0"/>
    <n v="0"/>
    <n v="0"/>
    <n v="0"/>
    <x v="0"/>
    <n v="0"/>
    <n v="57"/>
    <n v="0"/>
    <n v="0"/>
    <n v="0"/>
    <n v="0"/>
    <n v="0"/>
    <n v="0"/>
    <n v="0"/>
    <n v="0"/>
    <n v="0"/>
    <x v="0"/>
    <n v="55"/>
    <s v="0.20000000000000001"/>
  </r>
  <r>
    <x v="127"/>
    <x v="6"/>
    <s v="213-0-090-295"/>
    <s v="2152 LOCKWOOD ST"/>
    <s v="5+"/>
    <x v="0"/>
    <n v="0"/>
    <n v="0"/>
    <n v="0"/>
    <n v="0"/>
    <n v="0"/>
    <n v="0"/>
    <x v="69"/>
    <n v="0"/>
    <n v="156"/>
    <n v="0"/>
    <n v="0"/>
    <n v="0"/>
    <n v="0"/>
    <n v="0"/>
    <n v="0"/>
    <n v="0"/>
    <n v="0"/>
    <n v="0"/>
    <x v="0"/>
    <m/>
    <s v="0.80000000000000004"/>
  </r>
  <r>
    <x v="116"/>
    <x v="6"/>
    <n v="2191153300"/>
    <s v="0 CAPALINA RD"/>
    <s v="5+"/>
    <x v="0"/>
    <n v="6"/>
    <n v="0"/>
    <n v="0"/>
    <n v="0"/>
    <n v="0"/>
    <n v="113"/>
    <x v="0"/>
    <n v="0"/>
    <n v="0"/>
    <n v="0"/>
    <n v="0"/>
    <n v="0"/>
    <n v="0"/>
    <n v="0"/>
    <n v="0"/>
    <n v="0"/>
    <n v="0"/>
    <n v="0"/>
    <x v="0"/>
    <n v="55"/>
    <s v="0.050000000000000003"/>
  </r>
  <r>
    <x v="230"/>
    <x v="6"/>
    <n v="5773009070"/>
    <s v="233 &amp; 301 E HUNTINGTON DR"/>
    <s v="5+"/>
    <x v="0"/>
    <n v="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20000000000000001"/>
  </r>
  <r>
    <x v="201"/>
    <x v="1"/>
    <s v="258-031-12-00, 258-031-15-00, 258-031-11-00"/>
    <s v="102 and 118 Second Street"/>
    <s v="5+"/>
    <x v="1"/>
    <n v="2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1000"/>
    <n v="0.5"/>
  </r>
  <r>
    <x v="201"/>
    <x v="1"/>
    <n v="2546121400"/>
    <s v="1601 San Remo Pl 202, Encinitas, CA 92024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110"/>
    <x v="6"/>
    <n v="694310006"/>
    <s v="36101 EXPLORER DR"/>
    <s v="5+"/>
    <x v="0"/>
    <n v="0"/>
    <n v="0"/>
    <n v="0"/>
    <n v="0"/>
    <n v="0"/>
    <n v="0"/>
    <x v="21"/>
    <n v="0"/>
    <n v="1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3"/>
    <x v="6"/>
    <n v="4702003100"/>
    <s v="El Cajon Blvd, La Mesa CA 91941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135"/>
    <x v="6"/>
    <n v="1600093295"/>
    <s v="410 CAMINO RUIZ"/>
    <s v="5+"/>
    <x v="0"/>
    <n v="1"/>
    <n v="0"/>
    <n v="0"/>
    <n v="0"/>
    <n v="2"/>
    <n v="0"/>
    <x v="3"/>
    <n v="0"/>
    <n v="0"/>
    <n v="0"/>
    <n v="2"/>
    <n v="0"/>
    <n v="0"/>
    <n v="0"/>
    <n v="0"/>
    <n v="0"/>
    <n v="0"/>
    <n v="0"/>
    <x v="0"/>
    <n v="55"/>
    <n v="0"/>
  </r>
  <r>
    <x v="133"/>
    <x v="6"/>
    <n v="5236005038"/>
    <s v="4153 Whittier Boulevard, Los Angeles CA 90023"/>
    <s v="5+"/>
    <x v="0"/>
    <n v="5"/>
    <n v="0"/>
    <n v="5"/>
    <n v="0"/>
    <n v="7"/>
    <n v="0"/>
    <x v="0"/>
    <n v="0"/>
    <n v="0"/>
    <n v="0"/>
    <n v="0"/>
    <n v="0"/>
    <n v="0"/>
    <n v="0"/>
    <n v="0"/>
    <n v="0"/>
    <n v="0"/>
    <n v="0"/>
    <x v="0"/>
    <n v="55"/>
    <s v="1.8300000000000001"/>
  </r>
  <r>
    <x v="133"/>
    <x v="6"/>
    <n v="6056007024"/>
    <s v="1351 W 95th Street, Los Angeles CA 90044"/>
    <s v="5+"/>
    <x v="0"/>
    <n v="0"/>
    <n v="0"/>
    <n v="56"/>
    <n v="0"/>
    <n v="0"/>
    <n v="0"/>
    <x v="0"/>
    <n v="0"/>
    <n v="56"/>
    <n v="0"/>
    <n v="0"/>
    <n v="0"/>
    <n v="0"/>
    <n v="0"/>
    <n v="0"/>
    <n v="0"/>
    <n v="0"/>
    <n v="0"/>
    <x v="0"/>
    <n v="55"/>
    <n v="1.28"/>
  </r>
  <r>
    <x v="133"/>
    <x v="6"/>
    <n v="6028008021"/>
    <s v="8122 Compton Avenue, Los Angeles CA 90001"/>
    <s v="5+"/>
    <x v="0"/>
    <n v="2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26"/>
    <x v="6"/>
    <s v="4088-002-021"/>
    <s v="Prairie Ave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.5"/>
  </r>
  <r>
    <x v="124"/>
    <x v="6"/>
    <s v="037-212-035"/>
    <s v="27 E GUTIERREZ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8"/>
    <n v="0"/>
    <x v="1"/>
    <n v="90"/>
    <n v="0"/>
  </r>
  <r>
    <x v="239"/>
    <x v="6"/>
    <s v="064-470-103"/>
    <s v="1625 N. Waterman Ave # 2"/>
    <s v="5+"/>
    <x v="0"/>
    <n v="0"/>
    <n v="12"/>
    <n v="0"/>
    <n v="0"/>
    <n v="0"/>
    <n v="0"/>
    <x v="0"/>
    <n v="12"/>
    <n v="0"/>
    <n v="0"/>
    <n v="0"/>
    <n v="0"/>
    <n v="0"/>
    <n v="12"/>
    <n v="0"/>
    <n v="0"/>
    <n v="0"/>
    <n v="0"/>
    <x v="0"/>
    <n v="55"/>
    <n v="0"/>
  </r>
  <r>
    <x v="34"/>
    <x v="6"/>
    <s v="034-172-01"/>
    <s v="1098 38th Avenue"/>
    <s v="5+"/>
    <x v="0"/>
    <n v="35"/>
    <n v="0"/>
    <n v="16"/>
    <n v="0"/>
    <n v="1"/>
    <n v="0"/>
    <x v="0"/>
    <n v="0"/>
    <n v="0"/>
    <n v="0"/>
    <n v="0"/>
    <n v="0"/>
    <n v="0"/>
    <n v="0"/>
    <n v="0"/>
    <n v="0"/>
    <n v="0"/>
    <n v="0"/>
    <x v="0"/>
    <n v="55"/>
    <n v="1.8"/>
  </r>
  <r>
    <x v="104"/>
    <x v="6"/>
    <s v="810 66 012"/>
    <s v="1520 HECKER PASS HWY"/>
    <s v="5+"/>
    <x v="0"/>
    <n v="0"/>
    <n v="0"/>
    <n v="0"/>
    <n v="0"/>
    <n v="0"/>
    <n v="0"/>
    <x v="0"/>
    <n v="0"/>
    <n v="0"/>
    <n v="0"/>
    <n v="0"/>
    <n v="0"/>
    <n v="4"/>
    <n v="0"/>
    <n v="15"/>
    <n v="0"/>
    <n v="0"/>
    <n v="0"/>
    <x v="0"/>
    <n v="55"/>
    <n v="1"/>
  </r>
  <r>
    <x v="46"/>
    <x v="1"/>
    <n v="17039043"/>
    <s v="140 LYELL ST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5"/>
    <n v="0"/>
  </r>
  <r>
    <x v="137"/>
    <x v="6"/>
    <s v="077660022"/>
    <s v="3705 W HOUSTON AVE"/>
    <s v="5+"/>
    <x v="0"/>
    <n v="0"/>
    <n v="0"/>
    <n v="0"/>
    <n v="0"/>
    <n v="0"/>
    <n v="0"/>
    <x v="0"/>
    <n v="0"/>
    <n v="30"/>
    <n v="0"/>
    <n v="0"/>
    <n v="0"/>
    <n v="0"/>
    <n v="0"/>
    <n v="0"/>
    <n v="0"/>
    <n v="0"/>
    <n v="0"/>
    <x v="0"/>
    <m/>
    <n v="0"/>
  </r>
  <r>
    <x v="225"/>
    <x v="6"/>
    <s v="022-961-04"/>
    <s v="4104 Scotts Valley Drive, Unit 304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0"/>
    <n v="45"/>
    <s v="0.23000000000000001"/>
  </r>
  <r>
    <x v="201"/>
    <x v="1"/>
    <s v="261-15-064-00"/>
    <s v="3459 Manchester Ave"/>
    <s v="5+"/>
    <x v="0"/>
    <n v="0"/>
    <n v="0"/>
    <n v="12"/>
    <n v="49"/>
    <n v="0"/>
    <n v="0"/>
    <x v="0"/>
    <n v="0"/>
    <n v="0"/>
    <n v="0"/>
    <n v="0"/>
    <n v="0"/>
    <n v="0"/>
    <n v="0"/>
    <n v="0"/>
    <n v="0"/>
    <n v="0"/>
    <n v="0"/>
    <x v="0"/>
    <n v="1000"/>
    <s v="0.34999999999999998"/>
  </r>
  <r>
    <x v="201"/>
    <x v="1"/>
    <n v="2546121400"/>
    <s v="1602 San Remo Pl 103, Encinitas, CA 92024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201"/>
    <x v="1"/>
    <n v="2546121400"/>
    <s v="1602 San Remo Pl 101, Encinitas, CA 92024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201"/>
    <x v="1"/>
    <n v="2546121400"/>
    <s v="1502 Livorno Pl 209, Encinitas, CA 92024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2"/>
    <x v="6"/>
    <n v="5637023806"/>
    <s v="515 PIONEER DR"/>
    <s v="5+"/>
    <x v="0"/>
    <n v="138"/>
    <n v="0"/>
    <n v="199"/>
    <n v="0"/>
    <n v="0"/>
    <n v="0"/>
    <x v="19"/>
    <n v="0"/>
    <n v="199"/>
    <n v="0"/>
    <n v="0"/>
    <n v="0"/>
    <n v="0"/>
    <n v="0"/>
    <n v="0"/>
    <n v="0"/>
    <n v="0"/>
    <n v="0"/>
    <x v="0"/>
    <n v="78"/>
    <n v="7.5"/>
  </r>
  <r>
    <x v="2"/>
    <x v="6"/>
    <s v="5640015044 5640015043"/>
    <s v="1242 &amp; 1246 S MARYLAND AVENUE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33000000000000002"/>
  </r>
  <r>
    <x v="58"/>
    <x v="6"/>
    <s v="070-222-23"/>
    <s v="3801 Franklin Ave"/>
    <s v="5+"/>
    <x v="0"/>
    <n v="1"/>
    <n v="0"/>
    <n v="0"/>
    <n v="0"/>
    <n v="0"/>
    <n v="0"/>
    <x v="3"/>
    <n v="0"/>
    <n v="0"/>
    <n v="0"/>
    <n v="0"/>
    <n v="0"/>
    <n v="1"/>
    <n v="0"/>
    <n v="0"/>
    <n v="0"/>
    <n v="0"/>
    <n v="0"/>
    <x v="0"/>
    <n v="55"/>
    <s v="0.10000000000000001"/>
  </r>
  <r>
    <x v="159"/>
    <x v="6"/>
    <s v="5723-005-029"/>
    <s v="270 N LOS ROBLES AVE  APARTMENT_x000a_PASADENA, CA 91101"/>
    <s v="5+"/>
    <x v="0"/>
    <n v="8"/>
    <n v="0"/>
    <n v="0"/>
    <n v="0"/>
    <n v="8"/>
    <n v="0"/>
    <x v="0"/>
    <n v="0"/>
    <n v="0"/>
    <n v="0"/>
    <n v="0"/>
    <n v="0"/>
    <n v="0"/>
    <n v="0"/>
    <n v="0"/>
    <n v="0"/>
    <n v="0"/>
    <n v="0"/>
    <x v="0"/>
    <n v="1000"/>
    <s v="0.33000000000000002"/>
  </r>
  <r>
    <x v="159"/>
    <x v="6"/>
    <s v="5725-002-913"/>
    <s v="710 N FAIR OAKS AVE MIXED USE - BLDG B_x000a_PASADENA, CA 91103"/>
    <s v="5+"/>
    <x v="0"/>
    <n v="0"/>
    <n v="0"/>
    <n v="0"/>
    <n v="0"/>
    <n v="0"/>
    <n v="0"/>
    <x v="0"/>
    <n v="0"/>
    <n v="0"/>
    <n v="0"/>
    <n v="0"/>
    <n v="0"/>
    <n v="38"/>
    <n v="0"/>
    <n v="0"/>
    <n v="0"/>
    <n v="0"/>
    <n v="0"/>
    <x v="0"/>
    <n v="1000"/>
    <s v="0.34999999999999998"/>
  </r>
  <r>
    <x v="15"/>
    <x v="6"/>
    <s v="015 136400100"/>
    <s v="6341 SHATTUCK AVE, Oakland, CA 946091238"/>
    <s v="5+"/>
    <x v="0"/>
    <n v="0"/>
    <n v="0"/>
    <n v="5"/>
    <n v="0"/>
    <n v="0"/>
    <n v="0"/>
    <x v="0"/>
    <n v="0"/>
    <n v="0"/>
    <n v="0"/>
    <n v="0"/>
    <n v="0"/>
    <n v="0"/>
    <n v="0"/>
    <n v="0"/>
    <n v="0"/>
    <n v="0"/>
    <n v="0"/>
    <x v="0"/>
    <n v="55"/>
    <s v="0.17000000000000001"/>
  </r>
  <r>
    <x v="92"/>
    <x v="3"/>
    <s v="015-0181-052-0000"/>
    <s v="3441 STOCKTON ,SACRAMENTO,CA"/>
    <s v="5+"/>
    <x v="0"/>
    <n v="0"/>
    <n v="0"/>
    <n v="1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92"/>
    <x v="3"/>
    <s v="002-0010-077-0000"/>
    <s v="530 7TH ,SACRAMENTO,CA"/>
    <s v="5+"/>
    <x v="0"/>
    <n v="0"/>
    <n v="0"/>
    <n v="0"/>
    <n v="0"/>
    <n v="0"/>
    <n v="0"/>
    <x v="108"/>
    <n v="0"/>
    <n v="30"/>
    <n v="0"/>
    <n v="0"/>
    <n v="1"/>
    <n v="0"/>
    <n v="0"/>
    <n v="0"/>
    <n v="0"/>
    <n v="0"/>
    <n v="0"/>
    <x v="1"/>
    <n v="55"/>
    <n v="0"/>
  </r>
  <r>
    <x v="110"/>
    <x v="6"/>
    <n v="694310006"/>
    <s v="36101 EXPLORER DR"/>
    <s v="5+"/>
    <x v="0"/>
    <n v="0"/>
    <n v="0"/>
    <n v="0"/>
    <n v="0"/>
    <n v="0"/>
    <n v="0"/>
    <x v="15"/>
    <n v="0"/>
    <n v="1"/>
    <n v="0"/>
    <n v="2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x v="50"/>
    <n v="0"/>
    <n v="1"/>
    <n v="0"/>
    <n v="2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x v="50"/>
    <n v="0"/>
    <n v="2"/>
    <n v="0"/>
    <n v="2"/>
    <n v="0"/>
    <n v="0"/>
    <n v="0"/>
    <n v="0"/>
    <n v="0"/>
    <n v="0"/>
    <n v="0"/>
    <x v="0"/>
    <n v="55"/>
    <n v="0.13"/>
  </r>
  <r>
    <x v="110"/>
    <x v="6"/>
    <n v="694520019"/>
    <s v="75700 GERALD FORD DR"/>
    <s v="5+"/>
    <x v="0"/>
    <n v="0"/>
    <n v="0"/>
    <n v="0"/>
    <n v="0"/>
    <n v="0"/>
    <n v="0"/>
    <x v="5"/>
    <n v="0"/>
    <n v="18"/>
    <n v="0"/>
    <n v="0"/>
    <n v="0"/>
    <n v="4"/>
    <n v="0"/>
    <n v="18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x v="89"/>
    <n v="0"/>
    <n v="1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x v="45"/>
    <n v="0"/>
    <n v="8"/>
    <n v="0"/>
    <n v="0"/>
    <n v="0"/>
    <n v="0"/>
    <n v="0"/>
    <n v="0"/>
    <n v="0"/>
    <n v="0"/>
    <n v="0"/>
    <x v="1"/>
    <n v="55"/>
    <n v="0"/>
  </r>
  <r>
    <x v="87"/>
    <x v="6"/>
    <s v="058-362-021"/>
    <s v="100 Roja"/>
    <s v="5+"/>
    <x v="0"/>
    <n v="26"/>
    <n v="0"/>
    <n v="39"/>
    <n v="0"/>
    <n v="0"/>
    <n v="1"/>
    <x v="4"/>
    <n v="0"/>
    <n v="39"/>
    <n v="0"/>
    <n v="0"/>
    <n v="1"/>
    <n v="26"/>
    <n v="0"/>
    <n v="39"/>
    <n v="0"/>
    <n v="0"/>
    <n v="1"/>
    <x v="1"/>
    <n v="55"/>
    <n v="0"/>
  </r>
  <r>
    <x v="189"/>
    <x v="6"/>
    <s v="159-281-02"/>
    <s v="19011 Main St"/>
    <s v="5+"/>
    <x v="1"/>
    <n v="0"/>
    <n v="0"/>
    <n v="0"/>
    <n v="0"/>
    <n v="0"/>
    <n v="0"/>
    <x v="0"/>
    <n v="0"/>
    <n v="0"/>
    <n v="0"/>
    <n v="2"/>
    <n v="0"/>
    <n v="0"/>
    <n v="0"/>
    <n v="0"/>
    <n v="0"/>
    <n v="0"/>
    <n v="0"/>
    <x v="0"/>
    <n v="45"/>
    <s v="0.10000000000000001"/>
  </r>
  <r>
    <x v="13"/>
    <x v="6"/>
    <n v="4906603100"/>
    <s v="5220 WILSON St, La Mesa, CA 91942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s v="0.34999999999999998"/>
  </r>
  <r>
    <x v="92"/>
    <x v="3"/>
    <s v="201-0300-180-0000"/>
    <s v="3554 HAMMOCK ,SACRAMENTO,CA"/>
    <s v="5+"/>
    <x v="0"/>
    <n v="0"/>
    <n v="0"/>
    <n v="0"/>
    <n v="0"/>
    <n v="0"/>
    <n v="0"/>
    <x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66 HAMMOCK ,SACRAMENTO,CA"/>
    <s v="5+"/>
    <x v="0"/>
    <n v="0"/>
    <n v="0"/>
    <n v="0"/>
    <n v="0"/>
    <n v="0"/>
    <n v="0"/>
    <x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72 HAMMOCK ,SACRAMENTO,CA"/>
    <s v="5+"/>
    <x v="0"/>
    <n v="0"/>
    <n v="0"/>
    <n v="0"/>
    <n v="0"/>
    <n v="0"/>
    <n v="0"/>
    <x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90 HAMMOCK ,SACRAMENTO,CA"/>
    <s v="5+"/>
    <x v="0"/>
    <n v="0"/>
    <n v="0"/>
    <n v="0"/>
    <n v="0"/>
    <n v="0"/>
    <n v="0"/>
    <x v="0"/>
    <n v="0"/>
    <n v="8"/>
    <n v="0"/>
    <n v="0"/>
    <n v="0"/>
    <n v="0"/>
    <n v="0"/>
    <n v="8"/>
    <n v="0"/>
    <n v="0"/>
    <n v="0"/>
    <x v="1"/>
    <n v="55"/>
    <n v="0"/>
  </r>
  <r>
    <x v="9"/>
    <x v="6"/>
    <s v="6349-005-042"/>
    <s v="112-132 S. 6th Street"/>
    <s v="5+"/>
    <x v="0"/>
    <n v="0"/>
    <n v="0"/>
    <n v="0"/>
    <n v="0"/>
    <n v="0"/>
    <n v="0"/>
    <x v="0"/>
    <n v="0"/>
    <n v="0"/>
    <n v="0"/>
    <n v="0"/>
    <n v="0"/>
    <n v="19"/>
    <n v="0"/>
    <n v="43"/>
    <n v="0"/>
    <n v="0"/>
    <n v="0"/>
    <x v="0"/>
    <n v="55"/>
    <s v="1.9299999999999999"/>
  </r>
  <r>
    <x v="160"/>
    <x v="6"/>
    <n v="8311001016"/>
    <s v="193 Evergreen Ln.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m/>
    <s v="0.20000000000000001"/>
  </r>
  <r>
    <x v="74"/>
    <x v="6"/>
    <n v="39032215"/>
    <s v="1800 E LA VETA AVE BLDG. B"/>
    <s v="5+"/>
    <x v="0"/>
    <n v="0"/>
    <n v="0"/>
    <n v="0"/>
    <n v="0"/>
    <n v="0"/>
    <n v="0"/>
    <x v="0"/>
    <n v="0"/>
    <n v="56"/>
    <n v="0"/>
    <n v="0"/>
    <n v="0"/>
    <n v="0"/>
    <n v="0"/>
    <n v="0"/>
    <n v="0"/>
    <n v="0"/>
    <n v="0"/>
    <x v="0"/>
    <n v="55"/>
    <s v="0.80000000000000004"/>
  </r>
  <r>
    <x v="199"/>
    <x v="6"/>
    <s v="091-060-019"/>
    <s v="1840 Boxheart Drive"/>
    <s v="5+"/>
    <x v="0"/>
    <n v="0"/>
    <n v="0"/>
    <n v="0"/>
    <n v="0"/>
    <n v="0"/>
    <n v="0"/>
    <x v="0"/>
    <n v="0"/>
    <n v="10"/>
    <n v="0"/>
    <n v="0"/>
    <n v="0"/>
    <n v="0"/>
    <n v="0"/>
    <n v="0"/>
    <n v="0"/>
    <n v="0"/>
    <n v="0"/>
    <x v="1"/>
    <n v="55"/>
    <n v="0"/>
  </r>
  <r>
    <x v="201"/>
    <x v="6"/>
    <n v="2546121400"/>
    <s v="1603 San Remo Pl 202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500 Livorno Pl 206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"/>
  </r>
  <r>
    <x v="141"/>
    <x v="6"/>
    <s v="839-161-17"/>
    <s v="28813 Los Alisos, Unit 6"/>
    <s v="5+"/>
    <x v="1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27"/>
    <x v="6"/>
    <s v="2250014265, 2250014275"/>
    <s v="2300 Pleasant Valley"/>
    <s v="5+"/>
    <x v="0"/>
    <n v="2"/>
    <n v="0"/>
    <n v="6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150"/>
    <x v="6"/>
    <s v="030-250-01"/>
    <s v="1 Hamilton"/>
    <s v="5+"/>
    <x v="0"/>
    <n v="22"/>
    <n v="0"/>
    <n v="22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12"/>
    <x v="6"/>
    <s v="044041107"/>
    <s v="500 KAWANA SPRINGS RD"/>
    <s v="5+"/>
    <x v="0"/>
    <n v="0"/>
    <n v="0"/>
    <n v="0"/>
    <n v="0"/>
    <n v="0"/>
    <n v="0"/>
    <x v="0"/>
    <n v="0"/>
    <n v="0"/>
    <n v="0"/>
    <n v="0"/>
    <n v="0"/>
    <n v="67"/>
    <n v="0"/>
    <n v="67"/>
    <n v="0"/>
    <n v="15"/>
    <n v="0"/>
    <x v="0"/>
    <n v="55"/>
    <n v="1"/>
  </r>
  <r>
    <x v="234"/>
    <x v="6"/>
    <s v="329-010-080-000"/>
    <s v="1400 DRESDEN DRIVE, LINCOLN, CA 95648"/>
    <s v="5+"/>
    <x v="0"/>
    <n v="0"/>
    <n v="0"/>
    <n v="0"/>
    <n v="0"/>
    <n v="0"/>
    <n v="0"/>
    <x v="2"/>
    <n v="3"/>
    <n v="0"/>
    <n v="24"/>
    <n v="0"/>
    <n v="0"/>
    <n v="0"/>
    <n v="0"/>
    <n v="0"/>
    <n v="0"/>
    <n v="0"/>
    <n v="0"/>
    <x v="0"/>
    <n v="55"/>
    <n v="0"/>
  </r>
  <r>
    <x v="10"/>
    <x v="6"/>
    <s v="216-33-035"/>
    <s v="3333 KIFER RD, SANTA CLARA, CA 95051"/>
    <s v="5+"/>
    <x v="0"/>
    <n v="0"/>
    <n v="0"/>
    <n v="0"/>
    <n v="0"/>
    <n v="0"/>
    <n v="0"/>
    <x v="0"/>
    <n v="0"/>
    <n v="0"/>
    <n v="0"/>
    <n v="0"/>
    <n v="0"/>
    <n v="39"/>
    <n v="0"/>
    <n v="40"/>
    <n v="0"/>
    <n v="0"/>
    <n v="0"/>
    <x v="0"/>
    <n v="55"/>
    <s v="0.54000000000000004"/>
  </r>
  <r>
    <x v="154"/>
    <x v="6"/>
    <n v="54012120"/>
    <s v="1401 Broadway"/>
    <s v="5+"/>
    <x v="0"/>
    <n v="0"/>
    <n v="0"/>
    <n v="0"/>
    <n v="0"/>
    <n v="0"/>
    <n v="0"/>
    <x v="35"/>
    <n v="0"/>
    <n v="95"/>
    <n v="0"/>
    <n v="0"/>
    <n v="0"/>
    <n v="0"/>
    <n v="0"/>
    <n v="0"/>
    <n v="0"/>
    <n v="0"/>
    <n v="0"/>
    <x v="0"/>
    <n v="55"/>
    <n v="0"/>
  </r>
  <r>
    <x v="35"/>
    <x v="6"/>
    <n v="2042920100"/>
    <s v="3855 SYDNEY WAY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55"/>
    <n v="0"/>
  </r>
  <r>
    <x v="134"/>
    <x v="6"/>
    <n v="1560180485"/>
    <s v="2743 SOMIS RD, SOMIS, CA  93066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200025"/>
    <s v="2753 Somis Rd, Somis, CA 93066"/>
    <s v="5+"/>
    <x v="0"/>
    <n v="0"/>
    <n v="0"/>
    <n v="0"/>
    <n v="0"/>
    <n v="0"/>
    <n v="0"/>
    <x v="0"/>
    <n v="0"/>
    <n v="0"/>
    <n v="0"/>
    <n v="0"/>
    <n v="0"/>
    <n v="12"/>
    <n v="0"/>
    <n v="0"/>
    <n v="0"/>
    <n v="0"/>
    <n v="0"/>
    <x v="1"/>
    <n v="1000"/>
    <n v="0"/>
  </r>
  <r>
    <x v="134"/>
    <x v="6"/>
    <n v="1560180485"/>
    <s v="2749 Somis Rd, Somis, CA 93066"/>
    <s v="5+"/>
    <x v="0"/>
    <n v="0"/>
    <n v="0"/>
    <n v="0"/>
    <n v="0"/>
    <n v="0"/>
    <n v="0"/>
    <x v="0"/>
    <n v="0"/>
    <n v="0"/>
    <n v="0"/>
    <n v="0"/>
    <n v="0"/>
    <n v="12"/>
    <n v="0"/>
    <n v="0"/>
    <n v="0"/>
    <n v="0"/>
    <n v="0"/>
    <x v="1"/>
    <n v="1000"/>
    <n v="0"/>
  </r>
  <r>
    <x v="159"/>
    <x v="6"/>
    <s v="5722-024-117"/>
    <s v="350 CORDOVA ST OFFICE BUILDING_x000a_PASADENA, CA 91101"/>
    <s v="5+"/>
    <x v="0"/>
    <n v="10"/>
    <n v="0"/>
    <n v="3"/>
    <n v="0"/>
    <n v="0"/>
    <n v="0"/>
    <x v="0"/>
    <n v="0"/>
    <n v="0"/>
    <n v="0"/>
    <n v="0"/>
    <n v="0"/>
    <n v="0"/>
    <n v="0"/>
    <n v="0"/>
    <n v="0"/>
    <n v="0"/>
    <n v="0"/>
    <x v="0"/>
    <n v="1000"/>
    <s v="0.34999999999999998"/>
  </r>
  <r>
    <x v="159"/>
    <x v="6"/>
    <s v="5737-007-065"/>
    <s v="1501 E WALNUT ST VACANT LOT_x000a_PASADENA, CA 91106"/>
    <s v="5+"/>
    <x v="0"/>
    <n v="4"/>
    <n v="0"/>
    <n v="4"/>
    <n v="0"/>
    <n v="7"/>
    <n v="0"/>
    <x v="0"/>
    <n v="0"/>
    <n v="0"/>
    <n v="0"/>
    <n v="0"/>
    <n v="0"/>
    <n v="0"/>
    <n v="0"/>
    <n v="0"/>
    <n v="0"/>
    <n v="0"/>
    <n v="0"/>
    <x v="0"/>
    <n v="1000"/>
    <s v="0.20000000000000001"/>
  </r>
  <r>
    <x v="159"/>
    <x v="6"/>
    <s v="5723-015-028"/>
    <s v="127 N MADISON AVE MIXED USE_x000a_PASADENA, CA 91101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1000"/>
    <s v="0.39000000000000001"/>
  </r>
  <r>
    <x v="15"/>
    <x v="6"/>
    <s v="008 066700500"/>
    <s v="2305 WEBSTER ST, Oakland, CA"/>
    <s v="5+"/>
    <x v="0"/>
    <n v="2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60"/>
    <x v="6"/>
    <s v="175-060-12, 175-060-40, 175-060-59, 175-060-61, 175-060-66 &amp; 175-060-6"/>
    <s v="5800 Northgate Dr"/>
    <s v="5+"/>
    <x v="0"/>
    <n v="0"/>
    <n v="0"/>
    <n v="143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5"/>
    <x v="6"/>
    <s v="043 462100100"/>
    <s v="8301 MACARTHUR BLVD, Oakland, CA 94605"/>
    <s v="5+"/>
    <x v="0"/>
    <n v="79"/>
    <n v="0"/>
    <n v="8"/>
    <n v="0"/>
    <n v="0"/>
    <n v="0"/>
    <x v="0"/>
    <n v="0"/>
    <n v="0"/>
    <n v="0"/>
    <n v="0"/>
    <n v="0"/>
    <n v="0"/>
    <n v="0"/>
    <n v="0"/>
    <n v="0"/>
    <n v="0"/>
    <n v="0"/>
    <x v="0"/>
    <n v="55"/>
    <s v="0.93000000000000005"/>
  </r>
  <r>
    <x v="15"/>
    <x v="6"/>
    <s v="008 062100807"/>
    <s v="1431 FRANKLIN ST, Oakland, CA 94612"/>
    <s v="5+"/>
    <x v="0"/>
    <n v="3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15"/>
    <x v="6"/>
    <s v="001 015700500"/>
    <s v="220 ALICE ST, Oakland, CA 94607"/>
    <s v="5+"/>
    <x v="0"/>
    <n v="0"/>
    <n v="0"/>
    <n v="0"/>
    <n v="0"/>
    <n v="30"/>
    <n v="0"/>
    <x v="0"/>
    <n v="0"/>
    <n v="0"/>
    <n v="0"/>
    <n v="0"/>
    <n v="0"/>
    <n v="0"/>
    <n v="0"/>
    <n v="0"/>
    <n v="0"/>
    <n v="0"/>
    <n v="0"/>
    <x v="0"/>
    <n v="55"/>
    <s v="0.14999999999999999"/>
  </r>
  <r>
    <x v="32"/>
    <x v="6"/>
    <s v="4266-001-045"/>
    <s v="3223  WILSHIRE BLVD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1"/>
    <n v="55"/>
    <n v="0"/>
  </r>
  <r>
    <x v="32"/>
    <x v="6"/>
    <d v="1982-10-11T00:00:00"/>
    <s v="825 Santa Monica Blvd"/>
    <s v="5+"/>
    <x v="0"/>
    <n v="5"/>
    <n v="0"/>
    <n v="5"/>
    <n v="0"/>
    <n v="4"/>
    <n v="0"/>
    <x v="0"/>
    <n v="0"/>
    <n v="0"/>
    <n v="0"/>
    <n v="0"/>
    <n v="0"/>
    <n v="0"/>
    <n v="0"/>
    <n v="0"/>
    <n v="0"/>
    <n v="0"/>
    <n v="0"/>
    <x v="0"/>
    <n v="55"/>
    <s v="0.28000000000000003"/>
  </r>
  <r>
    <x v="96"/>
    <x v="6"/>
    <s v="40407150T"/>
    <s v="7521 N CHESTNUT AVE BLDG 101+"/>
    <s v="5+"/>
    <x v="0"/>
    <n v="0"/>
    <n v="0"/>
    <n v="0"/>
    <n v="0"/>
    <n v="0"/>
    <n v="0"/>
    <x v="0"/>
    <n v="0"/>
    <n v="0"/>
    <n v="0"/>
    <n v="0"/>
    <n v="0"/>
    <n v="6"/>
    <n v="0"/>
    <n v="5"/>
    <n v="0"/>
    <n v="0"/>
    <n v="0"/>
    <x v="0"/>
    <n v="55"/>
    <s v="0.52000000000000002"/>
  </r>
  <r>
    <x v="15"/>
    <x v="6"/>
    <s v="019 002701400"/>
    <s v="125 E 12th ST, Oakland, CA 94606"/>
    <s v="5+"/>
    <x v="0"/>
    <n v="65"/>
    <n v="0"/>
    <n v="29"/>
    <n v="0"/>
    <n v="0"/>
    <n v="0"/>
    <x v="106"/>
    <n v="0"/>
    <n v="29"/>
    <n v="0"/>
    <n v="0"/>
    <n v="0"/>
    <n v="0"/>
    <n v="0"/>
    <n v="0"/>
    <n v="0"/>
    <n v="0"/>
    <n v="0"/>
    <x v="0"/>
    <n v="55"/>
    <s v="0.029999999999999999"/>
  </r>
  <r>
    <x v="15"/>
    <x v="6"/>
    <s v="012 095900903"/>
    <s v="820 W MACARTHUR BLVD, Oakland, CA 94608"/>
    <s v="5+"/>
    <x v="0"/>
    <n v="0"/>
    <n v="0"/>
    <n v="0"/>
    <n v="0"/>
    <n v="0"/>
    <n v="0"/>
    <x v="0"/>
    <n v="0"/>
    <n v="0"/>
    <n v="0"/>
    <n v="51"/>
    <n v="0"/>
    <n v="0"/>
    <n v="0"/>
    <n v="0"/>
    <n v="0"/>
    <n v="0"/>
    <n v="0"/>
    <x v="0"/>
    <n v="55"/>
    <s v="0.42999999999999999"/>
  </r>
  <r>
    <x v="49"/>
    <x v="6"/>
    <s v="118-010-058"/>
    <s v="860 W BATTLES RD"/>
    <s v="5+"/>
    <x v="0"/>
    <n v="0"/>
    <n v="0"/>
    <n v="0"/>
    <n v="0"/>
    <n v="0"/>
    <n v="0"/>
    <x v="0"/>
    <n v="0"/>
    <n v="0"/>
    <n v="0"/>
    <n v="0"/>
    <n v="0"/>
    <n v="2"/>
    <n v="0"/>
    <n v="10"/>
    <n v="0"/>
    <n v="0"/>
    <n v="0"/>
    <x v="0"/>
    <n v="55"/>
    <s v="0.20999999999999999"/>
  </r>
  <r>
    <x v="15"/>
    <x v="6"/>
    <s v="033 219701901"/>
    <s v="3511 E 12 TH, OAKLAND, CA 94601"/>
    <s v="5+"/>
    <x v="0"/>
    <n v="0"/>
    <n v="0"/>
    <n v="0"/>
    <n v="0"/>
    <n v="0"/>
    <n v="0"/>
    <x v="0"/>
    <n v="0"/>
    <n v="0"/>
    <n v="0"/>
    <n v="0"/>
    <n v="0"/>
    <n v="75"/>
    <n v="0"/>
    <n v="94"/>
    <n v="0"/>
    <n v="10"/>
    <n v="0"/>
    <x v="1"/>
    <m/>
    <n v="0"/>
  </r>
  <r>
    <x v="65"/>
    <x v="6"/>
    <n v="3112003013"/>
    <s v="2720 W Avenue K-12, Bldg 3 93536"/>
    <s v="5+"/>
    <x v="0"/>
    <n v="0"/>
    <n v="0"/>
    <n v="0"/>
    <n v="0"/>
    <n v="0"/>
    <n v="0"/>
    <x v="0"/>
    <n v="0"/>
    <n v="0"/>
    <n v="0"/>
    <n v="0"/>
    <n v="0"/>
    <n v="0"/>
    <n v="0"/>
    <n v="8"/>
    <n v="0"/>
    <n v="0"/>
    <n v="0"/>
    <x v="0"/>
    <n v="55"/>
    <n v="0"/>
  </r>
  <r>
    <x v="65"/>
    <x v="6"/>
    <n v="3148041001"/>
    <s v="1725 E Avenue J-4, Lancaster, CA 93535"/>
    <s v="5+"/>
    <x v="0"/>
    <n v="0"/>
    <n v="0"/>
    <n v="0"/>
    <n v="0"/>
    <n v="0"/>
    <n v="0"/>
    <x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35 E Avenue J-4, Lancaster, CA 93535"/>
    <s v="5+"/>
    <x v="0"/>
    <n v="0"/>
    <n v="0"/>
    <n v="0"/>
    <n v="0"/>
    <n v="0"/>
    <n v="0"/>
    <x v="0"/>
    <n v="0"/>
    <n v="0"/>
    <n v="0"/>
    <n v="0"/>
    <n v="0"/>
    <n v="0"/>
    <n v="0"/>
    <n v="24"/>
    <n v="0"/>
    <n v="0"/>
    <n v="0"/>
    <x v="0"/>
    <n v="55"/>
    <n v="0"/>
  </r>
  <r>
    <x v="78"/>
    <x v="6"/>
    <n v="30534061"/>
    <s v="2305 S WINCHESTER BL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0"/>
  </r>
  <r>
    <x v="181"/>
    <x v="3"/>
    <s v="094-010-520"/>
    <s v="501 Pilgrim Drive"/>
    <s v="5+"/>
    <x v="0"/>
    <n v="0"/>
    <n v="0"/>
    <n v="0"/>
    <n v="0"/>
    <n v="0"/>
    <n v="0"/>
    <x v="0"/>
    <n v="0"/>
    <n v="0"/>
    <n v="0"/>
    <n v="0"/>
    <n v="0"/>
    <n v="3"/>
    <n v="2"/>
    <n v="10"/>
    <n v="2"/>
    <n v="5"/>
    <n v="0"/>
    <x v="0"/>
    <n v="99"/>
    <n v="0"/>
  </r>
  <r>
    <x v="56"/>
    <x v="6"/>
    <s v="74-1373-13-29"/>
    <s v="401 MARTIN MARINER AVE"/>
    <s v="5+"/>
    <x v="1"/>
    <n v="0"/>
    <n v="0"/>
    <n v="0"/>
    <n v="0"/>
    <n v="1"/>
    <n v="0"/>
    <x v="0"/>
    <n v="0"/>
    <n v="0"/>
    <n v="0"/>
    <n v="1"/>
    <n v="0"/>
    <n v="0"/>
    <n v="0"/>
    <n v="0"/>
    <n v="0"/>
    <n v="1"/>
    <n v="0"/>
    <x v="0"/>
    <n v="1000"/>
    <s v="0.20000000000000001"/>
  </r>
  <r>
    <x v="65"/>
    <x v="6"/>
    <s v="3133-023-007"/>
    <s v="44702 Fig Ave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0.25"/>
  </r>
  <r>
    <x v="93"/>
    <x v="6"/>
    <s v="233-0430-0002-0000"/>
    <s v="12057 Fair Oaks Blvd"/>
    <s v="5+"/>
    <x v="0"/>
    <n v="0"/>
    <n v="0"/>
    <n v="0"/>
    <n v="0"/>
    <n v="0"/>
    <n v="0"/>
    <x v="0"/>
    <n v="0"/>
    <n v="0"/>
    <n v="0"/>
    <n v="0"/>
    <n v="0"/>
    <n v="11"/>
    <n v="0"/>
    <n v="98"/>
    <n v="0"/>
    <n v="0"/>
    <n v="0"/>
    <x v="0"/>
    <n v="55"/>
    <s v="0.10000000000000001"/>
  </r>
  <r>
    <x v="31"/>
    <x v="6"/>
    <n v="16141009"/>
    <s v="1035 W EL CAMINO REAL"/>
    <s v="5+"/>
    <x v="0"/>
    <n v="6"/>
    <n v="0"/>
    <n v="11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85"/>
    <x v="6"/>
    <s v="214-010-181"/>
    <s v="3009 Ivory Terrace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n v="55"/>
    <n v="0"/>
  </r>
  <r>
    <x v="110"/>
    <x v="6"/>
    <n v="694310006"/>
    <s v="36101 EXPLORER DR"/>
    <s v="5+"/>
    <x v="0"/>
    <n v="0"/>
    <n v="0"/>
    <n v="0"/>
    <n v="0"/>
    <n v="0"/>
    <n v="0"/>
    <x v="21"/>
    <n v="0"/>
    <n v="1"/>
    <n v="0"/>
    <n v="1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x v="15"/>
    <n v="0"/>
    <n v="2"/>
    <n v="0"/>
    <n v="2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x v="50"/>
    <n v="0"/>
    <n v="2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x v="17"/>
    <n v="0"/>
    <n v="2"/>
    <n v="0"/>
    <n v="2"/>
    <n v="0"/>
    <n v="0"/>
    <n v="0"/>
    <n v="0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x v="5"/>
    <n v="0"/>
    <n v="8"/>
    <n v="0"/>
    <n v="0"/>
    <n v="0"/>
    <n v="4"/>
    <n v="0"/>
    <n v="8"/>
    <n v="0"/>
    <n v="0"/>
    <n v="0"/>
    <x v="1"/>
    <n v="55"/>
    <n v="0"/>
  </r>
  <r>
    <x v="110"/>
    <x v="6"/>
    <n v="694310009"/>
    <s v="36101 Explorer Dr"/>
    <s v="5+"/>
    <x v="0"/>
    <n v="0"/>
    <n v="0"/>
    <n v="0"/>
    <n v="0"/>
    <n v="0"/>
    <n v="0"/>
    <x v="50"/>
    <n v="0"/>
    <n v="1"/>
    <n v="0"/>
    <n v="2"/>
    <n v="0"/>
    <n v="0"/>
    <n v="0"/>
    <n v="0"/>
    <n v="0"/>
    <n v="0"/>
    <n v="0"/>
    <x v="0"/>
    <n v="55"/>
    <n v="0.13"/>
  </r>
  <r>
    <x v="13"/>
    <x v="6"/>
    <n v="4941503900"/>
    <s v="8234 UNIVERSITY AV, La Mesa, CA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55"/>
    <n v="0"/>
  </r>
  <r>
    <x v="192"/>
    <x v="6"/>
    <s v="5281-002-022"/>
    <s v="2727 ROSEMEAD"/>
    <s v="5+"/>
    <x v="0"/>
    <n v="3"/>
    <n v="0"/>
    <n v="5"/>
    <n v="0"/>
    <n v="0"/>
    <n v="59"/>
    <x v="2"/>
    <n v="0"/>
    <n v="5"/>
    <n v="0"/>
    <n v="0"/>
    <n v="59"/>
    <n v="0"/>
    <n v="0"/>
    <n v="0"/>
    <n v="0"/>
    <n v="0"/>
    <n v="0"/>
    <x v="0"/>
    <m/>
    <s v="0.10000000000000001"/>
  </r>
  <r>
    <x v="73"/>
    <x v="1"/>
    <s v="692-171-18"/>
    <s v="1430 S EL CAMINO REAL"/>
    <s v="5+"/>
    <x v="0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6"/>
    <s v="001 013500100"/>
    <s v="233 BROADWAY, Oakland, CA 94607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13"/>
    <n v="0"/>
    <x v="0"/>
    <m/>
    <n v="0"/>
  </r>
  <r>
    <x v="0"/>
    <x v="6"/>
    <n v="7281007065"/>
    <s v="421 E 4th St"/>
    <s v="5+"/>
    <x v="0"/>
    <n v="12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43"/>
    <x v="6"/>
    <n v="1432010500"/>
    <s v="815 N Coast Hwy"/>
    <s v="5+"/>
    <x v="1"/>
    <n v="0"/>
    <n v="0"/>
    <n v="36"/>
    <n v="0"/>
    <n v="0"/>
    <n v="0"/>
    <x v="0"/>
    <n v="0"/>
    <n v="0"/>
    <n v="0"/>
    <n v="0"/>
    <n v="0"/>
    <n v="0"/>
    <n v="0"/>
    <n v="0"/>
    <n v="0"/>
    <n v="0"/>
    <n v="0"/>
    <x v="0"/>
    <n v="55"/>
    <s v="0.20000000000000001"/>
  </r>
  <r>
    <x v="143"/>
    <x v="6"/>
    <n v="1510104400"/>
    <s v="563 GREENBRIER DR"/>
    <s v="5+"/>
    <x v="0"/>
    <n v="0"/>
    <n v="0"/>
    <n v="0"/>
    <n v="0"/>
    <n v="0"/>
    <n v="0"/>
    <x v="0"/>
    <n v="0"/>
    <n v="0"/>
    <n v="0"/>
    <n v="0"/>
    <n v="0"/>
    <n v="59"/>
    <n v="0"/>
    <n v="0"/>
    <n v="0"/>
    <n v="0"/>
    <n v="0"/>
    <x v="0"/>
    <m/>
    <n v="1"/>
  </r>
  <r>
    <x v="1"/>
    <x v="6"/>
    <s v="026-0073-014-0000"/>
    <s v="5700 STOCKTON BLVD, BLDG# E1_x000a_SACRAMENTO, CA 95824-1614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0"/>
    <m/>
    <n v="1"/>
  </r>
  <r>
    <x v="1"/>
    <x v="6"/>
    <s v="026-0073-014-0000"/>
    <s v="5700 STOCKTON BLVD, BLDG# E2_x000a_SACRAMENTO, CA 95824-1614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0"/>
    <m/>
    <n v="1"/>
  </r>
  <r>
    <x v="33"/>
    <x v="6"/>
    <s v="025280510"/>
    <s v="30 INGOLD RD"/>
    <s v="5+"/>
    <x v="0"/>
    <n v="0"/>
    <n v="0"/>
    <n v="5"/>
    <n v="0"/>
    <n v="0"/>
    <n v="0"/>
    <x v="0"/>
    <n v="0"/>
    <n v="0"/>
    <n v="0"/>
    <n v="0"/>
    <n v="0"/>
    <n v="0"/>
    <n v="0"/>
    <n v="0"/>
    <n v="0"/>
    <n v="0"/>
    <n v="0"/>
    <x v="0"/>
    <n v="55"/>
    <s v="0.42999999999999999"/>
  </r>
  <r>
    <x v="124"/>
    <x v="6"/>
    <s v="039-322-045"/>
    <s v="12 E CARRILLO ST"/>
    <s v="5+"/>
    <x v="0"/>
    <n v="0"/>
    <n v="0"/>
    <n v="1"/>
    <n v="0"/>
    <n v="1"/>
    <n v="0"/>
    <x v="0"/>
    <n v="0"/>
    <n v="0"/>
    <n v="0"/>
    <n v="0"/>
    <n v="0"/>
    <n v="0"/>
    <n v="0"/>
    <n v="0"/>
    <n v="0"/>
    <n v="0"/>
    <n v="0"/>
    <x v="0"/>
    <n v="90"/>
    <s v="0.20000000000000001"/>
  </r>
  <r>
    <x v="47"/>
    <x v="6"/>
    <s v="017-172-014-000"/>
    <s v="814 UNIVERSITY AVE"/>
    <s v="5+"/>
    <x v="0"/>
    <n v="0"/>
    <n v="0"/>
    <n v="0"/>
    <n v="0"/>
    <n v="0"/>
    <n v="0"/>
    <x v="0"/>
    <n v="0"/>
    <n v="0"/>
    <n v="0"/>
    <n v="0"/>
    <n v="0"/>
    <n v="6"/>
    <n v="0"/>
    <n v="18"/>
    <n v="0"/>
    <n v="0"/>
    <n v="0"/>
    <x v="0"/>
    <m/>
    <s v="0.23000000000000001"/>
  </r>
  <r>
    <x v="7"/>
    <x v="6"/>
    <s v="370-122-03T"/>
    <s v="601 E 11th St"/>
    <s v="5+"/>
    <x v="0"/>
    <n v="0"/>
    <n v="0"/>
    <n v="0"/>
    <n v="0"/>
    <n v="0"/>
    <n v="0"/>
    <x v="0"/>
    <n v="0"/>
    <n v="0"/>
    <n v="0"/>
    <n v="0"/>
    <n v="0"/>
    <n v="47"/>
    <n v="0"/>
    <n v="0"/>
    <n v="0"/>
    <n v="0"/>
    <n v="0"/>
    <x v="0"/>
    <n v="55"/>
    <n v="0"/>
  </r>
  <r>
    <x v="10"/>
    <x v="6"/>
    <s v="230-12-012"/>
    <s v="2685 The Alameda, SANTA CLARA, CA"/>
    <s v="5+"/>
    <x v="0"/>
    <n v="0"/>
    <n v="0"/>
    <n v="0"/>
    <n v="0"/>
    <n v="5"/>
    <n v="0"/>
    <x v="0"/>
    <n v="0"/>
    <n v="2"/>
    <n v="0"/>
    <n v="3"/>
    <n v="0"/>
    <n v="0"/>
    <n v="0"/>
    <n v="0"/>
    <n v="0"/>
    <n v="0"/>
    <n v="0"/>
    <x v="1"/>
    <m/>
    <n v="0"/>
  </r>
  <r>
    <x v="15"/>
    <x v="6"/>
    <s v="014 124300101"/>
    <s v="5200 BROADWAY, Oakland, CA 94618"/>
    <s v="5+"/>
    <x v="0"/>
    <n v="0"/>
    <n v="0"/>
    <n v="0"/>
    <n v="0"/>
    <n v="45"/>
    <n v="0"/>
    <x v="0"/>
    <n v="0"/>
    <n v="0"/>
    <n v="0"/>
    <n v="0"/>
    <n v="0"/>
    <n v="0"/>
    <n v="0"/>
    <n v="0"/>
    <n v="0"/>
    <n v="0"/>
    <n v="0"/>
    <x v="1"/>
    <n v="55"/>
    <n v="0"/>
  </r>
  <r>
    <x v="15"/>
    <x v="6"/>
    <s v="025 071900701"/>
    <s v="3050 INTERNATIONAL BLVD, Oakland, CA 94601"/>
    <s v="5+"/>
    <x v="0"/>
    <n v="0"/>
    <n v="0"/>
    <n v="0"/>
    <n v="0"/>
    <n v="0"/>
    <n v="0"/>
    <x v="30"/>
    <n v="0"/>
    <n v="44"/>
    <n v="0"/>
    <n v="0"/>
    <n v="0"/>
    <n v="0"/>
    <n v="0"/>
    <n v="0"/>
    <n v="0"/>
    <n v="0"/>
    <n v="0"/>
    <x v="0"/>
    <n v="55"/>
    <s v="0.34999999999999998"/>
  </r>
  <r>
    <x v="46"/>
    <x v="6"/>
    <n v="16741078"/>
    <s v="450 FIRST STREET UNIT 103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46"/>
    <x v="6"/>
    <n v="16741019"/>
    <s v="425 FIRST STREET UNIT 18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79"/>
    <x v="6"/>
    <n v="34183060"/>
    <s v="480 E 4TH AVE"/>
    <s v="5+"/>
    <x v="0"/>
    <n v="0"/>
    <n v="0"/>
    <n v="0"/>
    <n v="0"/>
    <n v="0"/>
    <n v="0"/>
    <x v="0"/>
    <n v="0"/>
    <n v="0"/>
    <n v="0"/>
    <n v="0"/>
    <n v="0"/>
    <n v="121"/>
    <n v="0"/>
    <n v="102"/>
    <n v="0"/>
    <n v="0"/>
    <n v="0"/>
    <x v="0"/>
    <n v="99"/>
    <s v="0.80000000000000004"/>
  </r>
  <r>
    <x v="79"/>
    <x v="6"/>
    <n v="33281130"/>
    <s v="477 9TH AVE Unit: 101"/>
    <s v="5+"/>
    <x v="0"/>
    <n v="1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.5"/>
  </r>
  <r>
    <x v="135"/>
    <x v="6"/>
    <n v="1600093295"/>
    <s v="5132 VERDUGO WY"/>
    <s v="5+"/>
    <x v="0"/>
    <n v="2"/>
    <n v="0"/>
    <n v="0"/>
    <n v="0"/>
    <n v="1"/>
    <n v="0"/>
    <x v="17"/>
    <n v="0"/>
    <n v="0"/>
    <n v="0"/>
    <n v="1"/>
    <n v="0"/>
    <n v="0"/>
    <n v="0"/>
    <n v="0"/>
    <n v="0"/>
    <n v="0"/>
    <n v="0"/>
    <x v="0"/>
    <n v="55"/>
    <n v="0"/>
  </r>
  <r>
    <x v="135"/>
    <x v="6"/>
    <n v="1600093295"/>
    <s v="5174 VERDUGO WY"/>
    <s v="5+"/>
    <x v="0"/>
    <n v="0"/>
    <n v="0"/>
    <n v="0"/>
    <n v="0"/>
    <n v="2"/>
    <n v="0"/>
    <x v="0"/>
    <n v="0"/>
    <n v="0"/>
    <n v="0"/>
    <n v="2"/>
    <n v="0"/>
    <n v="0"/>
    <n v="0"/>
    <n v="0"/>
    <n v="0"/>
    <n v="0"/>
    <n v="0"/>
    <x v="0"/>
    <n v="55"/>
    <n v="0"/>
  </r>
  <r>
    <x v="201"/>
    <x v="1"/>
    <n v="2546121400"/>
    <s v="1601 San Remo Pl 103, Encinitas, CA 92024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"/>
  </r>
  <r>
    <x v="247"/>
    <x v="6"/>
    <s v="617-441-23"/>
    <s v="24551 RAYMOND WAY"/>
    <s v="5+"/>
    <x v="0"/>
    <n v="0"/>
    <n v="0"/>
    <n v="0"/>
    <n v="0"/>
    <n v="0"/>
    <n v="0"/>
    <x v="0"/>
    <n v="0"/>
    <n v="0"/>
    <n v="0"/>
    <n v="0"/>
    <n v="0"/>
    <n v="70"/>
    <n v="0"/>
    <n v="0"/>
    <n v="0"/>
    <n v="0"/>
    <n v="0"/>
    <x v="0"/>
    <n v="55"/>
    <n v="0"/>
  </r>
  <r>
    <x v="86"/>
    <x v="6"/>
    <n v="6106013049"/>
    <s v="1610 W Artesia Blvd"/>
    <s v="5+"/>
    <x v="0"/>
    <n v="1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25"/>
  </r>
  <r>
    <x v="8"/>
    <x v="6"/>
    <n v="4453512400"/>
    <s v="4384 HAMILTON ST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6"/>
  </r>
  <r>
    <x v="8"/>
    <x v="6"/>
    <n v="5343331300"/>
    <s v="1105 BROADWAY"/>
    <s v="5+"/>
    <x v="0"/>
    <n v="0"/>
    <n v="0"/>
    <n v="0"/>
    <n v="0"/>
    <n v="0"/>
    <n v="0"/>
    <x v="0"/>
    <n v="0"/>
    <n v="0"/>
    <n v="0"/>
    <n v="0"/>
    <n v="0"/>
    <n v="12"/>
    <n v="0"/>
    <n v="37"/>
    <n v="0"/>
    <n v="0"/>
    <n v="0"/>
    <x v="1"/>
    <m/>
    <n v="0"/>
  </r>
  <r>
    <x v="8"/>
    <x v="6"/>
    <n v="4450810700"/>
    <s v="4651 Arizona St, San Diego, CA 92116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1"/>
  </r>
  <r>
    <x v="55"/>
    <x v="6"/>
    <s v="119-198-03"/>
    <s v="11401 STATE ROUTE 1"/>
    <s v="5+"/>
    <x v="0"/>
    <n v="0"/>
    <n v="0"/>
    <n v="0"/>
    <n v="1"/>
    <n v="0"/>
    <n v="0"/>
    <x v="0"/>
    <n v="0"/>
    <n v="0"/>
    <n v="0"/>
    <n v="0"/>
    <n v="0"/>
    <n v="0"/>
    <n v="0"/>
    <n v="0"/>
    <n v="0"/>
    <n v="0"/>
    <n v="0"/>
    <x v="1"/>
    <m/>
    <n v="0"/>
  </r>
  <r>
    <x v="92"/>
    <x v="1"/>
    <s v="010-0253-014-0000, 010-0253-016-0000"/>
    <s v="3141 W ,SACRAMENTO,CA"/>
    <s v="5+"/>
    <x v="0"/>
    <n v="0"/>
    <n v="1"/>
    <n v="0"/>
    <n v="0"/>
    <n v="0"/>
    <n v="15"/>
    <x v="0"/>
    <n v="0"/>
    <n v="0"/>
    <n v="0"/>
    <n v="0"/>
    <n v="0"/>
    <n v="0"/>
    <n v="0"/>
    <n v="0"/>
    <n v="0"/>
    <n v="0"/>
    <n v="0"/>
    <x v="0"/>
    <m/>
    <s v="0.050000000000000003"/>
  </r>
  <r>
    <x v="8"/>
    <x v="6"/>
    <n v="4332503100"/>
    <s v="2260 IRONWOOD CR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5"/>
    <x v="6"/>
    <s v="012 101400303"/>
    <s v="4127 Martin Luther King Jr WY, Oakland, CA 946092139"/>
    <s v="5+"/>
    <x v="0"/>
    <n v="0"/>
    <n v="0"/>
    <n v="0"/>
    <n v="0"/>
    <n v="2"/>
    <n v="0"/>
    <x v="0"/>
    <n v="0"/>
    <n v="0"/>
    <n v="0"/>
    <n v="0"/>
    <n v="0"/>
    <n v="0"/>
    <n v="0"/>
    <n v="0"/>
    <n v="0"/>
    <n v="0"/>
    <n v="0"/>
    <x v="0"/>
    <n v="55"/>
    <n v="0.13"/>
  </r>
  <r>
    <x v="15"/>
    <x v="6"/>
    <s v="042 432300305"/>
    <s v="8471 ENTERPRISE WY, Oakland, CA 94621"/>
    <s v="5+"/>
    <x v="0"/>
    <n v="10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8"/>
    <x v="6"/>
    <n v="6774001800"/>
    <s v="2701 Everly Dr, San Diego, CA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43"/>
    <x v="6"/>
    <n v="1512705600"/>
    <s v="1999 S OCEANSIDE BLVD"/>
    <s v="5+"/>
    <x v="0"/>
    <n v="0"/>
    <n v="0"/>
    <n v="0"/>
    <n v="0"/>
    <n v="0"/>
    <n v="0"/>
    <x v="0"/>
    <n v="0"/>
    <n v="6"/>
    <n v="0"/>
    <n v="0"/>
    <n v="0"/>
    <n v="0"/>
    <n v="0"/>
    <n v="0"/>
    <n v="0"/>
    <n v="0"/>
    <n v="0"/>
    <x v="0"/>
    <m/>
    <s v="0.20000000000000001"/>
  </r>
  <r>
    <x v="143"/>
    <x v="6"/>
    <n v="1512705600"/>
    <s v="1919 S OCEANSIDE BLVD"/>
    <s v="5+"/>
    <x v="0"/>
    <n v="0"/>
    <n v="0"/>
    <n v="0"/>
    <n v="0"/>
    <n v="0"/>
    <n v="0"/>
    <x v="0"/>
    <n v="0"/>
    <n v="6"/>
    <n v="0"/>
    <n v="0"/>
    <n v="0"/>
    <n v="0"/>
    <n v="0"/>
    <n v="0"/>
    <n v="0"/>
    <n v="0"/>
    <n v="0"/>
    <x v="0"/>
    <m/>
    <s v="0.20000000000000001"/>
  </r>
  <r>
    <x v="229"/>
    <x v="6"/>
    <s v="023-020-065"/>
    <s v="532 Oleander"/>
    <s v="5+"/>
    <x v="0"/>
    <n v="0"/>
    <n v="0"/>
    <n v="0"/>
    <n v="0"/>
    <n v="0"/>
    <n v="0"/>
    <x v="98"/>
    <n v="0"/>
    <n v="68"/>
    <n v="0"/>
    <n v="0"/>
    <n v="0"/>
    <n v="0"/>
    <n v="0"/>
    <n v="0"/>
    <n v="0"/>
    <n v="0"/>
    <n v="0"/>
    <x v="0"/>
    <m/>
    <s v="0.27000000000000002"/>
  </r>
  <r>
    <x v="47"/>
    <x v="6"/>
    <s v="017-172-014-000"/>
    <s v="808 UNIVERSITY AVE"/>
    <s v="5+"/>
    <x v="0"/>
    <n v="0"/>
    <n v="0"/>
    <n v="0"/>
    <n v="0"/>
    <n v="0"/>
    <n v="0"/>
    <x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05 UNIVERSITY AVE"/>
    <s v="5+"/>
    <x v="0"/>
    <n v="0"/>
    <n v="0"/>
    <n v="0"/>
    <n v="0"/>
    <n v="0"/>
    <n v="0"/>
    <x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03 UNIVERSITY AVE"/>
    <s v="5+"/>
    <x v="0"/>
    <n v="0"/>
    <n v="0"/>
    <n v="0"/>
    <n v="0"/>
    <n v="0"/>
    <n v="0"/>
    <x v="0"/>
    <n v="0"/>
    <n v="0"/>
    <n v="0"/>
    <n v="0"/>
    <n v="0"/>
    <n v="6"/>
    <n v="0"/>
    <n v="18"/>
    <n v="0"/>
    <n v="0"/>
    <n v="0"/>
    <x v="0"/>
    <m/>
    <s v="0.23000000000000001"/>
  </r>
  <r>
    <x v="104"/>
    <x v="6"/>
    <s v="810 66 012"/>
    <s v="1520 HECKER PASS HWY"/>
    <s v="5+"/>
    <x v="0"/>
    <n v="0"/>
    <n v="0"/>
    <n v="0"/>
    <n v="0"/>
    <n v="0"/>
    <n v="0"/>
    <x v="0"/>
    <n v="0"/>
    <n v="0"/>
    <n v="0"/>
    <n v="0"/>
    <n v="0"/>
    <n v="4"/>
    <n v="0"/>
    <n v="16"/>
    <n v="0"/>
    <n v="0"/>
    <n v="0"/>
    <x v="0"/>
    <n v="55"/>
    <n v="1"/>
  </r>
  <r>
    <x v="157"/>
    <x v="6"/>
    <s v="427 111 09"/>
    <s v="4540, 4570, 4600, and 4630 Campus Drive, 4525, 4533, and 4647"/>
    <s v="5+"/>
    <x v="0"/>
    <n v="3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26000000000000001"/>
  </r>
  <r>
    <x v="157"/>
    <x v="6"/>
    <s v="427 332 02"/>
    <s v="1400 Bristol St"/>
    <s v="5+"/>
    <x v="0"/>
    <n v="2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.5"/>
  </r>
  <r>
    <x v="134"/>
    <x v="6"/>
    <n v="238013042"/>
    <s v="100 Santa Rosa Island Dr"/>
    <s v="5+"/>
    <x v="0"/>
    <n v="0"/>
    <n v="0"/>
    <n v="0"/>
    <n v="0"/>
    <n v="0"/>
    <n v="0"/>
    <x v="0"/>
    <n v="0"/>
    <n v="0"/>
    <n v="0"/>
    <n v="0"/>
    <n v="0"/>
    <n v="68"/>
    <n v="0"/>
    <n v="0"/>
    <n v="0"/>
    <n v="0"/>
    <n v="0"/>
    <x v="1"/>
    <n v="45"/>
    <n v="0"/>
  </r>
  <r>
    <x v="134"/>
    <x v="6"/>
    <n v="1560180485"/>
    <s v="2733 SOMIS RD, SOMIS, CA  93066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45 SOMIS RD, SOMIS, CA  93066"/>
    <s v="5+"/>
    <x v="0"/>
    <n v="0"/>
    <n v="0"/>
    <n v="0"/>
    <n v="0"/>
    <n v="0"/>
    <n v="0"/>
    <x v="0"/>
    <n v="0"/>
    <n v="0"/>
    <n v="0"/>
    <n v="0"/>
    <n v="0"/>
    <n v="12"/>
    <n v="0"/>
    <n v="0"/>
    <n v="0"/>
    <n v="0"/>
    <n v="0"/>
    <x v="1"/>
    <n v="1000"/>
    <n v="0"/>
  </r>
  <r>
    <x v="92"/>
    <x v="3"/>
    <s v="201-0300-180-0000"/>
    <s v="3584 HAMMOCK ,SACRAMENTO,CA"/>
    <s v="5+"/>
    <x v="0"/>
    <n v="0"/>
    <n v="0"/>
    <n v="0"/>
    <n v="0"/>
    <n v="0"/>
    <n v="0"/>
    <x v="0"/>
    <n v="0"/>
    <n v="8"/>
    <n v="0"/>
    <n v="0"/>
    <n v="0"/>
    <n v="0"/>
    <n v="0"/>
    <n v="8"/>
    <n v="0"/>
    <n v="0"/>
    <n v="0"/>
    <x v="1"/>
    <n v="55"/>
    <n v="0"/>
  </r>
  <r>
    <x v="8"/>
    <x v="6"/>
    <n v="6454100100"/>
    <s v="5325 Seacliff Pl, San Diego, CA 92154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7"/>
    <n v="0"/>
    <x v="1"/>
    <m/>
    <n v="0"/>
  </r>
  <r>
    <x v="137"/>
    <x v="6"/>
    <s v="077660022"/>
    <s v="3729 W HOUSTON AVE"/>
    <s v="5+"/>
    <x v="0"/>
    <n v="0"/>
    <n v="0"/>
    <n v="0"/>
    <n v="0"/>
    <n v="0"/>
    <n v="0"/>
    <x v="35"/>
    <n v="0"/>
    <n v="0"/>
    <n v="0"/>
    <n v="0"/>
    <n v="0"/>
    <n v="0"/>
    <n v="0"/>
    <n v="0"/>
    <n v="0"/>
    <n v="0"/>
    <n v="0"/>
    <x v="0"/>
    <m/>
    <n v="0"/>
  </r>
  <r>
    <x v="49"/>
    <x v="6"/>
    <s v="118-010-058"/>
    <s v="810 W BATTLES RD"/>
    <s v="5+"/>
    <x v="0"/>
    <n v="0"/>
    <n v="0"/>
    <n v="0"/>
    <n v="0"/>
    <n v="0"/>
    <n v="0"/>
    <x v="0"/>
    <n v="0"/>
    <n v="0"/>
    <n v="0"/>
    <n v="0"/>
    <n v="0"/>
    <n v="3"/>
    <n v="0"/>
    <n v="13"/>
    <n v="0"/>
    <n v="0"/>
    <n v="0"/>
    <x v="0"/>
    <n v="55"/>
    <s v="0.20999999999999999"/>
  </r>
  <r>
    <x v="40"/>
    <x v="6"/>
    <s v="905 001000600"/>
    <s v="Triad Dr"/>
    <s v="5+"/>
    <x v="1"/>
    <n v="0"/>
    <n v="0"/>
    <n v="0"/>
    <n v="0"/>
    <n v="22"/>
    <n v="0"/>
    <x v="0"/>
    <n v="0"/>
    <n v="0"/>
    <n v="0"/>
    <n v="6"/>
    <n v="0"/>
    <n v="0"/>
    <n v="0"/>
    <n v="0"/>
    <n v="0"/>
    <n v="0"/>
    <n v="0"/>
    <x v="0"/>
    <n v="55"/>
    <n v="0"/>
  </r>
  <r>
    <x v="40"/>
    <x v="6"/>
    <s v="903 001003000"/>
    <s v="Portola Ave"/>
    <s v="5+"/>
    <x v="0"/>
    <n v="14"/>
    <n v="0"/>
    <n v="14"/>
    <n v="0"/>
    <n v="14"/>
    <n v="0"/>
    <x v="89"/>
    <n v="0"/>
    <n v="14"/>
    <n v="0"/>
    <n v="14"/>
    <n v="0"/>
    <n v="0"/>
    <n v="0"/>
    <n v="0"/>
    <n v="0"/>
    <n v="0"/>
    <n v="0"/>
    <x v="0"/>
    <n v="55"/>
    <n v="0"/>
  </r>
  <r>
    <x v="40"/>
    <x v="6"/>
    <s v="99-100-30-8"/>
    <s v="Portola Ave"/>
    <s v="5+"/>
    <x v="1"/>
    <n v="0"/>
    <n v="0"/>
    <n v="0"/>
    <n v="0"/>
    <n v="6"/>
    <n v="0"/>
    <x v="0"/>
    <n v="0"/>
    <n v="0"/>
    <n v="0"/>
    <n v="0"/>
    <n v="0"/>
    <n v="0"/>
    <n v="0"/>
    <n v="0"/>
    <n v="0"/>
    <n v="0"/>
    <n v="0"/>
    <x v="0"/>
    <n v="55"/>
    <n v="0"/>
  </r>
  <r>
    <x v="186"/>
    <x v="6"/>
    <s v="078C-0626-009-02"/>
    <s v="28090 Mission Blvd_x000a_Hayward, CA 94544"/>
    <s v="5+"/>
    <x v="0"/>
    <n v="0"/>
    <n v="0"/>
    <n v="0"/>
    <n v="0"/>
    <n v="0"/>
    <n v="0"/>
    <x v="0"/>
    <n v="0"/>
    <n v="0"/>
    <n v="0"/>
    <n v="0"/>
    <n v="0"/>
    <n v="24"/>
    <n v="0"/>
    <n v="5"/>
    <n v="0"/>
    <n v="0"/>
    <n v="0"/>
    <x v="0"/>
    <n v="1000"/>
    <s v="0.20000000000000001"/>
  </r>
  <r>
    <x v="131"/>
    <x v="6"/>
    <s v="056 200300100"/>
    <s v="1598 University Ave"/>
    <s v="5+"/>
    <x v="0"/>
    <n v="0"/>
    <n v="0"/>
    <n v="0"/>
    <n v="0"/>
    <n v="0"/>
    <n v="0"/>
    <x v="50"/>
    <n v="0"/>
    <n v="0"/>
    <n v="0"/>
    <n v="0"/>
    <n v="0"/>
    <n v="0"/>
    <n v="0"/>
    <n v="0"/>
    <n v="0"/>
    <n v="0"/>
    <n v="0"/>
    <x v="0"/>
    <m/>
    <n v="0.5"/>
  </r>
  <r>
    <x v="131"/>
    <x v="6"/>
    <s v="055 188600100"/>
    <s v="2300 ELLSWORTH St"/>
    <s v="5+"/>
    <x v="0"/>
    <n v="7"/>
    <n v="0"/>
    <n v="2"/>
    <n v="0"/>
    <n v="1"/>
    <n v="0"/>
    <x v="0"/>
    <n v="0"/>
    <n v="0"/>
    <n v="0"/>
    <n v="0"/>
    <n v="0"/>
    <n v="0"/>
    <n v="0"/>
    <n v="0"/>
    <n v="0"/>
    <n v="0"/>
    <n v="0"/>
    <x v="0"/>
    <m/>
    <s v="0.42999999999999999"/>
  </r>
  <r>
    <x v="131"/>
    <x v="6"/>
    <s v="054 178101501"/>
    <s v="2527 SAN PABLO Ave"/>
    <s v="5+"/>
    <x v="0"/>
    <n v="0"/>
    <n v="0"/>
    <n v="0"/>
    <n v="0"/>
    <n v="0"/>
    <n v="0"/>
    <x v="0"/>
    <n v="0"/>
    <n v="0"/>
    <n v="0"/>
    <n v="0"/>
    <n v="0"/>
    <n v="13"/>
    <n v="0"/>
    <n v="25"/>
    <n v="0"/>
    <n v="0"/>
    <n v="0"/>
    <x v="0"/>
    <m/>
    <s v="0.34999999999999998"/>
  </r>
  <r>
    <x v="65"/>
    <x v="6"/>
    <n v="3112003013"/>
    <s v="2720 W Avenue K-12, Bldg 1 93536"/>
    <s v="5+"/>
    <x v="0"/>
    <n v="0"/>
    <n v="0"/>
    <n v="0"/>
    <n v="0"/>
    <n v="0"/>
    <n v="0"/>
    <x v="0"/>
    <n v="0"/>
    <n v="0"/>
    <n v="0"/>
    <n v="0"/>
    <n v="0"/>
    <n v="8"/>
    <n v="0"/>
    <n v="0"/>
    <n v="0"/>
    <n v="0"/>
    <n v="0"/>
    <x v="0"/>
    <n v="55"/>
    <n v="0"/>
  </r>
  <r>
    <x v="65"/>
    <x v="6"/>
    <n v="3112003013"/>
    <s v="2720 W Avenue K-12, Bldg 7, Lancaster, CA 93536"/>
    <s v="5+"/>
    <x v="0"/>
    <n v="0"/>
    <n v="0"/>
    <n v="0"/>
    <n v="0"/>
    <n v="0"/>
    <n v="0"/>
    <x v="0"/>
    <n v="0"/>
    <n v="0"/>
    <n v="0"/>
    <n v="0"/>
    <n v="0"/>
    <n v="0"/>
    <n v="0"/>
    <n v="8"/>
    <n v="0"/>
    <n v="0"/>
    <n v="0"/>
    <x v="0"/>
    <n v="55"/>
    <n v="0"/>
  </r>
  <r>
    <x v="85"/>
    <x v="6"/>
    <s v="214-010-276"/>
    <s v="3607 Iceberg Court"/>
    <s v="5+"/>
    <x v="1"/>
    <n v="0"/>
    <n v="0"/>
    <n v="0"/>
    <n v="0"/>
    <n v="0"/>
    <n v="0"/>
    <x v="0"/>
    <n v="0"/>
    <n v="1"/>
    <n v="0"/>
    <n v="0"/>
    <n v="0"/>
    <n v="0"/>
    <n v="0"/>
    <n v="1"/>
    <n v="0"/>
    <n v="0"/>
    <n v="0"/>
    <x v="1"/>
    <n v="55"/>
    <n v="0"/>
  </r>
  <r>
    <x v="85"/>
    <x v="6"/>
    <s v="214-010-283"/>
    <s v="3710 Lava  Court"/>
    <s v="5+"/>
    <x v="1"/>
    <n v="0"/>
    <n v="0"/>
    <n v="0"/>
    <n v="0"/>
    <n v="0"/>
    <n v="0"/>
    <x v="0"/>
    <n v="0"/>
    <n v="1"/>
    <n v="0"/>
    <n v="0"/>
    <n v="0"/>
    <n v="0"/>
    <n v="0"/>
    <n v="1"/>
    <n v="0"/>
    <n v="0"/>
    <n v="0"/>
    <x v="1"/>
    <n v="55"/>
    <n v="0"/>
  </r>
  <r>
    <x v="85"/>
    <x v="6"/>
    <s v="214-010-300"/>
    <s v="5607 Linen Court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1"/>
    <n v="0"/>
    <x v="1"/>
    <n v="55"/>
    <n v="0"/>
  </r>
  <r>
    <x v="85"/>
    <x v="6"/>
    <s v="214-010-223"/>
    <s v="2016 Ivory Terrace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5"/>
    <n v="0"/>
  </r>
  <r>
    <x v="69"/>
    <x v="6"/>
    <s v="092-572-025"/>
    <s v="00 Magenta Ln, Nipomo, CA 93444"/>
    <s v="5+"/>
    <x v="0"/>
    <n v="0"/>
    <n v="0"/>
    <n v="71"/>
    <n v="0"/>
    <n v="0"/>
    <n v="0"/>
    <x v="0"/>
    <n v="0"/>
    <n v="0"/>
    <n v="0"/>
    <n v="0"/>
    <n v="0"/>
    <n v="0"/>
    <n v="0"/>
    <n v="0"/>
    <n v="0"/>
    <n v="0"/>
    <n v="0"/>
    <x v="0"/>
    <m/>
    <n v="0.5"/>
  </r>
  <r>
    <x v="98"/>
    <x v="6"/>
    <s v="008-283-012"/>
    <s v="1745 Spring"/>
    <s v="5+"/>
    <x v="0"/>
    <n v="1"/>
    <n v="0"/>
    <n v="0"/>
    <n v="0"/>
    <n v="0"/>
    <n v="7"/>
    <x v="0"/>
    <n v="0"/>
    <n v="0"/>
    <n v="0"/>
    <n v="0"/>
    <n v="0"/>
    <n v="0"/>
    <n v="0"/>
    <n v="0"/>
    <n v="0"/>
    <n v="0"/>
    <n v="0"/>
    <x v="0"/>
    <m/>
    <s v="0.33000000000000002"/>
  </r>
  <r>
    <x v="25"/>
    <x v="6"/>
    <n v="8623013"/>
    <s v="1300 S. Main St"/>
    <s v="5+"/>
    <x v="0"/>
    <n v="0"/>
    <n v="0"/>
    <n v="118"/>
    <n v="0"/>
    <n v="0"/>
    <n v="0"/>
    <x v="0"/>
    <n v="0"/>
    <n v="0"/>
    <n v="0"/>
    <n v="0"/>
    <n v="0"/>
    <n v="0"/>
    <n v="0"/>
    <n v="0"/>
    <n v="0"/>
    <n v="0"/>
    <n v="0"/>
    <x v="0"/>
    <m/>
    <s v="0.80000000000000004"/>
  </r>
  <r>
    <x v="88"/>
    <x v="6"/>
    <n v="8047006925"/>
    <s v="12700 Norwalk Blvd"/>
    <s v="5+"/>
    <x v="0"/>
    <n v="0"/>
    <n v="0"/>
    <n v="0"/>
    <n v="0"/>
    <n v="0"/>
    <n v="0"/>
    <x v="22"/>
    <n v="0"/>
    <n v="6"/>
    <n v="0"/>
    <n v="0"/>
    <n v="0"/>
    <n v="0"/>
    <n v="0"/>
    <n v="0"/>
    <n v="0"/>
    <n v="0"/>
    <n v="0"/>
    <x v="0"/>
    <m/>
    <s v="0.059999999999999998"/>
  </r>
  <r>
    <x v="31"/>
    <x v="6"/>
    <n v="16513078"/>
    <s v="397 S MATHILDA AV"/>
    <s v="5+"/>
    <x v="0"/>
    <n v="0"/>
    <n v="0"/>
    <n v="0"/>
    <n v="0"/>
    <n v="0"/>
    <n v="0"/>
    <x v="0"/>
    <n v="0"/>
    <n v="0"/>
    <n v="0"/>
    <n v="0"/>
    <n v="0"/>
    <n v="61"/>
    <n v="0"/>
    <n v="21"/>
    <n v="0"/>
    <n v="0"/>
    <n v="0"/>
    <x v="0"/>
    <n v="67"/>
    <s v="0.34000000000000002"/>
  </r>
  <r>
    <x v="31"/>
    <x v="6"/>
    <n v="20522042"/>
    <s v="1025 STEWART DR"/>
    <s v="5+"/>
    <x v="0"/>
    <n v="0"/>
    <n v="0"/>
    <n v="0"/>
    <n v="0"/>
    <n v="0"/>
    <n v="0"/>
    <x v="0"/>
    <n v="0"/>
    <n v="0"/>
    <n v="0"/>
    <n v="0"/>
    <n v="0"/>
    <n v="10"/>
    <n v="0"/>
    <n v="0"/>
    <n v="0"/>
    <n v="0"/>
    <n v="0"/>
    <x v="1"/>
    <n v="55"/>
    <n v="0"/>
  </r>
  <r>
    <x v="1"/>
    <x v="6"/>
    <s v="026-0073-003-0000"/>
    <s v="5700 STOCKTON BLVD_x000a_SACRAMENTO, CA 95824-1614"/>
    <s v="5+"/>
    <x v="0"/>
    <n v="0"/>
    <n v="0"/>
    <n v="0"/>
    <n v="0"/>
    <n v="0"/>
    <n v="0"/>
    <x v="42"/>
    <n v="0"/>
    <n v="0"/>
    <n v="0"/>
    <n v="0"/>
    <n v="0"/>
    <n v="0"/>
    <n v="0"/>
    <n v="0"/>
    <n v="0"/>
    <n v="0"/>
    <n v="0"/>
    <x v="0"/>
    <m/>
    <n v="1"/>
  </r>
  <r>
    <x v="1"/>
    <x v="6"/>
    <s v="026-0073-003-0000"/>
    <s v="5700 STOCKTON BLVD, BLDG# E4_x000a_SACRAMENTO, CA 95824-1614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0"/>
    <m/>
    <n v="1"/>
  </r>
  <r>
    <x v="1"/>
    <x v="6"/>
    <s v="026-0073-014-0000"/>
    <s v="5700 STOCKTON BLVD, BLDG# D3_x000a_SACRAMENTO, CA 95824-1614"/>
    <s v="5+"/>
    <x v="0"/>
    <n v="0"/>
    <n v="0"/>
    <n v="0"/>
    <n v="0"/>
    <n v="0"/>
    <n v="0"/>
    <x v="5"/>
    <n v="0"/>
    <n v="6"/>
    <n v="0"/>
    <n v="0"/>
    <n v="0"/>
    <n v="0"/>
    <n v="0"/>
    <n v="0"/>
    <n v="0"/>
    <n v="0"/>
    <n v="0"/>
    <x v="0"/>
    <m/>
    <n v="1"/>
  </r>
  <r>
    <x v="46"/>
    <x v="6"/>
    <n v="16741078"/>
    <s v="450 FIRST STREET UNIT 203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46"/>
    <x v="6"/>
    <n v="16741019"/>
    <s v="425 FIRST STREET UNIT 26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120"/>
    <x v="6"/>
    <s v="588-291-114"/>
    <s v="Tract 17759, Lot 10"/>
    <s v="5+"/>
    <x v="0"/>
    <n v="25"/>
    <n v="0"/>
    <n v="0"/>
    <n v="0"/>
    <n v="49"/>
    <n v="0"/>
    <x v="0"/>
    <n v="0"/>
    <n v="0"/>
    <n v="0"/>
    <n v="0"/>
    <n v="0"/>
    <n v="0"/>
    <n v="0"/>
    <n v="0"/>
    <n v="0"/>
    <n v="0"/>
    <n v="0"/>
    <x v="0"/>
    <n v="75"/>
    <s v="0.20000000000000001"/>
  </r>
  <r>
    <x v="65"/>
    <x v="6"/>
    <n v="3112003013"/>
    <s v="2720 W Avenue K-12, Bldg 4, Lancaster, CA 93536"/>
    <s v="5+"/>
    <x v="0"/>
    <n v="0"/>
    <n v="0"/>
    <n v="0"/>
    <n v="0"/>
    <n v="0"/>
    <n v="0"/>
    <x v="0"/>
    <n v="0"/>
    <n v="0"/>
    <n v="0"/>
    <n v="0"/>
    <n v="0"/>
    <n v="0"/>
    <n v="0"/>
    <n v="8"/>
    <n v="0"/>
    <n v="0"/>
    <n v="0"/>
    <x v="0"/>
    <n v="55"/>
    <n v="0"/>
  </r>
  <r>
    <x v="65"/>
    <x v="6"/>
    <n v="3148041001"/>
    <s v="1703 E Avenue J-4, Lancaster, CA 93535"/>
    <s v="5+"/>
    <x v="0"/>
    <n v="0"/>
    <n v="0"/>
    <n v="0"/>
    <n v="0"/>
    <n v="0"/>
    <n v="0"/>
    <x v="0"/>
    <n v="0"/>
    <n v="0"/>
    <n v="0"/>
    <n v="0"/>
    <n v="0"/>
    <n v="0"/>
    <n v="0"/>
    <n v="24"/>
    <n v="0"/>
    <n v="0"/>
    <n v="0"/>
    <x v="0"/>
    <n v="55"/>
    <n v="0"/>
  </r>
  <r>
    <x v="79"/>
    <x v="6"/>
    <n v="41650520"/>
    <s v="2321 RED OAK CT Unit: BLDG M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79"/>
    <x v="6"/>
    <n v="41650510"/>
    <s v="2448 WILLOW WAY Unit: BLDG K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135"/>
    <x v="6"/>
    <n v="2290070305"/>
    <s v="570 LEWIS RD"/>
    <s v="5+"/>
    <x v="0"/>
    <n v="0"/>
    <n v="0"/>
    <n v="1"/>
    <n v="0"/>
    <n v="0"/>
    <n v="0"/>
    <x v="0"/>
    <n v="0"/>
    <n v="1"/>
    <n v="0"/>
    <n v="0"/>
    <n v="0"/>
    <n v="0"/>
    <n v="0"/>
    <n v="0"/>
    <n v="0"/>
    <n v="0"/>
    <n v="0"/>
    <x v="0"/>
    <n v="55"/>
    <n v="0"/>
  </r>
  <r>
    <x v="135"/>
    <x v="6"/>
    <n v="2290070305"/>
    <s v="2815 E PLEASANT VALLEY RD"/>
    <s v="5+"/>
    <x v="0"/>
    <n v="0"/>
    <n v="0"/>
    <n v="1"/>
    <n v="0"/>
    <n v="0"/>
    <n v="0"/>
    <x v="0"/>
    <n v="0"/>
    <n v="1"/>
    <n v="0"/>
    <n v="0"/>
    <n v="0"/>
    <n v="0"/>
    <n v="0"/>
    <n v="0"/>
    <n v="0"/>
    <n v="0"/>
    <n v="0"/>
    <x v="0"/>
    <n v="55"/>
    <n v="0"/>
  </r>
  <r>
    <x v="92"/>
    <x v="1"/>
    <s v="015-0181-052-0000"/>
    <s v="3401 STOCKTON ,SACRAMENTO,CA"/>
    <s v="5+"/>
    <x v="0"/>
    <n v="0"/>
    <n v="0"/>
    <n v="0"/>
    <n v="0"/>
    <n v="0"/>
    <n v="0"/>
    <x v="0"/>
    <n v="0"/>
    <n v="66"/>
    <n v="1"/>
    <n v="32"/>
    <n v="0"/>
    <n v="0"/>
    <n v="0"/>
    <n v="0"/>
    <n v="0"/>
    <n v="0"/>
    <n v="0"/>
    <x v="0"/>
    <n v="55"/>
    <s v="0.10000000000000001"/>
  </r>
  <r>
    <x v="85"/>
    <x v="6"/>
    <s v="214-010-251"/>
    <s v="1309 Azure Ct.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85"/>
    <x v="6"/>
    <s v="214-010-118"/>
    <s v="1516 Carmine Ct.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85"/>
    <x v="6"/>
    <s v="214-010-033"/>
    <s v="1612 Cinnabar Ct.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85"/>
    <x v="6"/>
    <s v="213-133-078-5"/>
    <s v="2527-2545 Camino Ramon"/>
    <s v="5+"/>
    <x v="1"/>
    <n v="10"/>
    <n v="0"/>
    <n v="5"/>
    <n v="0"/>
    <n v="14"/>
    <n v="0"/>
    <x v="0"/>
    <n v="0"/>
    <n v="0"/>
    <n v="0"/>
    <n v="0"/>
    <n v="0"/>
    <n v="0"/>
    <n v="0"/>
    <n v="0"/>
    <n v="0"/>
    <n v="0"/>
    <n v="0"/>
    <x v="0"/>
    <n v="55"/>
    <n v="0"/>
  </r>
  <r>
    <x v="120"/>
    <x v="6"/>
    <s v="588-291-114"/>
    <s v="10100 Encanto"/>
    <s v="5+"/>
    <x v="0"/>
    <n v="0"/>
    <n v="0"/>
    <n v="0"/>
    <n v="0"/>
    <n v="0"/>
    <n v="0"/>
    <x v="28"/>
    <n v="0"/>
    <n v="0"/>
    <n v="0"/>
    <n v="24"/>
    <n v="0"/>
    <n v="0"/>
    <n v="0"/>
    <n v="0"/>
    <n v="0"/>
    <n v="0"/>
    <n v="0"/>
    <x v="0"/>
    <n v="75"/>
    <s v="0.20000000000000001"/>
  </r>
  <r>
    <x v="127"/>
    <x v="6"/>
    <s v="213-0-090-205"/>
    <s v="2001 OUTLET CENTER DR PRIV ST"/>
    <s v="5+"/>
    <x v="0"/>
    <n v="0"/>
    <n v="0"/>
    <n v="0"/>
    <n v="0"/>
    <n v="0"/>
    <n v="0"/>
    <x v="69"/>
    <n v="0"/>
    <n v="146"/>
    <n v="0"/>
    <n v="0"/>
    <n v="0"/>
    <n v="0"/>
    <n v="0"/>
    <n v="0"/>
    <n v="0"/>
    <n v="0"/>
    <n v="0"/>
    <x v="0"/>
    <n v="55"/>
    <s v="0.80000000000000004"/>
  </r>
  <r>
    <x v="127"/>
    <x v="6"/>
    <s v="200-0-100-020"/>
    <s v="1345 N. Oxnard Boulevard"/>
    <s v="5+"/>
    <x v="0"/>
    <n v="5"/>
    <n v="0"/>
    <n v="18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116"/>
    <x v="6"/>
    <n v="2200320500"/>
    <s v="590 W RICHMAR AVE"/>
    <s v="5+"/>
    <x v="0"/>
    <n v="0"/>
    <n v="0"/>
    <n v="0"/>
    <n v="0"/>
    <n v="0"/>
    <n v="0"/>
    <x v="46"/>
    <n v="0"/>
    <n v="0"/>
    <n v="0"/>
    <n v="0"/>
    <n v="0"/>
    <n v="30"/>
    <n v="0"/>
    <n v="0"/>
    <n v="0"/>
    <n v="0"/>
    <n v="0"/>
    <x v="0"/>
    <n v="55"/>
    <s v="0.34999999999999998"/>
  </r>
  <r>
    <x v="116"/>
    <x v="6"/>
    <n v="2202025200"/>
    <s v="0 SAN MARCOS CA"/>
    <s v="5+"/>
    <x v="0"/>
    <n v="13"/>
    <n v="0"/>
    <n v="209"/>
    <n v="0"/>
    <n v="0"/>
    <n v="2"/>
    <x v="0"/>
    <n v="0"/>
    <n v="0"/>
    <n v="0"/>
    <n v="0"/>
    <n v="0"/>
    <n v="0"/>
    <n v="0"/>
    <n v="0"/>
    <n v="0"/>
    <n v="0"/>
    <n v="0"/>
    <x v="1"/>
    <n v="55"/>
    <n v="0"/>
  </r>
  <r>
    <x v="83"/>
    <x v="6"/>
    <s v="031-052-020"/>
    <s v="7205 MORRO RD"/>
    <s v="5+"/>
    <x v="0"/>
    <n v="2"/>
    <n v="0"/>
    <n v="0"/>
    <n v="0"/>
    <n v="0"/>
    <n v="22"/>
    <x v="0"/>
    <n v="0"/>
    <n v="0"/>
    <n v="0"/>
    <n v="0"/>
    <n v="0"/>
    <n v="0"/>
    <n v="0"/>
    <n v="0"/>
    <n v="0"/>
    <n v="0"/>
    <n v="0"/>
    <x v="0"/>
    <n v="55"/>
    <s v="0.20000000000000001"/>
  </r>
  <r>
    <x v="149"/>
    <x v="6"/>
    <s v="525-0339-003-02"/>
    <s v="42021 Osgood Rd"/>
    <s v="5+"/>
    <x v="0"/>
    <n v="0"/>
    <n v="0"/>
    <n v="181"/>
    <n v="0"/>
    <n v="46"/>
    <n v="0"/>
    <x v="0"/>
    <n v="0"/>
    <n v="0"/>
    <n v="0"/>
    <n v="0"/>
    <n v="0"/>
    <n v="0"/>
    <n v="0"/>
    <n v="0"/>
    <n v="0"/>
    <n v="0"/>
    <n v="0"/>
    <x v="0"/>
    <m/>
    <n v="0"/>
  </r>
  <r>
    <x v="18"/>
    <x v="6"/>
    <s v="243-190-003"/>
    <s v="950 Hough Ave"/>
    <s v="5+"/>
    <x v="1"/>
    <n v="0"/>
    <n v="0"/>
    <n v="0"/>
    <n v="0"/>
    <n v="0"/>
    <n v="0"/>
    <x v="0"/>
    <n v="0"/>
    <n v="0"/>
    <n v="0"/>
    <n v="3"/>
    <n v="0"/>
    <n v="0"/>
    <n v="0"/>
    <n v="0"/>
    <n v="0"/>
    <n v="0"/>
    <n v="0"/>
    <x v="0"/>
    <n v="1000"/>
    <s v="0.17999999999999999"/>
  </r>
  <r>
    <x v="134"/>
    <x v="6"/>
    <n v="238013042"/>
    <s v="100 Santa Rosa Island Dr"/>
    <s v="5+"/>
    <x v="0"/>
    <n v="0"/>
    <n v="0"/>
    <n v="0"/>
    <n v="0"/>
    <n v="0"/>
    <n v="0"/>
    <x v="0"/>
    <n v="0"/>
    <n v="0"/>
    <n v="0"/>
    <n v="0"/>
    <n v="0"/>
    <n v="34"/>
    <n v="0"/>
    <n v="0"/>
    <n v="0"/>
    <n v="0"/>
    <n v="0"/>
    <x v="1"/>
    <n v="45"/>
    <n v="0"/>
  </r>
  <r>
    <x v="134"/>
    <x v="6"/>
    <n v="1560180485"/>
    <s v="2775 SOMIS RD, SOMIS, CA  93066"/>
    <s v="5+"/>
    <x v="0"/>
    <n v="0"/>
    <n v="0"/>
    <n v="0"/>
    <n v="0"/>
    <n v="0"/>
    <n v="0"/>
    <x v="0"/>
    <n v="0"/>
    <n v="0"/>
    <n v="0"/>
    <n v="0"/>
    <n v="0"/>
    <n v="0"/>
    <n v="0"/>
    <n v="11"/>
    <n v="0"/>
    <n v="0"/>
    <n v="0"/>
    <x v="1"/>
    <n v="1000"/>
    <n v="0"/>
  </r>
  <r>
    <x v="155"/>
    <x v="6"/>
    <n v="200040012"/>
    <s v="425 El Pindao Rd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49"/>
    <x v="6"/>
    <s v="118-010-058"/>
    <s v="830 W BATTLES RD"/>
    <s v="5+"/>
    <x v="0"/>
    <n v="0"/>
    <n v="0"/>
    <n v="0"/>
    <n v="0"/>
    <n v="0"/>
    <n v="0"/>
    <x v="0"/>
    <n v="0"/>
    <n v="0"/>
    <n v="0"/>
    <n v="0"/>
    <n v="0"/>
    <n v="5"/>
    <n v="0"/>
    <n v="19"/>
    <n v="0"/>
    <n v="0"/>
    <n v="0"/>
    <x v="0"/>
    <n v="55"/>
    <s v="0.20999999999999999"/>
  </r>
  <r>
    <x v="154"/>
    <x v="6"/>
    <n v="59240810"/>
    <s v="847 Woodside Rd"/>
    <s v="5+"/>
    <x v="0"/>
    <n v="31"/>
    <n v="0"/>
    <n v="40"/>
    <n v="0"/>
    <n v="0"/>
    <n v="0"/>
    <x v="0"/>
    <n v="0"/>
    <n v="0"/>
    <n v="0"/>
    <n v="0"/>
    <n v="0"/>
    <n v="0"/>
    <n v="0"/>
    <n v="0"/>
    <n v="0"/>
    <n v="0"/>
    <n v="0"/>
    <x v="0"/>
    <n v="55"/>
    <n v="0.25"/>
  </r>
  <r>
    <x v="35"/>
    <x v="6"/>
    <n v="2042920100"/>
    <s v="3825 SYDNEY WAY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1"/>
    <n v="55"/>
    <n v="0"/>
  </r>
  <r>
    <x v="35"/>
    <x v="6"/>
    <n v="2042920100"/>
    <s v="3835 SYDNEY WAY"/>
    <s v="5+"/>
    <x v="0"/>
    <n v="0"/>
    <n v="0"/>
    <n v="0"/>
    <n v="0"/>
    <n v="0"/>
    <n v="0"/>
    <x v="0"/>
    <n v="0"/>
    <n v="0"/>
    <n v="0"/>
    <n v="0"/>
    <n v="0"/>
    <n v="0"/>
    <n v="0"/>
    <n v="24"/>
    <n v="0"/>
    <n v="0"/>
    <n v="0"/>
    <x v="1"/>
    <n v="55"/>
    <n v="0"/>
  </r>
  <r>
    <x v="268"/>
    <x v="6"/>
    <n v="40714203"/>
    <s v="LIVE OAK STREET"/>
    <s v="5+"/>
    <x v="0"/>
    <n v="0"/>
    <n v="0"/>
    <n v="34"/>
    <n v="0"/>
    <n v="0"/>
    <n v="0"/>
    <x v="0"/>
    <n v="0"/>
    <n v="0"/>
    <n v="0"/>
    <n v="0"/>
    <n v="0"/>
    <n v="0"/>
    <n v="0"/>
    <n v="0"/>
    <n v="0"/>
    <n v="0"/>
    <n v="0"/>
    <x v="0"/>
    <m/>
    <n v="0.02"/>
  </r>
  <r>
    <x v="269"/>
    <x v="6"/>
    <s v="056-150-200, 056-150-220"/>
    <s v="555 Kelly Avenue"/>
    <s v="5+"/>
    <x v="0"/>
    <n v="4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99"/>
    <n v="0.75"/>
  </r>
  <r>
    <x v="40"/>
    <x v="6"/>
    <s v="903 001003000"/>
    <s v="Portola Ave"/>
    <s v="5+"/>
    <x v="1"/>
    <n v="0"/>
    <n v="0"/>
    <n v="0"/>
    <n v="0"/>
    <n v="18"/>
    <n v="0"/>
    <x v="0"/>
    <n v="0"/>
    <n v="0"/>
    <n v="0"/>
    <n v="18"/>
    <n v="0"/>
    <n v="0"/>
    <n v="0"/>
    <n v="0"/>
    <n v="0"/>
    <n v="0"/>
    <n v="0"/>
    <x v="0"/>
    <n v="55"/>
    <n v="0"/>
  </r>
  <r>
    <x v="40"/>
    <x v="6"/>
    <s v="903 001400400"/>
    <s v="Tranquility Circle"/>
    <s v="5+"/>
    <x v="1"/>
    <n v="0"/>
    <n v="0"/>
    <n v="0"/>
    <n v="0"/>
    <n v="33"/>
    <n v="0"/>
    <x v="0"/>
    <n v="0"/>
    <n v="0"/>
    <n v="0"/>
    <n v="0"/>
    <n v="0"/>
    <n v="0"/>
    <n v="0"/>
    <n v="0"/>
    <n v="0"/>
    <n v="0"/>
    <n v="0"/>
    <x v="0"/>
    <n v="55"/>
    <n v="0"/>
  </r>
  <r>
    <x v="270"/>
    <x v="6"/>
    <s v="7337-003-012, -13, -14"/>
    <s v="21140, 21212, 21126 Avalon Blvd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6"/>
    <n v="4492700400"/>
    <s v="4264 Whittier St, San Diego, CA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s v="0.56999999999999995"/>
  </r>
  <r>
    <x v="8"/>
    <x v="6"/>
    <n v="4446040400"/>
    <s v="3968 HAWK ST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55"/>
    <n v="0.5"/>
  </r>
  <r>
    <x v="8"/>
    <x v="6"/>
    <n v="3130601000"/>
    <s v="14493 PENASQUITOS DR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3130601000"/>
    <s v="14453 PENASQUITOS DR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1"/>
    <m/>
    <n v="0"/>
  </r>
  <r>
    <x v="8"/>
    <x v="6"/>
    <n v="3130601000"/>
    <s v="14403 PENASQUITOS DR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1"/>
    <m/>
    <n v="0"/>
  </r>
  <r>
    <x v="8"/>
    <x v="6"/>
    <n v="4461032300"/>
    <s v="4456 30th St, San Diego, CA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1"/>
  </r>
  <r>
    <x v="8"/>
    <x v="6"/>
    <n v="6461005400"/>
    <s v="2502 Soaptree Dr, San Diego, CA 92154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371 Brushholly Dr, San Diego, CA 92154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412 Mason Dr, San Diego, CA 92154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6461002000"/>
    <s v="2165 Reed Dr, San Diego, CA 92154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3504830400"/>
    <s v="1111 Torrey Pines Rd, San Diego, CA"/>
    <s v="5+"/>
    <x v="0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0"/>
    <n v="55"/>
    <n v="1"/>
  </r>
  <r>
    <x v="230"/>
    <x v="6"/>
    <n v="5773006036"/>
    <s v="34 E SANTA CLARA ST"/>
    <s v="5+"/>
    <x v="0"/>
    <n v="0"/>
    <n v="0"/>
    <n v="0"/>
    <n v="0"/>
    <n v="0"/>
    <n v="0"/>
    <x v="4"/>
    <n v="0"/>
    <n v="0"/>
    <n v="0"/>
    <n v="0"/>
    <n v="0"/>
    <n v="0"/>
    <n v="0"/>
    <n v="0"/>
    <n v="0"/>
    <n v="0"/>
    <n v="0"/>
    <x v="0"/>
    <n v="55"/>
    <s v="0.34999999999999998"/>
  </r>
  <r>
    <x v="131"/>
    <x v="6"/>
    <s v="057 202501300"/>
    <s v="2000 UNIVERSITY Ave"/>
    <s v="5+"/>
    <x v="0"/>
    <n v="0"/>
    <n v="0"/>
    <n v="0"/>
    <n v="0"/>
    <n v="0"/>
    <n v="0"/>
    <x v="0"/>
    <n v="0"/>
    <n v="0"/>
    <n v="0"/>
    <n v="0"/>
    <n v="0"/>
    <n v="7"/>
    <n v="0"/>
    <n v="0"/>
    <n v="0"/>
    <n v="0"/>
    <n v="0"/>
    <x v="0"/>
    <m/>
    <s v="0.33000000000000002"/>
  </r>
  <r>
    <x v="131"/>
    <x v="6"/>
    <s v="057 203000800"/>
    <s v="2115 Kittredge St"/>
    <s v="5+"/>
    <x v="0"/>
    <n v="2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.5"/>
  </r>
  <r>
    <x v="131"/>
    <x v="6"/>
    <s v="056 192802200"/>
    <s v="2427 SAN PABLO Av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.25"/>
  </r>
  <r>
    <x v="131"/>
    <x v="6"/>
    <s v="055 187802000"/>
    <s v="2462 Bancroft Way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20000000000000001"/>
  </r>
  <r>
    <x v="131"/>
    <x v="6"/>
    <s v="052 157602701"/>
    <s v="3030 TELEGRAPH Ave"/>
    <s v="5+"/>
    <x v="0"/>
    <n v="0"/>
    <n v="0"/>
    <n v="0"/>
    <n v="0"/>
    <n v="0"/>
    <n v="0"/>
    <x v="14"/>
    <n v="0"/>
    <n v="1"/>
    <n v="0"/>
    <n v="0"/>
    <n v="0"/>
    <n v="0"/>
    <n v="0"/>
    <n v="0"/>
    <n v="0"/>
    <n v="0"/>
    <n v="0"/>
    <x v="0"/>
    <m/>
    <s v="0.20000000000000001"/>
  </r>
  <r>
    <x v="271"/>
    <x v="6"/>
    <n v="6358015058"/>
    <s v="7360 Foster Bridge BL"/>
    <s v="5+"/>
    <x v="1"/>
    <n v="0"/>
    <n v="0"/>
    <n v="0"/>
    <n v="0"/>
    <n v="3"/>
    <n v="0"/>
    <x v="0"/>
    <n v="0"/>
    <n v="0"/>
    <n v="0"/>
    <n v="0"/>
    <n v="0"/>
    <n v="0"/>
    <n v="0"/>
    <n v="0"/>
    <n v="0"/>
    <n v="0"/>
    <n v="0"/>
    <x v="0"/>
    <n v="55"/>
    <s v="0.10000000000000001"/>
  </r>
  <r>
    <x v="8"/>
    <x v="6"/>
    <n v="5480200470"/>
    <s v="4970 Market St, San Diego, CA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1"/>
    <n v="55"/>
    <n v="0"/>
  </r>
  <r>
    <x v="8"/>
    <x v="6"/>
    <n v="4712222500"/>
    <s v="4341 El Cajon Bl, San Diego, CA"/>
    <s v="5+"/>
    <x v="0"/>
    <n v="0"/>
    <n v="0"/>
    <n v="0"/>
    <n v="0"/>
    <n v="0"/>
    <n v="0"/>
    <x v="0"/>
    <n v="0"/>
    <n v="72"/>
    <n v="0"/>
    <n v="0"/>
    <n v="0"/>
    <n v="0"/>
    <n v="0"/>
    <n v="0"/>
    <n v="0"/>
    <n v="0"/>
    <n v="0"/>
    <x v="0"/>
    <n v="55"/>
    <s v="0.78000000000000003"/>
  </r>
  <r>
    <x v="26"/>
    <x v="6"/>
    <n v="15026004"/>
    <s v="1265 MONTECITO AV"/>
    <s v="5+"/>
    <x v="0"/>
    <n v="0"/>
    <n v="0"/>
    <n v="0"/>
    <n v="0"/>
    <n v="0"/>
    <n v="0"/>
    <x v="68"/>
    <n v="0"/>
    <n v="0"/>
    <n v="0"/>
    <n v="1"/>
    <n v="0"/>
    <n v="0"/>
    <n v="0"/>
    <n v="0"/>
    <n v="0"/>
    <n v="0"/>
    <n v="0"/>
    <x v="0"/>
    <n v="1000"/>
    <n v="0.01"/>
  </r>
  <r>
    <x v="2"/>
    <x v="6"/>
    <d v="1937-04-30T00:00:00"/>
    <s v="352 W. Milford St."/>
    <s v="5+"/>
    <x v="0"/>
    <n v="4"/>
    <n v="0"/>
    <n v="0"/>
    <n v="0"/>
    <n v="0"/>
    <n v="0"/>
    <x v="5"/>
    <n v="0"/>
    <n v="0"/>
    <n v="0"/>
    <n v="0"/>
    <n v="0"/>
    <n v="4"/>
    <n v="0"/>
    <n v="0"/>
    <n v="0"/>
    <n v="0"/>
    <n v="0"/>
    <x v="0"/>
    <n v="55"/>
    <s v="0.33000000000000002"/>
  </r>
  <r>
    <x v="2"/>
    <x v="6"/>
    <n v="5674010023"/>
    <s v="900 E BROADWAY"/>
    <s v="5+"/>
    <x v="0"/>
    <n v="26"/>
    <n v="0"/>
    <n v="100"/>
    <n v="0"/>
    <n v="0"/>
    <n v="0"/>
    <x v="4"/>
    <n v="0"/>
    <n v="100"/>
    <n v="0"/>
    <n v="0"/>
    <n v="0"/>
    <n v="26"/>
    <n v="0"/>
    <n v="100"/>
    <n v="0"/>
    <n v="0"/>
    <n v="0"/>
    <x v="0"/>
    <n v="72"/>
    <s v="3.2400000000000002"/>
  </r>
  <r>
    <x v="2"/>
    <x v="6"/>
    <n v="5640041029"/>
    <s v="1838 S BRAND BLVD"/>
    <s v="5+"/>
    <x v="0"/>
    <n v="5"/>
    <n v="0"/>
    <n v="0"/>
    <n v="0"/>
    <n v="0"/>
    <n v="0"/>
    <x v="12"/>
    <n v="0"/>
    <n v="0"/>
    <n v="0"/>
    <n v="0"/>
    <n v="0"/>
    <n v="0"/>
    <n v="0"/>
    <n v="0"/>
    <n v="0"/>
    <n v="0"/>
    <n v="0"/>
    <x v="0"/>
    <m/>
    <n v="0"/>
  </r>
  <r>
    <x v="2"/>
    <x v="6"/>
    <n v="5645007903"/>
    <s v="426 PIEDMONT AVENUE"/>
    <s v="5+"/>
    <x v="0"/>
    <n v="38"/>
    <n v="0"/>
    <n v="29"/>
    <n v="0"/>
    <n v="0"/>
    <n v="0"/>
    <x v="33"/>
    <n v="0"/>
    <n v="29"/>
    <n v="0"/>
    <n v="0"/>
    <n v="0"/>
    <n v="0"/>
    <n v="0"/>
    <n v="0"/>
    <n v="0"/>
    <n v="0"/>
    <n v="0"/>
    <x v="0"/>
    <n v="75"/>
    <n v="1.23"/>
  </r>
  <r>
    <x v="172"/>
    <x v="6"/>
    <s v="276-282-14"/>
    <s v="7692 9TH ST, Unit BLDG A, BUENA PARK, CA 90621"/>
    <s v="5+"/>
    <x v="1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0"/>
    <m/>
    <n v="0.11"/>
  </r>
  <r>
    <x v="102"/>
    <x v="6"/>
    <s v="132-06-039"/>
    <s v="525 E CHARLESTON RD"/>
    <s v="5+"/>
    <x v="0"/>
    <n v="0"/>
    <n v="0"/>
    <n v="0"/>
    <n v="0"/>
    <n v="0"/>
    <n v="0"/>
    <x v="49"/>
    <n v="0"/>
    <n v="8"/>
    <n v="0"/>
    <n v="1"/>
    <n v="0"/>
    <n v="0"/>
    <n v="0"/>
    <n v="0"/>
    <n v="0"/>
    <n v="0"/>
    <n v="0"/>
    <x v="0"/>
    <n v="55"/>
    <s v="0.34999999999999998"/>
  </r>
  <r>
    <x v="167"/>
    <x v="6"/>
    <s v="137-090-045"/>
    <s v="332 &amp; 334 Valley Vineyard Circle"/>
    <s v="5+"/>
    <x v="0"/>
    <n v="49"/>
    <n v="0"/>
    <n v="0"/>
    <n v="0"/>
    <n v="0"/>
    <n v="0"/>
    <x v="22"/>
    <n v="0"/>
    <n v="0"/>
    <n v="0"/>
    <n v="0"/>
    <n v="0"/>
    <n v="0"/>
    <n v="0"/>
    <n v="0"/>
    <n v="0"/>
    <n v="0"/>
    <n v="0"/>
    <x v="0"/>
    <n v="55"/>
    <n v="0"/>
  </r>
  <r>
    <x v="8"/>
    <x v="6"/>
    <n v="6454100100"/>
    <s v="5330 Seacliff Pl, San Diego, CA 92154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6"/>
    <n v="0"/>
    <x v="1"/>
    <m/>
    <n v="0"/>
  </r>
  <r>
    <x v="8"/>
    <x v="6"/>
    <n v="6454100100"/>
    <s v="5355 Seacliff Pl, San Diego, CA 92154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7"/>
    <n v="0"/>
    <x v="1"/>
    <m/>
    <n v="0"/>
  </r>
  <r>
    <x v="110"/>
    <x v="6"/>
    <n v="694310006"/>
    <s v="36101 EXPLORER DR"/>
    <s v="5+"/>
    <x v="0"/>
    <n v="0"/>
    <n v="0"/>
    <n v="0"/>
    <n v="0"/>
    <n v="0"/>
    <n v="0"/>
    <x v="21"/>
    <n v="0"/>
    <n v="1"/>
    <n v="0"/>
    <n v="1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x v="21"/>
    <n v="0"/>
    <n v="1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x v="17"/>
    <n v="0"/>
    <n v="2"/>
    <n v="0"/>
    <n v="2"/>
    <n v="0"/>
    <n v="2"/>
    <n v="0"/>
    <n v="2"/>
    <n v="0"/>
    <n v="2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x v="3"/>
    <n v="0"/>
    <n v="1"/>
    <n v="0"/>
    <n v="1"/>
    <n v="0"/>
    <n v="0"/>
    <n v="0"/>
    <n v="0"/>
    <n v="0"/>
    <n v="0"/>
    <n v="0"/>
    <x v="1"/>
    <n v="55"/>
    <n v="0"/>
  </r>
  <r>
    <x v="27"/>
    <x v="6"/>
    <s v="941 278001901"/>
    <s v="5717 OWENS DR"/>
    <s v="5+"/>
    <x v="0"/>
    <n v="0"/>
    <n v="0"/>
    <n v="0"/>
    <n v="0"/>
    <n v="0"/>
    <n v="0"/>
    <x v="0"/>
    <n v="0"/>
    <n v="0"/>
    <n v="0"/>
    <n v="20"/>
    <n v="0"/>
    <n v="0"/>
    <n v="0"/>
    <n v="0"/>
    <n v="0"/>
    <n v="0"/>
    <n v="0"/>
    <x v="1"/>
    <n v="1000"/>
    <n v="0"/>
  </r>
  <r>
    <x v="27"/>
    <x v="6"/>
    <s v="941 120109403"/>
    <s v="1008 Stoneridge Mall Road"/>
    <s v="5+"/>
    <x v="0"/>
    <n v="0"/>
    <n v="0"/>
    <n v="58"/>
    <n v="0"/>
    <n v="0"/>
    <n v="0"/>
    <x v="0"/>
    <n v="0"/>
    <n v="0"/>
    <n v="0"/>
    <n v="0"/>
    <n v="0"/>
    <n v="0"/>
    <n v="0"/>
    <n v="0"/>
    <n v="0"/>
    <n v="0"/>
    <n v="0"/>
    <x v="0"/>
    <m/>
    <n v="0.5"/>
  </r>
  <r>
    <x v="124"/>
    <x v="6"/>
    <s v="031-272-006"/>
    <s v="425 GARDEN ST"/>
    <s v="5+"/>
    <x v="0"/>
    <n v="4"/>
    <n v="0"/>
    <n v="0"/>
    <n v="0"/>
    <n v="2"/>
    <n v="0"/>
    <x v="5"/>
    <n v="0"/>
    <n v="0"/>
    <n v="0"/>
    <n v="2"/>
    <n v="0"/>
    <n v="0"/>
    <n v="0"/>
    <n v="0"/>
    <n v="0"/>
    <n v="0"/>
    <n v="0"/>
    <x v="0"/>
    <n v="90"/>
    <s v="0.20000000000000001"/>
  </r>
  <r>
    <x v="173"/>
    <x v="6"/>
    <s v="006-181-001"/>
    <s v="1310 MYRTLE, EUREKA, Ca 95503"/>
    <s v="5+"/>
    <x v="0"/>
    <n v="15"/>
    <n v="0"/>
    <n v="1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68"/>
    <x v="6"/>
    <s v="077-011-010"/>
    <s v="700 Oak Park Blvd."/>
    <s v="5+"/>
    <x v="0"/>
    <n v="0"/>
    <n v="0"/>
    <n v="0"/>
    <n v="0"/>
    <n v="0"/>
    <n v="0"/>
    <x v="0"/>
    <n v="0"/>
    <n v="62"/>
    <n v="0"/>
    <n v="0"/>
    <n v="0"/>
    <n v="0"/>
    <n v="0"/>
    <n v="0"/>
    <n v="0"/>
    <n v="0"/>
    <n v="0"/>
    <x v="0"/>
    <n v="55"/>
    <s v="0.46999999999999997"/>
  </r>
  <r>
    <x v="74"/>
    <x v="6"/>
    <n v="37529114"/>
    <s v="525 W STRUCK AVE BLDG. A"/>
    <s v="5+"/>
    <x v="0"/>
    <n v="0"/>
    <n v="0"/>
    <n v="0"/>
    <n v="0"/>
    <n v="0"/>
    <n v="0"/>
    <x v="0"/>
    <n v="0"/>
    <n v="0"/>
    <n v="0"/>
    <n v="0"/>
    <n v="0"/>
    <n v="0"/>
    <n v="0"/>
    <n v="34"/>
    <n v="0"/>
    <n v="0"/>
    <n v="0"/>
    <x v="0"/>
    <n v="55"/>
    <n v="0"/>
  </r>
  <r>
    <x v="215"/>
    <x v="6"/>
    <s v="040313280"/>
    <s v="678 Ralston Ave"/>
    <s v="5+"/>
    <x v="0"/>
    <n v="52"/>
    <n v="0"/>
    <n v="12"/>
    <n v="0"/>
    <n v="0"/>
    <n v="0"/>
    <x v="0"/>
    <n v="0"/>
    <n v="0"/>
    <n v="0"/>
    <n v="0"/>
    <n v="0"/>
    <n v="0"/>
    <n v="0"/>
    <n v="0"/>
    <n v="0"/>
    <n v="0"/>
    <n v="0"/>
    <x v="0"/>
    <n v="55"/>
    <n v="1"/>
  </r>
  <r>
    <x v="10"/>
    <x v="6"/>
    <s v="104-04-123"/>
    <s v="4590 PATRICK HENRY DR, SANTA CLARA, CA 95054"/>
    <s v="5+"/>
    <x v="0"/>
    <n v="14"/>
    <n v="0"/>
    <n v="14"/>
    <n v="0"/>
    <n v="14"/>
    <n v="0"/>
    <x v="0"/>
    <n v="0"/>
    <n v="0"/>
    <n v="0"/>
    <n v="0"/>
    <n v="0"/>
    <n v="0"/>
    <n v="0"/>
    <n v="0"/>
    <n v="0"/>
    <n v="0"/>
    <n v="0"/>
    <x v="1"/>
    <m/>
    <n v="0"/>
  </r>
  <r>
    <x v="116"/>
    <x v="6"/>
    <n v="2200320500"/>
    <s v="592 W RICHMAR AVE"/>
    <s v="5+"/>
    <x v="0"/>
    <n v="0"/>
    <n v="0"/>
    <n v="0"/>
    <n v="0"/>
    <n v="0"/>
    <n v="0"/>
    <x v="12"/>
    <n v="0"/>
    <n v="15"/>
    <n v="0"/>
    <n v="10"/>
    <n v="0"/>
    <n v="5"/>
    <n v="0"/>
    <n v="15"/>
    <n v="0"/>
    <n v="10"/>
    <n v="0"/>
    <x v="0"/>
    <n v="55"/>
    <s v="0.34999999999999998"/>
  </r>
  <r>
    <x v="116"/>
    <x v="6"/>
    <n v="2200320500"/>
    <s v="602 W RICHMAR AVE"/>
    <s v="5+"/>
    <x v="0"/>
    <n v="0"/>
    <n v="0"/>
    <n v="0"/>
    <n v="0"/>
    <n v="0"/>
    <n v="0"/>
    <x v="0"/>
    <n v="0"/>
    <n v="0"/>
    <n v="0"/>
    <n v="16"/>
    <n v="2"/>
    <n v="0"/>
    <n v="0"/>
    <n v="0"/>
    <n v="0"/>
    <n v="16"/>
    <n v="2"/>
    <x v="0"/>
    <n v="55"/>
    <s v="0.34999999999999998"/>
  </r>
  <r>
    <x v="139"/>
    <x v="6"/>
    <s v="056-511-029"/>
    <s v="171 Siesta Way 1_x000a_Sonoma, CA 95476"/>
    <s v="5+"/>
    <x v="0"/>
    <n v="0"/>
    <n v="0"/>
    <n v="0"/>
    <n v="0"/>
    <n v="0"/>
    <n v="0"/>
    <x v="60"/>
    <n v="0"/>
    <n v="24"/>
    <n v="0"/>
    <n v="0"/>
    <n v="0"/>
    <n v="69"/>
    <n v="0"/>
    <n v="24"/>
    <n v="0"/>
    <n v="0"/>
    <n v="0"/>
    <x v="0"/>
    <n v="55"/>
    <n v="1"/>
  </r>
  <r>
    <x v="201"/>
    <x v="3"/>
    <n v="2160412000"/>
    <s v="1950 N. Coast Highway 101"/>
    <s v="5+"/>
    <x v="0"/>
    <n v="0"/>
    <n v="0"/>
    <n v="19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201"/>
    <x v="3"/>
    <s v="2592312800 2592313100 2592313000"/>
    <s v="2220, 2228, 2230 Encinitas Blvd"/>
    <s v="5+"/>
    <x v="0"/>
    <n v="0"/>
    <n v="0"/>
    <n v="42"/>
    <n v="0"/>
    <n v="0"/>
    <n v="0"/>
    <x v="0"/>
    <n v="0"/>
    <n v="0"/>
    <n v="0"/>
    <n v="0"/>
    <n v="0"/>
    <n v="0"/>
    <n v="0"/>
    <n v="0"/>
    <n v="0"/>
    <n v="0"/>
    <n v="0"/>
    <x v="0"/>
    <n v="1000"/>
    <n v="0.22"/>
  </r>
  <r>
    <x v="46"/>
    <x v="6"/>
    <n v="16741078"/>
    <s v="450 FIRST STREET UNIT 104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149"/>
    <x v="6"/>
    <s v="513-0610-039-00"/>
    <s v="43512 Ellsworth St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79"/>
    <x v="6"/>
    <n v="41650500"/>
    <s v="2469 WILLOW WAY Unit: BLDG H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79"/>
    <x v="6"/>
    <n v="41650490"/>
    <s v="2517 SAGE ST Unit: BLDG L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135"/>
    <x v="6"/>
    <n v="1600093295"/>
    <s v="5162 VERDUGO WY"/>
    <s v="5+"/>
    <x v="0"/>
    <n v="1"/>
    <n v="0"/>
    <n v="0"/>
    <n v="0"/>
    <n v="2"/>
    <n v="0"/>
    <x v="3"/>
    <n v="0"/>
    <n v="0"/>
    <n v="0"/>
    <n v="2"/>
    <n v="0"/>
    <n v="0"/>
    <n v="0"/>
    <n v="0"/>
    <n v="0"/>
    <n v="0"/>
    <n v="0"/>
    <x v="0"/>
    <n v="55"/>
    <n v="0"/>
  </r>
  <r>
    <x v="35"/>
    <x v="6"/>
    <n v="2033205300"/>
    <s v="945 CARLSBAD VILLAGE DR"/>
    <s v="5+"/>
    <x v="0"/>
    <n v="2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70"/>
    <x v="6"/>
    <s v="985-0051-006-00"/>
    <s v="4441 Tassajara Road"/>
    <s v="5+"/>
    <x v="1"/>
    <n v="0"/>
    <n v="0"/>
    <n v="0"/>
    <n v="0"/>
    <n v="6"/>
    <n v="0"/>
    <x v="0"/>
    <n v="0"/>
    <n v="0"/>
    <n v="0"/>
    <n v="0"/>
    <n v="0"/>
    <n v="0"/>
    <n v="0"/>
    <n v="0"/>
    <n v="0"/>
    <n v="0"/>
    <n v="0"/>
    <x v="1"/>
    <m/>
    <n v="0"/>
  </r>
  <r>
    <x v="18"/>
    <x v="6"/>
    <s v="243-030-033"/>
    <s v="1001 Oak Hill Rd"/>
    <s v="5+"/>
    <x v="0"/>
    <n v="3"/>
    <n v="0"/>
    <n v="3"/>
    <n v="0"/>
    <n v="0"/>
    <n v="0"/>
    <x v="0"/>
    <n v="0"/>
    <n v="0"/>
    <n v="0"/>
    <n v="0"/>
    <n v="0"/>
    <n v="0"/>
    <n v="0"/>
    <n v="0"/>
    <n v="0"/>
    <n v="0"/>
    <n v="0"/>
    <x v="0"/>
    <n v="1000"/>
    <s v="0.23999999999999999"/>
  </r>
  <r>
    <x v="199"/>
    <x v="6"/>
    <s v="091-060-019"/>
    <s v="1801 Boxheart Drive"/>
    <s v="5+"/>
    <x v="0"/>
    <n v="10"/>
    <n v="0"/>
    <n v="5"/>
    <n v="0"/>
    <n v="5"/>
    <n v="0"/>
    <x v="7"/>
    <n v="0"/>
    <n v="5"/>
    <n v="0"/>
    <n v="5"/>
    <n v="0"/>
    <n v="10"/>
    <n v="0"/>
    <n v="5"/>
    <n v="0"/>
    <n v="5"/>
    <n v="0"/>
    <x v="0"/>
    <n v="55"/>
    <s v="0.20000000000000001"/>
  </r>
  <r>
    <x v="110"/>
    <x v="6"/>
    <n v="694310006"/>
    <s v="36101 EXPLORER DR"/>
    <s v="5+"/>
    <x v="0"/>
    <n v="0"/>
    <n v="0"/>
    <n v="0"/>
    <n v="0"/>
    <n v="0"/>
    <n v="0"/>
    <x v="50"/>
    <n v="0"/>
    <n v="2"/>
    <n v="0"/>
    <n v="1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x v="21"/>
    <n v="0"/>
    <n v="1"/>
    <n v="0"/>
    <n v="2"/>
    <n v="0"/>
    <n v="0"/>
    <n v="0"/>
    <n v="0"/>
    <n v="0"/>
    <n v="0"/>
    <n v="0"/>
    <x v="0"/>
    <n v="55"/>
    <n v="0.13"/>
  </r>
  <r>
    <x v="110"/>
    <x v="6"/>
    <n v="694520019"/>
    <s v="75700 GERALD FORD DR"/>
    <s v="5+"/>
    <x v="0"/>
    <n v="0"/>
    <n v="0"/>
    <n v="0"/>
    <n v="0"/>
    <n v="0"/>
    <n v="0"/>
    <x v="5"/>
    <n v="0"/>
    <n v="8"/>
    <n v="0"/>
    <n v="0"/>
    <n v="0"/>
    <n v="4"/>
    <n v="0"/>
    <n v="8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x v="5"/>
    <n v="0"/>
    <n v="19"/>
    <n v="0"/>
    <n v="0"/>
    <n v="0"/>
    <n v="4"/>
    <n v="0"/>
    <n v="19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x v="5"/>
    <n v="0"/>
    <n v="19"/>
    <n v="0"/>
    <n v="0"/>
    <n v="0"/>
    <n v="4"/>
    <n v="0"/>
    <n v="19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x v="45"/>
    <n v="0"/>
    <n v="8"/>
    <n v="0"/>
    <n v="0"/>
    <n v="0"/>
    <n v="0"/>
    <n v="0"/>
    <n v="0"/>
    <n v="0"/>
    <n v="0"/>
    <n v="0"/>
    <x v="1"/>
    <n v="55"/>
    <n v="0"/>
  </r>
  <r>
    <x v="140"/>
    <x v="6"/>
    <s v="005-060-025-000"/>
    <s v="1021 Beamer Street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45"/>
    <x v="6"/>
    <s v="093100059 093100060"/>
    <s v="301 ALVES LN, BAY POINT, CA"/>
    <s v="5+"/>
    <x v="0"/>
    <n v="30"/>
    <n v="0"/>
    <n v="69"/>
    <n v="0"/>
    <n v="0"/>
    <n v="0"/>
    <x v="46"/>
    <n v="0"/>
    <n v="69"/>
    <n v="0"/>
    <n v="0"/>
    <n v="0"/>
    <n v="0"/>
    <n v="0"/>
    <n v="0"/>
    <n v="0"/>
    <n v="0"/>
    <n v="0"/>
    <x v="0"/>
    <m/>
    <s v="0.20000000000000001"/>
  </r>
  <r>
    <x v="104"/>
    <x v="6"/>
    <s v="810 66 012"/>
    <s v="1520 HECKER PASS HWY"/>
    <s v="5+"/>
    <x v="0"/>
    <n v="0"/>
    <n v="0"/>
    <n v="0"/>
    <n v="0"/>
    <n v="0"/>
    <n v="0"/>
    <x v="0"/>
    <n v="0"/>
    <n v="0"/>
    <n v="0"/>
    <n v="0"/>
    <n v="0"/>
    <n v="4"/>
    <n v="0"/>
    <n v="16"/>
    <n v="0"/>
    <n v="0"/>
    <n v="1"/>
    <x v="0"/>
    <n v="55"/>
    <n v="1"/>
  </r>
  <r>
    <x v="104"/>
    <x v="6"/>
    <s v="810 66 012"/>
    <s v="1520 HECKER PASS HWY"/>
    <s v="5+"/>
    <x v="0"/>
    <n v="0"/>
    <n v="0"/>
    <n v="0"/>
    <n v="0"/>
    <n v="0"/>
    <n v="0"/>
    <x v="0"/>
    <n v="0"/>
    <n v="0"/>
    <n v="0"/>
    <n v="0"/>
    <n v="0"/>
    <n v="4"/>
    <n v="0"/>
    <n v="16"/>
    <n v="0"/>
    <n v="0"/>
    <n v="0"/>
    <x v="0"/>
    <n v="55"/>
    <n v="1"/>
  </r>
  <r>
    <x v="104"/>
    <x v="6"/>
    <s v="810 66 012"/>
    <s v="1520 HECKER PASS HWY"/>
    <s v="5+"/>
    <x v="0"/>
    <n v="0"/>
    <n v="0"/>
    <n v="0"/>
    <n v="0"/>
    <n v="0"/>
    <n v="0"/>
    <x v="0"/>
    <n v="0"/>
    <n v="0"/>
    <n v="0"/>
    <n v="0"/>
    <n v="0"/>
    <n v="4"/>
    <n v="0"/>
    <n v="16"/>
    <n v="0"/>
    <n v="0"/>
    <n v="0"/>
    <x v="0"/>
    <n v="55"/>
    <n v="1"/>
  </r>
  <r>
    <x v="57"/>
    <x v="6"/>
    <n v="6020031011"/>
    <s v="7408 S FIGUEROA ST 1-157"/>
    <s v="5+"/>
    <x v="0"/>
    <n v="0"/>
    <n v="0"/>
    <n v="0"/>
    <n v="0"/>
    <n v="0"/>
    <n v="0"/>
    <x v="3"/>
    <n v="0"/>
    <n v="123"/>
    <n v="0"/>
    <n v="32"/>
    <n v="0"/>
    <n v="0"/>
    <n v="0"/>
    <n v="0"/>
    <n v="0"/>
    <n v="0"/>
    <n v="0"/>
    <x v="0"/>
    <n v="55"/>
    <n v="441"/>
  </r>
  <r>
    <x v="57"/>
    <x v="6"/>
    <n v="2565014031"/>
    <s v="10132 N COMMERCE AVE #1-37"/>
    <s v="5+"/>
    <x v="0"/>
    <n v="0"/>
    <n v="0"/>
    <n v="0"/>
    <n v="0"/>
    <n v="0"/>
    <n v="0"/>
    <x v="5"/>
    <n v="0"/>
    <n v="2"/>
    <n v="0"/>
    <n v="0"/>
    <n v="0"/>
    <n v="4"/>
    <n v="0"/>
    <n v="2"/>
    <n v="0"/>
    <n v="0"/>
    <n v="0"/>
    <x v="0"/>
    <n v="55"/>
    <n v="32"/>
  </r>
  <r>
    <x v="159"/>
    <x v="6"/>
    <s v="5725-002-911"/>
    <s v="710 N FAIR OAKS AVE MIXED USE - BLDG C_x000a_PASADENA, CA 91103"/>
    <s v="5+"/>
    <x v="0"/>
    <n v="0"/>
    <n v="0"/>
    <n v="0"/>
    <n v="0"/>
    <n v="0"/>
    <n v="0"/>
    <x v="0"/>
    <n v="0"/>
    <n v="0"/>
    <n v="0"/>
    <n v="0"/>
    <n v="0"/>
    <n v="26"/>
    <n v="0"/>
    <n v="0"/>
    <n v="0"/>
    <n v="0"/>
    <n v="0"/>
    <x v="0"/>
    <n v="1000"/>
    <s v="0.34999999999999998"/>
  </r>
  <r>
    <x v="15"/>
    <x v="6"/>
    <s v="039 327203600"/>
    <s v="2511 CHURCH ST, Oakland, CA 94605"/>
    <s v="5+"/>
    <x v="0"/>
    <n v="47"/>
    <n v="0"/>
    <n v="0"/>
    <n v="0"/>
    <n v="65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6"/>
    <s v="001 020302000"/>
    <s v="707 WASHINGTON ST, OAKLAND, CA 94607"/>
    <s v="5+"/>
    <x v="0"/>
    <n v="0"/>
    <n v="0"/>
    <n v="0"/>
    <n v="0"/>
    <n v="11"/>
    <n v="0"/>
    <x v="0"/>
    <n v="0"/>
    <n v="0"/>
    <n v="0"/>
    <n v="0"/>
    <n v="0"/>
    <n v="0"/>
    <n v="0"/>
    <n v="0"/>
    <n v="0"/>
    <n v="0"/>
    <n v="0"/>
    <x v="0"/>
    <n v="55"/>
    <n v="0.5"/>
  </r>
  <r>
    <x v="15"/>
    <x v="6"/>
    <s v="001 021704800"/>
    <s v="685 9TH ST, Oakland, CA 94607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35"/>
    <n v="0"/>
    <x v="0"/>
    <m/>
    <n v="0.5"/>
  </r>
  <r>
    <x v="159"/>
    <x v="6"/>
    <s v="5723-028-033"/>
    <s v="88 N OAKLAND AVE APARTMENT_x000a_PASADENA, CA 91101"/>
    <s v="5+"/>
    <x v="0"/>
    <n v="0"/>
    <n v="0"/>
    <n v="0"/>
    <n v="0"/>
    <n v="0"/>
    <n v="0"/>
    <x v="0"/>
    <n v="0"/>
    <n v="0"/>
    <n v="0"/>
    <n v="0"/>
    <n v="0"/>
    <n v="6"/>
    <n v="0"/>
    <n v="0"/>
    <n v="0"/>
    <n v="0"/>
    <n v="0"/>
    <x v="0"/>
    <n v="1000"/>
    <s v="0.47999999999999998"/>
  </r>
  <r>
    <x v="15"/>
    <x v="6"/>
    <s v="029A130205100"/>
    <s v="2114 MACARTHUR BLVD, Oakland, CA 94602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15"/>
    <x v="6"/>
    <s v="037 255200100"/>
    <s v="4655 STEELE ST, Oakland, CA 94619"/>
    <s v="5+"/>
    <x v="0"/>
    <n v="0"/>
    <n v="0"/>
    <n v="44"/>
    <n v="0"/>
    <n v="11"/>
    <n v="0"/>
    <x v="0"/>
    <n v="0"/>
    <n v="0"/>
    <n v="0"/>
    <n v="0"/>
    <n v="0"/>
    <n v="0"/>
    <n v="0"/>
    <n v="0"/>
    <n v="0"/>
    <n v="0"/>
    <n v="0"/>
    <x v="0"/>
    <n v="55"/>
    <n v="0"/>
  </r>
  <r>
    <x v="15"/>
    <x v="6"/>
    <s v="019 002701400"/>
    <s v="121 East 12th ST, Oakland , CA 94606"/>
    <s v="5+"/>
    <x v="0"/>
    <n v="0"/>
    <n v="0"/>
    <n v="0"/>
    <n v="0"/>
    <n v="0"/>
    <n v="0"/>
    <x v="69"/>
    <n v="0"/>
    <n v="55"/>
    <n v="0"/>
    <n v="0"/>
    <n v="0"/>
    <n v="0"/>
    <n v="0"/>
    <n v="0"/>
    <n v="0"/>
    <n v="0"/>
    <n v="0"/>
    <x v="1"/>
    <n v="55"/>
    <n v="0"/>
  </r>
  <r>
    <x v="15"/>
    <x v="6"/>
    <s v="012 096400700"/>
    <s v="3829 M L King Jr WY, OAKLAND, CA"/>
    <s v="5+"/>
    <x v="0"/>
    <n v="0"/>
    <n v="0"/>
    <n v="0"/>
    <n v="0"/>
    <n v="0"/>
    <n v="0"/>
    <x v="94"/>
    <n v="0"/>
    <n v="0"/>
    <n v="0"/>
    <n v="0"/>
    <n v="0"/>
    <n v="0"/>
    <n v="0"/>
    <n v="0"/>
    <n v="0"/>
    <n v="0"/>
    <n v="0"/>
    <x v="1"/>
    <n v="55"/>
    <n v="0"/>
  </r>
  <r>
    <x v="15"/>
    <x v="6"/>
    <s v="018 046501200"/>
    <s v="389 9TH AVE, OAKLAND, CA 94606"/>
    <s v="5+"/>
    <x v="0"/>
    <n v="0"/>
    <n v="0"/>
    <n v="0"/>
    <n v="0"/>
    <n v="0"/>
    <n v="0"/>
    <x v="0"/>
    <n v="0"/>
    <n v="0"/>
    <n v="0"/>
    <n v="0"/>
    <n v="0"/>
    <n v="92"/>
    <n v="0"/>
    <n v="31"/>
    <n v="0"/>
    <n v="0"/>
    <n v="0"/>
    <x v="1"/>
    <n v="55"/>
    <n v="0"/>
  </r>
  <r>
    <x v="143"/>
    <x v="6"/>
    <n v="1430402600"/>
    <s v="1001 N COAST HWY"/>
    <s v="5+"/>
    <x v="0"/>
    <n v="0"/>
    <n v="0"/>
    <n v="0"/>
    <n v="0"/>
    <n v="0"/>
    <n v="0"/>
    <x v="0"/>
    <n v="0"/>
    <n v="0"/>
    <n v="0"/>
    <n v="0"/>
    <n v="0"/>
    <n v="26"/>
    <n v="0"/>
    <n v="0"/>
    <n v="0"/>
    <n v="0"/>
    <n v="0"/>
    <x v="0"/>
    <m/>
    <s v="0.34999999999999998"/>
  </r>
  <r>
    <x v="143"/>
    <x v="6"/>
    <n v="1471930800"/>
    <s v="712 Seagaze"/>
    <s v="5+"/>
    <x v="0"/>
    <n v="0"/>
    <n v="0"/>
    <n v="18"/>
    <n v="0"/>
    <n v="0"/>
    <n v="0"/>
    <x v="0"/>
    <n v="0"/>
    <n v="0"/>
    <n v="0"/>
    <n v="0"/>
    <n v="0"/>
    <n v="0"/>
    <n v="0"/>
    <n v="0"/>
    <n v="0"/>
    <n v="0"/>
    <n v="0"/>
    <x v="0"/>
    <n v="55"/>
    <s v="0.20000000000000001"/>
  </r>
  <r>
    <x v="57"/>
    <x v="6"/>
    <n v="4261032005"/>
    <s v="11250 W LA GRANGE AVE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6"/>
    <n v="5017003005"/>
    <s v="4624 S NORMANDIE AVE"/>
    <s v="5+"/>
    <x v="0"/>
    <n v="6"/>
    <n v="0"/>
    <n v="45"/>
    <n v="0"/>
    <n v="0"/>
    <n v="0"/>
    <x v="0"/>
    <n v="0"/>
    <n v="0"/>
    <n v="0"/>
    <n v="0"/>
    <n v="0"/>
    <n v="0"/>
    <n v="0"/>
    <n v="0"/>
    <n v="0"/>
    <n v="0"/>
    <n v="0"/>
    <x v="0"/>
    <n v="55"/>
    <n v="203"/>
  </r>
  <r>
    <x v="57"/>
    <x v="6"/>
    <n v="5180009019"/>
    <s v="2601 E MICHIGAN AVE"/>
    <s v="5+"/>
    <x v="0"/>
    <n v="2"/>
    <n v="0"/>
    <n v="42"/>
    <n v="0"/>
    <n v="5"/>
    <n v="0"/>
    <x v="0"/>
    <n v="0"/>
    <n v="0"/>
    <n v="0"/>
    <n v="0"/>
    <n v="0"/>
    <n v="0"/>
    <n v="0"/>
    <n v="0"/>
    <n v="0"/>
    <n v="0"/>
    <n v="0"/>
    <x v="0"/>
    <n v="55"/>
    <n v="614"/>
  </r>
  <r>
    <x v="57"/>
    <x v="6"/>
    <n v="5538005015"/>
    <s v="816 N NORMANDIE AVE"/>
    <s v="5+"/>
    <x v="0"/>
    <n v="1"/>
    <n v="0"/>
    <n v="31"/>
    <n v="0"/>
    <n v="7"/>
    <n v="0"/>
    <x v="0"/>
    <n v="0"/>
    <n v="0"/>
    <n v="0"/>
    <n v="0"/>
    <n v="0"/>
    <n v="0"/>
    <n v="0"/>
    <n v="0"/>
    <n v="0"/>
    <n v="0"/>
    <n v="0"/>
    <x v="0"/>
    <n v="55"/>
    <n v="3"/>
  </r>
  <r>
    <x v="57"/>
    <x v="6"/>
    <n v="5538020005"/>
    <s v="1023 N BERENDO ST"/>
    <s v="5+"/>
    <x v="0"/>
    <n v="1"/>
    <n v="0"/>
    <n v="103"/>
    <n v="0"/>
    <n v="23"/>
    <n v="0"/>
    <x v="0"/>
    <n v="0"/>
    <n v="0"/>
    <n v="0"/>
    <n v="0"/>
    <n v="0"/>
    <n v="0"/>
    <n v="0"/>
    <n v="0"/>
    <n v="0"/>
    <n v="0"/>
    <n v="0"/>
    <x v="0"/>
    <n v="55"/>
    <n v="172"/>
  </r>
  <r>
    <x v="57"/>
    <x v="6"/>
    <n v="6005001022"/>
    <s v="6401 S BROADWAY"/>
    <s v="5+"/>
    <x v="0"/>
    <n v="0"/>
    <n v="0"/>
    <n v="39"/>
    <n v="0"/>
    <n v="10"/>
    <n v="0"/>
    <x v="0"/>
    <n v="0"/>
    <n v="0"/>
    <n v="0"/>
    <n v="0"/>
    <n v="0"/>
    <n v="0"/>
    <n v="0"/>
    <n v="0"/>
    <n v="0"/>
    <n v="0"/>
    <n v="0"/>
    <x v="0"/>
    <n v="55"/>
    <n v="108"/>
  </r>
  <r>
    <x v="57"/>
    <x v="6"/>
    <n v="6031005005"/>
    <s v="7320 S BROADWAY"/>
    <s v="5+"/>
    <x v="0"/>
    <n v="0"/>
    <n v="0"/>
    <n v="65"/>
    <n v="0"/>
    <n v="8"/>
    <n v="0"/>
    <x v="0"/>
    <n v="0"/>
    <n v="0"/>
    <n v="0"/>
    <n v="0"/>
    <n v="0"/>
    <n v="0"/>
    <n v="0"/>
    <n v="0"/>
    <n v="0"/>
    <n v="0"/>
    <n v="0"/>
    <x v="0"/>
    <n v="55"/>
    <n v="117"/>
  </r>
  <r>
    <x v="57"/>
    <x v="6"/>
    <n v="2023004015"/>
    <s v="7403 N TOPANGA CANYON BLVD"/>
    <s v="5+"/>
    <x v="0"/>
    <n v="0"/>
    <n v="0"/>
    <n v="22"/>
    <n v="0"/>
    <n v="6"/>
    <n v="0"/>
    <x v="0"/>
    <n v="0"/>
    <n v="0"/>
    <n v="0"/>
    <n v="0"/>
    <n v="0"/>
    <n v="0"/>
    <n v="0"/>
    <n v="0"/>
    <n v="0"/>
    <n v="0"/>
    <n v="0"/>
    <x v="0"/>
    <n v="55"/>
    <n v="123"/>
  </r>
  <r>
    <x v="57"/>
    <x v="6"/>
    <n v="2314006012"/>
    <s v="8016 N FAIR AVE"/>
    <s v="5+"/>
    <x v="0"/>
    <n v="1"/>
    <n v="0"/>
    <n v="30"/>
    <n v="0"/>
    <n v="7"/>
    <n v="0"/>
    <x v="0"/>
    <n v="0"/>
    <n v="0"/>
    <n v="0"/>
    <n v="0"/>
    <n v="0"/>
    <n v="0"/>
    <n v="0"/>
    <n v="0"/>
    <n v="0"/>
    <n v="0"/>
    <n v="0"/>
    <x v="0"/>
    <n v="55"/>
    <n v="260"/>
  </r>
  <r>
    <x v="57"/>
    <x v="6"/>
    <n v="2320025019"/>
    <s v="6645 N LEMP AVE"/>
    <s v="5+"/>
    <x v="0"/>
    <n v="0"/>
    <n v="0"/>
    <n v="35"/>
    <n v="0"/>
    <n v="9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6"/>
    <n v="2423003013"/>
    <s v="10629 W LANDALE ST 1-11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25"/>
  </r>
  <r>
    <x v="57"/>
    <x v="6"/>
    <n v="2536015012"/>
    <s v="12323 W OSBORNE PL"/>
    <s v="5+"/>
    <x v="0"/>
    <n v="1"/>
    <n v="0"/>
    <n v="102"/>
    <n v="0"/>
    <n v="25"/>
    <n v="0"/>
    <x v="0"/>
    <n v="0"/>
    <n v="0"/>
    <n v="0"/>
    <n v="0"/>
    <n v="0"/>
    <n v="0"/>
    <n v="0"/>
    <n v="0"/>
    <n v="0"/>
    <n v="0"/>
    <n v="0"/>
    <x v="0"/>
    <n v="55"/>
    <n v="821"/>
  </r>
  <r>
    <x v="57"/>
    <x v="6"/>
    <n v="4236019024"/>
    <s v="12747 W MITCHELL AVE 1-4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90"/>
  </r>
  <r>
    <x v="57"/>
    <x v="6"/>
    <n v="4265014037"/>
    <s v="11903 W WILSHIRE BLVD"/>
    <s v="5+"/>
    <x v="0"/>
    <n v="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6"/>
    <n v="4326026022"/>
    <s v="10605 W EASTBORNE AVE 1-12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65"/>
  </r>
  <r>
    <x v="57"/>
    <x v="6"/>
    <n v="5018023054"/>
    <s v="4917 S FIGUEROA ST"/>
    <s v="5+"/>
    <x v="0"/>
    <n v="0"/>
    <n v="0"/>
    <n v="95"/>
    <n v="0"/>
    <n v="24"/>
    <n v="0"/>
    <x v="0"/>
    <n v="0"/>
    <n v="0"/>
    <n v="0"/>
    <n v="0"/>
    <n v="0"/>
    <n v="0"/>
    <n v="0"/>
    <n v="0"/>
    <n v="0"/>
    <n v="0"/>
    <n v="0"/>
    <x v="0"/>
    <n v="55"/>
    <n v="287"/>
  </r>
  <r>
    <x v="57"/>
    <x v="6"/>
    <n v="5040021006"/>
    <s v="1408 W JEFFERSON BLVD"/>
    <s v="5+"/>
    <x v="0"/>
    <n v="1"/>
    <n v="0"/>
    <n v="53"/>
    <n v="0"/>
    <n v="14"/>
    <n v="0"/>
    <x v="0"/>
    <n v="0"/>
    <n v="0"/>
    <n v="0"/>
    <n v="0"/>
    <n v="0"/>
    <n v="0"/>
    <n v="0"/>
    <n v="0"/>
    <n v="0"/>
    <n v="0"/>
    <n v="0"/>
    <x v="0"/>
    <n v="55"/>
    <n v="87"/>
  </r>
  <r>
    <x v="57"/>
    <x v="6"/>
    <n v="5046007017"/>
    <s v="3442 S HILLCREST DR"/>
    <s v="5+"/>
    <x v="0"/>
    <n v="2"/>
    <n v="0"/>
    <n v="38"/>
    <n v="0"/>
    <n v="7"/>
    <n v="0"/>
    <x v="0"/>
    <n v="0"/>
    <n v="0"/>
    <n v="0"/>
    <n v="0"/>
    <n v="0"/>
    <n v="0"/>
    <n v="0"/>
    <n v="0"/>
    <n v="0"/>
    <n v="0"/>
    <n v="0"/>
    <x v="0"/>
    <n v="55"/>
    <n v="586"/>
  </r>
  <r>
    <x v="57"/>
    <x v="6"/>
    <n v="5046015031"/>
    <s v="3550 S CHESAPEAKE AVE"/>
    <s v="5+"/>
    <x v="0"/>
    <n v="0"/>
    <n v="0"/>
    <n v="42"/>
    <n v="0"/>
    <n v="11"/>
    <n v="0"/>
    <x v="0"/>
    <n v="0"/>
    <n v="0"/>
    <n v="0"/>
    <n v="0"/>
    <n v="0"/>
    <n v="0"/>
    <n v="0"/>
    <n v="0"/>
    <n v="0"/>
    <n v="0"/>
    <n v="0"/>
    <x v="0"/>
    <n v="55"/>
    <n v="500"/>
  </r>
  <r>
    <x v="47"/>
    <x v="6"/>
    <s v="017-172-014-000"/>
    <s v="802 UNIVERSITY AVE"/>
    <s v="5+"/>
    <x v="0"/>
    <n v="0"/>
    <n v="0"/>
    <n v="0"/>
    <n v="0"/>
    <n v="0"/>
    <n v="0"/>
    <x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07 UNIVERSITY AVE"/>
    <s v="5+"/>
    <x v="0"/>
    <n v="0"/>
    <n v="0"/>
    <n v="0"/>
    <n v="0"/>
    <n v="0"/>
    <n v="0"/>
    <x v="0"/>
    <n v="0"/>
    <n v="0"/>
    <n v="0"/>
    <n v="0"/>
    <n v="0"/>
    <n v="6"/>
    <n v="0"/>
    <n v="18"/>
    <n v="0"/>
    <n v="0"/>
    <n v="0"/>
    <x v="0"/>
    <m/>
    <s v="0.23000000000000001"/>
  </r>
  <r>
    <x v="57"/>
    <x v="6"/>
    <n v="5159020013"/>
    <s v="1540 W COURT ST"/>
    <s v="5+"/>
    <x v="0"/>
    <n v="151"/>
    <n v="0"/>
    <n v="0"/>
    <n v="0"/>
    <n v="37"/>
    <n v="0"/>
    <x v="0"/>
    <n v="0"/>
    <n v="0"/>
    <n v="0"/>
    <n v="0"/>
    <n v="0"/>
    <n v="0"/>
    <n v="0"/>
    <n v="0"/>
    <n v="0"/>
    <n v="0"/>
    <n v="0"/>
    <x v="0"/>
    <n v="55"/>
    <n v="931"/>
  </r>
  <r>
    <x v="57"/>
    <x v="6"/>
    <n v="5402028023"/>
    <s v="801 N WATERLOO ST"/>
    <s v="5+"/>
    <x v="0"/>
    <n v="6"/>
    <n v="0"/>
    <n v="98"/>
    <n v="0"/>
    <n v="27"/>
    <n v="0"/>
    <x v="0"/>
    <n v="0"/>
    <n v="0"/>
    <n v="0"/>
    <n v="0"/>
    <n v="0"/>
    <n v="0"/>
    <n v="0"/>
    <n v="0"/>
    <n v="0"/>
    <n v="0"/>
    <n v="0"/>
    <x v="0"/>
    <n v="55"/>
    <n v="1622"/>
  </r>
  <r>
    <x v="57"/>
    <x v="6"/>
    <n v="5535029008"/>
    <s v="4869 W MELROSE AVE"/>
    <s v="5+"/>
    <x v="0"/>
    <n v="0"/>
    <n v="0"/>
    <n v="31"/>
    <n v="0"/>
    <n v="8"/>
    <n v="0"/>
    <x v="0"/>
    <n v="0"/>
    <n v="0"/>
    <n v="0"/>
    <n v="0"/>
    <n v="0"/>
    <n v="0"/>
    <n v="0"/>
    <n v="0"/>
    <n v="0"/>
    <n v="0"/>
    <n v="0"/>
    <x v="0"/>
    <n v="55"/>
    <n v="122"/>
  </r>
  <r>
    <x v="57"/>
    <x v="6"/>
    <n v="5586031004"/>
    <s v="1845 N TAFT AVE"/>
    <s v="5+"/>
    <x v="0"/>
    <n v="0"/>
    <n v="0"/>
    <n v="85"/>
    <n v="0"/>
    <n v="21"/>
    <n v="0"/>
    <x v="0"/>
    <n v="0"/>
    <n v="0"/>
    <n v="0"/>
    <n v="0"/>
    <n v="0"/>
    <n v="0"/>
    <n v="0"/>
    <n v="0"/>
    <n v="0"/>
    <n v="0"/>
    <n v="0"/>
    <x v="0"/>
    <n v="55"/>
    <n v="567"/>
  </r>
  <r>
    <x v="57"/>
    <x v="6"/>
    <n v="7347014013"/>
    <s v="1405 W 228TH ST"/>
    <s v="5+"/>
    <x v="0"/>
    <n v="0"/>
    <n v="0"/>
    <n v="15"/>
    <n v="0"/>
    <n v="5"/>
    <n v="0"/>
    <x v="0"/>
    <n v="0"/>
    <n v="0"/>
    <n v="0"/>
    <n v="0"/>
    <n v="0"/>
    <n v="0"/>
    <n v="0"/>
    <n v="0"/>
    <n v="0"/>
    <n v="0"/>
    <n v="0"/>
    <x v="0"/>
    <n v="55"/>
    <n v="5"/>
  </r>
  <r>
    <x v="57"/>
    <x v="6"/>
    <n v="2320025021"/>
    <s v="11608 W ARCHWOOD ST 1-17"/>
    <s v="5+"/>
    <x v="0"/>
    <n v="2"/>
    <n v="0"/>
    <n v="13"/>
    <n v="0"/>
    <n v="0"/>
    <n v="0"/>
    <x v="17"/>
    <n v="0"/>
    <n v="13"/>
    <n v="0"/>
    <n v="1"/>
    <n v="0"/>
    <n v="0"/>
    <n v="0"/>
    <n v="0"/>
    <n v="0"/>
    <n v="0"/>
    <n v="0"/>
    <x v="0"/>
    <n v="55"/>
    <n v="300"/>
  </r>
  <r>
    <x v="263"/>
    <x v="6"/>
    <s v="022-050-06, 14, 24, 25"/>
    <s v="1000 Drakes Landing Road"/>
    <s v="5+"/>
    <x v="0"/>
    <n v="0"/>
    <n v="0"/>
    <n v="3"/>
    <n v="0"/>
    <n v="1"/>
    <n v="0"/>
    <x v="0"/>
    <n v="0"/>
    <n v="0"/>
    <n v="0"/>
    <n v="0"/>
    <n v="0"/>
    <n v="0"/>
    <n v="0"/>
    <n v="0"/>
    <n v="0"/>
    <n v="0"/>
    <n v="0"/>
    <x v="0"/>
    <n v="1000"/>
    <n v="0"/>
  </r>
  <r>
    <x v="193"/>
    <x v="6"/>
    <s v="8543-009-053"/>
    <s v="4428 STEWART AVE_x000a_BALDWIN PARK CA, 91706--246"/>
    <s v="5+"/>
    <x v="0"/>
    <n v="0"/>
    <n v="0"/>
    <n v="11"/>
    <n v="0"/>
    <n v="0"/>
    <n v="0"/>
    <x v="0"/>
    <n v="0"/>
    <n v="0"/>
    <n v="0"/>
    <n v="0"/>
    <n v="0"/>
    <n v="0"/>
    <n v="0"/>
    <n v="0"/>
    <n v="0"/>
    <n v="0"/>
    <n v="0"/>
    <x v="0"/>
    <m/>
    <n v="1"/>
  </r>
  <r>
    <x v="32"/>
    <x v="6"/>
    <d v="1991-05-14T00:00:00"/>
    <s v="1235  5TH ST"/>
    <s v="5+"/>
    <x v="0"/>
    <n v="0"/>
    <n v="0"/>
    <n v="0"/>
    <n v="0"/>
    <n v="0"/>
    <n v="0"/>
    <x v="0"/>
    <n v="0"/>
    <n v="0"/>
    <n v="0"/>
    <n v="0"/>
    <n v="0"/>
    <n v="2"/>
    <n v="0"/>
    <n v="1"/>
    <n v="0"/>
    <n v="2"/>
    <n v="0"/>
    <x v="1"/>
    <n v="55"/>
    <n v="0"/>
  </r>
  <r>
    <x v="32"/>
    <x v="6"/>
    <s v="4283-021-017"/>
    <s v="901 Pico Blvd"/>
    <s v="5+"/>
    <x v="0"/>
    <n v="2"/>
    <n v="0"/>
    <n v="2"/>
    <n v="0"/>
    <n v="1"/>
    <n v="0"/>
    <x v="0"/>
    <n v="0"/>
    <n v="0"/>
    <n v="0"/>
    <n v="0"/>
    <n v="0"/>
    <n v="0"/>
    <n v="0"/>
    <n v="0"/>
    <n v="0"/>
    <n v="0"/>
    <n v="0"/>
    <x v="0"/>
    <n v="55"/>
    <n v="0.5"/>
  </r>
  <r>
    <x v="32"/>
    <x v="6"/>
    <s v="4576-013-020"/>
    <s v="1902 Wilshire Blvd"/>
    <s v="5+"/>
    <x v="0"/>
    <n v="5"/>
    <n v="0"/>
    <n v="5"/>
    <n v="0"/>
    <n v="4"/>
    <n v="0"/>
    <x v="0"/>
    <n v="0"/>
    <n v="0"/>
    <n v="0"/>
    <n v="0"/>
    <n v="0"/>
    <n v="0"/>
    <n v="0"/>
    <n v="0"/>
    <n v="0"/>
    <n v="0"/>
    <n v="0"/>
    <x v="0"/>
    <n v="55"/>
    <s v="0.45000000000000001"/>
  </r>
  <r>
    <x v="96"/>
    <x v="6"/>
    <s v="40407150T"/>
    <s v="7521 N CHESTNUT AVE BLDG 114+"/>
    <s v="5+"/>
    <x v="0"/>
    <n v="0"/>
    <n v="0"/>
    <n v="0"/>
    <n v="0"/>
    <n v="0"/>
    <n v="0"/>
    <x v="0"/>
    <n v="0"/>
    <n v="0"/>
    <n v="0"/>
    <n v="0"/>
    <n v="0"/>
    <n v="7"/>
    <n v="0"/>
    <n v="5"/>
    <n v="0"/>
    <n v="0"/>
    <n v="0"/>
    <x v="0"/>
    <n v="55"/>
    <s v="0.52000000000000002"/>
  </r>
  <r>
    <x v="96"/>
    <x v="6"/>
    <s v="40407150T"/>
    <s v="7521 N CHESTNUT AVE BLDG 120+"/>
    <s v="5+"/>
    <x v="0"/>
    <n v="0"/>
    <n v="0"/>
    <n v="0"/>
    <n v="0"/>
    <n v="0"/>
    <n v="0"/>
    <x v="0"/>
    <n v="0"/>
    <n v="0"/>
    <n v="0"/>
    <n v="0"/>
    <n v="0"/>
    <n v="7"/>
    <n v="0"/>
    <n v="5"/>
    <n v="0"/>
    <n v="0"/>
    <n v="0"/>
    <x v="0"/>
    <n v="55"/>
    <s v="0.52000000000000002"/>
  </r>
  <r>
    <x v="189"/>
    <x v="6"/>
    <s v="159-281-05"/>
    <s v="19071 Main St"/>
    <s v="5+"/>
    <x v="1"/>
    <n v="0"/>
    <n v="0"/>
    <n v="0"/>
    <n v="0"/>
    <n v="0"/>
    <n v="0"/>
    <x v="0"/>
    <n v="0"/>
    <n v="0"/>
    <n v="0"/>
    <n v="2"/>
    <n v="0"/>
    <n v="0"/>
    <n v="0"/>
    <n v="0"/>
    <n v="0"/>
    <n v="0"/>
    <n v="0"/>
    <x v="0"/>
    <n v="45"/>
    <s v="0.10000000000000001"/>
  </r>
  <r>
    <x v="2"/>
    <x v="6"/>
    <n v="5637020013"/>
    <s v="424 W MILFORD STREET_x000a_GLENDALE, CA 91203"/>
    <s v="5+"/>
    <x v="0"/>
    <n v="0"/>
    <n v="0"/>
    <n v="8"/>
    <n v="0"/>
    <n v="0"/>
    <n v="0"/>
    <x v="0"/>
    <n v="0"/>
    <n v="0"/>
    <n v="0"/>
    <n v="0"/>
    <n v="0"/>
    <n v="0"/>
    <n v="0"/>
    <n v="0"/>
    <n v="0"/>
    <n v="0"/>
    <n v="0"/>
    <x v="0"/>
    <m/>
    <n v="1.53"/>
  </r>
  <r>
    <x v="2"/>
    <x v="6"/>
    <n v="5642018039"/>
    <s v="246 N JACKSON STREET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46000000000000002"/>
  </r>
  <r>
    <x v="2"/>
    <x v="6"/>
    <s v="5625009019 5625009020"/>
    <s v="413 IRVING AVENUE &amp; 417 IRVING AVE,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.71"/>
  </r>
  <r>
    <x v="2"/>
    <x v="6"/>
    <n v="5634013012"/>
    <s v="1301-1303 N PACIFIC AVENUE (501 GLENWOOD RD)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.5"/>
  </r>
  <r>
    <x v="234"/>
    <x v="6"/>
    <s v="329-010-080-000"/>
    <s v="12000 DRESDEN DRIVE, LINCOLN, CA 95648"/>
    <s v="5+"/>
    <x v="0"/>
    <n v="0"/>
    <n v="0"/>
    <n v="0"/>
    <n v="0"/>
    <n v="0"/>
    <n v="0"/>
    <x v="17"/>
    <n v="3"/>
    <n v="0"/>
    <n v="18"/>
    <n v="0"/>
    <n v="0"/>
    <n v="0"/>
    <n v="0"/>
    <n v="0"/>
    <n v="0"/>
    <n v="0"/>
    <n v="0"/>
    <x v="0"/>
    <n v="55"/>
    <n v="0"/>
  </r>
  <r>
    <x v="234"/>
    <x v="6"/>
    <s v="329-010-080-000"/>
    <s v="1600 DRESDEN DRIVE, LINCOLN, CA 95648"/>
    <s v="5+"/>
    <x v="0"/>
    <n v="0"/>
    <n v="0"/>
    <n v="0"/>
    <n v="0"/>
    <n v="0"/>
    <n v="0"/>
    <x v="2"/>
    <n v="3"/>
    <n v="0"/>
    <n v="23"/>
    <n v="0"/>
    <n v="0"/>
    <n v="0"/>
    <n v="0"/>
    <n v="0"/>
    <n v="0"/>
    <n v="0"/>
    <n v="0"/>
    <x v="0"/>
    <n v="55"/>
    <n v="0"/>
  </r>
  <r>
    <x v="234"/>
    <x v="6"/>
    <s v="329-010-080-000"/>
    <s v="1700 DRESDEN DRIVE, LINCOLN, CA 95648"/>
    <s v="5+"/>
    <x v="0"/>
    <n v="0"/>
    <n v="0"/>
    <n v="0"/>
    <n v="0"/>
    <n v="0"/>
    <n v="0"/>
    <x v="17"/>
    <n v="2"/>
    <n v="0"/>
    <n v="17"/>
    <n v="0"/>
    <n v="0"/>
    <n v="0"/>
    <n v="0"/>
    <n v="0"/>
    <n v="0"/>
    <n v="0"/>
    <n v="0"/>
    <x v="0"/>
    <n v="55"/>
    <n v="0"/>
  </r>
  <r>
    <x v="270"/>
    <x v="6"/>
    <s v="7337-003-012, -13, -14"/>
    <s v="21140, 21212,  21126 Avalon Blvd"/>
    <s v="5+"/>
    <x v="0"/>
    <n v="3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8"/>
    <x v="6"/>
    <n v="5334740800"/>
    <s v="1111 Kettner Bl, San Diego, CA"/>
    <s v="5+"/>
    <x v="1"/>
    <n v="0"/>
    <n v="0"/>
    <n v="0"/>
    <n v="0"/>
    <n v="0"/>
    <n v="0"/>
    <x v="0"/>
    <n v="0"/>
    <n v="3"/>
    <n v="0"/>
    <n v="0"/>
    <n v="0"/>
    <n v="0"/>
    <n v="0"/>
    <n v="0"/>
    <n v="0"/>
    <n v="0"/>
    <n v="0"/>
    <x v="1"/>
    <m/>
    <n v="0"/>
  </r>
  <r>
    <x v="55"/>
    <x v="6"/>
    <s v="018-074-16"/>
    <s v="Albion St, California Park"/>
    <s v="5+"/>
    <x v="0"/>
    <n v="0"/>
    <n v="0"/>
    <n v="1"/>
    <n v="0"/>
    <n v="15"/>
    <n v="0"/>
    <x v="0"/>
    <n v="0"/>
    <n v="0"/>
    <n v="0"/>
    <n v="0"/>
    <n v="0"/>
    <n v="0"/>
    <n v="0"/>
    <n v="0"/>
    <n v="0"/>
    <n v="0"/>
    <n v="0"/>
    <x v="1"/>
    <m/>
    <n v="0"/>
  </r>
  <r>
    <x v="6"/>
    <x v="6"/>
    <s v="082-0-110-340"/>
    <s v="Day Road Apartmetns"/>
    <s v="5+"/>
    <x v="0"/>
    <n v="0"/>
    <n v="0"/>
    <n v="4"/>
    <n v="0"/>
    <n v="1"/>
    <n v="0"/>
    <x v="0"/>
    <n v="0"/>
    <n v="0"/>
    <n v="0"/>
    <n v="0"/>
    <n v="0"/>
    <n v="0"/>
    <n v="0"/>
    <n v="0"/>
    <n v="0"/>
    <n v="0"/>
    <n v="0"/>
    <x v="1"/>
    <n v="55"/>
    <n v="0"/>
  </r>
  <r>
    <x v="5"/>
    <x v="6"/>
    <n v="482161026"/>
    <s v="24570 COTTONWOOD AVE"/>
    <s v="5+"/>
    <x v="0"/>
    <n v="0"/>
    <n v="0"/>
    <n v="0"/>
    <n v="0"/>
    <n v="0"/>
    <n v="0"/>
    <x v="0"/>
    <n v="0"/>
    <n v="0"/>
    <n v="0"/>
    <n v="0"/>
    <n v="0"/>
    <n v="0"/>
    <n v="0"/>
    <n v="16"/>
    <n v="0"/>
    <n v="0"/>
    <n v="0"/>
    <x v="0"/>
    <n v="55"/>
    <s v="0.34999999999999998"/>
  </r>
  <r>
    <x v="102"/>
    <x v="6"/>
    <s v="120-27-074"/>
    <s v="3980 EL CAMINO REAL"/>
    <s v="5+"/>
    <x v="0"/>
    <n v="84"/>
    <n v="0"/>
    <n v="21"/>
    <n v="0"/>
    <n v="0"/>
    <n v="0"/>
    <x v="0"/>
    <n v="0"/>
    <n v="0"/>
    <n v="0"/>
    <n v="0"/>
    <n v="0"/>
    <n v="0"/>
    <n v="0"/>
    <n v="0"/>
    <n v="0"/>
    <n v="0"/>
    <n v="0"/>
    <x v="0"/>
    <n v="55"/>
    <s v="0.80000000000000004"/>
  </r>
  <r>
    <x v="8"/>
    <x v="6"/>
    <n v="4525551800"/>
    <s v="501 Upas St, San Diego, CA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272"/>
    <x v="6"/>
    <s v="060-072-27, 28 and 18"/>
    <s v="1 Mallard Road"/>
    <s v="5+"/>
    <x v="0"/>
    <n v="1"/>
    <n v="0"/>
    <n v="3"/>
    <n v="0"/>
    <n v="0"/>
    <n v="5"/>
    <x v="0"/>
    <n v="0"/>
    <n v="0"/>
    <n v="0"/>
    <n v="0"/>
    <n v="0"/>
    <n v="0"/>
    <n v="0"/>
    <n v="0"/>
    <n v="0"/>
    <n v="0"/>
    <n v="0"/>
    <x v="0"/>
    <n v="55"/>
    <s v="0.20000000000000001"/>
  </r>
  <r>
    <x v="0"/>
    <x v="6"/>
    <n v="7275001083"/>
    <s v="300 ALAMITOS AVE"/>
    <s v="5+"/>
    <x v="0"/>
    <n v="0"/>
    <n v="0"/>
    <n v="0"/>
    <n v="0"/>
    <n v="0"/>
    <n v="0"/>
    <x v="7"/>
    <n v="0"/>
    <n v="71"/>
    <n v="0"/>
    <n v="0"/>
    <n v="0"/>
    <n v="0"/>
    <n v="0"/>
    <n v="0"/>
    <n v="0"/>
    <n v="0"/>
    <n v="0"/>
    <x v="0"/>
    <n v="55"/>
    <n v="0"/>
  </r>
  <r>
    <x v="8"/>
    <x v="6"/>
    <n v="4365520800"/>
    <s v="5559 LAURETTA ST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2.5"/>
  </r>
  <r>
    <x v="235"/>
    <x v="6"/>
    <s v="564-040-21-00"/>
    <s v="2542 ridgeway dr, national city, ca 91950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s v="0.28000000000000003"/>
  </r>
  <r>
    <x v="27"/>
    <x v="6"/>
    <s v="941 278001901"/>
    <s v="5721 OWENS DR"/>
    <s v="5+"/>
    <x v="0"/>
    <n v="0"/>
    <n v="0"/>
    <n v="0"/>
    <n v="0"/>
    <n v="0"/>
    <n v="0"/>
    <x v="0"/>
    <n v="0"/>
    <n v="16"/>
    <n v="0"/>
    <n v="4"/>
    <n v="0"/>
    <n v="0"/>
    <n v="0"/>
    <n v="0"/>
    <n v="0"/>
    <n v="0"/>
    <n v="0"/>
    <x v="1"/>
    <n v="1000"/>
    <n v="0"/>
  </r>
  <r>
    <x v="127"/>
    <x v="6"/>
    <s v="132-0-100-095"/>
    <s v="2700 N VENTURA RD"/>
    <s v="5+"/>
    <x v="0"/>
    <n v="0"/>
    <n v="0"/>
    <n v="0"/>
    <n v="0"/>
    <n v="0"/>
    <n v="0"/>
    <x v="45"/>
    <n v="0"/>
    <n v="17"/>
    <n v="0"/>
    <n v="17"/>
    <n v="0"/>
    <n v="0"/>
    <n v="0"/>
    <n v="0"/>
    <n v="0"/>
    <n v="0"/>
    <n v="0"/>
    <x v="1"/>
    <n v="55"/>
    <n v="0"/>
  </r>
  <r>
    <x v="65"/>
    <x v="6"/>
    <n v="3112003013"/>
    <s v="2720 W Avenue K-12, Bldg 6, Lancaster, CA 93536"/>
    <s v="5+"/>
    <x v="0"/>
    <n v="0"/>
    <n v="0"/>
    <n v="0"/>
    <n v="0"/>
    <n v="0"/>
    <n v="0"/>
    <x v="0"/>
    <n v="0"/>
    <n v="0"/>
    <n v="0"/>
    <n v="0"/>
    <n v="0"/>
    <n v="0"/>
    <n v="0"/>
    <n v="8"/>
    <n v="0"/>
    <n v="0"/>
    <n v="0"/>
    <x v="0"/>
    <n v="55"/>
    <n v="0"/>
  </r>
  <r>
    <x v="65"/>
    <x v="6"/>
    <n v="3126031039"/>
    <s v="43445 Sahuayo St 93534"/>
    <s v="5+"/>
    <x v="0"/>
    <n v="0"/>
    <n v="0"/>
    <n v="0"/>
    <n v="0"/>
    <n v="0"/>
    <n v="0"/>
    <x v="0"/>
    <n v="0"/>
    <n v="0"/>
    <n v="0"/>
    <n v="0"/>
    <n v="0"/>
    <n v="8"/>
    <n v="0"/>
    <n v="72"/>
    <n v="0"/>
    <n v="0"/>
    <n v="0"/>
    <x v="0"/>
    <n v="55"/>
    <s v="0.33000000000000002"/>
  </r>
  <r>
    <x v="65"/>
    <x v="6"/>
    <n v="3148041001"/>
    <s v="1745 E Avenue J-4, Lancaster, CA 93535"/>
    <s v="5+"/>
    <x v="0"/>
    <n v="0"/>
    <n v="0"/>
    <n v="0"/>
    <n v="0"/>
    <n v="0"/>
    <n v="0"/>
    <x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29 E Avenue J-4, Lancaster, CA 93535"/>
    <s v="5+"/>
    <x v="0"/>
    <n v="0"/>
    <n v="0"/>
    <n v="0"/>
    <n v="0"/>
    <n v="0"/>
    <n v="0"/>
    <x v="0"/>
    <n v="0"/>
    <n v="0"/>
    <n v="0"/>
    <n v="0"/>
    <n v="0"/>
    <n v="0"/>
    <n v="0"/>
    <n v="24"/>
    <n v="0"/>
    <n v="0"/>
    <n v="0"/>
    <x v="0"/>
    <n v="55"/>
    <n v="0"/>
  </r>
  <r>
    <x v="85"/>
    <x v="6"/>
    <s v="214-010-033"/>
    <s v="1602 Cinnabar Ct.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85"/>
    <x v="6"/>
    <s v="208-260-036"/>
    <s v="2233 San Ramon Valley Blvd"/>
    <s v="5+"/>
    <x v="0"/>
    <n v="88"/>
    <n v="0"/>
    <n v="43"/>
    <n v="0"/>
    <n v="0"/>
    <n v="0"/>
    <x v="0"/>
    <n v="0"/>
    <n v="0"/>
    <n v="0"/>
    <n v="0"/>
    <n v="0"/>
    <n v="0"/>
    <n v="0"/>
    <n v="0"/>
    <n v="0"/>
    <n v="0"/>
    <n v="0"/>
    <x v="0"/>
    <m/>
    <n v="0.25"/>
  </r>
  <r>
    <x v="85"/>
    <x v="6"/>
    <s v="214-010-173"/>
    <s v="3110 Seashell Terrace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5"/>
    <n v="0"/>
  </r>
  <r>
    <x v="85"/>
    <x v="6"/>
    <s v="214-010-243"/>
    <s v="1111 Amethyst Ct.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1"/>
    <x v="6"/>
    <s v="051-0030-001-0000"/>
    <s v="7243 POWER INN RD, BLDG# 6_x000a_SACRAMENTO, CA 95828"/>
    <s v="5+"/>
    <x v="0"/>
    <n v="0"/>
    <n v="0"/>
    <n v="0"/>
    <n v="0"/>
    <n v="0"/>
    <n v="0"/>
    <x v="0"/>
    <n v="0"/>
    <n v="0"/>
    <n v="0"/>
    <n v="0"/>
    <n v="0"/>
    <n v="0"/>
    <n v="0"/>
    <n v="24"/>
    <n v="0"/>
    <n v="0"/>
    <n v="0"/>
    <x v="0"/>
    <n v="55"/>
    <s v="0.28999999999999998"/>
  </r>
  <r>
    <x v="188"/>
    <x v="6"/>
    <n v="60242057"/>
    <s v="1206 W GRAND AVE"/>
    <s v="5+"/>
    <x v="0"/>
    <n v="35"/>
    <n v="0"/>
    <n v="17"/>
    <n v="0"/>
    <n v="0"/>
    <n v="0"/>
    <x v="66"/>
    <n v="0"/>
    <n v="17"/>
    <n v="0"/>
    <n v="0"/>
    <n v="0"/>
    <n v="0"/>
    <n v="0"/>
    <n v="0"/>
    <n v="0"/>
    <n v="0"/>
    <n v="0"/>
    <x v="0"/>
    <m/>
    <s v="0.70999999999999996"/>
  </r>
  <r>
    <x v="57"/>
    <x v="6"/>
    <n v="4217027004"/>
    <s v="4830 S SLAUSON AVE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35"/>
  </r>
  <r>
    <x v="8"/>
    <x v="6"/>
    <n v="3410503800"/>
    <s v="7251 NAVAL WY"/>
    <s v="5+"/>
    <x v="0"/>
    <n v="0"/>
    <n v="0"/>
    <n v="0"/>
    <n v="0"/>
    <n v="0"/>
    <n v="0"/>
    <x v="0"/>
    <n v="0"/>
    <n v="0"/>
    <n v="0"/>
    <n v="0"/>
    <n v="0"/>
    <n v="0"/>
    <n v="0"/>
    <n v="180"/>
    <n v="0"/>
    <n v="0"/>
    <n v="0"/>
    <x v="1"/>
    <m/>
    <n v="0"/>
  </r>
  <r>
    <x v="8"/>
    <x v="6"/>
    <n v="4332503100"/>
    <s v="2261 IRONWOOD CR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"/>
    <x v="6"/>
    <s v="026-0073-003-0000"/>
    <s v="5700 STOCKTON BLVD, BLDG# D1_x000a_SACRAMENTO, CA 95824-1614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0"/>
    <m/>
    <n v="1"/>
  </r>
  <r>
    <x v="57"/>
    <x v="6"/>
    <n v="4220019034"/>
    <s v="5475 S INGLEWOOD BLVD #1-11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22"/>
  </r>
  <r>
    <x v="185"/>
    <x v="6"/>
    <s v="117-361-017-000"/>
    <s v="124 GONDA ST, ROYAL OAKS, CA 95076"/>
    <s v="5+"/>
    <x v="0"/>
    <n v="3"/>
    <n v="0"/>
    <n v="0"/>
    <n v="32"/>
    <n v="0"/>
    <n v="0"/>
    <x v="0"/>
    <n v="0"/>
    <n v="0"/>
    <n v="0"/>
    <n v="0"/>
    <n v="0"/>
    <n v="0"/>
    <n v="0"/>
    <n v="0"/>
    <n v="0"/>
    <n v="0"/>
    <n v="0"/>
    <x v="0"/>
    <n v="55"/>
    <s v="0.34999999999999998"/>
  </r>
  <r>
    <x v="8"/>
    <x v="6"/>
    <n v="4332503100"/>
    <s v="2211 IRONWOOD CR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572 Soaptree Dr, San Diego, CA 92154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5452711900"/>
    <s v="2840 L St, San Diego, CA"/>
    <s v="5+"/>
    <x v="0"/>
    <n v="0"/>
    <n v="0"/>
    <n v="0"/>
    <n v="0"/>
    <n v="0"/>
    <n v="0"/>
    <x v="3"/>
    <n v="0"/>
    <n v="0"/>
    <n v="0"/>
    <n v="1"/>
    <n v="0"/>
    <n v="0"/>
    <n v="0"/>
    <n v="0"/>
    <n v="0"/>
    <n v="0"/>
    <n v="0"/>
    <x v="0"/>
    <n v="55"/>
    <n v="1"/>
  </r>
  <r>
    <x v="1"/>
    <x v="6"/>
    <s v="026-0073-014-0000"/>
    <s v="5700 STOCKTON BLVD, BLDG# F_x000a_SACRAMENTO, CA 95824-1614"/>
    <s v="5+"/>
    <x v="0"/>
    <n v="0"/>
    <n v="0"/>
    <n v="0"/>
    <n v="0"/>
    <n v="0"/>
    <n v="0"/>
    <x v="0"/>
    <n v="0"/>
    <n v="10"/>
    <n v="0"/>
    <n v="0"/>
    <n v="0"/>
    <n v="0"/>
    <n v="0"/>
    <n v="0"/>
    <n v="0"/>
    <n v="0"/>
    <n v="0"/>
    <x v="0"/>
    <m/>
    <n v="1"/>
  </r>
  <r>
    <x v="8"/>
    <x v="6"/>
    <n v="3130600600"/>
    <s v="15322 Junipers Dr, San Diego, CA 92129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99"/>
    <x v="6"/>
    <s v="091-060-019"/>
    <s v="80 Dovetail Lane"/>
    <s v="5+"/>
    <x v="0"/>
    <n v="0"/>
    <n v="0"/>
    <n v="0"/>
    <n v="0"/>
    <n v="0"/>
    <n v="0"/>
    <x v="7"/>
    <n v="0"/>
    <n v="13"/>
    <n v="0"/>
    <n v="1"/>
    <n v="0"/>
    <n v="0"/>
    <n v="0"/>
    <n v="0"/>
    <n v="0"/>
    <n v="0"/>
    <n v="0"/>
    <x v="1"/>
    <n v="55"/>
    <n v="0"/>
  </r>
  <r>
    <x v="141"/>
    <x v="6"/>
    <s v="839-161-17"/>
    <s v="28813 Los Alisos, Unit 7"/>
    <s v="5+"/>
    <x v="1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8"/>
    <x v="6"/>
    <n v="3130600600"/>
    <s v="15305 Junipers Dr, San Diego, CA 92129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3616611200"/>
    <s v="5259 Mount Etna Dr, San Diego, CA"/>
    <s v="5+"/>
    <x v="0"/>
    <n v="0"/>
    <n v="0"/>
    <n v="0"/>
    <n v="0"/>
    <n v="0"/>
    <n v="0"/>
    <x v="90"/>
    <n v="0"/>
    <n v="36"/>
    <n v="0"/>
    <n v="0"/>
    <n v="0"/>
    <n v="0"/>
    <n v="0"/>
    <n v="0"/>
    <n v="0"/>
    <n v="0"/>
    <n v="0"/>
    <x v="0"/>
    <n v="55"/>
    <n v="1"/>
  </r>
  <r>
    <x v="201"/>
    <x v="0"/>
    <s v="258-163-06, 258-163-07"/>
    <s v="777, 779, and 793 Second Street"/>
    <s v="5+"/>
    <x v="1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34999999999999998"/>
  </r>
  <r>
    <x v="157"/>
    <x v="6"/>
    <s v="427 332  04"/>
    <s v="1401 Quail St"/>
    <s v="5+"/>
    <x v="1"/>
    <n v="6"/>
    <n v="0"/>
    <n v="2"/>
    <n v="0"/>
    <n v="0"/>
    <n v="0"/>
    <x v="0"/>
    <n v="0"/>
    <n v="0"/>
    <n v="0"/>
    <n v="0"/>
    <n v="0"/>
    <n v="0"/>
    <n v="0"/>
    <n v="0"/>
    <n v="0"/>
    <n v="0"/>
    <n v="0"/>
    <x v="0"/>
    <m/>
    <s v="0.28000000000000003"/>
  </r>
  <r>
    <x v="110"/>
    <x v="6"/>
    <n v="694190087"/>
    <s v="74699 TECHNOLOGY DR"/>
    <s v="5+"/>
    <x v="0"/>
    <n v="0"/>
    <n v="0"/>
    <n v="0"/>
    <n v="0"/>
    <n v="0"/>
    <n v="0"/>
    <x v="17"/>
    <n v="0"/>
    <n v="2"/>
    <n v="0"/>
    <n v="2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x v="45"/>
    <n v="0"/>
    <n v="8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x v="45"/>
    <n v="0"/>
    <n v="8"/>
    <n v="0"/>
    <n v="0"/>
    <n v="0"/>
    <n v="0"/>
    <n v="0"/>
    <n v="0"/>
    <n v="0"/>
    <n v="0"/>
    <n v="0"/>
    <x v="1"/>
    <n v="55"/>
    <n v="0"/>
  </r>
  <r>
    <x v="110"/>
    <x v="6"/>
    <n v="622370014"/>
    <m/>
    <s v="5+"/>
    <x v="0"/>
    <n v="24"/>
    <n v="0"/>
    <n v="15"/>
    <n v="0"/>
    <n v="0"/>
    <n v="0"/>
    <x v="0"/>
    <n v="0"/>
    <n v="0"/>
    <n v="0"/>
    <n v="0"/>
    <n v="0"/>
    <n v="0"/>
    <n v="0"/>
    <n v="0"/>
    <n v="0"/>
    <n v="0"/>
    <n v="0"/>
    <x v="0"/>
    <m/>
    <s v="0.10000000000000001"/>
  </r>
  <r>
    <x v="65"/>
    <x v="6"/>
    <n v="3112003013"/>
    <s v="2720 W Avenue K-12, Bldg 5 93536"/>
    <s v="5+"/>
    <x v="0"/>
    <n v="0"/>
    <n v="0"/>
    <n v="0"/>
    <n v="0"/>
    <n v="0"/>
    <n v="0"/>
    <x v="0"/>
    <n v="0"/>
    <n v="0"/>
    <n v="0"/>
    <n v="0"/>
    <n v="0"/>
    <n v="0"/>
    <n v="0"/>
    <n v="16"/>
    <n v="0"/>
    <n v="0"/>
    <n v="0"/>
    <x v="0"/>
    <n v="55"/>
    <n v="0"/>
  </r>
  <r>
    <x v="65"/>
    <x v="6"/>
    <n v="3148041001"/>
    <s v="1753 E Avenue J-4 93535"/>
    <s v="5+"/>
    <x v="0"/>
    <n v="0"/>
    <n v="0"/>
    <n v="0"/>
    <n v="0"/>
    <n v="0"/>
    <n v="0"/>
    <x v="0"/>
    <n v="0"/>
    <n v="0"/>
    <n v="0"/>
    <n v="0"/>
    <n v="0"/>
    <n v="0"/>
    <n v="0"/>
    <n v="24"/>
    <n v="0"/>
    <n v="0"/>
    <n v="0"/>
    <x v="0"/>
    <n v="55"/>
    <n v="0"/>
  </r>
  <r>
    <x v="65"/>
    <x v="6"/>
    <s v="3142-013-021"/>
    <s v="240 E Lancaster Blvd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0.25"/>
  </r>
  <r>
    <x v="24"/>
    <x v="6"/>
    <n v="2484024403"/>
    <s v="3201 W OLIVE AVE"/>
    <s v="5+"/>
    <x v="0"/>
    <n v="1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.5"/>
  </r>
  <r>
    <x v="124"/>
    <x v="6"/>
    <s v="039-202-013"/>
    <s v="528 W FIGUEROA ST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90"/>
    <s v="0.20000000000000001"/>
  </r>
  <r>
    <x v="8"/>
    <x v="6"/>
    <n v="4303330300"/>
    <s v="2019 Chicago St, San Diego, CA 92110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.5"/>
  </r>
  <r>
    <x v="60"/>
    <x v="6"/>
    <n v="1124541"/>
    <s v="1515 4th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20000000000000001"/>
  </r>
  <r>
    <x v="36"/>
    <x v="6"/>
    <s v="692-30-14-3"/>
    <s v="THORNTON AVENUE &amp; OLIVE STREET"/>
    <s v="5+"/>
    <x v="1"/>
    <n v="0"/>
    <n v="0"/>
    <n v="13"/>
    <n v="0"/>
    <n v="0"/>
    <n v="0"/>
    <x v="0"/>
    <n v="0"/>
    <n v="0"/>
    <n v="0"/>
    <n v="0"/>
    <n v="0"/>
    <n v="0"/>
    <n v="0"/>
    <n v="0"/>
    <n v="0"/>
    <n v="0"/>
    <n v="0"/>
    <x v="0"/>
    <m/>
    <s v="0.14999999999999999"/>
  </r>
  <r>
    <x v="85"/>
    <x v="6"/>
    <s v="214-010-240"/>
    <s v="1016 Amethyst  Cour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85"/>
    <x v="6"/>
    <s v="214-010-288"/>
    <s v="5307 Lava  Court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1"/>
    <n v="0"/>
    <x v="1"/>
    <n v="55"/>
    <n v="0"/>
  </r>
  <r>
    <x v="66"/>
    <x v="6"/>
    <n v="4017003004"/>
    <s v="627 Hill St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23000000000000001"/>
  </r>
  <r>
    <x v="8"/>
    <x v="6"/>
    <n v="4521520700"/>
    <s v="3801 Richmond St, San Diego, CA 92103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.5"/>
  </r>
  <r>
    <x v="8"/>
    <x v="6"/>
    <n v="6454100100"/>
    <s v="5345 Seacliff Pl, San Diego, CA 92154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7"/>
    <n v="0"/>
    <x v="1"/>
    <m/>
    <n v="0"/>
  </r>
  <r>
    <x v="57"/>
    <x v="1"/>
    <n v="4314017008"/>
    <s v="3451 S MOTOR AVE #1-30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1"/>
    <n v="55"/>
    <n v="0"/>
  </r>
  <r>
    <x v="69"/>
    <x v="6"/>
    <s v="092-579-008"/>
    <s v="0 HILL STREET, NIPOMO CA 93444"/>
    <s v="5+"/>
    <x v="0"/>
    <n v="0"/>
    <n v="0"/>
    <n v="73"/>
    <n v="0"/>
    <n v="0"/>
    <n v="0"/>
    <x v="0"/>
    <n v="0"/>
    <n v="0"/>
    <n v="0"/>
    <n v="0"/>
    <n v="0"/>
    <n v="0"/>
    <n v="0"/>
    <n v="0"/>
    <n v="0"/>
    <n v="0"/>
    <n v="0"/>
    <x v="0"/>
    <m/>
    <s v="0.23999999999999999"/>
  </r>
  <r>
    <x v="186"/>
    <x v="6"/>
    <s v="428-0056-057-00"/>
    <s v="966 B Street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.5"/>
  </r>
  <r>
    <x v="186"/>
    <x v="6"/>
    <s v="415-0230-078-00"/>
    <s v="22422 Rockaway Lane"/>
    <s v="5+"/>
    <x v="0"/>
    <n v="1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1000"/>
    <s v="0.23000000000000001"/>
  </r>
  <r>
    <x v="53"/>
    <x v="6"/>
    <s v="058-220-048"/>
    <s v="1525   DEVONWOOD DR"/>
    <s v="5+"/>
    <x v="0"/>
    <n v="0"/>
    <n v="0"/>
    <n v="0"/>
    <n v="0"/>
    <n v="0"/>
    <n v="0"/>
    <x v="69"/>
    <n v="0"/>
    <n v="0"/>
    <n v="0"/>
    <n v="0"/>
    <n v="0"/>
    <n v="0"/>
    <n v="0"/>
    <n v="0"/>
    <n v="0"/>
    <n v="0"/>
    <n v="0"/>
    <x v="0"/>
    <n v="55"/>
    <n v="0"/>
  </r>
  <r>
    <x v="53"/>
    <x v="6"/>
    <s v="058-220-048"/>
    <s v="1565   DEVONWOOD DR"/>
    <s v="5+"/>
    <x v="0"/>
    <n v="0"/>
    <n v="0"/>
    <n v="0"/>
    <n v="0"/>
    <n v="0"/>
    <n v="0"/>
    <x v="45"/>
    <n v="0"/>
    <n v="20"/>
    <n v="0"/>
    <n v="0"/>
    <n v="0"/>
    <n v="0"/>
    <n v="0"/>
    <n v="0"/>
    <n v="0"/>
    <n v="0"/>
    <n v="0"/>
    <x v="0"/>
    <n v="55"/>
    <n v="0"/>
  </r>
  <r>
    <x v="57"/>
    <x v="1"/>
    <n v="4363010022"/>
    <s v="535 S GLENROCK AVE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s v="0.55000000000000004"/>
  </r>
  <r>
    <x v="32"/>
    <x v="6"/>
    <s v="4283-013-024"/>
    <s v="1413  MICHIGAN AVE"/>
    <s v="5+"/>
    <x v="0"/>
    <n v="0"/>
    <n v="0"/>
    <n v="0"/>
    <n v="0"/>
    <n v="0"/>
    <n v="0"/>
    <x v="0"/>
    <n v="0"/>
    <n v="0"/>
    <n v="0"/>
    <n v="0"/>
    <n v="0"/>
    <n v="57"/>
    <n v="0"/>
    <n v="1"/>
    <n v="0"/>
    <n v="0"/>
    <n v="0"/>
    <x v="0"/>
    <n v="99"/>
    <s v="0.17999999999999999"/>
  </r>
  <r>
    <x v="57"/>
    <x v="1"/>
    <n v="2353017012"/>
    <s v="11168 W MORRISON ST 1-12"/>
    <s v="5+"/>
    <x v="0"/>
    <n v="0"/>
    <n v="0"/>
    <n v="0"/>
    <n v="0"/>
    <n v="0"/>
    <n v="0"/>
    <x v="3"/>
    <n v="0"/>
    <n v="0"/>
    <n v="0"/>
    <n v="0"/>
    <n v="0"/>
    <n v="1"/>
    <n v="0"/>
    <n v="0"/>
    <n v="0"/>
    <n v="0"/>
    <n v="0"/>
    <x v="1"/>
    <m/>
    <n v="0"/>
  </r>
  <r>
    <x v="57"/>
    <x v="1"/>
    <n v="5093025003"/>
    <s v="750 S KINGSLEY DR"/>
    <s v="5+"/>
    <x v="0"/>
    <n v="0"/>
    <n v="0"/>
    <n v="0"/>
    <n v="0"/>
    <n v="0"/>
    <n v="0"/>
    <x v="0"/>
    <n v="0"/>
    <n v="0"/>
    <n v="0"/>
    <n v="0"/>
    <n v="0"/>
    <n v="6"/>
    <n v="0"/>
    <n v="0"/>
    <n v="0"/>
    <n v="0"/>
    <n v="0"/>
    <x v="0"/>
    <n v="55"/>
    <s v="0.34999999999999998"/>
  </r>
  <r>
    <x v="32"/>
    <x v="6"/>
    <d v="1990-01-20T00:00:00"/>
    <s v="1626  LINCOLN BLVD"/>
    <s v="5+"/>
    <x v="0"/>
    <n v="0"/>
    <n v="0"/>
    <n v="0"/>
    <n v="0"/>
    <n v="0"/>
    <n v="0"/>
    <x v="0"/>
    <n v="0"/>
    <n v="0"/>
    <n v="0"/>
    <n v="0"/>
    <n v="0"/>
    <n v="46"/>
    <n v="0"/>
    <n v="18"/>
    <n v="0"/>
    <n v="0"/>
    <n v="0"/>
    <x v="1"/>
    <n v="99"/>
    <n v="0"/>
  </r>
  <r>
    <x v="186"/>
    <x v="6"/>
    <s v="431-0004-090-00"/>
    <s v="22500 Grand ST_x000a_HAYWARD, CA 94541"/>
    <s v="5+"/>
    <x v="0"/>
    <n v="0"/>
    <n v="0"/>
    <n v="0"/>
    <n v="0"/>
    <n v="0"/>
    <n v="0"/>
    <x v="109"/>
    <n v="0"/>
    <n v="0"/>
    <n v="0"/>
    <n v="0"/>
    <n v="0"/>
    <n v="0"/>
    <n v="0"/>
    <n v="0"/>
    <n v="0"/>
    <n v="0"/>
    <n v="0"/>
    <x v="0"/>
    <n v="1000"/>
    <s v="0.45000000000000001"/>
  </r>
  <r>
    <x v="57"/>
    <x v="1"/>
    <n v="2042006055"/>
    <s v="23036 W VENTURA BLVD"/>
    <s v="5+"/>
    <x v="0"/>
    <n v="21"/>
    <n v="0"/>
    <n v="78"/>
    <n v="0"/>
    <n v="0"/>
    <n v="0"/>
    <x v="0"/>
    <n v="0"/>
    <n v="0"/>
    <n v="0"/>
    <n v="0"/>
    <n v="0"/>
    <n v="0"/>
    <n v="0"/>
    <n v="0"/>
    <n v="0"/>
    <n v="0"/>
    <n v="0"/>
    <x v="0"/>
    <n v="55"/>
    <s v="1.1699999999999999"/>
  </r>
  <r>
    <x v="238"/>
    <x v="6"/>
    <s v="016902119"/>
    <s v="1227 TEXAS ST"/>
    <s v="5+"/>
    <x v="0"/>
    <n v="20"/>
    <n v="0"/>
    <n v="0"/>
    <n v="0"/>
    <n v="0"/>
    <n v="0"/>
    <x v="15"/>
    <n v="0"/>
    <n v="0"/>
    <n v="0"/>
    <n v="0"/>
    <n v="0"/>
    <n v="0"/>
    <n v="0"/>
    <n v="0"/>
    <n v="0"/>
    <n v="0"/>
    <n v="0"/>
    <x v="0"/>
    <m/>
    <s v="0.14000000000000001"/>
  </r>
  <r>
    <x v="186"/>
    <x v="6"/>
    <s v="444-0057-006-00"/>
    <s v="24997 Oneil Ave_x000a_Hayward, CA 94544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1000"/>
    <n v="0.25"/>
  </r>
  <r>
    <x v="215"/>
    <x v="6"/>
    <s v="044-172-190 and 044-172-200"/>
    <s v="803 Belmont Ave"/>
    <s v="5+"/>
    <x v="0"/>
    <n v="0"/>
    <n v="0"/>
    <n v="0"/>
    <n v="0"/>
    <n v="0"/>
    <n v="0"/>
    <x v="110"/>
    <n v="0"/>
    <n v="62"/>
    <n v="0"/>
    <n v="0"/>
    <n v="0"/>
    <n v="0"/>
    <n v="0"/>
    <n v="0"/>
    <n v="0"/>
    <n v="0"/>
    <n v="0"/>
    <x v="0"/>
    <n v="55"/>
    <s v="0.89000000000000001"/>
  </r>
  <r>
    <x v="51"/>
    <x v="6"/>
    <s v="068-323-050"/>
    <s v="405 Atascadero Rd"/>
    <s v="5+"/>
    <x v="0"/>
    <n v="0"/>
    <n v="0"/>
    <n v="0"/>
    <n v="0"/>
    <n v="0"/>
    <n v="0"/>
    <x v="0"/>
    <n v="0"/>
    <n v="0"/>
    <n v="0"/>
    <n v="0"/>
    <n v="0"/>
    <n v="13"/>
    <n v="0"/>
    <n v="21"/>
    <n v="0"/>
    <n v="1"/>
    <n v="0"/>
    <x v="0"/>
    <n v="55"/>
    <s v="0.34999999999999998"/>
  </r>
  <r>
    <x v="57"/>
    <x v="1"/>
    <n v="2320025021"/>
    <s v="11606 W ARCHWOOD ST"/>
    <s v="5+"/>
    <x v="0"/>
    <n v="0"/>
    <n v="0"/>
    <n v="17"/>
    <n v="0"/>
    <n v="0"/>
    <n v="0"/>
    <x v="0"/>
    <n v="0"/>
    <n v="0"/>
    <n v="0"/>
    <n v="0"/>
    <n v="0"/>
    <n v="0"/>
    <n v="0"/>
    <n v="0"/>
    <n v="0"/>
    <n v="0"/>
    <n v="0"/>
    <x v="0"/>
    <m/>
    <s v="2.3999999999999999"/>
  </r>
  <r>
    <x v="57"/>
    <x v="1"/>
    <n v="2348003031"/>
    <s v="11806 W BURBANK BLVD"/>
    <s v="5+"/>
    <x v="0"/>
    <n v="23"/>
    <n v="0"/>
    <n v="0"/>
    <n v="0"/>
    <n v="6"/>
    <n v="0"/>
    <x v="0"/>
    <n v="0"/>
    <n v="0"/>
    <n v="0"/>
    <n v="0"/>
    <n v="0"/>
    <n v="0"/>
    <n v="0"/>
    <n v="0"/>
    <n v="0"/>
    <n v="0"/>
    <n v="0"/>
    <x v="0"/>
    <m/>
    <n v="2"/>
  </r>
  <r>
    <x v="57"/>
    <x v="1"/>
    <n v="2360004121"/>
    <s v="13568 W RYE ST 1-6"/>
    <s v="5+"/>
    <x v="0"/>
    <n v="0"/>
    <n v="0"/>
    <n v="180"/>
    <n v="0"/>
    <n v="45"/>
    <n v="0"/>
    <x v="0"/>
    <n v="0"/>
    <n v="0"/>
    <n v="0"/>
    <n v="0"/>
    <n v="0"/>
    <n v="0"/>
    <n v="0"/>
    <n v="0"/>
    <n v="0"/>
    <n v="0"/>
    <n v="0"/>
    <x v="0"/>
    <m/>
    <s v="3.4300000000000002"/>
  </r>
  <r>
    <x v="8"/>
    <x v="6"/>
    <n v="4365810400"/>
    <s v="5727 Lauretta St, San Diego, CA 92110"/>
    <s v="5+"/>
    <x v="0"/>
    <n v="0"/>
    <n v="0"/>
    <n v="0"/>
    <n v="0"/>
    <n v="0"/>
    <n v="0"/>
    <x v="0"/>
    <n v="0"/>
    <n v="1"/>
    <n v="0"/>
    <n v="0"/>
    <n v="0"/>
    <n v="0"/>
    <n v="0"/>
    <n v="0"/>
    <n v="0"/>
    <n v="0"/>
    <n v="0"/>
    <x v="0"/>
    <n v="55"/>
    <s v="0.59999999999999998"/>
  </r>
  <r>
    <x v="184"/>
    <x v="6"/>
    <s v="203-311-13"/>
    <s v="13800 MILTON AVE_x000a_WESTMINSTER, CA 92683"/>
    <s v="5+"/>
    <x v="0"/>
    <n v="0"/>
    <n v="0"/>
    <n v="53"/>
    <n v="0"/>
    <n v="0"/>
    <n v="0"/>
    <x v="0"/>
    <n v="0"/>
    <n v="0"/>
    <n v="0"/>
    <n v="0"/>
    <n v="0"/>
    <n v="0"/>
    <n v="0"/>
    <n v="0"/>
    <n v="0"/>
    <n v="0"/>
    <n v="0"/>
    <x v="0"/>
    <n v="55"/>
    <s v="0.80000000000000004"/>
  </r>
  <r>
    <x v="8"/>
    <x v="6"/>
    <n v="4362110900"/>
    <s v="1334 Gertrude St, San Diego, CA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n v="0.5"/>
  </r>
  <r>
    <x v="91"/>
    <x v="6"/>
    <s v="180-310-15-00"/>
    <s v="1070 S Santa Fe Ave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34999999999999998"/>
  </r>
  <r>
    <x v="91"/>
    <x v="6"/>
    <s v="179-130-31-00"/>
    <s v="952 Postal Way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19"/>
  </r>
  <r>
    <x v="18"/>
    <x v="6"/>
    <s v="241-020-033"/>
    <s v="60 Woodbury Highlands Pl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8"/>
    <x v="6"/>
    <n v="4240610600"/>
    <s v="2135 Garnet Ave, San Diego, CA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56000000000000005"/>
  </r>
  <r>
    <x v="8"/>
    <x v="6"/>
    <n v="3130601000"/>
    <s v="14483 PENASQUITOS DR"/>
    <s v="5+"/>
    <x v="0"/>
    <n v="0"/>
    <n v="0"/>
    <n v="0"/>
    <n v="0"/>
    <n v="0"/>
    <n v="0"/>
    <x v="0"/>
    <n v="0"/>
    <n v="0"/>
    <n v="0"/>
    <n v="0"/>
    <n v="0"/>
    <n v="5"/>
    <n v="0"/>
    <n v="0"/>
    <n v="0"/>
    <n v="0"/>
    <n v="0"/>
    <x v="1"/>
    <m/>
    <n v="0"/>
  </r>
  <r>
    <x v="8"/>
    <x v="6"/>
    <n v="3130601000"/>
    <s v="14443 PENASQUITOS DR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1"/>
    <m/>
    <n v="0"/>
  </r>
  <r>
    <x v="8"/>
    <x v="6"/>
    <n v="3130601000"/>
    <s v="14423 PENASQUITOS DR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1"/>
    <m/>
    <n v="0"/>
  </r>
  <r>
    <x v="57"/>
    <x v="1"/>
    <n v="4256001005"/>
    <s v="10942 W PICO BLVD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35999999999999999"/>
  </r>
  <r>
    <x v="57"/>
    <x v="1"/>
    <n v="4317001014"/>
    <s v="1854 S PANDORA AVE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1.95"/>
  </r>
  <r>
    <x v="57"/>
    <x v="1"/>
    <n v="5093023056"/>
    <s v="926 S KINGSLEY DR"/>
    <s v="5+"/>
    <x v="0"/>
    <n v="9"/>
    <n v="0"/>
    <n v="108"/>
    <n v="0"/>
    <n v="27"/>
    <n v="0"/>
    <x v="0"/>
    <n v="0"/>
    <n v="0"/>
    <n v="0"/>
    <n v="0"/>
    <n v="0"/>
    <n v="0"/>
    <n v="0"/>
    <n v="0"/>
    <n v="0"/>
    <n v="0"/>
    <n v="0"/>
    <x v="0"/>
    <m/>
    <s v="1.6100000000000001"/>
  </r>
  <r>
    <x v="57"/>
    <x v="1"/>
    <n v="4303027036"/>
    <s v="1725 S LA CIENEGA BLVD 1-26"/>
    <s v="5+"/>
    <x v="0"/>
    <n v="0"/>
    <n v="0"/>
    <n v="59"/>
    <n v="0"/>
    <n v="0"/>
    <n v="0"/>
    <x v="0"/>
    <n v="0"/>
    <n v="0"/>
    <n v="0"/>
    <n v="0"/>
    <n v="0"/>
    <n v="0"/>
    <n v="0"/>
    <n v="0"/>
    <n v="0"/>
    <n v="0"/>
    <n v="0"/>
    <x v="0"/>
    <m/>
    <s v="0.34000000000000002"/>
  </r>
  <r>
    <x v="57"/>
    <x v="1"/>
    <n v="6074019008"/>
    <s v="11151 S BROADWAY"/>
    <s v="5+"/>
    <x v="0"/>
    <n v="8"/>
    <n v="0"/>
    <n v="31"/>
    <n v="0"/>
    <n v="0"/>
    <n v="0"/>
    <x v="0"/>
    <n v="0"/>
    <n v="0"/>
    <n v="0"/>
    <n v="0"/>
    <n v="0"/>
    <n v="0"/>
    <n v="0"/>
    <n v="0"/>
    <n v="0"/>
    <n v="0"/>
    <n v="0"/>
    <x v="0"/>
    <m/>
    <s v="0.60999999999999999"/>
  </r>
  <r>
    <x v="159"/>
    <x v="6"/>
    <s v="5734-023-022"/>
    <s v="139 S OAK KNOLL AVE APARTMENT_x000a_PASADENA, CA 91101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1000"/>
    <s v="0.34999999999999998"/>
  </r>
  <r>
    <x v="78"/>
    <x v="6"/>
    <s v="41209026, 41209032, 41209036"/>
    <s v="57- 101 GILMAN AVE &amp; 60 DILLON AVE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34999999999999998"/>
  </r>
  <r>
    <x v="8"/>
    <x v="6"/>
    <n v="4332503100"/>
    <s v="2201 IRONWOOD CR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4332503100"/>
    <s v="2221 IRONWOOD CR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4446900900"/>
    <s v="3927 08th Av, San Diego, CA"/>
    <s v="5+"/>
    <x v="0"/>
    <n v="0"/>
    <n v="0"/>
    <n v="0"/>
    <n v="0"/>
    <n v="0"/>
    <n v="0"/>
    <x v="55"/>
    <n v="0"/>
    <n v="0"/>
    <n v="0"/>
    <n v="0"/>
    <n v="0"/>
    <n v="0"/>
    <n v="0"/>
    <n v="0"/>
    <n v="0"/>
    <n v="0"/>
    <n v="0"/>
    <x v="0"/>
    <n v="55"/>
    <s v="2.6000000000000001"/>
  </r>
  <r>
    <x v="239"/>
    <x v="6"/>
    <s v="064-470-103"/>
    <s v="1625 N. Waterman Ave #4"/>
    <s v="5+"/>
    <x v="0"/>
    <n v="0"/>
    <n v="24"/>
    <n v="0"/>
    <n v="0"/>
    <n v="0"/>
    <n v="0"/>
    <x v="0"/>
    <n v="24"/>
    <n v="0"/>
    <n v="0"/>
    <n v="0"/>
    <n v="0"/>
    <n v="0"/>
    <n v="24"/>
    <n v="0"/>
    <n v="0"/>
    <n v="0"/>
    <n v="0"/>
    <x v="0"/>
    <n v="55"/>
    <n v="0"/>
  </r>
  <r>
    <x v="1"/>
    <x v="6"/>
    <s v="026-0073-014-0000"/>
    <s v="5700 Stockton Blvd, Bldg# D2 Sacramento, CA 95814"/>
    <s v="5+"/>
    <x v="0"/>
    <n v="0"/>
    <n v="0"/>
    <n v="0"/>
    <n v="0"/>
    <n v="0"/>
    <n v="0"/>
    <x v="0"/>
    <n v="0"/>
    <n v="9"/>
    <n v="1"/>
    <n v="0"/>
    <n v="0"/>
    <n v="0"/>
    <n v="0"/>
    <n v="0"/>
    <n v="0"/>
    <n v="0"/>
    <n v="0"/>
    <x v="0"/>
    <m/>
    <n v="1"/>
  </r>
  <r>
    <x v="1"/>
    <x v="6"/>
    <s v="026-0073-014-0000"/>
    <s v="5700 STOCKTON BLVD, BLDG# E3_x000a_SACRAMENTO, CA 95824-1614"/>
    <s v="5+"/>
    <x v="0"/>
    <n v="0"/>
    <n v="0"/>
    <n v="0"/>
    <n v="0"/>
    <n v="0"/>
    <n v="0"/>
    <x v="0"/>
    <n v="0"/>
    <n v="10"/>
    <n v="0"/>
    <n v="0"/>
    <n v="0"/>
    <n v="0"/>
    <n v="0"/>
    <n v="0"/>
    <n v="0"/>
    <n v="0"/>
    <n v="0"/>
    <x v="0"/>
    <m/>
    <n v="1"/>
  </r>
  <r>
    <x v="273"/>
    <x v="6"/>
    <s v="339-391-14, 339-391-15, 339-392-14, 339-392-15"/>
    <s v="300,307,312,314 Baker St"/>
    <s v="5+"/>
    <x v="0"/>
    <n v="0"/>
    <n v="0"/>
    <n v="0"/>
    <n v="68"/>
    <n v="0"/>
    <n v="0"/>
    <x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141021002"/>
    <s v="820 S LAKE ST"/>
    <s v="5+"/>
    <x v="0"/>
    <n v="1"/>
    <n v="0"/>
    <n v="23"/>
    <n v="0"/>
    <n v="7"/>
    <n v="0"/>
    <x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180006006"/>
    <s v="2528 E 1ST ST"/>
    <s v="5+"/>
    <x v="0"/>
    <n v="12"/>
    <n v="0"/>
    <n v="38"/>
    <n v="0"/>
    <n v="0"/>
    <n v="0"/>
    <x v="0"/>
    <n v="0"/>
    <n v="0"/>
    <n v="0"/>
    <n v="0"/>
    <n v="0"/>
    <n v="0"/>
    <n v="0"/>
    <n v="0"/>
    <n v="0"/>
    <n v="0"/>
    <n v="0"/>
    <x v="0"/>
    <n v="55"/>
    <s v="0.60999999999999999"/>
  </r>
  <r>
    <x v="57"/>
    <x v="1"/>
    <n v="6006004009"/>
    <s v="5860 S LOS ANGELES ST"/>
    <s v="5+"/>
    <x v="0"/>
    <n v="0"/>
    <n v="0"/>
    <n v="111"/>
    <n v="0"/>
    <n v="28"/>
    <n v="0"/>
    <x v="0"/>
    <n v="0"/>
    <n v="0"/>
    <n v="0"/>
    <n v="0"/>
    <n v="0"/>
    <n v="0"/>
    <n v="0"/>
    <n v="0"/>
    <n v="0"/>
    <n v="0"/>
    <n v="0"/>
    <x v="0"/>
    <n v="55"/>
    <s v="6.7800000000000002"/>
  </r>
  <r>
    <x v="57"/>
    <x v="1"/>
    <n v="6031021019"/>
    <s v="7823 S BROADWAY"/>
    <s v="5+"/>
    <x v="0"/>
    <n v="0"/>
    <n v="0"/>
    <n v="29"/>
    <n v="0"/>
    <n v="0"/>
    <n v="0"/>
    <x v="0"/>
    <n v="0"/>
    <n v="0"/>
    <n v="0"/>
    <n v="0"/>
    <n v="0"/>
    <n v="0"/>
    <n v="0"/>
    <n v="0"/>
    <n v="0"/>
    <n v="0"/>
    <n v="0"/>
    <x v="0"/>
    <n v="55"/>
    <n v="0.38"/>
  </r>
  <r>
    <x v="57"/>
    <x v="1"/>
    <n v="5551017007"/>
    <s v="7971 W SUNSET; 7979 W SUNSET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4335006044"/>
    <s v="412 N OAKHURST"/>
    <s v="5+"/>
    <x v="0"/>
    <n v="5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0.19"/>
  </r>
  <r>
    <x v="57"/>
    <x v="1"/>
    <n v="2366025017"/>
    <s v="11201 W VENTURA; 4260 N ARCH"/>
    <s v="5+"/>
    <x v="0"/>
    <n v="1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14000000000000001"/>
  </r>
  <r>
    <x v="57"/>
    <x v="1"/>
    <n v="5053035029"/>
    <s v="1722 W ADAMS; 1724 W ADAMS; 1726 W ADAMS; 1728 W ADAMS; 1730 W ADAMS; 1732 W ADAMS; 1734 W ADAMS"/>
    <s v="5+"/>
    <x v="0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35999999999999999"/>
  </r>
  <r>
    <x v="234"/>
    <x v="6"/>
    <s v="329-010-080-000"/>
    <s v="1300 DRESDEN DRIVE, LINCOLN, CA 95648"/>
    <s v="5+"/>
    <x v="0"/>
    <n v="0"/>
    <n v="0"/>
    <n v="0"/>
    <n v="0"/>
    <n v="0"/>
    <n v="0"/>
    <x v="17"/>
    <n v="3"/>
    <n v="0"/>
    <n v="19"/>
    <n v="0"/>
    <n v="0"/>
    <n v="0"/>
    <n v="0"/>
    <n v="0"/>
    <n v="0"/>
    <n v="0"/>
    <n v="0"/>
    <x v="0"/>
    <n v="55"/>
    <n v="0"/>
  </r>
  <r>
    <x v="74"/>
    <x v="6"/>
    <n v="39032215"/>
    <s v="1800 E LA VETA AVE BLDG. A"/>
    <s v="5+"/>
    <x v="0"/>
    <n v="0"/>
    <n v="0"/>
    <n v="0"/>
    <n v="0"/>
    <n v="0"/>
    <n v="0"/>
    <x v="0"/>
    <n v="0"/>
    <n v="51"/>
    <n v="0"/>
    <n v="0"/>
    <n v="0"/>
    <n v="0"/>
    <n v="0"/>
    <n v="0"/>
    <n v="0"/>
    <n v="0"/>
    <n v="0"/>
    <x v="0"/>
    <n v="55"/>
    <s v="0.80000000000000004"/>
  </r>
  <r>
    <x v="274"/>
    <x v="6"/>
    <s v="139-143-004"/>
    <s v="539 Alisal"/>
    <s v="5+"/>
    <x v="1"/>
    <n v="0"/>
    <n v="0"/>
    <n v="1"/>
    <n v="0"/>
    <n v="0"/>
    <n v="0"/>
    <x v="3"/>
    <n v="0"/>
    <n v="0"/>
    <n v="0"/>
    <n v="0"/>
    <n v="0"/>
    <n v="1"/>
    <n v="0"/>
    <n v="0"/>
    <n v="0"/>
    <n v="0"/>
    <n v="0"/>
    <x v="0"/>
    <n v="55"/>
    <s v="0.33000000000000002"/>
  </r>
  <r>
    <x v="18"/>
    <x v="6"/>
    <s v="241-020-030"/>
    <s v="105 Woodbury Highlands Pl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1000"/>
    <n v="0"/>
  </r>
  <r>
    <x v="199"/>
    <x v="6"/>
    <s v="091-060-019"/>
    <s v="1830 Boxheart Drive"/>
    <s v="5+"/>
    <x v="0"/>
    <n v="0"/>
    <n v="0"/>
    <n v="0"/>
    <n v="0"/>
    <n v="0"/>
    <n v="0"/>
    <x v="3"/>
    <n v="0"/>
    <n v="18"/>
    <n v="0"/>
    <n v="0"/>
    <n v="0"/>
    <n v="0"/>
    <n v="0"/>
    <n v="0"/>
    <n v="0"/>
    <n v="0"/>
    <n v="0"/>
    <x v="1"/>
    <n v="55"/>
    <n v="0"/>
  </r>
  <r>
    <x v="57"/>
    <x v="6"/>
    <n v="2233030001"/>
    <s v="6754 N VALJEAN AVE 1-99"/>
    <s v="5+"/>
    <x v="0"/>
    <n v="0"/>
    <n v="0"/>
    <n v="0"/>
    <n v="0"/>
    <n v="0"/>
    <n v="0"/>
    <x v="3"/>
    <n v="0"/>
    <n v="77"/>
    <n v="0"/>
    <n v="20"/>
    <n v="0"/>
    <n v="0"/>
    <n v="0"/>
    <n v="0"/>
    <n v="0"/>
    <n v="0"/>
    <n v="0"/>
    <x v="0"/>
    <n v="55"/>
    <n v="800"/>
  </r>
  <r>
    <x v="275"/>
    <x v="6"/>
    <s v="1046-605-03"/>
    <s v="120 S Euclid AVE"/>
    <s v="5+"/>
    <x v="0"/>
    <n v="0"/>
    <n v="0"/>
    <n v="81"/>
    <n v="0"/>
    <n v="0"/>
    <n v="0"/>
    <x v="0"/>
    <n v="0"/>
    <n v="0"/>
    <n v="0"/>
    <n v="0"/>
    <n v="0"/>
    <n v="0"/>
    <n v="0"/>
    <n v="0"/>
    <n v="0"/>
    <n v="0"/>
    <n v="0"/>
    <x v="0"/>
    <m/>
    <s v="0.47999999999999998"/>
  </r>
  <r>
    <x v="83"/>
    <x v="6"/>
    <s v="030-271-019"/>
    <s v="5880 ARDILLA RD"/>
    <s v="5+"/>
    <x v="0"/>
    <n v="0"/>
    <n v="0"/>
    <n v="19"/>
    <n v="0"/>
    <n v="0"/>
    <n v="0"/>
    <x v="0"/>
    <n v="0"/>
    <n v="0"/>
    <n v="0"/>
    <n v="0"/>
    <n v="0"/>
    <n v="0"/>
    <n v="0"/>
    <n v="0"/>
    <n v="0"/>
    <n v="0"/>
    <n v="0"/>
    <x v="0"/>
    <n v="55"/>
    <s v="0.34999999999999998"/>
  </r>
  <r>
    <x v="202"/>
    <x v="6"/>
    <s v="559-105-12-00"/>
    <s v="1924 Harding Ave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m/>
    <s v="0.070000000000000007"/>
  </r>
  <r>
    <x v="202"/>
    <x v="6"/>
    <s v="562-072-03"/>
    <s v="129 National City Blvd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m/>
    <s v="0.17000000000000001"/>
  </r>
  <r>
    <x v="71"/>
    <x v="6"/>
    <n v="4134005015"/>
    <s v="5700 HANNUM AVE"/>
    <s v="5+"/>
    <x v="0"/>
    <n v="2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39000000000000001"/>
  </r>
  <r>
    <x v="57"/>
    <x v="6"/>
    <n v="2321011003"/>
    <s v="12012 W HART ST 1-22"/>
    <s v="5+"/>
    <x v="0"/>
    <n v="2"/>
    <n v="0"/>
    <n v="14"/>
    <n v="0"/>
    <n v="5"/>
    <n v="0"/>
    <x v="0"/>
    <n v="0"/>
    <n v="0"/>
    <n v="0"/>
    <n v="0"/>
    <n v="0"/>
    <n v="0"/>
    <n v="0"/>
    <n v="0"/>
    <n v="0"/>
    <n v="0"/>
    <n v="0"/>
    <x v="0"/>
    <n v="55"/>
    <n v="144"/>
  </r>
  <r>
    <x v="57"/>
    <x v="6"/>
    <n v="2021002013"/>
    <s v="7572 N WOODLAKE AVE"/>
    <s v="5+"/>
    <x v="0"/>
    <n v="0"/>
    <n v="0"/>
    <n v="265"/>
    <n v="0"/>
    <n v="66"/>
    <n v="0"/>
    <x v="0"/>
    <n v="0"/>
    <n v="0"/>
    <n v="0"/>
    <n v="0"/>
    <n v="0"/>
    <n v="0"/>
    <n v="0"/>
    <n v="0"/>
    <n v="0"/>
    <n v="0"/>
    <n v="0"/>
    <x v="0"/>
    <n v="55"/>
    <n v="1560"/>
  </r>
  <r>
    <x v="57"/>
    <x v="6"/>
    <n v="2421015009"/>
    <s v="10860 W CAMARILLO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240"/>
  </r>
  <r>
    <x v="57"/>
    <x v="6"/>
    <n v="2536015013"/>
    <s v="12335 W OSBORNE PL"/>
    <s v="5+"/>
    <x v="0"/>
    <n v="0"/>
    <n v="0"/>
    <n v="247"/>
    <n v="0"/>
    <n v="62"/>
    <n v="0"/>
    <x v="0"/>
    <n v="0"/>
    <n v="0"/>
    <n v="0"/>
    <n v="0"/>
    <n v="0"/>
    <n v="0"/>
    <n v="0"/>
    <n v="0"/>
    <n v="0"/>
    <n v="0"/>
    <n v="0"/>
    <x v="0"/>
    <n v="55"/>
    <n v="900"/>
  </r>
  <r>
    <x v="57"/>
    <x v="6"/>
    <n v="4125011010"/>
    <s v="9033 S RAMSGATE AVE"/>
    <s v="5+"/>
    <x v="0"/>
    <n v="0"/>
    <n v="0"/>
    <n v="92"/>
    <n v="0"/>
    <n v="23"/>
    <n v="0"/>
    <x v="0"/>
    <n v="0"/>
    <n v="0"/>
    <n v="0"/>
    <n v="0"/>
    <n v="0"/>
    <n v="0"/>
    <n v="0"/>
    <n v="0"/>
    <n v="0"/>
    <n v="0"/>
    <n v="0"/>
    <x v="0"/>
    <n v="55"/>
    <n v="867"/>
  </r>
  <r>
    <x v="57"/>
    <x v="6"/>
    <n v="4217009017"/>
    <s v="4360 S MCLAUGHLIN AVE"/>
    <s v="5+"/>
    <x v="0"/>
    <n v="0"/>
    <n v="0"/>
    <n v="29"/>
    <n v="0"/>
    <n v="5"/>
    <n v="0"/>
    <x v="0"/>
    <n v="0"/>
    <n v="0"/>
    <n v="0"/>
    <n v="0"/>
    <n v="0"/>
    <n v="0"/>
    <n v="0"/>
    <n v="0"/>
    <n v="0"/>
    <n v="0"/>
    <n v="0"/>
    <x v="0"/>
    <n v="55"/>
    <n v="375"/>
  </r>
  <r>
    <x v="57"/>
    <x v="6"/>
    <n v="4236021012"/>
    <s v="3981 S MEIER ST"/>
    <s v="5+"/>
    <x v="0"/>
    <n v="0"/>
    <n v="0"/>
    <n v="60"/>
    <n v="0"/>
    <n v="16"/>
    <n v="0"/>
    <x v="0"/>
    <n v="0"/>
    <n v="0"/>
    <n v="0"/>
    <n v="0"/>
    <n v="0"/>
    <n v="0"/>
    <n v="0"/>
    <n v="0"/>
    <n v="0"/>
    <n v="0"/>
    <n v="0"/>
    <x v="0"/>
    <n v="55"/>
    <n v="436"/>
  </r>
  <r>
    <x v="235"/>
    <x v="6"/>
    <s v="564-040-21-00"/>
    <s v="2542 ridgeway dr, national city, ca 91950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s v="0.28000000000000003"/>
  </r>
  <r>
    <x v="65"/>
    <x v="6"/>
    <n v="3148041001"/>
    <s v="1755 E Avenue J-4, Lancaster, CA 93535"/>
    <s v="5+"/>
    <x v="0"/>
    <n v="0"/>
    <n v="0"/>
    <n v="0"/>
    <n v="0"/>
    <n v="0"/>
    <n v="0"/>
    <x v="0"/>
    <n v="0"/>
    <n v="0"/>
    <n v="0"/>
    <n v="0"/>
    <n v="0"/>
    <n v="0"/>
    <n v="0"/>
    <n v="24"/>
    <n v="0"/>
    <n v="0"/>
    <n v="0"/>
    <x v="0"/>
    <n v="55"/>
    <n v="0"/>
  </r>
  <r>
    <x v="57"/>
    <x v="6"/>
    <n v="5019006004"/>
    <s v="4269 S HOOVER ST"/>
    <s v="5+"/>
    <x v="0"/>
    <n v="3"/>
    <n v="0"/>
    <n v="67"/>
    <n v="0"/>
    <n v="17"/>
    <n v="0"/>
    <x v="0"/>
    <n v="0"/>
    <n v="0"/>
    <n v="0"/>
    <n v="0"/>
    <n v="0"/>
    <n v="0"/>
    <n v="0"/>
    <n v="0"/>
    <n v="0"/>
    <n v="0"/>
    <n v="0"/>
    <x v="0"/>
    <n v="55"/>
    <n v="268"/>
  </r>
  <r>
    <x v="52"/>
    <x v="1"/>
    <n v="21300600250000"/>
    <s v="1600 CANYON TERRACE LN"/>
    <s v="5+"/>
    <x v="0"/>
    <n v="0"/>
    <n v="0"/>
    <n v="0"/>
    <n v="0"/>
    <n v="0"/>
    <n v="0"/>
    <x v="2"/>
    <n v="0"/>
    <n v="7"/>
    <n v="0"/>
    <n v="0"/>
    <n v="10"/>
    <n v="0"/>
    <n v="0"/>
    <n v="0"/>
    <n v="0"/>
    <n v="0"/>
    <n v="0"/>
    <x v="1"/>
    <m/>
    <n v="0"/>
  </r>
  <r>
    <x v="57"/>
    <x v="6"/>
    <n v="5046015022"/>
    <s v="3546 S CHESAPEAKE AVE"/>
    <s v="5+"/>
    <x v="0"/>
    <n v="1"/>
    <n v="0"/>
    <n v="41"/>
    <n v="0"/>
    <n v="11"/>
    <n v="0"/>
    <x v="0"/>
    <n v="0"/>
    <n v="0"/>
    <n v="0"/>
    <n v="0"/>
    <n v="0"/>
    <n v="0"/>
    <n v="0"/>
    <n v="0"/>
    <n v="0"/>
    <n v="0"/>
    <n v="0"/>
    <x v="0"/>
    <n v="55"/>
    <n v="500"/>
  </r>
  <r>
    <x v="57"/>
    <x v="6"/>
    <n v="5056007025"/>
    <s v="1323 S ARAPAHOE ST"/>
    <s v="5+"/>
    <x v="0"/>
    <n v="2"/>
    <n v="0"/>
    <n v="19"/>
    <n v="0"/>
    <n v="5"/>
    <n v="0"/>
    <x v="0"/>
    <n v="0"/>
    <n v="0"/>
    <n v="0"/>
    <n v="0"/>
    <n v="0"/>
    <n v="0"/>
    <n v="0"/>
    <n v="0"/>
    <n v="0"/>
    <n v="0"/>
    <n v="0"/>
    <x v="0"/>
    <n v="55"/>
    <n v="440"/>
  </r>
  <r>
    <x v="217"/>
    <x v="6"/>
    <s v="APN 001211022"/>
    <s v="100 Asti Rd"/>
    <s v="5+"/>
    <x v="0"/>
    <n v="0"/>
    <n v="0"/>
    <n v="0"/>
    <n v="0"/>
    <n v="0"/>
    <n v="0"/>
    <x v="34"/>
    <n v="0"/>
    <n v="20"/>
    <n v="0"/>
    <n v="0"/>
    <n v="0"/>
    <n v="0"/>
    <n v="0"/>
    <n v="0"/>
    <n v="0"/>
    <n v="0"/>
    <n v="0"/>
    <x v="0"/>
    <m/>
    <s v="0.10000000000000001"/>
  </r>
  <r>
    <x v="85"/>
    <x v="6"/>
    <s v="214-010-034"/>
    <s v="1709 Cinnabar Ct.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85"/>
    <x v="6"/>
    <s v="213-133-102"/>
    <s v="6200 Bollinger Canyon Rd."/>
    <s v="5+"/>
    <x v="0"/>
    <n v="35"/>
    <n v="0"/>
    <n v="34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85"/>
    <x v="6"/>
    <s v="214-010-185"/>
    <s v="3205 Ivory Terrace"/>
    <s v="5+"/>
    <x v="1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1"/>
    <n v="55"/>
    <n v="0"/>
  </r>
  <r>
    <x v="57"/>
    <x v="6"/>
    <n v="5081010010"/>
    <s v="1058 S NORTON AVE"/>
    <s v="5+"/>
    <x v="0"/>
    <n v="0"/>
    <n v="0"/>
    <n v="73"/>
    <n v="0"/>
    <n v="21"/>
    <n v="0"/>
    <x v="0"/>
    <n v="0"/>
    <n v="0"/>
    <n v="0"/>
    <n v="0"/>
    <n v="0"/>
    <n v="0"/>
    <n v="0"/>
    <n v="0"/>
    <n v="0"/>
    <n v="0"/>
    <n v="0"/>
    <x v="0"/>
    <n v="55"/>
    <n v="325"/>
  </r>
  <r>
    <x v="57"/>
    <x v="6"/>
    <n v="5090033019"/>
    <s v="800 S LORRAINE BLVD"/>
    <s v="5+"/>
    <x v="0"/>
    <n v="0"/>
    <n v="0"/>
    <n v="51"/>
    <n v="0"/>
    <n v="12"/>
    <n v="0"/>
    <x v="0"/>
    <n v="0"/>
    <n v="0"/>
    <n v="0"/>
    <n v="0"/>
    <n v="0"/>
    <n v="0"/>
    <n v="0"/>
    <n v="0"/>
    <n v="0"/>
    <n v="0"/>
    <n v="0"/>
    <x v="0"/>
    <n v="55"/>
    <n v="540"/>
  </r>
  <r>
    <x v="57"/>
    <x v="6"/>
    <n v="5136019023"/>
    <s v="1132 S ALVARADO ST"/>
    <s v="5+"/>
    <x v="0"/>
    <n v="0"/>
    <n v="0"/>
    <n v="46"/>
    <n v="0"/>
    <n v="12"/>
    <n v="0"/>
    <x v="0"/>
    <n v="0"/>
    <n v="0"/>
    <n v="0"/>
    <n v="0"/>
    <n v="0"/>
    <n v="0"/>
    <n v="0"/>
    <n v="0"/>
    <n v="0"/>
    <n v="0"/>
    <n v="0"/>
    <x v="0"/>
    <n v="55"/>
    <n v="146"/>
  </r>
  <r>
    <x v="57"/>
    <x v="6"/>
    <n v="5154014005"/>
    <s v="120 S CARONDELET ST"/>
    <s v="5+"/>
    <x v="0"/>
    <n v="1"/>
    <n v="0"/>
    <n v="64"/>
    <n v="0"/>
    <n v="14"/>
    <n v="0"/>
    <x v="0"/>
    <n v="0"/>
    <n v="0"/>
    <n v="0"/>
    <n v="0"/>
    <n v="0"/>
    <n v="0"/>
    <n v="0"/>
    <n v="0"/>
    <n v="0"/>
    <n v="0"/>
    <n v="0"/>
    <x v="0"/>
    <n v="55"/>
    <n v="700"/>
  </r>
  <r>
    <x v="57"/>
    <x v="6"/>
    <n v="5210004014"/>
    <s v="1931 N WORKMAN ST"/>
    <s v="5+"/>
    <x v="0"/>
    <n v="2"/>
    <n v="0"/>
    <n v="177"/>
    <n v="0"/>
    <n v="46"/>
    <n v="0"/>
    <x v="0"/>
    <n v="0"/>
    <n v="0"/>
    <n v="0"/>
    <n v="0"/>
    <n v="0"/>
    <n v="0"/>
    <n v="0"/>
    <n v="0"/>
    <n v="0"/>
    <n v="0"/>
    <n v="0"/>
    <x v="0"/>
    <n v="55"/>
    <n v="1700"/>
  </r>
  <r>
    <x v="57"/>
    <x v="6"/>
    <n v="5459027035"/>
    <s v="4002 N VERDUGO ROAD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28"/>
  </r>
  <r>
    <x v="57"/>
    <x v="6"/>
    <n v="5474023008"/>
    <s v="4319 N TOLAND WAY 1-4"/>
    <s v="5+"/>
    <x v="0"/>
    <n v="9"/>
    <n v="0"/>
    <n v="103"/>
    <n v="0"/>
    <n v="28"/>
    <n v="0"/>
    <x v="0"/>
    <n v="0"/>
    <n v="0"/>
    <n v="0"/>
    <n v="0"/>
    <n v="0"/>
    <n v="0"/>
    <n v="0"/>
    <n v="0"/>
    <n v="0"/>
    <n v="0"/>
    <n v="0"/>
    <x v="0"/>
    <n v="55"/>
    <n v="992"/>
  </r>
  <r>
    <x v="57"/>
    <x v="6"/>
    <n v="6040030032"/>
    <s v="8915 S BROADWAY"/>
    <s v="5+"/>
    <x v="0"/>
    <n v="0"/>
    <n v="0"/>
    <n v="40"/>
    <n v="0"/>
    <n v="0"/>
    <n v="0"/>
    <x v="0"/>
    <n v="0"/>
    <n v="0"/>
    <n v="0"/>
    <n v="0"/>
    <n v="0"/>
    <n v="0"/>
    <n v="0"/>
    <n v="0"/>
    <n v="0"/>
    <n v="0"/>
    <n v="0"/>
    <x v="0"/>
    <n v="55"/>
    <n v="32"/>
  </r>
  <r>
    <x v="57"/>
    <x v="6"/>
    <n v="4265008042"/>
    <s v="11727 W KIOWA AVE"/>
    <s v="5+"/>
    <x v="0"/>
    <n v="0"/>
    <n v="0"/>
    <n v="0"/>
    <n v="0"/>
    <n v="0"/>
    <n v="0"/>
    <x v="3"/>
    <n v="0"/>
    <n v="0"/>
    <n v="0"/>
    <n v="0"/>
    <n v="0"/>
    <n v="1"/>
    <n v="0"/>
    <n v="0"/>
    <n v="0"/>
    <n v="0"/>
    <n v="0"/>
    <x v="0"/>
    <n v="55"/>
    <n v="30"/>
  </r>
  <r>
    <x v="1"/>
    <x v="6"/>
    <s v="051-0030-001-0000"/>
    <s v="7243 POWER INN RD, BLDG# 4_x000a_SACRAMENTO, CA 95828"/>
    <s v="5+"/>
    <x v="0"/>
    <n v="0"/>
    <n v="0"/>
    <n v="0"/>
    <n v="0"/>
    <n v="0"/>
    <n v="0"/>
    <x v="0"/>
    <n v="0"/>
    <n v="0"/>
    <n v="0"/>
    <n v="0"/>
    <n v="0"/>
    <n v="0"/>
    <n v="0"/>
    <n v="24"/>
    <n v="0"/>
    <n v="0"/>
    <n v="0"/>
    <x v="0"/>
    <n v="55"/>
    <s v="0.28999999999999998"/>
  </r>
  <r>
    <x v="57"/>
    <x v="6"/>
    <n v="5056026033"/>
    <s v="1450 W WASHINGTON BLVD 1-40"/>
    <s v="5+"/>
    <x v="0"/>
    <n v="0"/>
    <n v="0"/>
    <n v="0"/>
    <n v="0"/>
    <n v="0"/>
    <n v="0"/>
    <x v="5"/>
    <n v="0"/>
    <n v="0"/>
    <n v="0"/>
    <n v="0"/>
    <n v="0"/>
    <n v="4"/>
    <n v="0"/>
    <n v="0"/>
    <n v="0"/>
    <n v="0"/>
    <n v="0"/>
    <x v="0"/>
    <n v="55"/>
    <n v="35"/>
  </r>
  <r>
    <x v="8"/>
    <x v="6"/>
    <n v="4256800900"/>
    <s v="3001 Clairemont Dr"/>
    <s v="5+"/>
    <x v="0"/>
    <n v="0"/>
    <n v="0"/>
    <n v="23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4454320900"/>
    <s v="2828 HOWARD AV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55"/>
    <n v="1"/>
  </r>
  <r>
    <x v="8"/>
    <x v="6"/>
    <n v="3130600700"/>
    <s v="14473 PENASQUITOS DR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1"/>
    <m/>
    <n v="0"/>
  </r>
  <r>
    <x v="8"/>
    <x v="6"/>
    <n v="3130601000"/>
    <s v="14413 PENASQUITOS DR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m/>
    <n v="0"/>
  </r>
  <r>
    <x v="8"/>
    <x v="6"/>
    <n v="4523612400"/>
    <s v="3634 INDIANA ST"/>
    <s v="5+"/>
    <x v="0"/>
    <n v="0"/>
    <n v="0"/>
    <n v="0"/>
    <n v="0"/>
    <n v="0"/>
    <n v="0"/>
    <x v="0"/>
    <n v="0"/>
    <n v="0"/>
    <n v="0"/>
    <n v="0"/>
    <n v="0"/>
    <n v="2"/>
    <n v="0"/>
    <n v="0"/>
    <n v="0"/>
    <n v="0"/>
    <n v="0"/>
    <x v="0"/>
    <n v="55"/>
    <n v="0.25"/>
  </r>
  <r>
    <x v="8"/>
    <x v="6"/>
    <n v="4714610500"/>
    <s v="4061 FAIRMOUNT AV"/>
    <s v="5+"/>
    <x v="0"/>
    <n v="0"/>
    <n v="0"/>
    <n v="0"/>
    <n v="0"/>
    <n v="0"/>
    <n v="0"/>
    <x v="0"/>
    <n v="0"/>
    <n v="0"/>
    <n v="0"/>
    <n v="0"/>
    <n v="0"/>
    <n v="0"/>
    <n v="0"/>
    <n v="74"/>
    <n v="0"/>
    <n v="0"/>
    <n v="0"/>
    <x v="0"/>
    <n v="55"/>
    <n v="1.03"/>
  </r>
  <r>
    <x v="8"/>
    <x v="6"/>
    <n v="6461005400"/>
    <s v="2512 Soaptree Dr, San Diego, CA 92154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4251000500"/>
    <s v="4551 Misty Pl, San Diego, CA 92117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301 Brushholly Dr, San Diego, CA 92154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6461002000"/>
    <s v="2031 Vela Ln, San Diego, CA 92154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6461002000"/>
    <s v="2135 Reed Dr, San Diego, CA 92154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0"/>
    <n v="0"/>
    <n v="0"/>
    <n v="0"/>
    <n v="0"/>
    <n v="0"/>
    <n v="0"/>
    <x v="0"/>
    <n v="0"/>
    <n v="2"/>
    <n v="0"/>
    <n v="0"/>
    <n v="0"/>
    <n v="0"/>
    <n v="0"/>
    <n v="0"/>
    <n v="0"/>
    <n v="0"/>
    <n v="0"/>
    <x v="1"/>
    <n v="55"/>
    <n v="0"/>
  </r>
  <r>
    <x v="33"/>
    <x v="6"/>
    <s v="025169380"/>
    <s v="1 ADRIAN CT"/>
    <s v="5+"/>
    <x v="0"/>
    <n v="0"/>
    <n v="0"/>
    <n v="0"/>
    <n v="0"/>
    <n v="0"/>
    <n v="0"/>
    <x v="0"/>
    <n v="0"/>
    <n v="0"/>
    <n v="0"/>
    <n v="0"/>
    <n v="0"/>
    <n v="0"/>
    <n v="0"/>
    <n v="38"/>
    <n v="0"/>
    <n v="0"/>
    <n v="0"/>
    <x v="0"/>
    <n v="55"/>
    <s v="0.34000000000000002"/>
  </r>
  <r>
    <x v="8"/>
    <x v="6"/>
    <n v="5480200470"/>
    <s v="4970 Market St, San Diego, CA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5334040900"/>
    <s v="501 W A St, San Diego, CA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"/>
  </r>
  <r>
    <x v="8"/>
    <x v="6"/>
    <n v="4152310600"/>
    <s v="711 Turquoise St, San Diego, CA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s v="2.3999999999999999"/>
  </r>
  <r>
    <x v="8"/>
    <x v="6"/>
    <n v="6454100100"/>
    <s v="5340 Seacliff Pl, San Diego, CA 92154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7"/>
    <n v="0"/>
    <x v="1"/>
    <m/>
    <n v="0"/>
  </r>
  <r>
    <x v="53"/>
    <x v="6"/>
    <s v="058-220-048"/>
    <s v="1515   DEVONWOOD DR"/>
    <s v="5+"/>
    <x v="0"/>
    <n v="0"/>
    <n v="0"/>
    <n v="0"/>
    <n v="0"/>
    <n v="0"/>
    <n v="0"/>
    <x v="10"/>
    <n v="0"/>
    <n v="0"/>
    <n v="0"/>
    <n v="0"/>
    <n v="0"/>
    <n v="0"/>
    <n v="0"/>
    <n v="0"/>
    <n v="0"/>
    <n v="0"/>
    <n v="0"/>
    <x v="0"/>
    <n v="55"/>
    <n v="0"/>
  </r>
  <r>
    <x v="53"/>
    <x v="6"/>
    <s v="058-220-048"/>
    <s v="1545   DEVONWOOD DR"/>
    <s v="5+"/>
    <x v="0"/>
    <n v="0"/>
    <n v="0"/>
    <n v="0"/>
    <n v="0"/>
    <n v="0"/>
    <n v="0"/>
    <x v="69"/>
    <n v="0"/>
    <n v="0"/>
    <n v="0"/>
    <n v="0"/>
    <n v="0"/>
    <n v="0"/>
    <n v="0"/>
    <n v="0"/>
    <n v="0"/>
    <n v="0"/>
    <n v="0"/>
    <x v="0"/>
    <n v="55"/>
    <n v="0"/>
  </r>
  <r>
    <x v="186"/>
    <x v="6"/>
    <s v="427-0016-050-04"/>
    <s v="22648 2nd                            ST_x000a_HAYWARD, CA 94541"/>
    <s v="5+"/>
    <x v="0"/>
    <n v="0"/>
    <n v="0"/>
    <n v="0"/>
    <n v="0"/>
    <n v="0"/>
    <n v="0"/>
    <x v="0"/>
    <n v="0"/>
    <n v="0"/>
    <n v="0"/>
    <n v="0"/>
    <n v="0"/>
    <n v="46"/>
    <n v="0"/>
    <n v="10"/>
    <n v="0"/>
    <n v="0"/>
    <n v="0"/>
    <x v="0"/>
    <n v="1000"/>
    <n v="0"/>
  </r>
  <r>
    <x v="17"/>
    <x v="6"/>
    <s v="405-101-37"/>
    <s v="1921 W Washington Avenue"/>
    <s v="5+"/>
    <x v="1"/>
    <n v="0"/>
    <n v="0"/>
    <n v="6"/>
    <n v="0"/>
    <n v="0"/>
    <n v="0"/>
    <x v="0"/>
    <n v="0"/>
    <n v="0"/>
    <n v="0"/>
    <n v="0"/>
    <n v="0"/>
    <n v="0"/>
    <n v="0"/>
    <n v="0"/>
    <n v="0"/>
    <n v="0"/>
    <n v="0"/>
    <x v="0"/>
    <n v="45"/>
    <n v="0"/>
  </r>
  <r>
    <x v="17"/>
    <x v="6"/>
    <s v="398-328-01"/>
    <s v="401NMainSt"/>
    <s v="5+"/>
    <x v="0"/>
    <n v="0"/>
    <n v="0"/>
    <n v="0"/>
    <n v="0"/>
    <n v="0"/>
    <n v="0"/>
    <x v="0"/>
    <n v="0"/>
    <n v="0"/>
    <n v="0"/>
    <n v="0"/>
    <n v="0"/>
    <n v="11"/>
    <n v="0"/>
    <n v="0"/>
    <n v="0"/>
    <n v="0"/>
    <n v="0"/>
    <x v="0"/>
    <n v="55"/>
    <n v="0"/>
  </r>
  <r>
    <x v="170"/>
    <x v="6"/>
    <s v="004-211-007; 060-230-067"/>
    <s v="7716 Bodega Ave"/>
    <s v="5+"/>
    <x v="1"/>
    <n v="56"/>
    <n v="0"/>
    <n v="27"/>
    <n v="0"/>
    <n v="0"/>
    <n v="0"/>
    <x v="59"/>
    <n v="0"/>
    <n v="13"/>
    <n v="0"/>
    <n v="0"/>
    <n v="0"/>
    <n v="34"/>
    <n v="0"/>
    <n v="0"/>
    <n v="13"/>
    <n v="0"/>
    <n v="0"/>
    <x v="0"/>
    <n v="55"/>
    <n v="0"/>
  </r>
  <r>
    <x v="170"/>
    <x v="6"/>
    <s v="004-291-019"/>
    <s v="7621 Healdsburg Ave"/>
    <s v="5+"/>
    <x v="1"/>
    <n v="0"/>
    <n v="0"/>
    <n v="1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70"/>
    <x v="6"/>
    <s v="060-261-026; 060-261-028"/>
    <s v="1009-1011 Gravenstein Highway North"/>
    <s v="5+"/>
    <x v="1"/>
    <n v="0"/>
    <n v="0"/>
    <n v="0"/>
    <n v="0"/>
    <n v="12"/>
    <n v="0"/>
    <x v="0"/>
    <n v="0"/>
    <n v="0"/>
    <n v="0"/>
    <n v="0"/>
    <n v="0"/>
    <n v="0"/>
    <n v="0"/>
    <n v="0"/>
    <n v="0"/>
    <n v="0"/>
    <n v="0"/>
    <x v="1"/>
    <m/>
    <n v="0"/>
  </r>
  <r>
    <x v="147"/>
    <x v="6"/>
    <s v="01874104"/>
    <s v="405 ANNIE DR"/>
    <s v="5+"/>
    <x v="1"/>
    <n v="0"/>
    <n v="0"/>
    <n v="4"/>
    <n v="0"/>
    <n v="0"/>
    <n v="0"/>
    <x v="0"/>
    <n v="0"/>
    <n v="4"/>
    <n v="0"/>
    <n v="0"/>
    <n v="0"/>
    <n v="0"/>
    <n v="0"/>
    <n v="0"/>
    <n v="0"/>
    <n v="0"/>
    <n v="0"/>
    <x v="1"/>
    <m/>
    <n v="0"/>
  </r>
  <r>
    <x v="62"/>
    <x v="6"/>
    <n v="3725086"/>
    <s v="967 MISSION ST"/>
    <s v="5+"/>
    <x v="0"/>
    <n v="68"/>
    <n v="0"/>
    <n v="26"/>
    <n v="0"/>
    <n v="0"/>
    <n v="0"/>
    <x v="0"/>
    <n v="0"/>
    <n v="0"/>
    <n v="0"/>
    <n v="0"/>
    <n v="0"/>
    <n v="0"/>
    <n v="0"/>
    <n v="0"/>
    <n v="0"/>
    <n v="0"/>
    <n v="0"/>
    <x v="0"/>
    <n v="99"/>
    <n v="1"/>
  </r>
  <r>
    <x v="172"/>
    <x v="6"/>
    <s v="135-192-50"/>
    <s v="7101 LINCOLN AVE"/>
    <s v="5+"/>
    <x v="0"/>
    <n v="0"/>
    <n v="0"/>
    <n v="55"/>
    <n v="0"/>
    <n v="0"/>
    <n v="0"/>
    <x v="0"/>
    <n v="0"/>
    <n v="0"/>
    <n v="0"/>
    <n v="0"/>
    <n v="0"/>
    <n v="0"/>
    <n v="0"/>
    <n v="0"/>
    <n v="0"/>
    <n v="0"/>
    <n v="0"/>
    <x v="0"/>
    <m/>
    <s v="0.27000000000000002"/>
  </r>
  <r>
    <x v="276"/>
    <x v="6"/>
    <s v="130-012-35"/>
    <s v="4665 Lampson"/>
    <s v="5+"/>
    <x v="0"/>
    <n v="0"/>
    <n v="0"/>
    <n v="76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8"/>
    <x v="6"/>
    <n v="4292810100"/>
    <s v="2696 Mission Village Dr, San Diego, CA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n v="55"/>
    <n v="0.5"/>
  </r>
  <r>
    <x v="8"/>
    <x v="6"/>
    <n v="4453102100"/>
    <s v="4353 PARK BL"/>
    <s v="5+"/>
    <x v="0"/>
    <n v="0"/>
    <n v="0"/>
    <n v="0"/>
    <n v="0"/>
    <n v="0"/>
    <n v="0"/>
    <x v="0"/>
    <n v="0"/>
    <n v="0"/>
    <n v="0"/>
    <n v="0"/>
    <n v="0"/>
    <n v="30"/>
    <n v="0"/>
    <n v="0"/>
    <n v="0"/>
    <n v="0"/>
    <n v="0"/>
    <x v="1"/>
    <m/>
    <n v="0"/>
  </r>
  <r>
    <x v="8"/>
    <x v="6"/>
    <n v="4624401700"/>
    <s v="5310 ADOBE FALLS RD"/>
    <s v="5+"/>
    <x v="0"/>
    <n v="0"/>
    <n v="0"/>
    <n v="0"/>
    <n v="0"/>
    <n v="0"/>
    <n v="0"/>
    <x v="0"/>
    <n v="0"/>
    <n v="0"/>
    <n v="0"/>
    <n v="0"/>
    <n v="0"/>
    <n v="9"/>
    <n v="0"/>
    <n v="0"/>
    <n v="0"/>
    <n v="0"/>
    <n v="0"/>
    <x v="1"/>
    <m/>
    <n v="0"/>
  </r>
  <r>
    <x v="8"/>
    <x v="6"/>
    <n v="4312500100"/>
    <s v="2601 ULRIC ST"/>
    <s v="5+"/>
    <x v="0"/>
    <n v="0"/>
    <n v="0"/>
    <n v="0"/>
    <n v="0"/>
    <n v="0"/>
    <n v="0"/>
    <x v="0"/>
    <n v="0"/>
    <n v="0"/>
    <n v="0"/>
    <n v="0"/>
    <n v="0"/>
    <n v="10"/>
    <n v="0"/>
    <n v="0"/>
    <n v="0"/>
    <n v="0"/>
    <n v="0"/>
    <x v="1"/>
    <m/>
    <n v="0"/>
  </r>
  <r>
    <x v="8"/>
    <x v="6"/>
    <n v="4312820100"/>
    <s v="2341 ULRIC ST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1"/>
    <m/>
    <n v="0"/>
  </r>
  <r>
    <x v="8"/>
    <x v="6"/>
    <n v="4332503100"/>
    <s v="2231 IRONWOOD CR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3081801500"/>
    <s v="2250 SENECIO LN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277"/>
    <x v="6"/>
    <s v="422-163-31"/>
    <s v="2277 Harbor Blvd"/>
    <s v="5+"/>
    <x v="0"/>
    <n v="0"/>
    <n v="0"/>
    <n v="0"/>
    <n v="0"/>
    <n v="0"/>
    <n v="0"/>
    <x v="0"/>
    <n v="0"/>
    <n v="0"/>
    <n v="0"/>
    <n v="0"/>
    <n v="0"/>
    <n v="9"/>
    <n v="0"/>
    <n v="0"/>
    <n v="0"/>
    <n v="0"/>
    <n v="0"/>
    <x v="0"/>
    <m/>
    <s v="0.10000000000000001"/>
  </r>
  <r>
    <x v="8"/>
    <x v="6"/>
    <n v="3130600600"/>
    <s v="15332 Junipers Dr, San Diego, CA 92129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3130600600"/>
    <s v="15316 Junipers Dr, San Diego, CA 92129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8"/>
    <x v="6"/>
    <n v="4504121000"/>
    <s v="2844 Lytton St, San Diego, CA 92110"/>
    <s v="5+"/>
    <x v="0"/>
    <n v="0"/>
    <n v="0"/>
    <n v="0"/>
    <n v="0"/>
    <n v="0"/>
    <n v="0"/>
    <x v="42"/>
    <n v="0"/>
    <n v="0"/>
    <n v="0"/>
    <n v="0"/>
    <n v="0"/>
    <n v="0"/>
    <n v="0"/>
    <n v="0"/>
    <n v="0"/>
    <n v="0"/>
    <n v="0"/>
    <x v="0"/>
    <n v="55"/>
    <s v="0.51000000000000001"/>
  </r>
  <r>
    <x v="57"/>
    <x v="6"/>
    <n v="5093023056"/>
    <s v="926 S KINGSLEY DR 1-136"/>
    <s v="5+"/>
    <x v="0"/>
    <n v="0"/>
    <n v="0"/>
    <n v="0"/>
    <n v="0"/>
    <n v="0"/>
    <n v="0"/>
    <x v="17"/>
    <n v="0"/>
    <n v="109"/>
    <n v="0"/>
    <n v="24"/>
    <n v="0"/>
    <n v="0"/>
    <n v="0"/>
    <n v="0"/>
    <n v="0"/>
    <n v="0"/>
    <n v="0"/>
    <x v="0"/>
    <n v="55"/>
    <n v="162"/>
  </r>
  <r>
    <x v="149"/>
    <x v="6"/>
    <s v="513-0363-015-03"/>
    <s v="830 Witherly Ln"/>
    <s v="5+"/>
    <x v="1"/>
    <n v="0"/>
    <n v="0"/>
    <n v="0"/>
    <n v="0"/>
    <n v="1"/>
    <n v="0"/>
    <x v="0"/>
    <n v="0"/>
    <n v="0"/>
    <n v="0"/>
    <n v="0"/>
    <n v="0"/>
    <n v="0"/>
    <n v="0"/>
    <n v="0"/>
    <n v="0"/>
    <n v="0"/>
    <n v="0"/>
    <x v="0"/>
    <m/>
    <n v="0"/>
  </r>
  <r>
    <x v="57"/>
    <x v="6"/>
    <n v="2126021019"/>
    <s v="6908 N BAIRD AVE"/>
    <s v="5+"/>
    <x v="0"/>
    <n v="0"/>
    <n v="0"/>
    <n v="37"/>
    <n v="0"/>
    <n v="10"/>
    <n v="0"/>
    <x v="0"/>
    <n v="0"/>
    <n v="0"/>
    <n v="0"/>
    <n v="0"/>
    <n v="0"/>
    <n v="0"/>
    <n v="0"/>
    <n v="0"/>
    <n v="0"/>
    <n v="0"/>
    <n v="0"/>
    <x v="0"/>
    <n v="55"/>
    <n v="41"/>
  </r>
  <r>
    <x v="57"/>
    <x v="6"/>
    <n v="2240016021"/>
    <s v="14243 W SYLVAN ST 1-5"/>
    <s v="5+"/>
    <x v="0"/>
    <n v="2"/>
    <n v="0"/>
    <n v="64"/>
    <n v="0"/>
    <n v="14"/>
    <n v="0"/>
    <x v="0"/>
    <n v="0"/>
    <n v="0"/>
    <n v="0"/>
    <n v="0"/>
    <n v="0"/>
    <n v="0"/>
    <n v="0"/>
    <n v="0"/>
    <n v="0"/>
    <n v="0"/>
    <n v="0"/>
    <x v="0"/>
    <n v="55"/>
    <n v="2600"/>
  </r>
  <r>
    <x v="57"/>
    <x v="6"/>
    <n v="2416008010"/>
    <s v="5302 N SATSUMA AVE"/>
    <s v="5+"/>
    <x v="0"/>
    <n v="1"/>
    <n v="0"/>
    <n v="24"/>
    <n v="0"/>
    <n v="7"/>
    <n v="0"/>
    <x v="0"/>
    <n v="0"/>
    <n v="0"/>
    <n v="0"/>
    <n v="0"/>
    <n v="0"/>
    <n v="0"/>
    <n v="0"/>
    <n v="0"/>
    <n v="0"/>
    <n v="0"/>
    <n v="0"/>
    <x v="0"/>
    <n v="55"/>
    <n v="313"/>
  </r>
  <r>
    <x v="57"/>
    <x v="6"/>
    <n v="4006010012"/>
    <s v="6320 S CRENSHAW BLVD"/>
    <s v="5+"/>
    <x v="0"/>
    <n v="0"/>
    <n v="0"/>
    <n v="47"/>
    <n v="0"/>
    <n v="12"/>
    <n v="0"/>
    <x v="0"/>
    <n v="0"/>
    <n v="0"/>
    <n v="0"/>
    <n v="0"/>
    <n v="0"/>
    <n v="0"/>
    <n v="0"/>
    <n v="0"/>
    <n v="0"/>
    <n v="0"/>
    <n v="0"/>
    <x v="0"/>
    <n v="55"/>
    <n v="122"/>
  </r>
  <r>
    <x v="57"/>
    <x v="6"/>
    <n v="4259030017"/>
    <s v="2245 S AMHERST AVE"/>
    <s v="5+"/>
    <x v="0"/>
    <n v="0"/>
    <n v="0"/>
    <n v="30"/>
    <n v="0"/>
    <n v="7"/>
    <n v="0"/>
    <x v="0"/>
    <n v="0"/>
    <n v="0"/>
    <n v="0"/>
    <n v="0"/>
    <n v="0"/>
    <n v="0"/>
    <n v="0"/>
    <n v="0"/>
    <n v="0"/>
    <n v="0"/>
    <n v="0"/>
    <x v="0"/>
    <n v="55"/>
    <n v="533"/>
  </r>
  <r>
    <x v="57"/>
    <x v="6"/>
    <n v="5077022059"/>
    <s v="2859 W FRANCIS AVE"/>
    <s v="5+"/>
    <x v="0"/>
    <n v="1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232"/>
  </r>
  <r>
    <x v="57"/>
    <x v="6"/>
    <n v="5179017009"/>
    <s v="3416 E 1ST ST"/>
    <s v="5+"/>
    <x v="0"/>
    <n v="39"/>
    <n v="0"/>
    <n v="0"/>
    <n v="0"/>
    <n v="10"/>
    <n v="0"/>
    <x v="0"/>
    <n v="0"/>
    <n v="0"/>
    <n v="0"/>
    <n v="0"/>
    <n v="0"/>
    <n v="0"/>
    <n v="0"/>
    <n v="0"/>
    <n v="0"/>
    <n v="0"/>
    <n v="0"/>
    <x v="0"/>
    <n v="55"/>
    <n v="92"/>
  </r>
  <r>
    <x v="57"/>
    <x v="6"/>
    <n v="5502006004"/>
    <s v="316 S CATALINA ST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36"/>
  </r>
  <r>
    <x v="57"/>
    <x v="6"/>
    <n v="6005021032"/>
    <s v="6200 S BROADWAY"/>
    <s v="5+"/>
    <x v="0"/>
    <n v="0"/>
    <n v="0"/>
    <n v="102"/>
    <n v="0"/>
    <n v="28"/>
    <n v="0"/>
    <x v="0"/>
    <n v="0"/>
    <n v="0"/>
    <n v="0"/>
    <n v="0"/>
    <n v="0"/>
    <n v="0"/>
    <n v="0"/>
    <n v="0"/>
    <n v="0"/>
    <n v="0"/>
    <n v="0"/>
    <x v="0"/>
    <n v="55"/>
    <n v="120"/>
  </r>
  <r>
    <x v="32"/>
    <x v="6"/>
    <s v="4276-029-010"/>
    <s v="1819 Santa Monica Blvd"/>
    <s v="5+"/>
    <x v="0"/>
    <n v="5"/>
    <n v="0"/>
    <n v="5"/>
    <n v="0"/>
    <n v="5"/>
    <n v="0"/>
    <x v="0"/>
    <n v="0"/>
    <n v="0"/>
    <n v="0"/>
    <n v="0"/>
    <n v="0"/>
    <n v="0"/>
    <n v="0"/>
    <n v="0"/>
    <n v="0"/>
    <n v="0"/>
    <n v="0"/>
    <x v="1"/>
    <m/>
    <n v="0"/>
  </r>
  <r>
    <x v="57"/>
    <x v="6"/>
    <n v="2322007056"/>
    <s v="12001 W VICTORY BLVD"/>
    <s v="5+"/>
    <x v="0"/>
    <n v="0"/>
    <n v="0"/>
    <n v="234"/>
    <n v="0"/>
    <n v="59"/>
    <n v="0"/>
    <x v="0"/>
    <n v="0"/>
    <n v="0"/>
    <n v="0"/>
    <n v="0"/>
    <n v="0"/>
    <n v="0"/>
    <n v="0"/>
    <n v="0"/>
    <n v="0"/>
    <n v="0"/>
    <n v="0"/>
    <x v="0"/>
    <n v="55"/>
    <n v="194"/>
  </r>
  <r>
    <x v="57"/>
    <x v="6"/>
    <n v="4306009045"/>
    <s v="1462 S REEVES ST 1-4"/>
    <s v="5+"/>
    <x v="0"/>
    <n v="3"/>
    <n v="0"/>
    <n v="76"/>
    <n v="0"/>
    <n v="21"/>
    <n v="0"/>
    <x v="0"/>
    <n v="0"/>
    <n v="0"/>
    <n v="0"/>
    <n v="0"/>
    <n v="0"/>
    <n v="0"/>
    <n v="0"/>
    <n v="0"/>
    <n v="0"/>
    <n v="0"/>
    <n v="0"/>
    <x v="0"/>
    <n v="55"/>
    <n v="490"/>
  </r>
  <r>
    <x v="57"/>
    <x v="6"/>
    <n v="4332019009"/>
    <s v="1140 S SHENANDOAH ST"/>
    <s v="5+"/>
    <x v="0"/>
    <n v="0"/>
    <n v="0"/>
    <n v="14"/>
    <n v="0"/>
    <n v="4"/>
    <n v="0"/>
    <x v="0"/>
    <n v="0"/>
    <n v="0"/>
    <n v="0"/>
    <n v="0"/>
    <n v="0"/>
    <n v="0"/>
    <n v="0"/>
    <n v="0"/>
    <n v="0"/>
    <n v="0"/>
    <n v="0"/>
    <x v="0"/>
    <n v="55"/>
    <n v="162"/>
  </r>
  <r>
    <x v="57"/>
    <x v="6"/>
    <n v="5013016015"/>
    <s v="4827 S CRENSHAW BLVD"/>
    <s v="5+"/>
    <x v="0"/>
    <n v="0"/>
    <n v="0"/>
    <n v="43"/>
    <n v="0"/>
    <n v="12"/>
    <n v="0"/>
    <x v="0"/>
    <n v="0"/>
    <n v="0"/>
    <n v="0"/>
    <n v="0"/>
    <n v="0"/>
    <n v="0"/>
    <n v="0"/>
    <n v="0"/>
    <n v="0"/>
    <n v="0"/>
    <n v="0"/>
    <x v="0"/>
    <n v="55"/>
    <n v="5600"/>
  </r>
  <r>
    <x v="57"/>
    <x v="6"/>
    <n v="5037020011"/>
    <s v="1078 W 39TH ST"/>
    <s v="5+"/>
    <x v="0"/>
    <n v="11"/>
    <n v="0"/>
    <n v="97"/>
    <n v="0"/>
    <n v="11"/>
    <n v="0"/>
    <x v="0"/>
    <n v="0"/>
    <n v="0"/>
    <n v="0"/>
    <n v="0"/>
    <n v="0"/>
    <n v="0"/>
    <n v="0"/>
    <n v="0"/>
    <n v="0"/>
    <n v="0"/>
    <n v="0"/>
    <x v="0"/>
    <n v="55"/>
    <n v="650"/>
  </r>
  <r>
    <x v="57"/>
    <x v="6"/>
    <n v="5114015022"/>
    <s v="964 E JEFFERSON BLVD"/>
    <s v="5+"/>
    <x v="0"/>
    <n v="0"/>
    <n v="0"/>
    <n v="56"/>
    <n v="0"/>
    <n v="14"/>
    <n v="0"/>
    <x v="0"/>
    <n v="0"/>
    <n v="0"/>
    <n v="0"/>
    <n v="0"/>
    <n v="0"/>
    <n v="0"/>
    <n v="0"/>
    <n v="0"/>
    <n v="0"/>
    <n v="0"/>
    <n v="0"/>
    <x v="0"/>
    <n v="55"/>
    <n v="209"/>
  </r>
  <r>
    <x v="57"/>
    <x v="6"/>
    <n v="5154011021"/>
    <s v="2219 W VALLEY ST"/>
    <s v="5+"/>
    <x v="0"/>
    <n v="0"/>
    <n v="0"/>
    <n v="51"/>
    <n v="0"/>
    <n v="13"/>
    <n v="0"/>
    <x v="0"/>
    <n v="0"/>
    <n v="0"/>
    <n v="0"/>
    <n v="0"/>
    <n v="0"/>
    <n v="0"/>
    <n v="0"/>
    <n v="0"/>
    <n v="0"/>
    <n v="0"/>
    <n v="0"/>
    <x v="0"/>
    <n v="55"/>
    <n v="23"/>
  </r>
  <r>
    <x v="57"/>
    <x v="6"/>
    <n v="5183008009"/>
    <s v="2009 E 2ND ST"/>
    <s v="5+"/>
    <x v="0"/>
    <n v="10"/>
    <n v="0"/>
    <n v="26"/>
    <n v="0"/>
    <n v="9"/>
    <n v="0"/>
    <x v="0"/>
    <n v="0"/>
    <n v="0"/>
    <n v="0"/>
    <n v="0"/>
    <n v="0"/>
    <n v="0"/>
    <n v="0"/>
    <n v="0"/>
    <n v="0"/>
    <n v="0"/>
    <n v="0"/>
    <x v="0"/>
    <n v="55"/>
    <n v="667"/>
  </r>
  <r>
    <x v="57"/>
    <x v="6"/>
    <n v="5429010014"/>
    <s v="1108 N MANZANITA ST"/>
    <s v="5+"/>
    <x v="0"/>
    <n v="2"/>
    <n v="0"/>
    <n v="40"/>
    <n v="0"/>
    <n v="11"/>
    <n v="0"/>
    <x v="0"/>
    <n v="0"/>
    <n v="0"/>
    <n v="0"/>
    <n v="0"/>
    <n v="0"/>
    <n v="0"/>
    <n v="0"/>
    <n v="0"/>
    <n v="0"/>
    <n v="0"/>
    <n v="0"/>
    <x v="0"/>
    <n v="55"/>
    <n v="1250"/>
  </r>
  <r>
    <x v="57"/>
    <x v="6"/>
    <n v="5551014011"/>
    <s v="7770 W HOLLYWOOD BLVD"/>
    <s v="5+"/>
    <x v="0"/>
    <n v="17"/>
    <n v="0"/>
    <n v="152"/>
    <n v="0"/>
    <n v="43"/>
    <n v="0"/>
    <x v="0"/>
    <n v="0"/>
    <n v="0"/>
    <n v="0"/>
    <n v="0"/>
    <n v="0"/>
    <n v="0"/>
    <n v="0"/>
    <n v="0"/>
    <n v="0"/>
    <n v="0"/>
    <n v="0"/>
    <x v="0"/>
    <n v="55"/>
    <n v="660"/>
  </r>
  <r>
    <x v="57"/>
    <x v="6"/>
    <n v="5551027003"/>
    <s v="1346 N FAIRFAX AVE"/>
    <s v="5+"/>
    <x v="0"/>
    <n v="0"/>
    <n v="0"/>
    <n v="20"/>
    <n v="0"/>
    <n v="5"/>
    <n v="0"/>
    <x v="0"/>
    <n v="0"/>
    <n v="0"/>
    <n v="0"/>
    <n v="0"/>
    <n v="0"/>
    <n v="0"/>
    <n v="0"/>
    <n v="0"/>
    <n v="0"/>
    <n v="0"/>
    <n v="0"/>
    <x v="0"/>
    <n v="55"/>
    <n v="343"/>
  </r>
  <r>
    <x v="57"/>
    <x v="6"/>
    <n v="6053001015"/>
    <s v="9305 S MAIN ST"/>
    <s v="5+"/>
    <x v="0"/>
    <n v="0"/>
    <n v="0"/>
    <n v="49"/>
    <n v="0"/>
    <n v="12"/>
    <n v="0"/>
    <x v="0"/>
    <n v="0"/>
    <n v="0"/>
    <n v="0"/>
    <n v="0"/>
    <n v="0"/>
    <n v="0"/>
    <n v="0"/>
    <n v="0"/>
    <n v="0"/>
    <n v="0"/>
    <n v="0"/>
    <x v="0"/>
    <n v="55"/>
    <n v="193"/>
  </r>
  <r>
    <x v="8"/>
    <x v="6"/>
    <n v="6454100100"/>
    <s v="5330 Seacliff Pl, San Diego, CA 92154"/>
    <s v="5+"/>
    <x v="1"/>
    <n v="0"/>
    <n v="0"/>
    <n v="0"/>
    <n v="0"/>
    <n v="0"/>
    <n v="0"/>
    <x v="0"/>
    <n v="0"/>
    <n v="0"/>
    <n v="0"/>
    <n v="7"/>
    <n v="0"/>
    <n v="0"/>
    <n v="0"/>
    <n v="0"/>
    <n v="0"/>
    <n v="7"/>
    <n v="0"/>
    <x v="1"/>
    <m/>
    <n v="0"/>
  </r>
  <r>
    <x v="32"/>
    <x v="6"/>
    <s v="4291-021-027"/>
    <s v="700 Santa Monica Blvd"/>
    <s v="5+"/>
    <x v="0"/>
    <n v="4"/>
    <n v="0"/>
    <n v="3"/>
    <n v="0"/>
    <n v="3"/>
    <n v="0"/>
    <x v="0"/>
    <n v="0"/>
    <n v="0"/>
    <n v="0"/>
    <n v="0"/>
    <n v="0"/>
    <n v="0"/>
    <n v="0"/>
    <n v="0"/>
    <n v="0"/>
    <n v="0"/>
    <n v="0"/>
    <x v="0"/>
    <n v="55"/>
    <n v="0.19"/>
  </r>
  <r>
    <x v="32"/>
    <x v="6"/>
    <d v="1967-07-01T00:00:00"/>
    <s v="2600 Wilshire Blvd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215"/>
    <x v="6"/>
    <s v="040290260"/>
    <s v="815 Old County Rd"/>
    <s v="5+"/>
    <x v="0"/>
    <n v="0"/>
    <n v="0"/>
    <n v="0"/>
    <n v="0"/>
    <n v="0"/>
    <n v="0"/>
    <x v="0"/>
    <n v="0"/>
    <n v="0"/>
    <n v="0"/>
    <n v="0"/>
    <n v="0"/>
    <n v="0"/>
    <n v="0"/>
    <n v="27"/>
    <n v="0"/>
    <n v="0"/>
    <n v="0"/>
    <x v="0"/>
    <n v="99"/>
    <s v="0.34999999999999998"/>
  </r>
  <r>
    <x v="111"/>
    <x v="6"/>
    <n v="146141072"/>
    <s v="11215 PIERCE ST, Riverside, CA 92505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0"/>
    <n v="55"/>
    <n v="0"/>
  </r>
  <r>
    <x v="111"/>
    <x v="6"/>
    <n v="146141072"/>
    <s v="11215 PIERCE ST, Riverside, CA 92505"/>
    <s v="5+"/>
    <x v="0"/>
    <n v="0"/>
    <n v="0"/>
    <n v="0"/>
    <n v="0"/>
    <n v="0"/>
    <n v="0"/>
    <x v="0"/>
    <n v="0"/>
    <n v="0"/>
    <n v="0"/>
    <n v="0"/>
    <n v="0"/>
    <n v="0"/>
    <n v="0"/>
    <n v="7"/>
    <n v="0"/>
    <n v="0"/>
    <n v="0"/>
    <x v="0"/>
    <n v="55"/>
    <n v="0"/>
  </r>
  <r>
    <x v="57"/>
    <x v="6"/>
    <n v="4335008013"/>
    <s v="143 S WETHERLY DR #1 - #40"/>
    <s v="5+"/>
    <x v="0"/>
    <n v="0"/>
    <n v="0"/>
    <n v="0"/>
    <n v="0"/>
    <n v="0"/>
    <n v="0"/>
    <x v="5"/>
    <n v="0"/>
    <n v="0"/>
    <n v="0"/>
    <n v="0"/>
    <n v="0"/>
    <n v="4"/>
    <n v="0"/>
    <n v="0"/>
    <n v="0"/>
    <n v="0"/>
    <n v="0"/>
    <x v="0"/>
    <n v="55"/>
    <n v="35"/>
  </r>
  <r>
    <x v="91"/>
    <x v="6"/>
    <s v="175-116-13-00"/>
    <s v="414 N Santa Fe Ave"/>
    <s v="5+"/>
    <x v="0"/>
    <n v="0"/>
    <n v="0"/>
    <n v="0"/>
    <n v="0"/>
    <n v="0"/>
    <n v="0"/>
    <x v="0"/>
    <n v="0"/>
    <n v="0"/>
    <n v="0"/>
    <n v="0"/>
    <n v="0"/>
    <n v="54"/>
    <n v="0"/>
    <n v="0"/>
    <n v="0"/>
    <n v="0"/>
    <n v="0"/>
    <x v="0"/>
    <n v="55"/>
    <n v="1"/>
  </r>
  <r>
    <x v="57"/>
    <x v="6"/>
    <n v="5545007028"/>
    <s v="1509 N GORDON ST 1-109"/>
    <s v="5+"/>
    <x v="0"/>
    <n v="0"/>
    <n v="0"/>
    <n v="0"/>
    <n v="0"/>
    <n v="0"/>
    <n v="0"/>
    <x v="89"/>
    <n v="0"/>
    <n v="0"/>
    <n v="0"/>
    <n v="0"/>
    <n v="0"/>
    <n v="0"/>
    <n v="0"/>
    <n v="0"/>
    <n v="0"/>
    <n v="0"/>
    <n v="0"/>
    <x v="0"/>
    <n v="55"/>
    <n v="21"/>
  </r>
  <r>
    <x v="52"/>
    <x v="6"/>
    <n v="7111600080000"/>
    <s v="791 HARRINGTON WAY"/>
    <s v="5+"/>
    <x v="0"/>
    <n v="13"/>
    <n v="0"/>
    <n v="38"/>
    <n v="0"/>
    <n v="1"/>
    <n v="0"/>
    <x v="0"/>
    <n v="0"/>
    <n v="0"/>
    <n v="0"/>
    <n v="0"/>
    <n v="0"/>
    <n v="0"/>
    <n v="0"/>
    <n v="0"/>
    <n v="0"/>
    <n v="0"/>
    <n v="0"/>
    <x v="0"/>
    <m/>
    <n v="0"/>
  </r>
  <r>
    <x v="153"/>
    <x v="6"/>
    <s v="126-132-005"/>
    <s v="1650 Ashbury Drive"/>
    <s v="5+"/>
    <x v="0"/>
    <n v="2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2"/>
  </r>
  <r>
    <x v="57"/>
    <x v="1"/>
    <n v="5543008012"/>
    <s v="4900 W HOLLYWOOD BLVD"/>
    <s v="5+"/>
    <x v="0"/>
    <n v="0"/>
    <n v="0"/>
    <n v="0"/>
    <n v="0"/>
    <n v="0"/>
    <n v="0"/>
    <x v="35"/>
    <n v="0"/>
    <n v="0"/>
    <n v="0"/>
    <n v="0"/>
    <n v="0"/>
    <n v="24"/>
    <n v="0"/>
    <n v="0"/>
    <n v="0"/>
    <n v="0"/>
    <n v="0"/>
    <x v="0"/>
    <n v="55"/>
    <s v="0.78000000000000003"/>
  </r>
  <r>
    <x v="57"/>
    <x v="1"/>
    <n v="5160009004"/>
    <s v="330 N PATTON ST 1-32"/>
    <s v="5+"/>
    <x v="0"/>
    <n v="0"/>
    <n v="0"/>
    <n v="0"/>
    <n v="0"/>
    <n v="0"/>
    <n v="0"/>
    <x v="0"/>
    <n v="0"/>
    <n v="3"/>
    <n v="0"/>
    <n v="0"/>
    <n v="0"/>
    <n v="0"/>
    <n v="0"/>
    <n v="3"/>
    <n v="0"/>
    <n v="0"/>
    <n v="0"/>
    <x v="0"/>
    <n v="55"/>
    <s v="0.14999999999999999"/>
  </r>
  <r>
    <x v="57"/>
    <x v="1"/>
    <n v="2338015002"/>
    <s v="11500 W EMELITA ST"/>
    <s v="5+"/>
    <x v="0"/>
    <n v="0"/>
    <n v="0"/>
    <n v="0"/>
    <n v="0"/>
    <n v="0"/>
    <n v="0"/>
    <x v="3"/>
    <n v="0"/>
    <n v="0"/>
    <n v="0"/>
    <n v="0"/>
    <n v="0"/>
    <n v="1"/>
    <n v="0"/>
    <n v="0"/>
    <n v="0"/>
    <n v="0"/>
    <n v="0"/>
    <x v="0"/>
    <n v="55"/>
    <s v="0.32500000000000001"/>
  </r>
  <r>
    <x v="57"/>
    <x v="1"/>
    <n v="5532021030"/>
    <s v="1127 N LAS PALMAS AVE 1-98"/>
    <s v="5+"/>
    <x v="0"/>
    <n v="0"/>
    <n v="0"/>
    <n v="0"/>
    <n v="0"/>
    <n v="0"/>
    <n v="0"/>
    <x v="0"/>
    <n v="0"/>
    <n v="0"/>
    <n v="0"/>
    <n v="0"/>
    <n v="0"/>
    <n v="55"/>
    <n v="0"/>
    <n v="42"/>
    <n v="0"/>
    <n v="0"/>
    <n v="0"/>
    <x v="0"/>
    <n v="55"/>
    <n v="0"/>
  </r>
  <r>
    <x v="57"/>
    <x v="1"/>
    <n v="4254024038"/>
    <s v="3355 S OVERLAND AVE 1-41"/>
    <s v="5+"/>
    <x v="0"/>
    <n v="0"/>
    <n v="0"/>
    <n v="0"/>
    <n v="0"/>
    <n v="0"/>
    <n v="0"/>
    <x v="0"/>
    <n v="0"/>
    <n v="0"/>
    <n v="0"/>
    <n v="0"/>
    <n v="0"/>
    <n v="4"/>
    <n v="0"/>
    <n v="0"/>
    <n v="0"/>
    <n v="0"/>
    <n v="0"/>
    <x v="0"/>
    <n v="55"/>
    <s v="0.32000000000000001"/>
  </r>
  <r>
    <x v="278"/>
    <x v="6"/>
    <s v="018070017"/>
    <s v="7460 Lone Tree"/>
    <s v="5+"/>
    <x v="0"/>
    <n v="1"/>
    <n v="0"/>
    <n v="4"/>
    <n v="0"/>
    <n v="0"/>
    <n v="0"/>
    <x v="0"/>
    <n v="0"/>
    <n v="0"/>
    <n v="0"/>
    <n v="0"/>
    <n v="0"/>
    <n v="0"/>
    <n v="0"/>
    <n v="0"/>
    <n v="0"/>
    <n v="0"/>
    <n v="0"/>
    <x v="0"/>
    <n v="45"/>
    <n v="0"/>
  </r>
  <r>
    <x v="57"/>
    <x v="1"/>
    <n v="2149002032"/>
    <s v="21300 W OXNARD ST 1-173"/>
    <s v="5+"/>
    <x v="0"/>
    <n v="0"/>
    <n v="0"/>
    <n v="238"/>
    <n v="0"/>
    <n v="59"/>
    <n v="0"/>
    <x v="0"/>
    <n v="0"/>
    <n v="137"/>
    <n v="0"/>
    <n v="34"/>
    <n v="0"/>
    <n v="0"/>
    <n v="0"/>
    <n v="0"/>
    <n v="0"/>
    <n v="0"/>
    <n v="0"/>
    <x v="0"/>
    <n v="55"/>
    <n v="0"/>
  </r>
  <r>
    <x v="57"/>
    <x v="6"/>
    <n v="2669006004"/>
    <s v="16136 W DEVONSHIRE ST 1-15"/>
    <s v="5+"/>
    <x v="0"/>
    <n v="0"/>
    <n v="0"/>
    <n v="10"/>
    <n v="0"/>
    <n v="3"/>
    <n v="0"/>
    <x v="3"/>
    <n v="0"/>
    <n v="11"/>
    <n v="0"/>
    <n v="2"/>
    <n v="0"/>
    <n v="0"/>
    <n v="0"/>
    <n v="0"/>
    <n v="0"/>
    <n v="0"/>
    <n v="0"/>
    <x v="0"/>
    <n v="55"/>
    <n v="40"/>
  </r>
  <r>
    <x v="96"/>
    <x v="6"/>
    <s v="40407150T"/>
    <s v="7521 N CHESTNUT AVE BLDG 107+"/>
    <s v="5+"/>
    <x v="0"/>
    <n v="0"/>
    <n v="0"/>
    <n v="0"/>
    <n v="0"/>
    <n v="0"/>
    <n v="0"/>
    <x v="0"/>
    <n v="0"/>
    <n v="0"/>
    <n v="0"/>
    <n v="0"/>
    <n v="0"/>
    <n v="7"/>
    <n v="0"/>
    <n v="5"/>
    <n v="0"/>
    <n v="0"/>
    <n v="0"/>
    <x v="0"/>
    <n v="55"/>
    <s v="0.52000000000000002"/>
  </r>
  <r>
    <x v="78"/>
    <x v="6"/>
    <n v="41202003"/>
    <s v="2420 S WINCHESTER BLVD, CAMPBELL, CA 95008"/>
    <s v="5+"/>
    <x v="0"/>
    <n v="23"/>
    <n v="0"/>
    <n v="66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78"/>
    <x v="6"/>
    <n v="41208061"/>
    <s v="201 - 209 MALLEY WY (5 UNITS) BUILDING 2"/>
    <s v="5+"/>
    <x v="1"/>
    <n v="0"/>
    <n v="0"/>
    <n v="0"/>
    <n v="0"/>
    <n v="0"/>
    <n v="0"/>
    <x v="3"/>
    <n v="0"/>
    <n v="0"/>
    <n v="0"/>
    <n v="0"/>
    <n v="0"/>
    <n v="1"/>
    <n v="0"/>
    <n v="0"/>
    <n v="0"/>
    <n v="0"/>
    <n v="0"/>
    <x v="1"/>
    <n v="45"/>
    <n v="0"/>
  </r>
  <r>
    <x v="78"/>
    <x v="6"/>
    <n v="41208061"/>
    <s v="200 - 212 MALLEY WY (7 UNITS) BUILDING 1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1"/>
    <n v="0"/>
    <x v="1"/>
    <n v="45"/>
    <n v="0"/>
  </r>
  <r>
    <x v="61"/>
    <x v="6"/>
    <s v="022-083-030"/>
    <s v="801 FASSLER"/>
    <s v="5+"/>
    <x v="1"/>
    <n v="2"/>
    <n v="0"/>
    <n v="0"/>
    <n v="0"/>
    <n v="2"/>
    <n v="0"/>
    <x v="17"/>
    <n v="0"/>
    <n v="0"/>
    <n v="0"/>
    <n v="2"/>
    <n v="0"/>
    <n v="0"/>
    <n v="0"/>
    <n v="0"/>
    <n v="0"/>
    <n v="0"/>
    <n v="0"/>
    <x v="1"/>
    <n v="45"/>
    <n v="0"/>
  </r>
  <r>
    <x v="0"/>
    <x v="6"/>
    <n v="7209022008"/>
    <s v="1875 Pacific Avenue"/>
    <s v="5+"/>
    <x v="0"/>
    <n v="5"/>
    <n v="0"/>
    <n v="35"/>
    <n v="0"/>
    <n v="0"/>
    <n v="0"/>
    <x v="0"/>
    <n v="0"/>
    <n v="0"/>
    <n v="0"/>
    <n v="0"/>
    <n v="0"/>
    <n v="0"/>
    <n v="0"/>
    <n v="0"/>
    <n v="0"/>
    <n v="0"/>
    <n v="0"/>
    <x v="0"/>
    <n v="55"/>
    <n v="1"/>
  </r>
  <r>
    <x v="0"/>
    <x v="6"/>
    <n v="7210013029"/>
    <s v="941 E PACIFIC COAST HWY"/>
    <s v="5+"/>
    <x v="0"/>
    <n v="0"/>
    <n v="0"/>
    <n v="0"/>
    <n v="0"/>
    <n v="0"/>
    <n v="0"/>
    <x v="0"/>
    <n v="0"/>
    <n v="0"/>
    <n v="0"/>
    <n v="0"/>
    <n v="0"/>
    <n v="34"/>
    <n v="0"/>
    <n v="33"/>
    <n v="0"/>
    <n v="0"/>
    <n v="0"/>
    <x v="0"/>
    <n v="55"/>
    <n v="0"/>
  </r>
  <r>
    <x v="57"/>
    <x v="6"/>
    <n v="5547004048"/>
    <s v="1818 N CHEROKEE AVE"/>
    <s v="5+"/>
    <x v="0"/>
    <n v="0"/>
    <n v="0"/>
    <n v="0"/>
    <n v="0"/>
    <n v="0"/>
    <n v="0"/>
    <x v="50"/>
    <n v="0"/>
    <n v="0"/>
    <n v="0"/>
    <n v="0"/>
    <n v="0"/>
    <n v="21"/>
    <n v="0"/>
    <n v="0"/>
    <n v="0"/>
    <n v="0"/>
    <n v="0"/>
    <x v="0"/>
    <n v="55"/>
    <n v="175"/>
  </r>
  <r>
    <x v="57"/>
    <x v="6"/>
    <n v="4234015028"/>
    <s v="3705 S MCLAUGHLIN AVE 1 - 26; 3705 S MCLAUGHLIN AVE 1-21"/>
    <s v="5+"/>
    <x v="0"/>
    <n v="0"/>
    <n v="0"/>
    <n v="0"/>
    <n v="0"/>
    <n v="0"/>
    <n v="0"/>
    <x v="5"/>
    <n v="0"/>
    <n v="0"/>
    <n v="0"/>
    <n v="0"/>
    <n v="0"/>
    <n v="4"/>
    <n v="0"/>
    <n v="0"/>
    <n v="0"/>
    <n v="0"/>
    <n v="0"/>
    <x v="0"/>
    <n v="35"/>
    <n v="35"/>
  </r>
  <r>
    <x v="57"/>
    <x v="6"/>
    <n v="2353002012"/>
    <s v="5147-5149 N BAKMAN AVE"/>
    <s v="5+"/>
    <x v="0"/>
    <n v="0"/>
    <n v="0"/>
    <n v="0"/>
    <n v="0"/>
    <n v="0"/>
    <n v="0"/>
    <x v="2"/>
    <n v="0"/>
    <n v="0"/>
    <n v="0"/>
    <n v="0"/>
    <n v="0"/>
    <n v="3"/>
    <n v="0"/>
    <n v="0"/>
    <n v="0"/>
    <n v="0"/>
    <n v="0"/>
    <x v="0"/>
    <n v="55"/>
    <n v="35"/>
  </r>
  <r>
    <x v="0"/>
    <x v="6"/>
    <n v="7273014008"/>
    <s v="937-957 Pine Ave and 120 W. 10th St."/>
    <s v="5+"/>
    <x v="0"/>
    <n v="16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0"/>
    <x v="6"/>
    <n v="7269026001"/>
    <s v="1400   LONG BEACH BLVD"/>
    <s v="5+"/>
    <x v="0"/>
    <n v="0"/>
    <n v="0"/>
    <n v="0"/>
    <n v="0"/>
    <n v="0"/>
    <n v="0"/>
    <x v="29"/>
    <n v="0"/>
    <n v="143"/>
    <n v="0"/>
    <n v="0"/>
    <n v="0"/>
    <n v="0"/>
    <n v="0"/>
    <n v="0"/>
    <n v="0"/>
    <n v="0"/>
    <n v="0"/>
    <x v="0"/>
    <n v="55"/>
    <n v="0"/>
  </r>
  <r>
    <x v="102"/>
    <x v="6"/>
    <s v="127-35-200"/>
    <s v="739 SUTTER AVE*"/>
    <s v="5+"/>
    <x v="1"/>
    <n v="0"/>
    <n v="0"/>
    <n v="0"/>
    <n v="0"/>
    <n v="2"/>
    <n v="0"/>
    <x v="0"/>
    <n v="0"/>
    <n v="0"/>
    <n v="0"/>
    <n v="0"/>
    <n v="0"/>
    <n v="0"/>
    <n v="0"/>
    <n v="0"/>
    <n v="0"/>
    <n v="0"/>
    <n v="0"/>
    <x v="0"/>
    <n v="55"/>
    <s v="0.10000000000000001"/>
  </r>
  <r>
    <x v="239"/>
    <x v="6"/>
    <s v="064-470-103"/>
    <s v="1625 N. Waterman Ave #3"/>
    <s v="5+"/>
    <x v="0"/>
    <n v="0"/>
    <n v="24"/>
    <n v="0"/>
    <n v="0"/>
    <n v="0"/>
    <n v="0"/>
    <x v="0"/>
    <n v="24"/>
    <n v="0"/>
    <n v="0"/>
    <n v="0"/>
    <n v="0"/>
    <n v="0"/>
    <n v="24"/>
    <n v="0"/>
    <n v="0"/>
    <n v="0"/>
    <n v="0"/>
    <x v="0"/>
    <n v="55"/>
    <n v="0"/>
  </r>
  <r>
    <x v="86"/>
    <x v="6"/>
    <n v="6102006013"/>
    <s v="13126 S WESTERN AVE"/>
    <s v="5+"/>
    <x v="0"/>
    <n v="0"/>
    <n v="0"/>
    <n v="0"/>
    <n v="0"/>
    <n v="0"/>
    <n v="0"/>
    <x v="14"/>
    <n v="0"/>
    <n v="0"/>
    <n v="0"/>
    <n v="0"/>
    <n v="0"/>
    <n v="0"/>
    <n v="0"/>
    <n v="0"/>
    <n v="0"/>
    <n v="0"/>
    <n v="0"/>
    <x v="0"/>
    <m/>
    <n v="0.25"/>
  </r>
  <r>
    <x v="239"/>
    <x v="6"/>
    <s v="064-470-103"/>
    <s v="1625 N Wateman Ave #5"/>
    <s v="5+"/>
    <x v="0"/>
    <n v="0"/>
    <n v="24"/>
    <n v="0"/>
    <n v="0"/>
    <n v="0"/>
    <n v="0"/>
    <x v="0"/>
    <n v="24"/>
    <n v="0"/>
    <n v="0"/>
    <n v="0"/>
    <n v="0"/>
    <n v="0"/>
    <n v="24"/>
    <n v="0"/>
    <n v="0"/>
    <n v="0"/>
    <n v="0"/>
    <x v="0"/>
    <n v="55"/>
    <n v="0"/>
  </r>
  <r>
    <x v="34"/>
    <x v="6"/>
    <s v="034-123-05"/>
    <s v="4401 Capitola Rd"/>
    <s v="5+"/>
    <x v="0"/>
    <n v="25"/>
    <n v="0"/>
    <n v="10"/>
    <n v="0"/>
    <n v="0"/>
    <n v="0"/>
    <x v="36"/>
    <n v="0"/>
    <n v="10"/>
    <n v="0"/>
    <n v="0"/>
    <n v="0"/>
    <n v="0"/>
    <n v="0"/>
    <n v="0"/>
    <n v="0"/>
    <n v="0"/>
    <n v="0"/>
    <x v="1"/>
    <m/>
    <n v="0"/>
  </r>
  <r>
    <x v="57"/>
    <x v="1"/>
    <n v="5093023014"/>
    <s v="927 S KINGSLEY DR"/>
    <s v="5+"/>
    <x v="0"/>
    <n v="9"/>
    <n v="0"/>
    <n v="108"/>
    <n v="0"/>
    <n v="27"/>
    <n v="0"/>
    <x v="0"/>
    <n v="0"/>
    <n v="0"/>
    <n v="0"/>
    <n v="0"/>
    <n v="0"/>
    <n v="0"/>
    <n v="0"/>
    <n v="0"/>
    <n v="0"/>
    <n v="0"/>
    <n v="0"/>
    <x v="0"/>
    <m/>
    <s v="1.6599999999999999"/>
  </r>
  <r>
    <x v="57"/>
    <x v="1"/>
    <n v="5174014902"/>
    <s v="125 N BAILEY ST"/>
    <s v="5+"/>
    <x v="0"/>
    <n v="0"/>
    <n v="0"/>
    <n v="47"/>
    <n v="0"/>
    <n v="12"/>
    <n v="0"/>
    <x v="0"/>
    <n v="0"/>
    <n v="0"/>
    <n v="0"/>
    <n v="0"/>
    <n v="0"/>
    <n v="0"/>
    <n v="0"/>
    <n v="0"/>
    <n v="0"/>
    <n v="0"/>
    <n v="0"/>
    <x v="0"/>
    <m/>
    <s v="2.3300000000000001"/>
  </r>
  <r>
    <x v="57"/>
    <x v="1"/>
    <n v="5536011017"/>
    <s v="5537 W SANTA MONICA BLVD"/>
    <s v="5+"/>
    <x v="0"/>
    <n v="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52000000000000002"/>
  </r>
  <r>
    <x v="57"/>
    <x v="1"/>
    <n v="6017016001"/>
    <s v="7501 S WESTERN AVE"/>
    <s v="5+"/>
    <x v="0"/>
    <n v="0"/>
    <n v="0"/>
    <n v="123"/>
    <n v="0"/>
    <n v="32"/>
    <n v="0"/>
    <x v="0"/>
    <n v="0"/>
    <n v="0"/>
    <n v="0"/>
    <n v="0"/>
    <n v="0"/>
    <n v="0"/>
    <n v="0"/>
    <n v="0"/>
    <n v="0"/>
    <n v="0"/>
    <n v="0"/>
    <x v="0"/>
    <m/>
    <s v="2.0600000000000001"/>
  </r>
  <r>
    <x v="57"/>
    <x v="1"/>
    <n v="6019011002"/>
    <s v="1156 W FLORENCE AVE"/>
    <s v="5+"/>
    <x v="0"/>
    <n v="0"/>
    <n v="0"/>
    <n v="13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24"/>
    <x v="6"/>
    <n v="2443001026"/>
    <s v="921 RIVERSIDE DR"/>
    <s v="5+"/>
    <x v="0"/>
    <n v="0"/>
    <n v="0"/>
    <n v="0"/>
    <n v="0"/>
    <n v="0"/>
    <n v="0"/>
    <x v="7"/>
    <n v="0"/>
    <n v="0"/>
    <n v="0"/>
    <n v="0"/>
    <n v="0"/>
    <n v="0"/>
    <n v="0"/>
    <n v="0"/>
    <n v="0"/>
    <n v="0"/>
    <n v="0"/>
    <x v="0"/>
    <m/>
    <s v="0.10000000000000001"/>
  </r>
  <r>
    <x v="25"/>
    <x v="6"/>
    <n v="8633102"/>
    <s v="1500 Centre Point"/>
    <s v="5+"/>
    <x v="0"/>
    <n v="0"/>
    <n v="0"/>
    <n v="5"/>
    <n v="0"/>
    <n v="4"/>
    <n v="0"/>
    <x v="0"/>
    <n v="0"/>
    <n v="0"/>
    <n v="0"/>
    <n v="0"/>
    <n v="0"/>
    <n v="0"/>
    <n v="0"/>
    <n v="0"/>
    <n v="0"/>
    <n v="0"/>
    <n v="0"/>
    <x v="1"/>
    <m/>
    <n v="0"/>
  </r>
  <r>
    <x v="279"/>
    <x v="6"/>
    <s v="107-260-053-000"/>
    <s v="560 Hosptial Ln."/>
    <s v="5+"/>
    <x v="0"/>
    <n v="23"/>
    <n v="0"/>
    <n v="0"/>
    <n v="4"/>
    <n v="0"/>
    <n v="0"/>
    <x v="0"/>
    <n v="0"/>
    <n v="0"/>
    <n v="0"/>
    <n v="0"/>
    <n v="0"/>
    <n v="0"/>
    <n v="0"/>
    <n v="0"/>
    <n v="0"/>
    <n v="0"/>
    <n v="0"/>
    <x v="0"/>
    <m/>
    <n v="0"/>
  </r>
  <r>
    <x v="151"/>
    <x v="6"/>
    <n v="19210009"/>
    <s v="2 Rovina"/>
    <s v="5+"/>
    <x v="0"/>
    <n v="0"/>
    <n v="0"/>
    <n v="31"/>
    <n v="0"/>
    <n v="0"/>
    <n v="0"/>
    <x v="0"/>
    <n v="0"/>
    <n v="0"/>
    <n v="0"/>
    <n v="0"/>
    <n v="0"/>
    <n v="0"/>
    <n v="0"/>
    <n v="0"/>
    <n v="0"/>
    <n v="0"/>
    <n v="0"/>
    <x v="0"/>
    <n v="55"/>
    <s v="0.80000000000000004"/>
  </r>
  <r>
    <x v="74"/>
    <x v="6"/>
    <n v="37529114"/>
    <s v="525 W STRUCK AVE BLDG. B"/>
    <s v="5+"/>
    <x v="0"/>
    <n v="0"/>
    <n v="0"/>
    <n v="0"/>
    <n v="0"/>
    <n v="0"/>
    <n v="0"/>
    <x v="0"/>
    <n v="0"/>
    <n v="0"/>
    <n v="0"/>
    <n v="0"/>
    <n v="0"/>
    <n v="0"/>
    <n v="0"/>
    <n v="28"/>
    <n v="0"/>
    <n v="0"/>
    <n v="0"/>
    <x v="0"/>
    <n v="55"/>
    <n v="0"/>
  </r>
  <r>
    <x v="74"/>
    <x v="6"/>
    <n v="39032215"/>
    <s v="1800 E LA VETA AVE BLDG. C"/>
    <s v="5+"/>
    <x v="0"/>
    <n v="0"/>
    <n v="0"/>
    <n v="0"/>
    <n v="0"/>
    <n v="0"/>
    <n v="0"/>
    <x v="0"/>
    <n v="0"/>
    <n v="59"/>
    <n v="0"/>
    <n v="0"/>
    <n v="0"/>
    <n v="0"/>
    <n v="0"/>
    <n v="0"/>
    <n v="0"/>
    <n v="0"/>
    <n v="0"/>
    <x v="0"/>
    <n v="55"/>
    <s v="0.80000000000000004"/>
  </r>
  <r>
    <x v="199"/>
    <x v="6"/>
    <s v="088-170-003"/>
    <s v="3 Healdsburg Avenue"/>
    <s v="5+"/>
    <x v="0"/>
    <n v="0"/>
    <n v="0"/>
    <n v="0"/>
    <n v="0"/>
    <n v="0"/>
    <n v="0"/>
    <x v="17"/>
    <n v="0"/>
    <n v="1"/>
    <n v="0"/>
    <n v="0"/>
    <n v="0"/>
    <n v="0"/>
    <n v="0"/>
    <n v="0"/>
    <n v="0"/>
    <n v="0"/>
    <n v="0"/>
    <x v="0"/>
    <n v="55"/>
    <s v="0.20000000000000001"/>
  </r>
  <r>
    <x v="147"/>
    <x v="6"/>
    <n v="1922641"/>
    <s v="1482 FREEDOM BLVD"/>
    <s v="5+"/>
    <x v="0"/>
    <n v="53"/>
    <n v="0"/>
    <n v="0"/>
    <n v="0"/>
    <n v="0"/>
    <n v="0"/>
    <x v="51"/>
    <n v="0"/>
    <n v="0"/>
    <n v="0"/>
    <n v="0"/>
    <n v="0"/>
    <n v="53"/>
    <n v="0"/>
    <n v="0"/>
    <n v="0"/>
    <n v="0"/>
    <n v="0"/>
    <x v="1"/>
    <n v="55"/>
    <n v="0"/>
  </r>
  <r>
    <x v="147"/>
    <x v="6"/>
    <n v="1649102"/>
    <s v="141 MILES LANE"/>
    <s v="5+"/>
    <x v="0"/>
    <n v="72"/>
    <n v="0"/>
    <n v="0"/>
    <n v="0"/>
    <n v="0"/>
    <n v="0"/>
    <x v="83"/>
    <n v="0"/>
    <n v="0"/>
    <n v="0"/>
    <n v="0"/>
    <n v="0"/>
    <n v="72"/>
    <n v="0"/>
    <n v="0"/>
    <n v="0"/>
    <n v="0"/>
    <n v="0"/>
    <x v="0"/>
    <n v="55"/>
    <s v="0.68999999999999995"/>
  </r>
  <r>
    <x v="147"/>
    <x v="6"/>
    <n v="1824120"/>
    <s v="558 MAIN STREET"/>
    <s v="5+"/>
    <x v="0"/>
    <n v="10"/>
    <n v="0"/>
    <n v="0"/>
    <n v="0"/>
    <n v="0"/>
    <n v="0"/>
    <x v="7"/>
    <n v="0"/>
    <n v="0"/>
    <n v="0"/>
    <n v="0"/>
    <n v="0"/>
    <n v="0"/>
    <n v="0"/>
    <n v="0"/>
    <n v="0"/>
    <n v="0"/>
    <n v="0"/>
    <x v="1"/>
    <m/>
    <n v="0"/>
  </r>
  <r>
    <x v="36"/>
    <x v="6"/>
    <s v="092A212501002"/>
    <s v="37660 TIMBER ST"/>
    <s v="5+"/>
    <x v="0"/>
    <n v="0"/>
    <n v="0"/>
    <n v="0"/>
    <n v="0"/>
    <n v="0"/>
    <n v="0"/>
    <x v="40"/>
    <n v="0"/>
    <n v="0"/>
    <n v="0"/>
    <n v="0"/>
    <n v="0"/>
    <n v="0"/>
    <n v="0"/>
    <n v="0"/>
    <n v="0"/>
    <n v="0"/>
    <n v="0"/>
    <x v="0"/>
    <n v="55"/>
    <s v="0.34000000000000002"/>
  </r>
  <r>
    <x v="32"/>
    <x v="6"/>
    <s v="4279-029-026"/>
    <s v="1801 Santa Monica Blvd"/>
    <s v="5+"/>
    <x v="0"/>
    <n v="5"/>
    <n v="0"/>
    <n v="5"/>
    <n v="0"/>
    <n v="5"/>
    <n v="0"/>
    <x v="0"/>
    <n v="0"/>
    <n v="0"/>
    <n v="0"/>
    <n v="0"/>
    <n v="0"/>
    <n v="0"/>
    <n v="0"/>
    <n v="0"/>
    <n v="0"/>
    <n v="0"/>
    <n v="0"/>
    <x v="0"/>
    <n v="55"/>
    <s v="0.48999999999999999"/>
  </r>
  <r>
    <x v="32"/>
    <x v="6"/>
    <s v="4267-028-017"/>
    <s v="1541  FRANKLIN ST"/>
    <s v="5+"/>
    <x v="0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m/>
    <n v="0"/>
  </r>
  <r>
    <x v="96"/>
    <x v="6"/>
    <n v="44923202"/>
    <s v="1240 N CRYSTAL AVE"/>
    <s v="5+"/>
    <x v="0"/>
    <n v="0"/>
    <n v="0"/>
    <n v="0"/>
    <n v="0"/>
    <n v="0"/>
    <n v="0"/>
    <x v="2"/>
    <n v="0"/>
    <n v="13"/>
    <n v="0"/>
    <n v="0"/>
    <n v="0"/>
    <n v="0"/>
    <n v="0"/>
    <n v="0"/>
    <n v="0"/>
    <n v="0"/>
    <n v="0"/>
    <x v="0"/>
    <n v="55"/>
    <s v="0.80000000000000004"/>
  </r>
  <r>
    <x v="66"/>
    <x v="6"/>
    <n v="4021035024"/>
    <s v="320 E Tamarack Ave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.11"/>
  </r>
  <r>
    <x v="170"/>
    <x v="6"/>
    <s v="060-261-030"/>
    <s v="845 Gravenstein Highway North"/>
    <s v="5+"/>
    <x v="0"/>
    <n v="21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197"/>
    <x v="6"/>
    <n v="2754606100"/>
    <s v="12674 Monte Vista Road_x000a_Poway, CA 92064"/>
    <s v="5+"/>
    <x v="1"/>
    <n v="0"/>
    <n v="0"/>
    <n v="6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233"/>
    <x v="1"/>
    <n v="4343003011"/>
    <s v="208 CRESCENT N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46250000000000002"/>
  </r>
  <r>
    <x v="193"/>
    <x v="6"/>
    <s v="8543-009-053"/>
    <s v="4428 STEWART AVE_x000a_BALDWIN PARK CA, 91706--246"/>
    <s v="5+"/>
    <x v="0"/>
    <n v="0"/>
    <n v="0"/>
    <n v="11"/>
    <n v="0"/>
    <n v="0"/>
    <n v="0"/>
    <x v="0"/>
    <n v="0"/>
    <n v="0"/>
    <n v="0"/>
    <n v="0"/>
    <n v="0"/>
    <n v="0"/>
    <n v="0"/>
    <n v="0"/>
    <n v="0"/>
    <n v="0"/>
    <n v="0"/>
    <x v="0"/>
    <m/>
    <n v="0.5"/>
  </r>
  <r>
    <x v="17"/>
    <x v="6"/>
    <s v="198-132-21"/>
    <s v="2530WWestminsterAve"/>
    <s v="5+"/>
    <x v="0"/>
    <n v="0"/>
    <n v="0"/>
    <n v="0"/>
    <n v="0"/>
    <n v="0"/>
    <n v="0"/>
    <x v="0"/>
    <n v="0"/>
    <n v="0"/>
    <n v="0"/>
    <n v="0"/>
    <n v="0"/>
    <n v="63"/>
    <n v="0"/>
    <n v="0"/>
    <n v="0"/>
    <n v="0"/>
    <n v="0"/>
    <x v="1"/>
    <n v="55"/>
    <n v="0"/>
  </r>
  <r>
    <x v="280"/>
    <x v="1"/>
    <n v="2855016049"/>
    <s v="24747 Railroad Avenue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050000000000000003"/>
  </r>
  <r>
    <x v="32"/>
    <x v="6"/>
    <d v="1991-10-27T00:00:00"/>
    <s v="528 Arizona Ave"/>
    <s v="5+"/>
    <x v="0"/>
    <n v="6"/>
    <n v="0"/>
    <n v="6"/>
    <n v="0"/>
    <n v="6"/>
    <n v="0"/>
    <x v="0"/>
    <n v="0"/>
    <n v="0"/>
    <n v="0"/>
    <n v="0"/>
    <n v="0"/>
    <n v="0"/>
    <n v="0"/>
    <n v="0"/>
    <n v="0"/>
    <n v="0"/>
    <n v="0"/>
    <x v="0"/>
    <n v="55"/>
    <n v="0.5"/>
  </r>
  <r>
    <x v="32"/>
    <x v="6"/>
    <s v="4283-032-008"/>
    <s v="1840  17TH ST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32"/>
    <x v="6"/>
    <d v="1975-09-04T00:00:00"/>
    <s v="1420 20th St"/>
    <s v="5+"/>
    <x v="0"/>
    <n v="0"/>
    <n v="0"/>
    <n v="1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99"/>
    <x v="3"/>
    <s v="013-171-014"/>
    <s v="2200 North Fremont"/>
    <s v="5+"/>
    <x v="0"/>
    <n v="0"/>
    <n v="0"/>
    <n v="4"/>
    <n v="0"/>
    <n v="4"/>
    <n v="0"/>
    <x v="0"/>
    <n v="0"/>
    <n v="0"/>
    <n v="0"/>
    <n v="0"/>
    <n v="0"/>
    <n v="0"/>
    <n v="0"/>
    <n v="0"/>
    <n v="0"/>
    <n v="0"/>
    <n v="0"/>
    <x v="0"/>
    <m/>
    <s v="0.070000000000000007"/>
  </r>
  <r>
    <x v="57"/>
    <x v="1"/>
    <n v="6031007024"/>
    <s v="7415 S MAIN ST 1-17"/>
    <s v="5+"/>
    <x v="0"/>
    <n v="4"/>
    <n v="0"/>
    <n v="30"/>
    <n v="0"/>
    <n v="0"/>
    <n v="0"/>
    <x v="89"/>
    <n v="0"/>
    <n v="2"/>
    <n v="0"/>
    <n v="0"/>
    <n v="0"/>
    <n v="0"/>
    <n v="0"/>
    <n v="0"/>
    <n v="0"/>
    <n v="0"/>
    <n v="0"/>
    <x v="1"/>
    <n v="55"/>
    <n v="0"/>
  </r>
  <r>
    <x v="57"/>
    <x v="1"/>
    <n v="4313019047"/>
    <s v="3780 S CARDIFF; 9431 W VENICE; 9439 W VENICE; 9443 W VENICE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46999999999999997"/>
  </r>
  <r>
    <x v="38"/>
    <x v="6"/>
    <s v="003-052-08"/>
    <s v="850 ALMAR AVE"/>
    <s v="5+"/>
    <x v="0"/>
    <n v="25"/>
    <n v="0"/>
    <n v="0"/>
    <n v="0"/>
    <n v="12"/>
    <n v="0"/>
    <x v="0"/>
    <n v="0"/>
    <n v="0"/>
    <n v="0"/>
    <n v="0"/>
    <n v="0"/>
    <n v="0"/>
    <n v="0"/>
    <n v="0"/>
    <n v="0"/>
    <n v="0"/>
    <n v="0"/>
    <x v="0"/>
    <n v="1000"/>
    <n v="1"/>
  </r>
  <r>
    <x v="57"/>
    <x v="6"/>
    <n v="2654013007"/>
    <s v="8832 N LANGDON AVE"/>
    <s v="5+"/>
    <x v="0"/>
    <n v="0"/>
    <n v="0"/>
    <n v="0"/>
    <n v="0"/>
    <n v="0"/>
    <n v="0"/>
    <x v="98"/>
    <n v="0"/>
    <n v="0"/>
    <n v="0"/>
    <n v="312"/>
    <n v="0"/>
    <n v="40"/>
    <n v="0"/>
    <n v="0"/>
    <n v="0"/>
    <n v="312"/>
    <n v="0"/>
    <x v="0"/>
    <n v="55"/>
    <n v="0"/>
  </r>
  <r>
    <x v="96"/>
    <x v="6"/>
    <n v="44623117"/>
    <s v="3039 N BLACKSTONE AVE"/>
    <s v="5+"/>
    <x v="0"/>
    <n v="5"/>
    <n v="0"/>
    <n v="0"/>
    <n v="0"/>
    <n v="0"/>
    <n v="0"/>
    <x v="0"/>
    <n v="0"/>
    <n v="0"/>
    <n v="0"/>
    <n v="0"/>
    <n v="0"/>
    <n v="36"/>
    <n v="0"/>
    <n v="4"/>
    <n v="0"/>
    <n v="0"/>
    <n v="0"/>
    <x v="0"/>
    <n v="55"/>
    <s v="2.5499999999999998"/>
  </r>
  <r>
    <x v="57"/>
    <x v="6"/>
    <n v="2236022012"/>
    <s v="14658 W GILMORE ST"/>
    <s v="5+"/>
    <x v="0"/>
    <n v="2"/>
    <n v="0"/>
    <n v="37"/>
    <n v="0"/>
    <n v="8"/>
    <n v="0"/>
    <x v="0"/>
    <n v="0"/>
    <n v="0"/>
    <n v="0"/>
    <n v="0"/>
    <n v="0"/>
    <n v="0"/>
    <n v="0"/>
    <n v="0"/>
    <n v="0"/>
    <n v="0"/>
    <n v="0"/>
    <x v="0"/>
    <n v="55"/>
    <n v="5"/>
  </r>
  <r>
    <x v="57"/>
    <x v="6"/>
    <n v="2414004019"/>
    <s v="6058 N CRANER AVE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400"/>
  </r>
  <r>
    <x v="57"/>
    <x v="6"/>
    <n v="4125012016"/>
    <s v="8911 S RAMSGATE AVE"/>
    <s v="5+"/>
    <x v="0"/>
    <n v="0"/>
    <n v="0"/>
    <n v="60"/>
    <n v="0"/>
    <n v="16"/>
    <n v="0"/>
    <x v="0"/>
    <n v="0"/>
    <n v="0"/>
    <n v="0"/>
    <n v="0"/>
    <n v="0"/>
    <n v="0"/>
    <n v="0"/>
    <n v="0"/>
    <n v="0"/>
    <n v="0"/>
    <n v="0"/>
    <x v="0"/>
    <n v="55"/>
    <n v="3750"/>
  </r>
  <r>
    <x v="57"/>
    <x v="6"/>
    <n v="4306008024"/>
    <s v="1432 S BEVERLY DR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444"/>
  </r>
  <r>
    <x v="57"/>
    <x v="6"/>
    <n v="5020016011"/>
    <s v="1234 W MARTIN LUTHER KING, JR BLVD"/>
    <s v="5+"/>
    <x v="0"/>
    <n v="2"/>
    <n v="0"/>
    <n v="12"/>
    <n v="0"/>
    <n v="2"/>
    <n v="0"/>
    <x v="0"/>
    <n v="0"/>
    <n v="0"/>
    <n v="0"/>
    <n v="0"/>
    <n v="0"/>
    <n v="0"/>
    <n v="0"/>
    <n v="0"/>
    <n v="0"/>
    <n v="0"/>
    <n v="0"/>
    <x v="0"/>
    <n v="55"/>
    <n v="88"/>
  </r>
  <r>
    <x v="57"/>
    <x v="6"/>
    <n v="5113005001"/>
    <s v="4129 S AVALON BLVD"/>
    <s v="5+"/>
    <x v="0"/>
    <n v="0"/>
    <n v="0"/>
    <n v="37"/>
    <n v="0"/>
    <n v="10"/>
    <n v="0"/>
    <x v="0"/>
    <n v="0"/>
    <n v="0"/>
    <n v="0"/>
    <n v="0"/>
    <n v="0"/>
    <n v="0"/>
    <n v="0"/>
    <n v="0"/>
    <n v="0"/>
    <n v="0"/>
    <n v="0"/>
    <x v="0"/>
    <n v="55"/>
    <n v="118"/>
  </r>
  <r>
    <x v="57"/>
    <x v="6"/>
    <n v="5447031020"/>
    <s v="343 S AVENUE 20"/>
    <s v="5+"/>
    <x v="0"/>
    <n v="0"/>
    <n v="0"/>
    <n v="35"/>
    <n v="0"/>
    <n v="10"/>
    <n v="0"/>
    <x v="0"/>
    <n v="0"/>
    <n v="0"/>
    <n v="0"/>
    <n v="0"/>
    <n v="0"/>
    <n v="0"/>
    <n v="0"/>
    <n v="0"/>
    <n v="0"/>
    <n v="0"/>
    <n v="0"/>
    <x v="0"/>
    <n v="55"/>
    <n v="666"/>
  </r>
  <r>
    <x v="57"/>
    <x v="6"/>
    <n v="5543024017"/>
    <s v="1412 N MARIPOSA AVE"/>
    <s v="5+"/>
    <x v="0"/>
    <n v="0"/>
    <n v="0"/>
    <n v="56"/>
    <n v="0"/>
    <n v="15"/>
    <n v="0"/>
    <x v="0"/>
    <n v="0"/>
    <n v="0"/>
    <n v="0"/>
    <n v="0"/>
    <n v="0"/>
    <n v="0"/>
    <n v="0"/>
    <n v="0"/>
    <n v="0"/>
    <n v="0"/>
    <n v="0"/>
    <x v="0"/>
    <n v="55"/>
    <n v="13"/>
  </r>
  <r>
    <x v="57"/>
    <x v="6"/>
    <n v="7449014014"/>
    <s v="327 N HARBOR BLVD"/>
    <s v="5+"/>
    <x v="0"/>
    <n v="0"/>
    <n v="0"/>
    <n v="36"/>
    <n v="0"/>
    <n v="10"/>
    <n v="0"/>
    <x v="0"/>
    <n v="0"/>
    <n v="0"/>
    <n v="0"/>
    <n v="0"/>
    <n v="0"/>
    <n v="0"/>
    <n v="0"/>
    <n v="0"/>
    <n v="0"/>
    <n v="0"/>
    <n v="0"/>
    <x v="1"/>
    <n v="55"/>
    <n v="0"/>
  </r>
  <r>
    <x v="57"/>
    <x v="6"/>
    <n v="2233010008"/>
    <s v="15834 W VANOWEN ST"/>
    <s v="5+"/>
    <x v="0"/>
    <n v="2"/>
    <n v="0"/>
    <n v="48"/>
    <n v="0"/>
    <n v="10"/>
    <n v="0"/>
    <x v="0"/>
    <n v="0"/>
    <n v="0"/>
    <n v="0"/>
    <n v="0"/>
    <n v="0"/>
    <n v="0"/>
    <n v="0"/>
    <n v="0"/>
    <n v="0"/>
    <n v="0"/>
    <n v="0"/>
    <x v="0"/>
    <n v="55"/>
    <n v="771"/>
  </r>
  <r>
    <x v="57"/>
    <x v="6"/>
    <n v="2241022027"/>
    <s v="14658 W CALVERT ST"/>
    <s v="5+"/>
    <x v="0"/>
    <n v="0"/>
    <n v="0"/>
    <n v="55"/>
    <n v="0"/>
    <n v="15"/>
    <n v="0"/>
    <x v="0"/>
    <n v="0"/>
    <n v="0"/>
    <n v="0"/>
    <n v="0"/>
    <n v="0"/>
    <n v="0"/>
    <n v="0"/>
    <n v="0"/>
    <n v="0"/>
    <n v="0"/>
    <n v="0"/>
    <x v="0"/>
    <n v="55"/>
    <n v="446"/>
  </r>
  <r>
    <x v="4"/>
    <x v="6"/>
    <s v="002-331-002"/>
    <s v="1239 Monterey St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20000000000000001"/>
  </r>
  <r>
    <x v="57"/>
    <x v="1"/>
    <n v="5442024045"/>
    <s v="2908-2910 N ALLESANDRO ST #1-#36"/>
    <s v="5+"/>
    <x v="0"/>
    <n v="0"/>
    <n v="0"/>
    <n v="0"/>
    <n v="0"/>
    <n v="0"/>
    <n v="0"/>
    <x v="12"/>
    <n v="0"/>
    <n v="0"/>
    <n v="0"/>
    <n v="0"/>
    <n v="0"/>
    <n v="5"/>
    <n v="0"/>
    <n v="0"/>
    <n v="0"/>
    <n v="0"/>
    <n v="0"/>
    <x v="0"/>
    <n v="55"/>
    <s v="0.28999999999999998"/>
  </r>
  <r>
    <x v="57"/>
    <x v="1"/>
    <n v="4260004030"/>
    <s v="2140 S BUTLER AVE"/>
    <s v="5+"/>
    <x v="0"/>
    <n v="0"/>
    <n v="0"/>
    <n v="0"/>
    <n v="0"/>
    <n v="0"/>
    <n v="0"/>
    <x v="0"/>
    <n v="0"/>
    <n v="0"/>
    <n v="0"/>
    <n v="0"/>
    <n v="0"/>
    <n v="7"/>
    <n v="0"/>
    <n v="0"/>
    <n v="0"/>
    <n v="0"/>
    <n v="0"/>
    <x v="0"/>
    <n v="55"/>
    <s v="0.34999999999999998"/>
  </r>
  <r>
    <x v="57"/>
    <x v="1"/>
    <n v="5522003007"/>
    <s v="667-671 N WILTON PL (1-34)"/>
    <s v="5+"/>
    <x v="0"/>
    <n v="0"/>
    <n v="0"/>
    <n v="0"/>
    <n v="0"/>
    <n v="0"/>
    <n v="0"/>
    <x v="0"/>
    <n v="0"/>
    <n v="0"/>
    <n v="0"/>
    <n v="0"/>
    <n v="0"/>
    <n v="3"/>
    <n v="0"/>
    <n v="0"/>
    <n v="0"/>
    <n v="0"/>
    <n v="0"/>
    <x v="0"/>
    <n v="55"/>
    <s v="0.34999999999999998"/>
  </r>
  <r>
    <x v="6"/>
    <x v="6"/>
    <s v="068-0-122-040"/>
    <s v="Olive Block Apartment"/>
    <s v="5+"/>
    <x v="0"/>
    <n v="1"/>
    <n v="0"/>
    <n v="2"/>
    <n v="0"/>
    <n v="1"/>
    <n v="0"/>
    <x v="0"/>
    <n v="0"/>
    <n v="0"/>
    <n v="0"/>
    <n v="0"/>
    <n v="0"/>
    <n v="0"/>
    <n v="0"/>
    <n v="0"/>
    <n v="0"/>
    <n v="0"/>
    <n v="0"/>
    <x v="1"/>
    <n v="55"/>
    <n v="0"/>
  </r>
  <r>
    <x v="57"/>
    <x v="6"/>
    <n v="2337006010"/>
    <s v="6010 N KLUMP AVE"/>
    <s v="5+"/>
    <x v="0"/>
    <n v="0"/>
    <n v="0"/>
    <n v="52"/>
    <n v="0"/>
    <n v="0"/>
    <n v="0"/>
    <x v="0"/>
    <n v="0"/>
    <n v="0"/>
    <n v="0"/>
    <n v="0"/>
    <n v="0"/>
    <n v="0"/>
    <n v="0"/>
    <n v="0"/>
    <n v="0"/>
    <n v="0"/>
    <n v="0"/>
    <x v="0"/>
    <n v="55"/>
    <n v="657"/>
  </r>
  <r>
    <x v="57"/>
    <x v="6"/>
    <n v="2337015010"/>
    <s v="11218 W CALIFA ST"/>
    <s v="5+"/>
    <x v="0"/>
    <n v="1"/>
    <n v="0"/>
    <n v="59"/>
    <n v="0"/>
    <n v="15"/>
    <n v="0"/>
    <x v="0"/>
    <n v="0"/>
    <n v="0"/>
    <n v="0"/>
    <n v="0"/>
    <n v="0"/>
    <n v="0"/>
    <n v="0"/>
    <n v="0"/>
    <n v="0"/>
    <n v="0"/>
    <n v="0"/>
    <x v="0"/>
    <n v="55"/>
    <n v="660"/>
  </r>
  <r>
    <x v="57"/>
    <x v="6"/>
    <n v="2354008030"/>
    <s v="4639 N TUJUNGA AVE"/>
    <s v="5+"/>
    <x v="0"/>
    <n v="0"/>
    <n v="0"/>
    <n v="46"/>
    <n v="0"/>
    <n v="11"/>
    <n v="0"/>
    <x v="0"/>
    <n v="0"/>
    <n v="0"/>
    <n v="0"/>
    <n v="0"/>
    <n v="0"/>
    <n v="0"/>
    <n v="0"/>
    <n v="0"/>
    <n v="0"/>
    <n v="0"/>
    <n v="0"/>
    <x v="0"/>
    <n v="55"/>
    <n v="35"/>
  </r>
  <r>
    <x v="57"/>
    <x v="6"/>
    <n v="2409003016"/>
    <s v="10974 W RATNER ST"/>
    <s v="5+"/>
    <x v="0"/>
    <n v="0"/>
    <n v="0"/>
    <n v="95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78"/>
    <x v="6"/>
    <n v="41208065"/>
    <s v="300 RAILWAY AVE"/>
    <s v="5+"/>
    <x v="0"/>
    <n v="0"/>
    <n v="0"/>
    <n v="0"/>
    <n v="0"/>
    <n v="0"/>
    <n v="0"/>
    <x v="0"/>
    <n v="0"/>
    <n v="0"/>
    <n v="0"/>
    <n v="0"/>
    <n v="0"/>
    <n v="7"/>
    <n v="0"/>
    <n v="0"/>
    <n v="0"/>
    <n v="0"/>
    <n v="0"/>
    <x v="0"/>
    <n v="55"/>
    <n v="0.25"/>
  </r>
  <r>
    <x v="57"/>
    <x v="6"/>
    <n v="2654020046"/>
    <s v="8615 N SEPULVEDA BLVD"/>
    <s v="5+"/>
    <x v="0"/>
    <n v="0"/>
    <n v="0"/>
    <n v="195"/>
    <n v="0"/>
    <n v="49"/>
    <n v="0"/>
    <x v="0"/>
    <n v="0"/>
    <n v="0"/>
    <n v="0"/>
    <n v="0"/>
    <n v="0"/>
    <n v="0"/>
    <n v="0"/>
    <n v="0"/>
    <n v="0"/>
    <n v="0"/>
    <n v="0"/>
    <x v="0"/>
    <n v="55"/>
    <n v="166"/>
  </r>
  <r>
    <x v="78"/>
    <x v="6"/>
    <n v="30517017"/>
    <s v="251 LLEWELLYN AVE, CAMPBELL, CA 95008"/>
    <s v="5+"/>
    <x v="1"/>
    <n v="0"/>
    <n v="0"/>
    <n v="6"/>
    <n v="0"/>
    <n v="8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6"/>
    <n v="5019006001"/>
    <s v="802 W 42ND PL"/>
    <s v="5+"/>
    <x v="0"/>
    <n v="2"/>
    <n v="0"/>
    <n v="72"/>
    <n v="0"/>
    <n v="15"/>
    <n v="0"/>
    <x v="0"/>
    <n v="0"/>
    <n v="0"/>
    <n v="0"/>
    <n v="0"/>
    <n v="0"/>
    <n v="0"/>
    <n v="0"/>
    <n v="0"/>
    <n v="0"/>
    <n v="0"/>
    <n v="0"/>
    <x v="0"/>
    <n v="55"/>
    <n v="2150"/>
  </r>
  <r>
    <x v="57"/>
    <x v="6"/>
    <n v="5062006027"/>
    <s v="5112 W WASHINGTON BLVD"/>
    <s v="5+"/>
    <x v="0"/>
    <n v="0"/>
    <n v="0"/>
    <n v="98"/>
    <n v="0"/>
    <n v="25"/>
    <n v="0"/>
    <x v="0"/>
    <n v="0"/>
    <n v="0"/>
    <n v="0"/>
    <n v="0"/>
    <n v="0"/>
    <n v="0"/>
    <n v="0"/>
    <n v="0"/>
    <n v="0"/>
    <n v="0"/>
    <n v="0"/>
    <x v="0"/>
    <n v="55"/>
    <n v="97"/>
  </r>
  <r>
    <x v="57"/>
    <x v="6"/>
    <n v="5065006017"/>
    <s v="2625 S CULLEN ST"/>
    <s v="5+"/>
    <x v="0"/>
    <n v="0"/>
    <n v="0"/>
    <n v="55"/>
    <n v="0"/>
    <n v="14"/>
    <n v="0"/>
    <x v="0"/>
    <n v="0"/>
    <n v="0"/>
    <n v="0"/>
    <n v="0"/>
    <n v="0"/>
    <n v="0"/>
    <n v="0"/>
    <n v="0"/>
    <n v="0"/>
    <n v="0"/>
    <n v="0"/>
    <x v="0"/>
    <n v="55"/>
    <n v="775"/>
  </r>
  <r>
    <x v="96"/>
    <x v="6"/>
    <s v="40407150T"/>
    <s v="7521 N CHESTNUT AVE"/>
    <s v="5+"/>
    <x v="0"/>
    <n v="0"/>
    <n v="0"/>
    <n v="0"/>
    <n v="0"/>
    <n v="0"/>
    <n v="0"/>
    <x v="0"/>
    <n v="0"/>
    <n v="0"/>
    <n v="0"/>
    <n v="0"/>
    <n v="0"/>
    <n v="7"/>
    <n v="0"/>
    <n v="5"/>
    <n v="0"/>
    <n v="0"/>
    <n v="0"/>
    <x v="0"/>
    <n v="55"/>
    <s v="0.33000000000000002"/>
  </r>
  <r>
    <x v="6"/>
    <x v="6"/>
    <s v="075-0-013-100"/>
    <s v="44 Coronado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2"/>
    <n v="0"/>
    <x v="1"/>
    <n v="45"/>
    <n v="0"/>
  </r>
  <r>
    <x v="57"/>
    <x v="6"/>
    <n v="5157018009"/>
    <s v="242 N ROSEMONT AVE 1-4"/>
    <s v="5+"/>
    <x v="0"/>
    <n v="0"/>
    <n v="0"/>
    <n v="31"/>
    <n v="0"/>
    <n v="0"/>
    <n v="0"/>
    <x v="0"/>
    <n v="0"/>
    <n v="0"/>
    <n v="0"/>
    <n v="0"/>
    <n v="0"/>
    <n v="0"/>
    <n v="0"/>
    <n v="0"/>
    <n v="0"/>
    <n v="0"/>
    <n v="0"/>
    <x v="0"/>
    <n v="55"/>
    <n v="430"/>
  </r>
  <r>
    <x v="57"/>
    <x v="6"/>
    <n v="5427007005"/>
    <s v="1057 N HYPERION AVE"/>
    <s v="5+"/>
    <x v="0"/>
    <n v="3"/>
    <n v="0"/>
    <n v="49"/>
    <n v="0"/>
    <n v="12"/>
    <n v="0"/>
    <x v="0"/>
    <n v="0"/>
    <n v="0"/>
    <n v="0"/>
    <n v="0"/>
    <n v="0"/>
    <n v="0"/>
    <n v="0"/>
    <n v="0"/>
    <n v="0"/>
    <n v="0"/>
    <n v="0"/>
    <x v="0"/>
    <n v="55"/>
    <n v="1500"/>
  </r>
  <r>
    <x v="232"/>
    <x v="6"/>
    <n v="5360045060"/>
    <s v="1975 S DEL MAR AVE"/>
    <s v="5+"/>
    <x v="1"/>
    <n v="0"/>
    <n v="0"/>
    <n v="0"/>
    <n v="8"/>
    <n v="0"/>
    <n v="0"/>
    <x v="0"/>
    <n v="0"/>
    <n v="0"/>
    <n v="8"/>
    <n v="0"/>
    <n v="0"/>
    <n v="0"/>
    <n v="0"/>
    <n v="0"/>
    <n v="0"/>
    <n v="0"/>
    <n v="0"/>
    <x v="0"/>
    <m/>
    <s v="0.23000000000000001"/>
  </r>
  <r>
    <x v="57"/>
    <x v="6"/>
    <n v="5518026004"/>
    <s v="236 N BERENDO ST"/>
    <s v="5+"/>
    <x v="0"/>
    <n v="1"/>
    <n v="0"/>
    <n v="40"/>
    <n v="0"/>
    <n v="10"/>
    <n v="0"/>
    <x v="0"/>
    <n v="0"/>
    <n v="0"/>
    <n v="0"/>
    <n v="0"/>
    <n v="0"/>
    <n v="0"/>
    <n v="0"/>
    <n v="0"/>
    <n v="0"/>
    <n v="0"/>
    <n v="0"/>
    <x v="0"/>
    <n v="55"/>
    <n v="478"/>
  </r>
  <r>
    <x v="57"/>
    <x v="6"/>
    <n v="5551027006"/>
    <s v="1332 N FAIRFAX AVE"/>
    <s v="5+"/>
    <x v="0"/>
    <n v="0"/>
    <n v="0"/>
    <n v="20"/>
    <n v="0"/>
    <n v="5"/>
    <n v="0"/>
    <x v="0"/>
    <n v="0"/>
    <n v="0"/>
    <n v="0"/>
    <n v="0"/>
    <n v="0"/>
    <n v="0"/>
    <n v="0"/>
    <n v="0"/>
    <n v="0"/>
    <n v="0"/>
    <n v="0"/>
    <x v="0"/>
    <n v="55"/>
    <n v="352"/>
  </r>
  <r>
    <x v="57"/>
    <x v="6"/>
    <n v="5589033009"/>
    <s v="1726 N ALEXANDRIA AVE"/>
    <s v="5+"/>
    <x v="0"/>
    <n v="0"/>
    <n v="0"/>
    <n v="54"/>
    <n v="0"/>
    <n v="13"/>
    <n v="0"/>
    <x v="0"/>
    <n v="0"/>
    <n v="0"/>
    <n v="0"/>
    <n v="0"/>
    <n v="0"/>
    <n v="0"/>
    <n v="0"/>
    <n v="0"/>
    <n v="0"/>
    <n v="0"/>
    <n v="0"/>
    <x v="0"/>
    <n v="55"/>
    <n v="1280"/>
  </r>
  <r>
    <x v="57"/>
    <x v="1"/>
    <n v="5516022013"/>
    <s v="4604 W 1 ST ST 1-18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1"/>
    <n v="55"/>
    <n v="0"/>
  </r>
  <r>
    <x v="57"/>
    <x v="6"/>
    <n v="6088003004"/>
    <s v="624 W IMPERIAL HWY"/>
    <s v="5+"/>
    <x v="0"/>
    <n v="2"/>
    <n v="0"/>
    <n v="36"/>
    <n v="0"/>
    <n v="8"/>
    <n v="0"/>
    <x v="0"/>
    <n v="0"/>
    <n v="0"/>
    <n v="0"/>
    <n v="0"/>
    <n v="0"/>
    <n v="0"/>
    <n v="0"/>
    <n v="0"/>
    <n v="0"/>
    <n v="0"/>
    <n v="0"/>
    <x v="0"/>
    <n v="55"/>
    <n v="96"/>
  </r>
  <r>
    <x v="57"/>
    <x v="1"/>
    <n v="2224010009"/>
    <s v="7005 N WOODLEY AVE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.22"/>
  </r>
  <r>
    <x v="57"/>
    <x v="1"/>
    <n v="2233028024"/>
    <s v="6545 N WOODLEY AVE"/>
    <s v="5+"/>
    <x v="0"/>
    <n v="0"/>
    <n v="0"/>
    <n v="29"/>
    <n v="0"/>
    <n v="6"/>
    <n v="0"/>
    <x v="0"/>
    <n v="0"/>
    <n v="0"/>
    <n v="0"/>
    <n v="0"/>
    <n v="0"/>
    <n v="0"/>
    <n v="0"/>
    <n v="0"/>
    <n v="0"/>
    <n v="0"/>
    <n v="0"/>
    <x v="0"/>
    <m/>
    <n v="3.5"/>
  </r>
  <r>
    <x v="57"/>
    <x v="1"/>
    <n v="2355005056"/>
    <s v="5119 N COLFAX AVE"/>
    <s v="5+"/>
    <x v="0"/>
    <n v="3"/>
    <n v="0"/>
    <n v="1"/>
    <n v="0"/>
    <n v="0"/>
    <n v="0"/>
    <x v="0"/>
    <n v="0"/>
    <n v="0"/>
    <n v="0"/>
    <n v="0"/>
    <n v="0"/>
    <n v="0"/>
    <n v="0"/>
    <n v="0"/>
    <n v="0"/>
    <n v="0"/>
    <n v="0"/>
    <x v="0"/>
    <m/>
    <s v="0.34999999999999998"/>
  </r>
  <r>
    <x v="57"/>
    <x v="6"/>
    <n v="2745001012"/>
    <s v="10243 N TOPANGA CANYON BLVD"/>
    <s v="5+"/>
    <x v="0"/>
    <n v="0"/>
    <n v="0"/>
    <n v="0"/>
    <n v="0"/>
    <n v="0"/>
    <n v="0"/>
    <x v="34"/>
    <n v="0"/>
    <n v="0"/>
    <n v="0"/>
    <n v="0"/>
    <n v="0"/>
    <n v="54"/>
    <n v="0"/>
    <n v="0"/>
    <n v="0"/>
    <n v="0"/>
    <n v="0"/>
    <x v="0"/>
    <n v="55"/>
    <n v="111.5"/>
  </r>
  <r>
    <x v="57"/>
    <x v="1"/>
    <n v="2509013027"/>
    <s v="13022 N DRONFIELD AVE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.5"/>
  </r>
  <r>
    <x v="57"/>
    <x v="1"/>
    <n v="4324008010"/>
    <s v="1383 S MIDVALE AVE"/>
    <s v="5+"/>
    <x v="0"/>
    <n v="5"/>
    <n v="0"/>
    <n v="2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57"/>
    <x v="1"/>
    <n v="5019006004"/>
    <s v="4269 S HOOVER ST"/>
    <s v="5+"/>
    <x v="0"/>
    <n v="3"/>
    <n v="0"/>
    <n v="70"/>
    <n v="0"/>
    <n v="19"/>
    <n v="0"/>
    <x v="0"/>
    <n v="0"/>
    <n v="0"/>
    <n v="0"/>
    <n v="0"/>
    <n v="0"/>
    <n v="0"/>
    <n v="0"/>
    <n v="0"/>
    <n v="0"/>
    <n v="0"/>
    <n v="0"/>
    <x v="0"/>
    <m/>
    <n v="2.75"/>
  </r>
  <r>
    <x v="57"/>
    <x v="1"/>
    <n v="5049032051"/>
    <s v="2900 S ORANGE DR"/>
    <s v="5+"/>
    <x v="0"/>
    <n v="0"/>
    <n v="0"/>
    <n v="26"/>
    <n v="0"/>
    <n v="7"/>
    <n v="0"/>
    <x v="0"/>
    <n v="0"/>
    <n v="0"/>
    <n v="0"/>
    <n v="0"/>
    <n v="0"/>
    <n v="0"/>
    <n v="0"/>
    <n v="0"/>
    <n v="0"/>
    <n v="0"/>
    <n v="0"/>
    <x v="0"/>
    <m/>
    <s v="2.3999999999999999"/>
  </r>
  <r>
    <x v="0"/>
    <x v="6"/>
    <n v="7281023013"/>
    <s v="615 E Ocean Blvd"/>
    <s v="5+"/>
    <x v="0"/>
    <n v="13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57"/>
    <x v="6"/>
    <n v="2249005017"/>
    <s v="14535 W WEDDINGTON ST 1-23"/>
    <s v="5+"/>
    <x v="0"/>
    <n v="0"/>
    <n v="0"/>
    <n v="0"/>
    <n v="0"/>
    <n v="0"/>
    <n v="0"/>
    <x v="17"/>
    <n v="0"/>
    <n v="18"/>
    <n v="0"/>
    <n v="2"/>
    <n v="0"/>
    <n v="0"/>
    <n v="0"/>
    <n v="0"/>
    <n v="0"/>
    <n v="0"/>
    <n v="0"/>
    <x v="0"/>
    <n v="55"/>
    <n v="360"/>
  </r>
  <r>
    <x v="17"/>
    <x v="6"/>
    <s v="198-132-21"/>
    <s v="2534WWestminsterAve"/>
    <s v="5+"/>
    <x v="0"/>
    <n v="0"/>
    <n v="0"/>
    <n v="0"/>
    <n v="0"/>
    <n v="0"/>
    <n v="0"/>
    <x v="0"/>
    <n v="0"/>
    <n v="0"/>
    <n v="0"/>
    <n v="0"/>
    <n v="0"/>
    <n v="0"/>
    <n v="0"/>
    <n v="21"/>
    <n v="0"/>
    <n v="0"/>
    <n v="0"/>
    <x v="1"/>
    <n v="55"/>
    <n v="0"/>
  </r>
  <r>
    <x v="57"/>
    <x v="1"/>
    <n v="5538001002"/>
    <s v="5066 W SANTA MONICA BLVD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34999999999999998"/>
  </r>
  <r>
    <x v="57"/>
    <x v="1"/>
    <n v="5547007015"/>
    <s v="1734 N HUDSON AVE"/>
    <s v="5+"/>
    <x v="0"/>
    <n v="0"/>
    <n v="0"/>
    <n v="51"/>
    <n v="0"/>
    <n v="13"/>
    <n v="0"/>
    <x v="0"/>
    <n v="0"/>
    <n v="0"/>
    <n v="0"/>
    <n v="0"/>
    <n v="0"/>
    <n v="0"/>
    <n v="0"/>
    <n v="0"/>
    <n v="0"/>
    <n v="0"/>
    <n v="0"/>
    <x v="0"/>
    <m/>
    <s v="0.20000000000000001"/>
  </r>
  <r>
    <x v="57"/>
    <x v="1"/>
    <n v="6006029900"/>
    <s v="5879 S CROCKER ST"/>
    <s v="5+"/>
    <x v="0"/>
    <n v="1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57"/>
    <x v="1"/>
    <n v="5074012019"/>
    <s v="2229 W VENICE BLVD"/>
    <s v="5+"/>
    <x v="0"/>
    <n v="0"/>
    <n v="0"/>
    <n v="45"/>
    <n v="0"/>
    <n v="12"/>
    <n v="0"/>
    <x v="0"/>
    <n v="0"/>
    <n v="0"/>
    <n v="0"/>
    <n v="0"/>
    <n v="0"/>
    <n v="0"/>
    <n v="0"/>
    <n v="0"/>
    <n v="0"/>
    <n v="0"/>
    <n v="0"/>
    <x v="0"/>
    <n v="55"/>
    <s v="0.60999999999999999"/>
  </r>
  <r>
    <x v="57"/>
    <x v="1"/>
    <n v="6031035018"/>
    <s v="8304 S BROADWAY"/>
    <s v="5+"/>
    <x v="0"/>
    <n v="0"/>
    <n v="0"/>
    <n v="23"/>
    <n v="0"/>
    <n v="6"/>
    <n v="0"/>
    <x v="0"/>
    <n v="0"/>
    <n v="0"/>
    <n v="0"/>
    <n v="0"/>
    <n v="0"/>
    <n v="0"/>
    <n v="0"/>
    <n v="0"/>
    <n v="0"/>
    <n v="0"/>
    <n v="0"/>
    <x v="0"/>
    <m/>
    <n v="1"/>
  </r>
  <r>
    <x v="145"/>
    <x v="6"/>
    <s v="5315001070; 5315001072; 5315002061; 5315002062"/>
    <s v="601-625 Fair Oaks Ave; 704-712 Mound Ave"/>
    <s v="5+"/>
    <x v="1"/>
    <n v="0"/>
    <n v="0"/>
    <n v="50"/>
    <n v="0"/>
    <n v="0"/>
    <n v="0"/>
    <x v="0"/>
    <n v="0"/>
    <n v="0"/>
    <n v="0"/>
    <n v="0"/>
    <n v="0"/>
    <n v="0"/>
    <n v="0"/>
    <n v="0"/>
    <n v="0"/>
    <n v="0"/>
    <n v="0"/>
    <x v="0"/>
    <m/>
    <s v="0.27000000000000002"/>
  </r>
  <r>
    <x v="57"/>
    <x v="6"/>
    <n v="2233028024"/>
    <s v="6545 N WOODLEY AVE 1-37"/>
    <s v="5+"/>
    <x v="0"/>
    <n v="0"/>
    <n v="0"/>
    <n v="0"/>
    <n v="0"/>
    <n v="0"/>
    <n v="0"/>
    <x v="3"/>
    <n v="0"/>
    <n v="28"/>
    <n v="0"/>
    <n v="7"/>
    <n v="0"/>
    <n v="0"/>
    <n v="0"/>
    <n v="0"/>
    <n v="0"/>
    <n v="0"/>
    <n v="0"/>
    <x v="0"/>
    <n v="55"/>
    <n v="362"/>
  </r>
  <r>
    <x v="57"/>
    <x v="6"/>
    <n v="4103021029"/>
    <s v="7130 S KITTYHAWK AVE 1-17"/>
    <s v="5+"/>
    <x v="0"/>
    <n v="0"/>
    <n v="0"/>
    <n v="0"/>
    <n v="0"/>
    <n v="0"/>
    <n v="0"/>
    <x v="17"/>
    <n v="0"/>
    <n v="0"/>
    <n v="0"/>
    <n v="0"/>
    <n v="0"/>
    <n v="2"/>
    <n v="0"/>
    <n v="0"/>
    <n v="0"/>
    <n v="0"/>
    <n v="0"/>
    <x v="0"/>
    <n v="55"/>
    <n v="35"/>
  </r>
  <r>
    <x v="57"/>
    <x v="1"/>
    <n v="5101032003"/>
    <s v="5436 S BROADWAY"/>
    <s v="5+"/>
    <x v="0"/>
    <n v="3"/>
    <n v="0"/>
    <n v="27"/>
    <n v="0"/>
    <n v="0"/>
    <n v="0"/>
    <x v="0"/>
    <n v="0"/>
    <n v="0"/>
    <n v="0"/>
    <n v="0"/>
    <n v="0"/>
    <n v="0"/>
    <n v="0"/>
    <n v="0"/>
    <n v="0"/>
    <n v="0"/>
    <n v="0"/>
    <x v="0"/>
    <n v="55"/>
    <s v="0.57999999999999996"/>
  </r>
  <r>
    <x v="57"/>
    <x v="1"/>
    <n v="5178003034"/>
    <s v="2838 E WABASH AVE"/>
    <s v="5+"/>
    <x v="0"/>
    <n v="0"/>
    <n v="0"/>
    <n v="40"/>
    <n v="0"/>
    <n v="11"/>
    <n v="0"/>
    <x v="0"/>
    <n v="0"/>
    <n v="0"/>
    <n v="0"/>
    <n v="0"/>
    <n v="0"/>
    <n v="0"/>
    <n v="0"/>
    <n v="0"/>
    <n v="0"/>
    <n v="0"/>
    <n v="0"/>
    <x v="0"/>
    <n v="55"/>
    <s v="0.68000000000000005"/>
  </r>
  <r>
    <x v="57"/>
    <x v="6"/>
    <n v="6032010015"/>
    <s v="8301 S HOOVER ST 1-70"/>
    <s v="5+"/>
    <x v="0"/>
    <n v="0"/>
    <n v="0"/>
    <n v="0"/>
    <n v="0"/>
    <n v="0"/>
    <n v="0"/>
    <x v="0"/>
    <n v="0"/>
    <n v="55"/>
    <n v="0"/>
    <n v="14"/>
    <n v="0"/>
    <n v="0"/>
    <n v="0"/>
    <n v="0"/>
    <n v="0"/>
    <n v="0"/>
    <n v="0"/>
    <x v="0"/>
    <n v="55"/>
    <n v="112"/>
  </r>
  <r>
    <x v="57"/>
    <x v="6"/>
    <n v="2233014007"/>
    <s v="15931 W VICTORY BLVD"/>
    <s v="5+"/>
    <x v="0"/>
    <n v="3"/>
    <n v="0"/>
    <n v="75"/>
    <n v="0"/>
    <n v="20"/>
    <n v="0"/>
    <x v="0"/>
    <n v="0"/>
    <n v="0"/>
    <n v="0"/>
    <n v="0"/>
    <n v="0"/>
    <n v="0"/>
    <n v="0"/>
    <n v="0"/>
    <n v="0"/>
    <n v="0"/>
    <n v="0"/>
    <x v="0"/>
    <n v="55"/>
    <n v="809"/>
  </r>
  <r>
    <x v="57"/>
    <x v="6"/>
    <n v="4252008020"/>
    <s v="3716 S BENTLEY AVE"/>
    <s v="5+"/>
    <x v="0"/>
    <n v="0"/>
    <n v="0"/>
    <n v="56"/>
    <n v="0"/>
    <n v="15"/>
    <n v="0"/>
    <x v="0"/>
    <n v="0"/>
    <n v="0"/>
    <n v="0"/>
    <n v="0"/>
    <n v="0"/>
    <n v="0"/>
    <n v="0"/>
    <n v="0"/>
    <n v="0"/>
    <n v="0"/>
    <n v="0"/>
    <x v="0"/>
    <n v="55"/>
    <n v="620"/>
  </r>
  <r>
    <x v="57"/>
    <x v="6"/>
    <n v="5065012072"/>
    <s v="6046 W COMEY AVE"/>
    <s v="5+"/>
    <x v="0"/>
    <n v="1"/>
    <n v="0"/>
    <n v="47"/>
    <n v="0"/>
    <n v="12"/>
    <n v="0"/>
    <x v="0"/>
    <n v="0"/>
    <n v="0"/>
    <n v="0"/>
    <n v="0"/>
    <n v="0"/>
    <n v="0"/>
    <n v="0"/>
    <n v="0"/>
    <n v="0"/>
    <n v="0"/>
    <n v="0"/>
    <x v="0"/>
    <n v="55"/>
    <n v="1120"/>
  </r>
  <r>
    <x v="57"/>
    <x v="6"/>
    <n v="5068018008"/>
    <s v="1532 S HI POINT ST"/>
    <s v="5+"/>
    <x v="0"/>
    <n v="0"/>
    <n v="0"/>
    <n v="39"/>
    <n v="0"/>
    <n v="10"/>
    <n v="0"/>
    <x v="0"/>
    <n v="0"/>
    <n v="0"/>
    <n v="0"/>
    <n v="0"/>
    <n v="0"/>
    <n v="0"/>
    <n v="0"/>
    <n v="0"/>
    <n v="0"/>
    <n v="0"/>
    <n v="0"/>
    <x v="0"/>
    <n v="55"/>
    <n v="5000"/>
  </r>
  <r>
    <x v="57"/>
    <x v="6"/>
    <n v="5154004016"/>
    <s v="142 S MOUNTAIN VIEW AVE"/>
    <s v="5+"/>
    <x v="0"/>
    <n v="1"/>
    <n v="0"/>
    <n v="11"/>
    <n v="0"/>
    <n v="3"/>
    <n v="0"/>
    <x v="0"/>
    <n v="0"/>
    <n v="0"/>
    <n v="0"/>
    <n v="0"/>
    <n v="0"/>
    <n v="0"/>
    <n v="0"/>
    <n v="0"/>
    <n v="0"/>
    <n v="0"/>
    <n v="0"/>
    <x v="0"/>
    <n v="55"/>
    <n v="214"/>
  </r>
  <r>
    <x v="57"/>
    <x v="6"/>
    <n v="5160014012"/>
    <s v="162 N DOUGLAS ST"/>
    <s v="5+"/>
    <x v="0"/>
    <n v="0"/>
    <n v="0"/>
    <n v="99"/>
    <n v="0"/>
    <n v="24"/>
    <n v="0"/>
    <x v="0"/>
    <n v="0"/>
    <n v="0"/>
    <n v="0"/>
    <n v="0"/>
    <n v="0"/>
    <n v="0"/>
    <n v="0"/>
    <n v="0"/>
    <n v="0"/>
    <n v="0"/>
    <n v="0"/>
    <x v="0"/>
    <n v="55"/>
    <n v="407"/>
  </r>
  <r>
    <x v="57"/>
    <x v="6"/>
    <n v="5534018018"/>
    <s v="5814 W LEXINGTON AVE"/>
    <s v="5+"/>
    <x v="0"/>
    <n v="3"/>
    <n v="0"/>
    <n v="77"/>
    <n v="0"/>
    <n v="16"/>
    <n v="0"/>
    <x v="0"/>
    <n v="0"/>
    <n v="0"/>
    <n v="0"/>
    <n v="0"/>
    <n v="0"/>
    <n v="0"/>
    <n v="0"/>
    <n v="0"/>
    <n v="0"/>
    <n v="0"/>
    <n v="0"/>
    <x v="0"/>
    <n v="55"/>
    <n v="410"/>
  </r>
  <r>
    <x v="57"/>
    <x v="6"/>
    <n v="6039018067"/>
    <s v="827 W 94TH ST"/>
    <s v="5+"/>
    <x v="0"/>
    <n v="0"/>
    <n v="0"/>
    <n v="16"/>
    <n v="0"/>
    <n v="5"/>
    <n v="0"/>
    <x v="0"/>
    <n v="0"/>
    <n v="0"/>
    <n v="0"/>
    <n v="0"/>
    <n v="0"/>
    <n v="0"/>
    <n v="0"/>
    <n v="0"/>
    <n v="0"/>
    <n v="0"/>
    <n v="0"/>
    <x v="0"/>
    <n v="55"/>
    <n v="1700"/>
  </r>
  <r>
    <x v="57"/>
    <x v="6"/>
    <n v="6058024009"/>
    <s v="10715 S WESTERN AVE"/>
    <s v="5+"/>
    <x v="0"/>
    <n v="0"/>
    <n v="0"/>
    <n v="83"/>
    <n v="0"/>
    <n v="22"/>
    <n v="0"/>
    <x v="0"/>
    <n v="0"/>
    <n v="0"/>
    <n v="0"/>
    <n v="0"/>
    <n v="0"/>
    <n v="0"/>
    <n v="0"/>
    <n v="0"/>
    <n v="0"/>
    <n v="0"/>
    <n v="0"/>
    <x v="0"/>
    <n v="55"/>
    <n v="186"/>
  </r>
  <r>
    <x v="57"/>
    <x v="6"/>
    <n v="2125004014"/>
    <s v="18325 W HART ST"/>
    <s v="5+"/>
    <x v="0"/>
    <n v="0"/>
    <n v="0"/>
    <n v="38"/>
    <n v="0"/>
    <n v="10"/>
    <n v="0"/>
    <x v="0"/>
    <n v="0"/>
    <n v="0"/>
    <n v="0"/>
    <n v="0"/>
    <n v="0"/>
    <n v="0"/>
    <n v="0"/>
    <n v="0"/>
    <n v="0"/>
    <n v="0"/>
    <n v="0"/>
    <x v="0"/>
    <n v="55"/>
    <n v="390"/>
  </r>
  <r>
    <x v="57"/>
    <x v="6"/>
    <n v="2324006055"/>
    <s v="12801 W BARBARA ANN ST"/>
    <s v="5+"/>
    <x v="0"/>
    <n v="1"/>
    <n v="0"/>
    <n v="51"/>
    <n v="0"/>
    <n v="13"/>
    <n v="0"/>
    <x v="0"/>
    <n v="0"/>
    <n v="0"/>
    <n v="0"/>
    <n v="0"/>
    <n v="0"/>
    <n v="0"/>
    <n v="0"/>
    <n v="0"/>
    <n v="0"/>
    <n v="0"/>
    <n v="0"/>
    <x v="0"/>
    <n v="55"/>
    <n v="1000"/>
  </r>
  <r>
    <x v="57"/>
    <x v="6"/>
    <n v="2695003002"/>
    <s v="17184 W CHATSWORTH ST"/>
    <s v="5+"/>
    <x v="0"/>
    <n v="0"/>
    <n v="0"/>
    <n v="54"/>
    <n v="0"/>
    <n v="14"/>
    <n v="0"/>
    <x v="0"/>
    <n v="0"/>
    <n v="0"/>
    <n v="0"/>
    <n v="0"/>
    <n v="0"/>
    <n v="0"/>
    <n v="0"/>
    <n v="0"/>
    <n v="0"/>
    <n v="0"/>
    <n v="0"/>
    <x v="0"/>
    <n v="55"/>
    <n v="666"/>
  </r>
  <r>
    <x v="57"/>
    <x v="6"/>
    <n v="4321008047"/>
    <s v="1943 S MANNING AVE"/>
    <s v="5+"/>
    <x v="0"/>
    <n v="0"/>
    <n v="0"/>
    <n v="49"/>
    <n v="0"/>
    <n v="13"/>
    <n v="0"/>
    <x v="0"/>
    <n v="0"/>
    <n v="0"/>
    <n v="0"/>
    <n v="0"/>
    <n v="0"/>
    <n v="0"/>
    <n v="0"/>
    <n v="0"/>
    <n v="0"/>
    <n v="0"/>
    <n v="0"/>
    <x v="0"/>
    <n v="55"/>
    <n v="1525"/>
  </r>
  <r>
    <x v="57"/>
    <x v="6"/>
    <n v="5005024001"/>
    <s v="1885 W SLAUSON AVE"/>
    <s v="5+"/>
    <x v="0"/>
    <n v="0"/>
    <n v="0"/>
    <n v="67"/>
    <n v="0"/>
    <n v="11"/>
    <n v="0"/>
    <x v="0"/>
    <n v="0"/>
    <n v="0"/>
    <n v="0"/>
    <n v="0"/>
    <n v="0"/>
    <n v="0"/>
    <n v="0"/>
    <n v="0"/>
    <n v="0"/>
    <n v="0"/>
    <n v="0"/>
    <x v="0"/>
    <n v="55"/>
    <n v="187"/>
  </r>
  <r>
    <x v="57"/>
    <x v="6"/>
    <n v="5006003025"/>
    <s v="3455 W SLAUSON AVE"/>
    <s v="5+"/>
    <x v="0"/>
    <n v="0"/>
    <n v="0"/>
    <n v="59"/>
    <n v="0"/>
    <n v="15"/>
    <n v="0"/>
    <x v="0"/>
    <n v="0"/>
    <n v="0"/>
    <n v="0"/>
    <n v="0"/>
    <n v="0"/>
    <n v="0"/>
    <n v="0"/>
    <n v="0"/>
    <n v="0"/>
    <n v="0"/>
    <n v="0"/>
    <x v="0"/>
    <n v="55"/>
    <n v="114"/>
  </r>
  <r>
    <x v="57"/>
    <x v="6"/>
    <n v="5017025003"/>
    <s v="5109 S VERMONT AVE"/>
    <s v="5+"/>
    <x v="0"/>
    <n v="1"/>
    <n v="0"/>
    <n v="28"/>
    <n v="0"/>
    <n v="7"/>
    <n v="0"/>
    <x v="0"/>
    <n v="0"/>
    <n v="0"/>
    <n v="0"/>
    <n v="0"/>
    <n v="0"/>
    <n v="0"/>
    <n v="0"/>
    <n v="0"/>
    <n v="0"/>
    <n v="0"/>
    <n v="0"/>
    <x v="0"/>
    <n v="55"/>
    <n v="105"/>
  </r>
  <r>
    <x v="57"/>
    <x v="6"/>
    <n v="5046001004"/>
    <s v="3412 S VICTORIA AVE"/>
    <s v="5+"/>
    <x v="0"/>
    <n v="1"/>
    <n v="0"/>
    <n v="45"/>
    <n v="0"/>
    <n v="11"/>
    <n v="0"/>
    <x v="0"/>
    <n v="0"/>
    <n v="0"/>
    <n v="0"/>
    <n v="0"/>
    <n v="0"/>
    <n v="0"/>
    <n v="0"/>
    <n v="0"/>
    <n v="0"/>
    <n v="0"/>
    <n v="0"/>
    <x v="0"/>
    <n v="55"/>
    <n v="383"/>
  </r>
  <r>
    <x v="57"/>
    <x v="6"/>
    <n v="5052023039"/>
    <s v="2075 W JEFFERSON BLVD"/>
    <s v="5+"/>
    <x v="0"/>
    <n v="0"/>
    <n v="0"/>
    <n v="79"/>
    <n v="0"/>
    <n v="20"/>
    <n v="0"/>
    <x v="0"/>
    <n v="0"/>
    <n v="0"/>
    <n v="0"/>
    <n v="0"/>
    <n v="0"/>
    <n v="0"/>
    <n v="0"/>
    <n v="0"/>
    <n v="0"/>
    <n v="0"/>
    <n v="0"/>
    <x v="0"/>
    <n v="55"/>
    <n v="567"/>
  </r>
  <r>
    <x v="57"/>
    <x v="6"/>
    <n v="5183014033"/>
    <s v="443 S SOTO ST"/>
    <s v="5+"/>
    <x v="0"/>
    <n v="0"/>
    <n v="0"/>
    <n v="137"/>
    <n v="0"/>
    <n v="0"/>
    <n v="0"/>
    <x v="0"/>
    <n v="0"/>
    <n v="0"/>
    <n v="0"/>
    <n v="0"/>
    <n v="0"/>
    <n v="0"/>
    <n v="0"/>
    <n v="0"/>
    <n v="0"/>
    <n v="0"/>
    <n v="0"/>
    <x v="0"/>
    <n v="55"/>
    <n v="283"/>
  </r>
  <r>
    <x v="57"/>
    <x v="6"/>
    <n v="5468013005"/>
    <s v="224 S AVENUE 55"/>
    <s v="5+"/>
    <x v="0"/>
    <n v="0"/>
    <n v="0"/>
    <n v="19"/>
    <n v="0"/>
    <n v="5"/>
    <n v="0"/>
    <x v="0"/>
    <n v="0"/>
    <n v="0"/>
    <n v="0"/>
    <n v="0"/>
    <n v="0"/>
    <n v="0"/>
    <n v="0"/>
    <n v="0"/>
    <n v="0"/>
    <n v="0"/>
    <n v="0"/>
    <x v="0"/>
    <n v="55"/>
    <n v="316"/>
  </r>
  <r>
    <x v="57"/>
    <x v="6"/>
    <n v="5517008002"/>
    <s v="209 S SERRANO AVE"/>
    <s v="5+"/>
    <x v="0"/>
    <n v="0"/>
    <n v="0"/>
    <n v="33"/>
    <n v="0"/>
    <n v="9"/>
    <n v="0"/>
    <x v="0"/>
    <n v="0"/>
    <n v="0"/>
    <n v="0"/>
    <n v="0"/>
    <n v="0"/>
    <n v="0"/>
    <n v="0"/>
    <n v="0"/>
    <n v="0"/>
    <n v="0"/>
    <n v="0"/>
    <x v="0"/>
    <n v="55"/>
    <n v="387"/>
  </r>
  <r>
    <x v="57"/>
    <x v="6"/>
    <n v="5520017018"/>
    <s v="4136 W ROSEWOOD AVE"/>
    <s v="5+"/>
    <x v="0"/>
    <n v="1"/>
    <n v="0"/>
    <n v="54"/>
    <n v="0"/>
    <n v="13"/>
    <n v="0"/>
    <x v="0"/>
    <n v="0"/>
    <n v="0"/>
    <n v="0"/>
    <n v="0"/>
    <n v="0"/>
    <n v="0"/>
    <n v="0"/>
    <n v="0"/>
    <n v="0"/>
    <n v="0"/>
    <n v="0"/>
    <x v="0"/>
    <n v="55"/>
    <n v="388"/>
  </r>
  <r>
    <x v="57"/>
    <x v="6"/>
    <n v="5534017013"/>
    <s v="5814 W VIRGINIA AVE"/>
    <s v="5+"/>
    <x v="0"/>
    <n v="2"/>
    <n v="0"/>
    <n v="34"/>
    <n v="0"/>
    <n v="6"/>
    <n v="0"/>
    <x v="0"/>
    <n v="0"/>
    <n v="0"/>
    <n v="0"/>
    <n v="0"/>
    <n v="0"/>
    <n v="0"/>
    <n v="0"/>
    <n v="0"/>
    <n v="0"/>
    <n v="0"/>
    <n v="0"/>
    <x v="0"/>
    <n v="55"/>
    <n v="330"/>
  </r>
  <r>
    <x v="57"/>
    <x v="6"/>
    <n v="5544030008"/>
    <s v="5645 W FERNWOOD AVE"/>
    <s v="5+"/>
    <x v="0"/>
    <n v="6"/>
    <n v="0"/>
    <n v="408"/>
    <n v="0"/>
    <n v="104"/>
    <n v="0"/>
    <x v="0"/>
    <n v="0"/>
    <n v="0"/>
    <n v="0"/>
    <n v="0"/>
    <n v="0"/>
    <n v="0"/>
    <n v="0"/>
    <n v="0"/>
    <n v="0"/>
    <n v="0"/>
    <n v="0"/>
    <x v="0"/>
    <n v="55"/>
    <n v="1208"/>
  </r>
  <r>
    <x v="57"/>
    <x v="6"/>
    <n v="6031033018"/>
    <s v="8201 S BROADWAY"/>
    <s v="5+"/>
    <x v="0"/>
    <n v="2"/>
    <n v="0"/>
    <n v="23"/>
    <n v="0"/>
    <n v="5"/>
    <n v="0"/>
    <x v="0"/>
    <n v="0"/>
    <n v="0"/>
    <n v="0"/>
    <n v="0"/>
    <n v="0"/>
    <n v="0"/>
    <n v="0"/>
    <n v="0"/>
    <n v="0"/>
    <n v="0"/>
    <n v="0"/>
    <x v="0"/>
    <n v="55"/>
    <n v="138"/>
  </r>
  <r>
    <x v="57"/>
    <x v="6"/>
    <n v="6043007033"/>
    <s v="9002 S CENTRAL AVE"/>
    <s v="5+"/>
    <x v="0"/>
    <n v="0"/>
    <n v="0"/>
    <n v="28"/>
    <n v="0"/>
    <n v="8"/>
    <n v="0"/>
    <x v="0"/>
    <n v="0"/>
    <n v="0"/>
    <n v="0"/>
    <n v="0"/>
    <n v="0"/>
    <n v="0"/>
    <n v="0"/>
    <n v="0"/>
    <n v="0"/>
    <n v="0"/>
    <n v="0"/>
    <x v="0"/>
    <n v="55"/>
    <n v="76"/>
  </r>
  <r>
    <x v="57"/>
    <x v="6"/>
    <n v="6055025032"/>
    <s v="9438 S WESTERN AVE"/>
    <s v="5+"/>
    <x v="0"/>
    <n v="0"/>
    <n v="0"/>
    <n v="27"/>
    <n v="0"/>
    <n v="8"/>
    <n v="0"/>
    <x v="0"/>
    <n v="0"/>
    <n v="0"/>
    <n v="0"/>
    <n v="0"/>
    <n v="0"/>
    <n v="0"/>
    <n v="0"/>
    <n v="0"/>
    <n v="0"/>
    <n v="0"/>
    <n v="0"/>
    <x v="0"/>
    <n v="55"/>
    <n v="112"/>
  </r>
  <r>
    <x v="57"/>
    <x v="6"/>
    <n v="6117001020"/>
    <s v="700 W 120TH ST"/>
    <s v="5+"/>
    <x v="0"/>
    <n v="0"/>
    <n v="0"/>
    <n v="39"/>
    <n v="0"/>
    <n v="10"/>
    <n v="0"/>
    <x v="0"/>
    <n v="0"/>
    <n v="0"/>
    <n v="0"/>
    <n v="0"/>
    <n v="0"/>
    <n v="0"/>
    <n v="0"/>
    <n v="0"/>
    <n v="0"/>
    <n v="0"/>
    <n v="0"/>
    <x v="0"/>
    <n v="55"/>
    <n v="733"/>
  </r>
  <r>
    <x v="57"/>
    <x v="6"/>
    <n v="7462005027"/>
    <s v="684 W 18TH ST"/>
    <s v="5+"/>
    <x v="0"/>
    <n v="1"/>
    <n v="0"/>
    <n v="19"/>
    <n v="0"/>
    <n v="5"/>
    <n v="0"/>
    <x v="0"/>
    <n v="0"/>
    <n v="0"/>
    <n v="0"/>
    <n v="0"/>
    <n v="0"/>
    <n v="0"/>
    <n v="0"/>
    <n v="0"/>
    <n v="0"/>
    <n v="0"/>
    <n v="0"/>
    <x v="0"/>
    <n v="55"/>
    <n v="85"/>
  </r>
  <r>
    <x v="57"/>
    <x v="6"/>
    <n v="5101030016"/>
    <s v="100 W 55TH ST 1-56"/>
    <s v="5+"/>
    <x v="0"/>
    <n v="0"/>
    <n v="0"/>
    <n v="0"/>
    <n v="0"/>
    <n v="0"/>
    <n v="0"/>
    <x v="75"/>
    <n v="0"/>
    <n v="0"/>
    <n v="0"/>
    <n v="0"/>
    <n v="0"/>
    <n v="56"/>
    <n v="0"/>
    <n v="0"/>
    <n v="0"/>
    <n v="0"/>
    <n v="0"/>
    <x v="0"/>
    <n v="55"/>
    <n v="27"/>
  </r>
  <r>
    <x v="57"/>
    <x v="6"/>
    <n v="2537001033"/>
    <s v="12342 W OSBORNE PL 1-100"/>
    <s v="5+"/>
    <x v="0"/>
    <n v="0"/>
    <n v="0"/>
    <n v="0"/>
    <n v="0"/>
    <n v="0"/>
    <n v="0"/>
    <x v="0"/>
    <n v="0"/>
    <n v="79"/>
    <n v="0"/>
    <n v="20"/>
    <n v="0"/>
    <n v="0"/>
    <n v="0"/>
    <n v="0"/>
    <n v="0"/>
    <n v="0"/>
    <n v="0"/>
    <x v="0"/>
    <n v="55"/>
    <n v="245"/>
  </r>
  <r>
    <x v="57"/>
    <x v="6"/>
    <n v="5040024023"/>
    <s v="1317 W JEFFERSON BLVD"/>
    <s v="5+"/>
    <x v="0"/>
    <n v="0"/>
    <n v="0"/>
    <n v="0"/>
    <n v="0"/>
    <n v="0"/>
    <n v="0"/>
    <x v="2"/>
    <n v="0"/>
    <n v="0"/>
    <n v="0"/>
    <n v="0"/>
    <n v="0"/>
    <n v="3"/>
    <n v="0"/>
    <n v="0"/>
    <n v="0"/>
    <n v="0"/>
    <n v="0"/>
    <x v="0"/>
    <n v="55"/>
    <n v="28"/>
  </r>
  <r>
    <x v="57"/>
    <x v="6"/>
    <n v="2509003201"/>
    <s v="13208 N BROMONT AVE 1-92"/>
    <s v="5+"/>
    <x v="0"/>
    <n v="0"/>
    <n v="0"/>
    <n v="142"/>
    <n v="0"/>
    <n v="36"/>
    <n v="0"/>
    <x v="0"/>
    <n v="0"/>
    <n v="72"/>
    <n v="0"/>
    <n v="18"/>
    <n v="0"/>
    <n v="0"/>
    <n v="0"/>
    <n v="0"/>
    <n v="0"/>
    <n v="0"/>
    <n v="0"/>
    <x v="0"/>
    <n v="55"/>
    <n v="0"/>
  </r>
  <r>
    <x v="57"/>
    <x v="1"/>
    <n v="5550023024"/>
    <s v="1350 N GARDNER ST"/>
    <s v="5+"/>
    <x v="0"/>
    <n v="3"/>
    <n v="0"/>
    <n v="1"/>
    <n v="0"/>
    <n v="0"/>
    <n v="0"/>
    <x v="2"/>
    <n v="0"/>
    <n v="1"/>
    <n v="0"/>
    <n v="0"/>
    <n v="0"/>
    <n v="0"/>
    <n v="0"/>
    <n v="0"/>
    <n v="0"/>
    <n v="0"/>
    <n v="0"/>
    <x v="0"/>
    <n v="55"/>
    <s v="0.34999999999999998"/>
  </r>
  <r>
    <x v="24"/>
    <x v="6"/>
    <n v="2443004017"/>
    <s v="910 S MARIPOSA ST"/>
    <s v="5+"/>
    <x v="0"/>
    <n v="3"/>
    <n v="0"/>
    <n v="0"/>
    <n v="0"/>
    <n v="3"/>
    <n v="0"/>
    <x v="0"/>
    <n v="0"/>
    <n v="0"/>
    <n v="0"/>
    <n v="0"/>
    <n v="0"/>
    <n v="0"/>
    <n v="0"/>
    <n v="0"/>
    <n v="0"/>
    <n v="0"/>
    <n v="0"/>
    <x v="0"/>
    <m/>
    <n v="1"/>
  </r>
  <r>
    <x v="66"/>
    <x v="6"/>
    <n v="4020013003"/>
    <s v="318 W Lime St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14000000000000001"/>
  </r>
  <r>
    <x v="66"/>
    <x v="6"/>
    <n v="4015009027"/>
    <s v="400 Centinela Ave"/>
    <s v="5+"/>
    <x v="0"/>
    <n v="12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n v="1"/>
  </r>
  <r>
    <x v="238"/>
    <x v="6"/>
    <s v="016902119"/>
    <s v="1231 TEXAS ST"/>
    <s v="5+"/>
    <x v="0"/>
    <n v="20"/>
    <n v="0"/>
    <n v="0"/>
    <n v="0"/>
    <n v="0"/>
    <n v="0"/>
    <x v="15"/>
    <n v="0"/>
    <n v="0"/>
    <n v="0"/>
    <n v="0"/>
    <n v="0"/>
    <n v="0"/>
    <n v="0"/>
    <n v="0"/>
    <n v="0"/>
    <n v="0"/>
    <n v="0"/>
    <x v="0"/>
    <m/>
    <s v="0.14000000000000001"/>
  </r>
  <r>
    <x v="238"/>
    <x v="6"/>
    <s v="016902119"/>
    <s v="1219 TEXAS ST"/>
    <s v="5+"/>
    <x v="0"/>
    <n v="20"/>
    <n v="0"/>
    <n v="0"/>
    <n v="0"/>
    <n v="0"/>
    <n v="0"/>
    <x v="15"/>
    <n v="0"/>
    <n v="0"/>
    <n v="0"/>
    <n v="0"/>
    <n v="0"/>
    <n v="0"/>
    <n v="0"/>
    <n v="0"/>
    <n v="0"/>
    <n v="0"/>
    <n v="0"/>
    <x v="0"/>
    <m/>
    <s v="0.14000000000000001"/>
  </r>
  <r>
    <x v="57"/>
    <x v="6"/>
    <n v="5511003024"/>
    <s v="145 N EDINBURGH AVE"/>
    <s v="5+"/>
    <x v="0"/>
    <n v="0"/>
    <n v="0"/>
    <n v="0"/>
    <n v="0"/>
    <n v="0"/>
    <n v="0"/>
    <x v="6"/>
    <n v="0"/>
    <n v="0"/>
    <n v="0"/>
    <n v="2"/>
    <n v="0"/>
    <n v="0"/>
    <n v="0"/>
    <n v="0"/>
    <n v="0"/>
    <n v="0"/>
    <n v="0"/>
    <x v="0"/>
    <n v="55"/>
    <n v="45"/>
  </r>
  <r>
    <x v="57"/>
    <x v="6"/>
    <n v="5166033004"/>
    <s v="1800 E 7TH ST"/>
    <s v="5+"/>
    <x v="0"/>
    <n v="0"/>
    <n v="0"/>
    <n v="0"/>
    <n v="0"/>
    <n v="0"/>
    <n v="0"/>
    <x v="89"/>
    <n v="0"/>
    <n v="0"/>
    <n v="0"/>
    <n v="0"/>
    <n v="0"/>
    <n v="0"/>
    <n v="0"/>
    <n v="0"/>
    <n v="0"/>
    <n v="0"/>
    <n v="0"/>
    <x v="0"/>
    <n v="55"/>
    <n v="69"/>
  </r>
  <r>
    <x v="57"/>
    <x v="6"/>
    <n v="2135038011"/>
    <s v="20120 W SHERMAN WAY 1-91"/>
    <s v="5+"/>
    <x v="0"/>
    <n v="0"/>
    <n v="0"/>
    <n v="0"/>
    <n v="0"/>
    <n v="0"/>
    <n v="0"/>
    <x v="7"/>
    <n v="0"/>
    <n v="0"/>
    <n v="0"/>
    <n v="79"/>
    <n v="0"/>
    <n v="10"/>
    <n v="0"/>
    <n v="0"/>
    <n v="0"/>
    <n v="79"/>
    <n v="0"/>
    <x v="0"/>
    <n v="55"/>
    <n v="0"/>
  </r>
  <r>
    <x v="57"/>
    <x v="1"/>
    <n v="4217018016"/>
    <s v="4424 S SLAUSON;  4428 S SLAUSON; 4434 S SLAUSON;  4438 S SLAUSON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22"/>
  </r>
  <r>
    <x v="57"/>
    <x v="1"/>
    <n v="6054032001"/>
    <s v="9900 S FIGUEROA; 9906 S FIGUEROA; 9910 S FIGUEROA; 9916 S FIGUEROA; 9922 S FIGUEROA; 9924 S FIGUEROA"/>
    <s v="5+"/>
    <x v="0"/>
    <n v="9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25"/>
  </r>
  <r>
    <x v="57"/>
    <x v="1"/>
    <n v="6063029021"/>
    <s v="10705 S AVALON BLVD"/>
    <s v="5+"/>
    <x v="0"/>
    <n v="0"/>
    <n v="0"/>
    <n v="54"/>
    <n v="0"/>
    <n v="14"/>
    <n v="0"/>
    <x v="0"/>
    <n v="0"/>
    <n v="0"/>
    <n v="0"/>
    <n v="0"/>
    <n v="0"/>
    <n v="0"/>
    <n v="0"/>
    <n v="0"/>
    <n v="0"/>
    <n v="0"/>
    <n v="0"/>
    <x v="0"/>
    <n v="55"/>
    <s v="0.35999999999999999"/>
  </r>
  <r>
    <x v="57"/>
    <x v="6"/>
    <n v="5183013001"/>
    <s v="2330 E 3RD ST 1-53"/>
    <s v="5+"/>
    <x v="0"/>
    <n v="2"/>
    <n v="0"/>
    <n v="42"/>
    <n v="0"/>
    <n v="8"/>
    <n v="0"/>
    <x v="5"/>
    <n v="0"/>
    <n v="45"/>
    <n v="0"/>
    <n v="3"/>
    <n v="0"/>
    <n v="0"/>
    <n v="0"/>
    <n v="0"/>
    <n v="0"/>
    <n v="0"/>
    <n v="0"/>
    <x v="0"/>
    <n v="55"/>
    <n v="783"/>
  </r>
  <r>
    <x v="120"/>
    <x v="6"/>
    <s v="591-131-71"/>
    <s v="Harrier and Lynx"/>
    <s v="5+"/>
    <x v="0"/>
    <n v="47"/>
    <n v="0"/>
    <n v="0"/>
    <n v="0"/>
    <n v="22"/>
    <n v="0"/>
    <x v="0"/>
    <n v="0"/>
    <n v="0"/>
    <n v="0"/>
    <n v="0"/>
    <n v="0"/>
    <n v="0"/>
    <n v="0"/>
    <n v="0"/>
    <n v="0"/>
    <n v="0"/>
    <n v="0"/>
    <x v="0"/>
    <m/>
    <s v="0.20000000000000001"/>
  </r>
  <r>
    <x v="52"/>
    <x v="1"/>
    <s v="07101900610000"/>
    <s v="425 E BIDWELL ST"/>
    <s v="5+"/>
    <x v="0"/>
    <n v="0"/>
    <n v="0"/>
    <n v="0"/>
    <n v="0"/>
    <n v="0"/>
    <n v="0"/>
    <x v="0"/>
    <n v="0"/>
    <n v="0"/>
    <n v="0"/>
    <n v="0"/>
    <n v="0"/>
    <n v="0"/>
    <n v="0"/>
    <n v="25"/>
    <n v="0"/>
    <n v="0"/>
    <n v="0"/>
    <x v="0"/>
    <m/>
    <s v="0.20000000000000001"/>
  </r>
  <r>
    <x v="57"/>
    <x v="6"/>
    <n v="5544006051"/>
    <s v="5440 W FRANKLIN AVE 1-87"/>
    <s v="5+"/>
    <x v="0"/>
    <n v="0"/>
    <n v="0"/>
    <n v="0"/>
    <n v="0"/>
    <n v="0"/>
    <n v="0"/>
    <x v="58"/>
    <n v="0"/>
    <n v="0"/>
    <n v="0"/>
    <n v="0"/>
    <n v="0"/>
    <n v="11"/>
    <n v="0"/>
    <n v="0"/>
    <n v="0"/>
    <n v="0"/>
    <n v="0"/>
    <x v="0"/>
    <n v="55"/>
    <n v="58"/>
  </r>
  <r>
    <x v="57"/>
    <x v="6"/>
    <n v="5105012026"/>
    <s v="5506 S DUARTE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57"/>
    <x v="6"/>
    <n v="5534019030"/>
    <s v="5817 W LEXINGTON AVE 1-21"/>
    <s v="5+"/>
    <x v="0"/>
    <n v="0"/>
    <n v="0"/>
    <n v="0"/>
    <n v="0"/>
    <n v="0"/>
    <n v="0"/>
    <x v="17"/>
    <n v="0"/>
    <n v="1"/>
    <n v="0"/>
    <n v="0"/>
    <n v="0"/>
    <n v="2"/>
    <n v="0"/>
    <n v="1"/>
    <n v="0"/>
    <n v="0"/>
    <n v="0"/>
    <x v="0"/>
    <n v="55"/>
    <n v="25"/>
  </r>
  <r>
    <x v="275"/>
    <x v="6"/>
    <s v="1046-605-01"/>
    <s v="255 E Stowell ST"/>
    <s v="5+"/>
    <x v="0"/>
    <n v="0"/>
    <n v="0"/>
    <n v="93"/>
    <n v="0"/>
    <n v="0"/>
    <n v="0"/>
    <x v="0"/>
    <n v="0"/>
    <n v="0"/>
    <n v="0"/>
    <n v="0"/>
    <n v="0"/>
    <n v="0"/>
    <n v="0"/>
    <n v="0"/>
    <n v="0"/>
    <n v="0"/>
    <n v="0"/>
    <x v="0"/>
    <m/>
    <s v="0.46999999999999997"/>
  </r>
  <r>
    <x v="57"/>
    <x v="6"/>
    <n v="2264003039"/>
    <s v="4818 N SEPULVEDA BLVD"/>
    <s v="5+"/>
    <x v="0"/>
    <n v="0"/>
    <n v="0"/>
    <n v="0"/>
    <n v="0"/>
    <n v="0"/>
    <n v="0"/>
    <x v="2"/>
    <n v="0"/>
    <n v="1"/>
    <n v="0"/>
    <n v="0"/>
    <n v="0"/>
    <n v="3"/>
    <n v="0"/>
    <n v="1"/>
    <n v="0"/>
    <n v="0"/>
    <n v="0"/>
    <x v="0"/>
    <n v="55"/>
    <n v="35"/>
  </r>
  <r>
    <x v="57"/>
    <x v="6"/>
    <n v="2355005056"/>
    <s v="5119 N COLFAX AVE #1-15"/>
    <s v="5+"/>
    <x v="0"/>
    <n v="0"/>
    <n v="0"/>
    <n v="0"/>
    <n v="0"/>
    <n v="0"/>
    <n v="0"/>
    <x v="2"/>
    <n v="0"/>
    <n v="1"/>
    <n v="0"/>
    <n v="0"/>
    <n v="0"/>
    <n v="0"/>
    <n v="0"/>
    <n v="0"/>
    <n v="0"/>
    <n v="0"/>
    <n v="0"/>
    <x v="0"/>
    <n v="55"/>
    <n v="35"/>
  </r>
  <r>
    <x v="57"/>
    <x v="6"/>
    <n v="5534006006"/>
    <s v="6219 W BANNER AVE 1-64"/>
    <s v="5+"/>
    <x v="0"/>
    <n v="0"/>
    <n v="0"/>
    <n v="0"/>
    <n v="0"/>
    <n v="0"/>
    <n v="0"/>
    <x v="12"/>
    <n v="0"/>
    <n v="53"/>
    <n v="0"/>
    <n v="5"/>
    <n v="0"/>
    <n v="0"/>
    <n v="0"/>
    <n v="0"/>
    <n v="0"/>
    <n v="0"/>
    <n v="0"/>
    <x v="0"/>
    <n v="55"/>
    <n v="611"/>
  </r>
  <r>
    <x v="62"/>
    <x v="6"/>
    <n v="7295004"/>
    <s v="400 WINSTON DR"/>
    <s v="5+"/>
    <x v="0"/>
    <n v="0"/>
    <n v="0"/>
    <n v="0"/>
    <n v="0"/>
    <n v="698"/>
    <n v="0"/>
    <x v="0"/>
    <n v="0"/>
    <n v="0"/>
    <n v="0"/>
    <n v="0"/>
    <n v="0"/>
    <n v="0"/>
    <n v="0"/>
    <n v="0"/>
    <n v="0"/>
    <n v="0"/>
    <n v="0"/>
    <x v="1"/>
    <n v="99"/>
    <n v="0"/>
  </r>
  <r>
    <x v="62"/>
    <x v="6"/>
    <n v="6571008"/>
    <s v="1515 SOUTH VAN NESS AVE"/>
    <s v="5+"/>
    <x v="0"/>
    <n v="109"/>
    <n v="0"/>
    <n v="46"/>
    <n v="0"/>
    <n v="12"/>
    <n v="0"/>
    <x v="0"/>
    <n v="0"/>
    <n v="0"/>
    <n v="0"/>
    <n v="0"/>
    <n v="0"/>
    <n v="0"/>
    <n v="0"/>
    <n v="0"/>
    <n v="0"/>
    <n v="0"/>
    <n v="0"/>
    <x v="0"/>
    <n v="99"/>
    <s v="0.28999999999999998"/>
  </r>
  <r>
    <x v="62"/>
    <x v="6"/>
    <n v="6635001"/>
    <s v="3300 MISSION ST"/>
    <s v="5+"/>
    <x v="0"/>
    <n v="0"/>
    <n v="0"/>
    <n v="35"/>
    <n v="0"/>
    <n v="0"/>
    <n v="0"/>
    <x v="0"/>
    <n v="0"/>
    <n v="0"/>
    <n v="0"/>
    <n v="0"/>
    <n v="0"/>
    <n v="0"/>
    <n v="0"/>
    <n v="0"/>
    <n v="0"/>
    <n v="0"/>
    <n v="0"/>
    <x v="0"/>
    <n v="99"/>
    <n v="1"/>
  </r>
  <r>
    <x v="17"/>
    <x v="6"/>
    <s v="398-092-14"/>
    <s v="1146EWashingtonAve"/>
    <s v="5+"/>
    <x v="0"/>
    <n v="0"/>
    <n v="0"/>
    <n v="0"/>
    <n v="0"/>
    <n v="0"/>
    <n v="0"/>
    <x v="0"/>
    <n v="0"/>
    <n v="0"/>
    <n v="0"/>
    <n v="0"/>
    <n v="0"/>
    <n v="85"/>
    <n v="0"/>
    <n v="0"/>
    <n v="0"/>
    <n v="0"/>
    <n v="0"/>
    <x v="1"/>
    <n v="55"/>
    <n v="0"/>
  </r>
  <r>
    <x v="280"/>
    <x v="1"/>
    <n v="2844041002"/>
    <s v="Flying Tiger Drive"/>
    <s v="5+"/>
    <x v="0"/>
    <n v="26"/>
    <n v="0"/>
    <n v="102"/>
    <n v="0"/>
    <n v="0"/>
    <n v="0"/>
    <x v="0"/>
    <n v="0"/>
    <n v="0"/>
    <n v="0"/>
    <n v="0"/>
    <n v="0"/>
    <n v="0"/>
    <n v="0"/>
    <n v="0"/>
    <n v="0"/>
    <n v="0"/>
    <n v="0"/>
    <x v="0"/>
    <n v="55"/>
    <s v="0.80000000000000004"/>
  </r>
  <r>
    <x v="280"/>
    <x v="1"/>
    <n v="2831003027"/>
    <s v="24605 Railroad Avenue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050000000000000003"/>
  </r>
  <r>
    <x v="57"/>
    <x v="6"/>
    <n v="6012004047"/>
    <s v="6501 S BROADWAY 1-51"/>
    <s v="5+"/>
    <x v="0"/>
    <n v="0"/>
    <n v="0"/>
    <n v="0"/>
    <n v="0"/>
    <n v="0"/>
    <n v="0"/>
    <x v="0"/>
    <n v="0"/>
    <n v="39"/>
    <n v="0"/>
    <n v="11"/>
    <n v="0"/>
    <n v="0"/>
    <n v="0"/>
    <n v="39"/>
    <n v="0"/>
    <n v="11"/>
    <n v="0"/>
    <x v="0"/>
    <n v="55"/>
    <n v="75"/>
  </r>
  <r>
    <x v="62"/>
    <x v="6"/>
    <n v="6574068"/>
    <s v="1633 VALENCIA ST"/>
    <s v="5+"/>
    <x v="0"/>
    <n v="0"/>
    <n v="0"/>
    <n v="0"/>
    <n v="0"/>
    <n v="0"/>
    <n v="0"/>
    <x v="103"/>
    <n v="0"/>
    <n v="0"/>
    <n v="0"/>
    <n v="0"/>
    <n v="0"/>
    <n v="0"/>
    <n v="0"/>
    <n v="0"/>
    <n v="0"/>
    <n v="0"/>
    <n v="0"/>
    <x v="0"/>
    <n v="99"/>
    <n v="1.46"/>
  </r>
  <r>
    <x v="62"/>
    <x v="6"/>
    <n v="1018020"/>
    <s v="3637 SACRAMENTO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m/>
    <n v="0"/>
  </r>
  <r>
    <x v="62"/>
    <x v="6"/>
    <n v="8901002"/>
    <s v="1 AVENUE OF THE PALMS *"/>
    <s v="5+"/>
    <x v="0"/>
    <n v="0"/>
    <n v="0"/>
    <n v="0"/>
    <n v="0"/>
    <n v="0"/>
    <n v="0"/>
    <x v="0"/>
    <n v="0"/>
    <n v="0"/>
    <n v="0"/>
    <n v="0"/>
    <n v="0"/>
    <n v="0"/>
    <n v="0"/>
    <n v="24"/>
    <n v="0"/>
    <n v="0"/>
    <n v="0"/>
    <x v="1"/>
    <n v="99"/>
    <n v="0"/>
  </r>
  <r>
    <x v="62"/>
    <x v="6"/>
    <n v="3783010"/>
    <s v="600 07TH ST"/>
    <s v="5+"/>
    <x v="0"/>
    <n v="0"/>
    <n v="0"/>
    <n v="0"/>
    <n v="0"/>
    <n v="0"/>
    <n v="0"/>
    <x v="0"/>
    <n v="0"/>
    <n v="0"/>
    <n v="0"/>
    <n v="0"/>
    <n v="0"/>
    <n v="143"/>
    <n v="0"/>
    <n v="72"/>
    <n v="0"/>
    <n v="0"/>
    <n v="0"/>
    <x v="0"/>
    <n v="99"/>
    <n v="0.5"/>
  </r>
  <r>
    <x v="62"/>
    <x v="6"/>
    <n v="8901002"/>
    <s v="1 AVENUE OF THE PALMS *"/>
    <s v="5+"/>
    <x v="0"/>
    <n v="0"/>
    <n v="0"/>
    <n v="0"/>
    <n v="0"/>
    <n v="0"/>
    <n v="0"/>
    <x v="0"/>
    <n v="0"/>
    <n v="0"/>
    <n v="0"/>
    <n v="0"/>
    <n v="0"/>
    <n v="71"/>
    <n v="0"/>
    <n v="31"/>
    <n v="0"/>
    <n v="12"/>
    <n v="0"/>
    <x v="1"/>
    <n v="99"/>
    <n v="0"/>
  </r>
  <r>
    <x v="201"/>
    <x v="0"/>
    <s v="258-130-97, 258-130-98"/>
    <s v="155 Quail Gardens Drive, 628 &amp; 630 Encinitas Boulevard"/>
    <s v="5+"/>
    <x v="0"/>
    <n v="0"/>
    <n v="0"/>
    <n v="21"/>
    <n v="0"/>
    <n v="0"/>
    <n v="0"/>
    <x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n v="5503028022"/>
    <s v="611 S HOBART BLVD 1-80"/>
    <s v="5+"/>
    <x v="0"/>
    <n v="0"/>
    <n v="0"/>
    <n v="64"/>
    <n v="0"/>
    <n v="15"/>
    <n v="0"/>
    <x v="0"/>
    <n v="0"/>
    <n v="64"/>
    <n v="0"/>
    <n v="15"/>
    <n v="0"/>
    <n v="0"/>
    <n v="0"/>
    <n v="0"/>
    <n v="0"/>
    <n v="0"/>
    <n v="0"/>
    <x v="0"/>
    <n v="55"/>
    <n v="74"/>
  </r>
  <r>
    <x v="109"/>
    <x v="6"/>
    <n v="507251015"/>
    <s v="5147 DALAI LAMA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m/>
    <n v="0"/>
  </r>
  <r>
    <x v="233"/>
    <x v="3"/>
    <s v="4331-013-011"/>
    <s v="149 - 159 MAPLE DR S"/>
    <s v="5+"/>
    <x v="0"/>
    <n v="4"/>
    <n v="0"/>
    <n v="2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57"/>
    <x v="1"/>
    <n v="5520017010"/>
    <s v="4055 W OAKWOOD AVE 1-68"/>
    <s v="5+"/>
    <x v="0"/>
    <n v="0"/>
    <n v="0"/>
    <n v="0"/>
    <n v="0"/>
    <n v="0"/>
    <n v="0"/>
    <x v="7"/>
    <n v="0"/>
    <n v="4"/>
    <n v="0"/>
    <n v="0"/>
    <n v="0"/>
    <n v="10"/>
    <n v="0"/>
    <n v="4"/>
    <n v="0"/>
    <n v="0"/>
    <n v="0"/>
    <x v="0"/>
    <n v="55"/>
    <s v="0.77000000000000002"/>
  </r>
  <r>
    <x v="57"/>
    <x v="1"/>
    <n v="2350012031"/>
    <s v="11311 W CHANDLER BLVD"/>
    <s v="5+"/>
    <x v="0"/>
    <n v="0"/>
    <n v="0"/>
    <n v="0"/>
    <n v="0"/>
    <n v="0"/>
    <n v="0"/>
    <x v="0"/>
    <n v="0"/>
    <n v="0"/>
    <n v="0"/>
    <n v="0"/>
    <n v="0"/>
    <n v="11"/>
    <n v="0"/>
    <n v="0"/>
    <n v="0"/>
    <n v="0"/>
    <n v="0"/>
    <x v="0"/>
    <n v="55"/>
    <s v="0.34000000000000002"/>
  </r>
  <r>
    <x v="57"/>
    <x v="1"/>
    <n v="5423005006"/>
    <s v="1750 N GLENDALE BLVD"/>
    <s v="5+"/>
    <x v="0"/>
    <n v="0"/>
    <n v="0"/>
    <n v="0"/>
    <n v="0"/>
    <n v="0"/>
    <n v="0"/>
    <x v="0"/>
    <n v="0"/>
    <n v="0"/>
    <n v="0"/>
    <n v="0"/>
    <n v="0"/>
    <n v="8"/>
    <n v="0"/>
    <n v="0"/>
    <n v="0"/>
    <n v="0"/>
    <n v="0"/>
    <x v="0"/>
    <n v="55"/>
    <s v="0.34999999999999998"/>
  </r>
  <r>
    <x v="57"/>
    <x v="1"/>
    <n v="4314011050"/>
    <s v="3550 S OVERLAND AVE"/>
    <s v="5+"/>
    <x v="0"/>
    <n v="0"/>
    <n v="0"/>
    <n v="0"/>
    <n v="0"/>
    <n v="0"/>
    <n v="0"/>
    <x v="0"/>
    <n v="0"/>
    <n v="0"/>
    <n v="0"/>
    <n v="0"/>
    <n v="0"/>
    <n v="6"/>
    <n v="0"/>
    <n v="0"/>
    <n v="0"/>
    <n v="0"/>
    <n v="0"/>
    <x v="0"/>
    <n v="55"/>
    <s v="0.28000000000000003"/>
  </r>
  <r>
    <x v="92"/>
    <x v="6"/>
    <s v="015-0181-052-0000"/>
    <s v="3401 STOCKTON ,SACRAMENTO,CA"/>
    <s v="5+"/>
    <x v="0"/>
    <n v="0"/>
    <n v="0"/>
    <n v="65"/>
    <n v="0"/>
    <n v="0"/>
    <n v="0"/>
    <x v="0"/>
    <n v="0"/>
    <n v="0"/>
    <n v="0"/>
    <n v="0"/>
    <n v="0"/>
    <n v="0"/>
    <n v="0"/>
    <n v="0"/>
    <n v="0"/>
    <n v="0"/>
    <n v="0"/>
    <x v="0"/>
    <m/>
    <s v="0.050000000000000003"/>
  </r>
  <r>
    <x v="57"/>
    <x v="6"/>
    <n v="4261028003"/>
    <s v="11418 W MISSOURI AVE 1-44"/>
    <s v="5+"/>
    <x v="0"/>
    <n v="0"/>
    <n v="0"/>
    <n v="0"/>
    <n v="0"/>
    <n v="0"/>
    <n v="0"/>
    <x v="3"/>
    <n v="0"/>
    <n v="35"/>
    <n v="0"/>
    <n v="7"/>
    <n v="0"/>
    <n v="0"/>
    <n v="0"/>
    <n v="0"/>
    <n v="0"/>
    <n v="0"/>
    <n v="0"/>
    <x v="0"/>
    <n v="55"/>
    <n v="688"/>
  </r>
  <r>
    <x v="57"/>
    <x v="1"/>
    <n v="2241007004"/>
    <s v="14716 W FRIAR ST"/>
    <s v="5+"/>
    <x v="0"/>
    <n v="0"/>
    <n v="0"/>
    <n v="49"/>
    <n v="0"/>
    <n v="7"/>
    <n v="0"/>
    <x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n v="2337029022"/>
    <s v="5625 N CASE AVE"/>
    <s v="5+"/>
    <x v="0"/>
    <n v="0"/>
    <n v="0"/>
    <n v="55"/>
    <n v="0"/>
    <n v="14"/>
    <n v="0"/>
    <x v="0"/>
    <n v="0"/>
    <n v="0"/>
    <n v="0"/>
    <n v="0"/>
    <n v="0"/>
    <n v="0"/>
    <n v="0"/>
    <n v="0"/>
    <n v="0"/>
    <n v="0"/>
    <n v="0"/>
    <x v="0"/>
    <n v="55"/>
    <n v="536"/>
  </r>
  <r>
    <x v="57"/>
    <x v="6"/>
    <n v="5036015001"/>
    <s v="3901 S NORMANDIE AVE"/>
    <s v="5+"/>
    <x v="0"/>
    <n v="0"/>
    <n v="0"/>
    <n v="10"/>
    <n v="0"/>
    <n v="0"/>
    <n v="0"/>
    <x v="0"/>
    <n v="0"/>
    <n v="0"/>
    <n v="0"/>
    <n v="0"/>
    <n v="0"/>
    <n v="0"/>
    <n v="0"/>
    <n v="0"/>
    <n v="0"/>
    <n v="0"/>
    <n v="0"/>
    <x v="0"/>
    <n v="55"/>
    <n v="163"/>
  </r>
  <r>
    <x v="57"/>
    <x v="6"/>
    <n v="6032006020"/>
    <s v="843 W 82ND ST"/>
    <s v="5+"/>
    <x v="0"/>
    <n v="1"/>
    <n v="0"/>
    <n v="72"/>
    <n v="0"/>
    <n v="14"/>
    <n v="0"/>
    <x v="0"/>
    <n v="0"/>
    <n v="0"/>
    <n v="0"/>
    <n v="0"/>
    <n v="0"/>
    <n v="0"/>
    <n v="0"/>
    <n v="0"/>
    <n v="0"/>
    <n v="0"/>
    <n v="0"/>
    <x v="0"/>
    <n v="55"/>
    <n v="576"/>
  </r>
  <r>
    <x v="57"/>
    <x v="6"/>
    <n v="2233006017"/>
    <s v="6401 N WHITMAN AVE 1-15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8"/>
  </r>
  <r>
    <x v="57"/>
    <x v="6"/>
    <n v="2237019009"/>
    <s v="14118 W GILMORE ST"/>
    <s v="5+"/>
    <x v="0"/>
    <n v="0"/>
    <n v="0"/>
    <n v="38"/>
    <n v="0"/>
    <n v="10"/>
    <n v="0"/>
    <x v="0"/>
    <n v="0"/>
    <n v="0"/>
    <n v="0"/>
    <n v="0"/>
    <n v="0"/>
    <n v="0"/>
    <n v="0"/>
    <n v="0"/>
    <n v="0"/>
    <n v="0"/>
    <n v="0"/>
    <x v="0"/>
    <n v="55"/>
    <n v="444"/>
  </r>
  <r>
    <x v="57"/>
    <x v="6"/>
    <n v="2263037004"/>
    <s v="14744 W MAGNOLIA BLVD"/>
    <s v="5+"/>
    <x v="0"/>
    <n v="1"/>
    <n v="0"/>
    <n v="38"/>
    <n v="0"/>
    <n v="10"/>
    <n v="0"/>
    <x v="0"/>
    <n v="0"/>
    <n v="0"/>
    <n v="0"/>
    <n v="0"/>
    <n v="0"/>
    <n v="0"/>
    <n v="0"/>
    <n v="0"/>
    <n v="0"/>
    <n v="0"/>
    <n v="0"/>
    <x v="0"/>
    <n v="55"/>
    <n v="4900"/>
  </r>
  <r>
    <x v="57"/>
    <x v="6"/>
    <n v="2350009047"/>
    <s v="5444 N CAMELLIA AVE"/>
    <s v="5+"/>
    <x v="0"/>
    <n v="2"/>
    <n v="0"/>
    <n v="35"/>
    <n v="0"/>
    <n v="8"/>
    <n v="0"/>
    <x v="0"/>
    <n v="0"/>
    <n v="0"/>
    <n v="0"/>
    <n v="0"/>
    <n v="0"/>
    <n v="0"/>
    <n v="0"/>
    <n v="0"/>
    <n v="0"/>
    <n v="0"/>
    <n v="0"/>
    <x v="0"/>
    <n v="55"/>
    <n v="860"/>
  </r>
  <r>
    <x v="57"/>
    <x v="6"/>
    <n v="4005017030"/>
    <s v="2712 W SLAUSON AVE"/>
    <s v="5+"/>
    <x v="0"/>
    <n v="0"/>
    <n v="0"/>
    <n v="45"/>
    <n v="0"/>
    <n v="12"/>
    <n v="0"/>
    <x v="0"/>
    <n v="0"/>
    <n v="0"/>
    <n v="0"/>
    <n v="0"/>
    <n v="0"/>
    <n v="0"/>
    <n v="0"/>
    <n v="0"/>
    <n v="0"/>
    <n v="0"/>
    <n v="0"/>
    <x v="0"/>
    <n v="55"/>
    <n v="142"/>
  </r>
  <r>
    <x v="57"/>
    <x v="6"/>
    <n v="4261014117"/>
    <s v="1723 S COLBY AVE"/>
    <s v="5+"/>
    <x v="0"/>
    <n v="4"/>
    <n v="0"/>
    <n v="109"/>
    <n v="0"/>
    <n v="29"/>
    <n v="0"/>
    <x v="0"/>
    <n v="0"/>
    <n v="0"/>
    <n v="0"/>
    <n v="0"/>
    <n v="0"/>
    <n v="0"/>
    <n v="0"/>
    <n v="0"/>
    <n v="0"/>
    <n v="0"/>
    <n v="0"/>
    <x v="0"/>
    <n v="55"/>
    <n v="496"/>
  </r>
  <r>
    <x v="57"/>
    <x v="6"/>
    <n v="4302025011"/>
    <s v="1901 S HOLT AVE"/>
    <s v="5+"/>
    <x v="0"/>
    <n v="0"/>
    <n v="0"/>
    <n v="41"/>
    <n v="0"/>
    <n v="11"/>
    <n v="0"/>
    <x v="0"/>
    <n v="0"/>
    <n v="0"/>
    <n v="0"/>
    <n v="0"/>
    <n v="0"/>
    <n v="0"/>
    <n v="0"/>
    <n v="0"/>
    <n v="0"/>
    <n v="0"/>
    <n v="0"/>
    <x v="0"/>
    <n v="55"/>
    <n v="783"/>
  </r>
  <r>
    <x v="57"/>
    <x v="6"/>
    <n v="4325019001"/>
    <s v="10756 W WILKINS AVE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03"/>
  </r>
  <r>
    <x v="57"/>
    <x v="6"/>
    <n v="4334015038"/>
    <s v="412 S ROBERTSON BLVD"/>
    <s v="5+"/>
    <x v="0"/>
    <n v="0"/>
    <n v="0"/>
    <n v="68"/>
    <n v="0"/>
    <n v="17"/>
    <n v="0"/>
    <x v="0"/>
    <n v="0"/>
    <n v="0"/>
    <n v="0"/>
    <n v="0"/>
    <n v="0"/>
    <n v="0"/>
    <n v="0"/>
    <n v="0"/>
    <n v="0"/>
    <n v="0"/>
    <n v="0"/>
    <x v="0"/>
    <n v="55"/>
    <n v="361"/>
  </r>
  <r>
    <x v="57"/>
    <x v="6"/>
    <n v="5007021011"/>
    <s v="5753 S BRYNHURST AVE"/>
    <s v="5+"/>
    <x v="0"/>
    <n v="2"/>
    <n v="0"/>
    <n v="42"/>
    <n v="0"/>
    <n v="8"/>
    <n v="0"/>
    <x v="0"/>
    <n v="0"/>
    <n v="0"/>
    <n v="0"/>
    <n v="0"/>
    <n v="0"/>
    <n v="0"/>
    <n v="0"/>
    <n v="0"/>
    <n v="0"/>
    <n v="0"/>
    <n v="0"/>
    <x v="0"/>
    <n v="55"/>
    <n v="47"/>
  </r>
  <r>
    <x v="57"/>
    <x v="6"/>
    <n v="5040003014"/>
    <s v="1436 W JEFFERSON BLVD"/>
    <s v="5+"/>
    <x v="0"/>
    <n v="3"/>
    <n v="0"/>
    <n v="95"/>
    <n v="0"/>
    <n v="24"/>
    <n v="0"/>
    <x v="0"/>
    <n v="0"/>
    <n v="0"/>
    <n v="0"/>
    <n v="0"/>
    <n v="0"/>
    <n v="0"/>
    <n v="0"/>
    <n v="0"/>
    <n v="0"/>
    <n v="0"/>
    <n v="0"/>
    <x v="0"/>
    <n v="55"/>
    <n v="130"/>
  </r>
  <r>
    <x v="57"/>
    <x v="6"/>
    <n v="5054016018"/>
    <s v="2657 S BUDLONG AVE"/>
    <s v="5+"/>
    <x v="0"/>
    <n v="0"/>
    <n v="0"/>
    <n v="47"/>
    <n v="0"/>
    <n v="12"/>
    <n v="0"/>
    <x v="0"/>
    <n v="0"/>
    <n v="0"/>
    <n v="0"/>
    <n v="0"/>
    <n v="0"/>
    <n v="0"/>
    <n v="0"/>
    <n v="0"/>
    <n v="0"/>
    <n v="0"/>
    <n v="0"/>
    <x v="0"/>
    <n v="55"/>
    <n v="650"/>
  </r>
  <r>
    <x v="57"/>
    <x v="6"/>
    <n v="5073015003"/>
    <s v="1614 S GRAMERCY PL"/>
    <s v="5+"/>
    <x v="0"/>
    <n v="16"/>
    <n v="0"/>
    <n v="0"/>
    <n v="0"/>
    <n v="5"/>
    <n v="0"/>
    <x v="0"/>
    <n v="0"/>
    <n v="0"/>
    <n v="0"/>
    <n v="0"/>
    <n v="0"/>
    <n v="0"/>
    <n v="0"/>
    <n v="0"/>
    <n v="0"/>
    <n v="0"/>
    <n v="0"/>
    <x v="0"/>
    <n v="55"/>
    <n v="267"/>
  </r>
  <r>
    <x v="57"/>
    <x v="6"/>
    <n v="5093002009"/>
    <s v="851 S MANHATTAN PL"/>
    <s v="5+"/>
    <x v="0"/>
    <n v="0"/>
    <n v="0"/>
    <n v="47"/>
    <n v="0"/>
    <n v="12"/>
    <n v="0"/>
    <x v="0"/>
    <n v="0"/>
    <n v="0"/>
    <n v="0"/>
    <n v="0"/>
    <n v="0"/>
    <n v="0"/>
    <n v="0"/>
    <n v="0"/>
    <n v="0"/>
    <n v="0"/>
    <n v="0"/>
    <x v="0"/>
    <n v="55"/>
    <n v="216"/>
  </r>
  <r>
    <x v="57"/>
    <x v="6"/>
    <n v="5108018027"/>
    <s v="4923 S CENTRAL AVE"/>
    <s v="5+"/>
    <x v="0"/>
    <n v="0"/>
    <n v="0"/>
    <n v="32"/>
    <n v="0"/>
    <n v="9"/>
    <n v="0"/>
    <x v="0"/>
    <n v="0"/>
    <n v="0"/>
    <n v="0"/>
    <n v="0"/>
    <n v="0"/>
    <n v="0"/>
    <n v="0"/>
    <n v="0"/>
    <n v="0"/>
    <n v="0"/>
    <n v="0"/>
    <x v="0"/>
    <n v="55"/>
    <n v="180"/>
  </r>
  <r>
    <x v="57"/>
    <x v="6"/>
    <n v="5122045010"/>
    <s v="3951 S BROADWAY"/>
    <s v="5+"/>
    <x v="0"/>
    <n v="2"/>
    <n v="0"/>
    <n v="32"/>
    <n v="0"/>
    <n v="10"/>
    <n v="0"/>
    <x v="0"/>
    <n v="0"/>
    <n v="0"/>
    <n v="0"/>
    <n v="0"/>
    <n v="0"/>
    <n v="0"/>
    <n v="0"/>
    <n v="0"/>
    <n v="0"/>
    <n v="0"/>
    <n v="0"/>
    <x v="0"/>
    <n v="55"/>
    <n v="360"/>
  </r>
  <r>
    <x v="57"/>
    <x v="6"/>
    <n v="5123020001"/>
    <s v="3000 S FIGUEROA ST"/>
    <s v="5+"/>
    <x v="0"/>
    <n v="0"/>
    <n v="0"/>
    <n v="96"/>
    <n v="0"/>
    <n v="25"/>
    <n v="0"/>
    <x v="0"/>
    <n v="0"/>
    <n v="0"/>
    <n v="0"/>
    <n v="0"/>
    <n v="0"/>
    <n v="0"/>
    <n v="0"/>
    <n v="0"/>
    <n v="0"/>
    <n v="0"/>
    <n v="0"/>
    <x v="0"/>
    <n v="55"/>
    <n v="12200"/>
  </r>
  <r>
    <x v="57"/>
    <x v="6"/>
    <n v="5175013020"/>
    <s v="2141 E CESAR E CHAVEZ AVE"/>
    <s v="5+"/>
    <x v="0"/>
    <n v="2"/>
    <n v="0"/>
    <n v="14"/>
    <n v="0"/>
    <n v="2"/>
    <n v="0"/>
    <x v="0"/>
    <n v="0"/>
    <n v="0"/>
    <n v="0"/>
    <n v="0"/>
    <n v="0"/>
    <n v="0"/>
    <n v="0"/>
    <n v="0"/>
    <n v="0"/>
    <n v="0"/>
    <n v="0"/>
    <x v="0"/>
    <n v="55"/>
    <n v="850"/>
  </r>
  <r>
    <x v="57"/>
    <x v="6"/>
    <n v="5419032031"/>
    <s v="1340 N GLENDALE BLVD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59"/>
  </r>
  <r>
    <x v="57"/>
    <x v="6"/>
    <n v="5501015023"/>
    <s v="138 S MADISON AVE"/>
    <s v="5+"/>
    <x v="0"/>
    <n v="1"/>
    <n v="0"/>
    <n v="31"/>
    <n v="0"/>
    <n v="6"/>
    <n v="0"/>
    <x v="0"/>
    <n v="0"/>
    <n v="0"/>
    <n v="0"/>
    <n v="0"/>
    <n v="0"/>
    <n v="0"/>
    <n v="0"/>
    <n v="0"/>
    <n v="0"/>
    <n v="0"/>
    <n v="0"/>
    <x v="0"/>
    <n v="55"/>
    <n v="388"/>
  </r>
  <r>
    <x v="57"/>
    <x v="6"/>
    <n v="5532002018"/>
    <s v="1246 N CHEROKEE AVE"/>
    <s v="5+"/>
    <x v="0"/>
    <n v="0"/>
    <n v="0"/>
    <n v="38"/>
    <n v="0"/>
    <n v="9"/>
    <n v="0"/>
    <x v="0"/>
    <n v="0"/>
    <n v="0"/>
    <n v="0"/>
    <n v="0"/>
    <n v="0"/>
    <n v="0"/>
    <n v="0"/>
    <n v="0"/>
    <n v="0"/>
    <n v="0"/>
    <n v="0"/>
    <x v="0"/>
    <n v="55"/>
    <n v="336"/>
  </r>
  <r>
    <x v="57"/>
    <x v="6"/>
    <n v="5544002061"/>
    <s v="1740 N WILTON PL"/>
    <s v="5+"/>
    <x v="0"/>
    <n v="1"/>
    <n v="0"/>
    <n v="46"/>
    <n v="0"/>
    <n v="10"/>
    <n v="0"/>
    <x v="0"/>
    <n v="0"/>
    <n v="0"/>
    <n v="0"/>
    <n v="0"/>
    <n v="0"/>
    <n v="0"/>
    <n v="0"/>
    <n v="0"/>
    <n v="0"/>
    <n v="0"/>
    <n v="0"/>
    <x v="0"/>
    <n v="55"/>
    <n v="729"/>
  </r>
  <r>
    <x v="57"/>
    <x v="6"/>
    <n v="6015021028"/>
    <s v="6820 S WESTERN AVE"/>
    <s v="5+"/>
    <x v="0"/>
    <n v="0"/>
    <n v="0"/>
    <n v="28"/>
    <n v="0"/>
    <n v="8"/>
    <n v="0"/>
    <x v="0"/>
    <n v="0"/>
    <n v="0"/>
    <n v="0"/>
    <n v="0"/>
    <n v="0"/>
    <n v="0"/>
    <n v="0"/>
    <n v="0"/>
    <n v="0"/>
    <n v="0"/>
    <n v="0"/>
    <x v="0"/>
    <n v="55"/>
    <n v="60"/>
  </r>
  <r>
    <x v="57"/>
    <x v="6"/>
    <n v="6038012014"/>
    <s v="8860 S VERMONT AVE"/>
    <s v="5+"/>
    <x v="0"/>
    <n v="1"/>
    <n v="0"/>
    <n v="170"/>
    <n v="0"/>
    <n v="43"/>
    <n v="0"/>
    <x v="0"/>
    <n v="0"/>
    <n v="0"/>
    <n v="0"/>
    <n v="0"/>
    <n v="0"/>
    <n v="0"/>
    <n v="0"/>
    <n v="0"/>
    <n v="0"/>
    <n v="0"/>
    <n v="0"/>
    <x v="0"/>
    <n v="55"/>
    <n v="205"/>
  </r>
  <r>
    <x v="57"/>
    <x v="6"/>
    <n v="6039014020"/>
    <s v="628 W 92ND ST"/>
    <s v="5+"/>
    <x v="0"/>
    <n v="0"/>
    <n v="0"/>
    <n v="50"/>
    <n v="0"/>
    <n v="13"/>
    <n v="0"/>
    <x v="0"/>
    <n v="0"/>
    <n v="0"/>
    <n v="0"/>
    <n v="0"/>
    <n v="0"/>
    <n v="0"/>
    <n v="0"/>
    <n v="0"/>
    <n v="0"/>
    <n v="0"/>
    <n v="0"/>
    <x v="0"/>
    <n v="55"/>
    <n v="392"/>
  </r>
  <r>
    <x v="57"/>
    <x v="6"/>
    <n v="6040039004"/>
    <s v="9214 S BROADWAY"/>
    <s v="5+"/>
    <x v="0"/>
    <n v="0"/>
    <n v="0"/>
    <n v="32"/>
    <n v="0"/>
    <n v="9"/>
    <n v="0"/>
    <x v="0"/>
    <n v="0"/>
    <n v="0"/>
    <n v="0"/>
    <n v="0"/>
    <n v="0"/>
    <n v="0"/>
    <n v="0"/>
    <n v="0"/>
    <n v="0"/>
    <n v="0"/>
    <n v="0"/>
    <x v="0"/>
    <n v="55"/>
    <n v="147"/>
  </r>
  <r>
    <x v="57"/>
    <x v="6"/>
    <n v="7454002015"/>
    <s v="644 W 8TH ST"/>
    <s v="5+"/>
    <x v="0"/>
    <n v="1"/>
    <n v="0"/>
    <n v="19"/>
    <n v="0"/>
    <n v="5"/>
    <n v="0"/>
    <x v="0"/>
    <n v="0"/>
    <n v="0"/>
    <n v="0"/>
    <n v="0"/>
    <n v="0"/>
    <n v="0"/>
    <n v="0"/>
    <n v="0"/>
    <n v="0"/>
    <n v="0"/>
    <n v="0"/>
    <x v="0"/>
    <n v="55"/>
    <n v="85"/>
  </r>
  <r>
    <x v="97"/>
    <x v="6"/>
    <n v="2294921400"/>
    <s v="240 S. Hickory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0"/>
    <m/>
    <s v="0.050000000000000003"/>
  </r>
  <r>
    <x v="62"/>
    <x v="6"/>
    <n v="3971001"/>
    <s v="2500 MARIPOSA ST"/>
    <s v="5+"/>
    <x v="0"/>
    <n v="334"/>
    <n v="0"/>
    <n v="142"/>
    <n v="0"/>
    <n v="37"/>
    <n v="0"/>
    <x v="0"/>
    <n v="0"/>
    <n v="0"/>
    <n v="0"/>
    <n v="0"/>
    <n v="0"/>
    <n v="0"/>
    <n v="0"/>
    <n v="0"/>
    <n v="0"/>
    <n v="0"/>
    <n v="0"/>
    <x v="1"/>
    <n v="99"/>
    <n v="0"/>
  </r>
  <r>
    <x v="62"/>
    <x v="6"/>
    <n v="1216017"/>
    <s v="400 DIVISADERO ST"/>
    <s v="5+"/>
    <x v="0"/>
    <n v="6"/>
    <n v="0"/>
    <n v="35"/>
    <n v="0"/>
    <n v="3"/>
    <n v="0"/>
    <x v="0"/>
    <n v="0"/>
    <n v="0"/>
    <n v="0"/>
    <n v="0"/>
    <n v="0"/>
    <n v="0"/>
    <n v="0"/>
    <n v="0"/>
    <n v="0"/>
    <n v="0"/>
    <n v="0"/>
    <x v="0"/>
    <n v="99"/>
    <s v="0.42499999999999999"/>
  </r>
  <r>
    <x v="62"/>
    <x v="6"/>
    <n v="243027"/>
    <s v="842 CALIFORNIA ST"/>
    <s v="5+"/>
    <x v="0"/>
    <n v="0"/>
    <n v="0"/>
    <n v="5"/>
    <n v="0"/>
    <n v="0"/>
    <n v="0"/>
    <x v="0"/>
    <n v="0"/>
    <n v="0"/>
    <n v="0"/>
    <n v="0"/>
    <n v="0"/>
    <n v="0"/>
    <n v="0"/>
    <n v="0"/>
    <n v="0"/>
    <n v="0"/>
    <n v="0"/>
    <x v="0"/>
    <n v="99"/>
    <s v="0.059999999999999998"/>
  </r>
  <r>
    <x v="57"/>
    <x v="1"/>
    <n v="5157024002"/>
    <s v="405 N WESTLAKE AVE"/>
    <s v="5+"/>
    <x v="0"/>
    <n v="0"/>
    <n v="0"/>
    <n v="0"/>
    <n v="0"/>
    <n v="0"/>
    <n v="0"/>
    <x v="0"/>
    <n v="0"/>
    <n v="16"/>
    <n v="0"/>
    <n v="2"/>
    <n v="0"/>
    <n v="0"/>
    <n v="0"/>
    <n v="0"/>
    <n v="0"/>
    <n v="0"/>
    <n v="0"/>
    <x v="1"/>
    <n v="55"/>
    <n v="0"/>
  </r>
  <r>
    <x v="57"/>
    <x v="1"/>
    <n v="2611009022"/>
    <s v="12188 N SAN FERNANDO ROAD"/>
    <s v="5+"/>
    <x v="0"/>
    <n v="0"/>
    <n v="0"/>
    <n v="95"/>
    <n v="0"/>
    <n v="25"/>
    <n v="0"/>
    <x v="0"/>
    <n v="0"/>
    <n v="0"/>
    <n v="0"/>
    <n v="0"/>
    <n v="0"/>
    <n v="0"/>
    <n v="0"/>
    <n v="0"/>
    <n v="0"/>
    <n v="0"/>
    <n v="0"/>
    <x v="0"/>
    <n v="55"/>
    <n v="1.51"/>
  </r>
  <r>
    <x v="57"/>
    <x v="1"/>
    <n v="5545014021"/>
    <s v="1339 N TAMARIND AVE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040003014"/>
    <s v="1436 W JEFFERSON BLVD"/>
    <s v="5+"/>
    <x v="0"/>
    <n v="1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23000000000000001"/>
  </r>
  <r>
    <x v="57"/>
    <x v="1"/>
    <n v="5058009046"/>
    <s v="2211 S WESTERN AVE"/>
    <s v="5+"/>
    <x v="0"/>
    <n v="3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45000000000000001"/>
  </r>
  <r>
    <x v="57"/>
    <x v="1"/>
    <n v="6018007001"/>
    <s v="1454 W FLORENCE AVE"/>
    <s v="5+"/>
    <x v="0"/>
    <n v="0"/>
    <n v="0"/>
    <n v="23"/>
    <n v="0"/>
    <n v="7"/>
    <n v="0"/>
    <x v="0"/>
    <n v="0"/>
    <n v="0"/>
    <n v="0"/>
    <n v="0"/>
    <n v="0"/>
    <n v="0"/>
    <n v="0"/>
    <n v="0"/>
    <n v="0"/>
    <n v="0"/>
    <n v="0"/>
    <x v="0"/>
    <m/>
    <s v="0.93000000000000005"/>
  </r>
  <r>
    <x v="57"/>
    <x v="6"/>
    <n v="5082026013"/>
    <s v="1141 S CRENSHAW BLVD"/>
    <s v="5+"/>
    <x v="0"/>
    <n v="0"/>
    <n v="0"/>
    <n v="0"/>
    <n v="0"/>
    <n v="0"/>
    <n v="0"/>
    <x v="0"/>
    <n v="0"/>
    <n v="42"/>
    <n v="0"/>
    <n v="0"/>
    <n v="0"/>
    <n v="0"/>
    <n v="0"/>
    <n v="42"/>
    <n v="0"/>
    <n v="0"/>
    <n v="0"/>
    <x v="0"/>
    <n v="55"/>
    <n v="65"/>
  </r>
  <r>
    <x v="57"/>
    <x v="6"/>
    <n v="2650021004"/>
    <s v="9701 N VESPER AVE"/>
    <s v="5+"/>
    <x v="0"/>
    <n v="0"/>
    <n v="0"/>
    <n v="105"/>
    <n v="0"/>
    <n v="27"/>
    <n v="0"/>
    <x v="0"/>
    <n v="0"/>
    <n v="0"/>
    <n v="0"/>
    <n v="0"/>
    <n v="0"/>
    <n v="0"/>
    <n v="0"/>
    <n v="0"/>
    <n v="0"/>
    <n v="0"/>
    <n v="0"/>
    <x v="0"/>
    <n v="55"/>
    <n v="56"/>
  </r>
  <r>
    <x v="57"/>
    <x v="6"/>
    <n v="4006005007"/>
    <s v="6018 S BRYNHURST AVE"/>
    <s v="5+"/>
    <x v="0"/>
    <n v="2"/>
    <n v="0"/>
    <n v="39"/>
    <n v="0"/>
    <n v="8"/>
    <n v="0"/>
    <x v="0"/>
    <n v="0"/>
    <n v="0"/>
    <n v="0"/>
    <n v="0"/>
    <n v="0"/>
    <n v="0"/>
    <n v="0"/>
    <n v="0"/>
    <n v="0"/>
    <n v="0"/>
    <n v="0"/>
    <x v="0"/>
    <n v="55"/>
    <n v="233"/>
  </r>
  <r>
    <x v="57"/>
    <x v="6"/>
    <n v="4231017025"/>
    <s v="12461 W LOUISE AVE"/>
    <s v="5+"/>
    <x v="0"/>
    <n v="2"/>
    <n v="0"/>
    <n v="48"/>
    <n v="0"/>
    <n v="9"/>
    <n v="0"/>
    <x v="0"/>
    <n v="0"/>
    <n v="0"/>
    <n v="0"/>
    <n v="0"/>
    <n v="0"/>
    <n v="0"/>
    <n v="0"/>
    <n v="0"/>
    <n v="0"/>
    <n v="0"/>
    <n v="0"/>
    <x v="0"/>
    <n v="55"/>
    <n v="253"/>
  </r>
  <r>
    <x v="57"/>
    <x v="6"/>
    <n v="5124012030"/>
    <s v="2323 S SCARFF ST"/>
    <s v="5+"/>
    <x v="0"/>
    <n v="0"/>
    <n v="0"/>
    <n v="61"/>
    <n v="0"/>
    <n v="16"/>
    <n v="0"/>
    <x v="0"/>
    <n v="0"/>
    <n v="0"/>
    <n v="0"/>
    <n v="0"/>
    <n v="0"/>
    <n v="0"/>
    <n v="0"/>
    <n v="0"/>
    <n v="0"/>
    <n v="0"/>
    <n v="0"/>
    <x v="0"/>
    <n v="55"/>
    <n v="766"/>
  </r>
  <r>
    <x v="57"/>
    <x v="6"/>
    <n v="5152002011"/>
    <s v="1322 W MARYLAND ST"/>
    <s v="5+"/>
    <x v="0"/>
    <n v="2"/>
    <n v="0"/>
    <n v="92"/>
    <n v="0"/>
    <n v="19"/>
    <n v="0"/>
    <x v="0"/>
    <n v="0"/>
    <n v="0"/>
    <n v="0"/>
    <n v="0"/>
    <n v="0"/>
    <n v="0"/>
    <n v="0"/>
    <n v="0"/>
    <n v="0"/>
    <n v="0"/>
    <n v="0"/>
    <x v="0"/>
    <n v="55"/>
    <n v="195"/>
  </r>
  <r>
    <x v="57"/>
    <x v="6"/>
    <n v="5180002009"/>
    <s v="121 N MATHEWS ST"/>
    <s v="5+"/>
    <x v="0"/>
    <n v="0"/>
    <n v="0"/>
    <n v="31"/>
    <n v="0"/>
    <n v="8"/>
    <n v="0"/>
    <x v="0"/>
    <n v="0"/>
    <n v="0"/>
    <n v="0"/>
    <n v="0"/>
    <n v="0"/>
    <n v="0"/>
    <n v="0"/>
    <n v="0"/>
    <n v="0"/>
    <n v="0"/>
    <n v="0"/>
    <x v="0"/>
    <n v="55"/>
    <n v="186"/>
  </r>
  <r>
    <x v="57"/>
    <x v="6"/>
    <n v="5468015015"/>
    <s v="5326 N FIGUEROA ST"/>
    <s v="5+"/>
    <x v="0"/>
    <n v="0"/>
    <n v="0"/>
    <n v="27"/>
    <n v="0"/>
    <n v="7"/>
    <n v="0"/>
    <x v="0"/>
    <n v="0"/>
    <n v="0"/>
    <n v="0"/>
    <n v="0"/>
    <n v="0"/>
    <n v="0"/>
    <n v="0"/>
    <n v="0"/>
    <n v="0"/>
    <n v="0"/>
    <n v="0"/>
    <x v="0"/>
    <n v="55"/>
    <n v="483"/>
  </r>
  <r>
    <x v="57"/>
    <x v="6"/>
    <n v="2216002050"/>
    <s v="14041 W SHERMAN WAY"/>
    <s v="5+"/>
    <x v="0"/>
    <n v="0"/>
    <n v="0"/>
    <n v="67"/>
    <n v="0"/>
    <n v="17"/>
    <n v="0"/>
    <x v="0"/>
    <n v="0"/>
    <n v="0"/>
    <n v="0"/>
    <n v="0"/>
    <n v="0"/>
    <n v="0"/>
    <n v="0"/>
    <n v="0"/>
    <n v="0"/>
    <n v="0"/>
    <n v="0"/>
    <x v="0"/>
    <n v="55"/>
    <n v="93"/>
  </r>
  <r>
    <x v="57"/>
    <x v="6"/>
    <n v="2237024005"/>
    <s v="6408 N VAN NUYS BLVD 1-51"/>
    <s v="5+"/>
    <x v="0"/>
    <n v="6"/>
    <n v="0"/>
    <n v="44"/>
    <n v="0"/>
    <n v="1"/>
    <n v="0"/>
    <x v="0"/>
    <n v="0"/>
    <n v="0"/>
    <n v="0"/>
    <n v="0"/>
    <n v="0"/>
    <n v="0"/>
    <n v="0"/>
    <n v="0"/>
    <n v="0"/>
    <n v="0"/>
    <n v="0"/>
    <x v="0"/>
    <n v="55"/>
    <n v="5100"/>
  </r>
  <r>
    <x v="57"/>
    <x v="6"/>
    <n v="2241015024"/>
    <s v="14701 W DELANO ST 1-40"/>
    <s v="5+"/>
    <x v="0"/>
    <n v="2"/>
    <n v="0"/>
    <n v="31"/>
    <n v="0"/>
    <n v="5"/>
    <n v="0"/>
    <x v="0"/>
    <n v="0"/>
    <n v="0"/>
    <n v="0"/>
    <n v="0"/>
    <n v="0"/>
    <n v="0"/>
    <n v="0"/>
    <n v="0"/>
    <n v="0"/>
    <n v="0"/>
    <n v="0"/>
    <x v="0"/>
    <n v="55"/>
    <n v="330"/>
  </r>
  <r>
    <x v="57"/>
    <x v="6"/>
    <n v="2244019011"/>
    <s v="14707 W BURBANK BLVD"/>
    <s v="5+"/>
    <x v="0"/>
    <n v="3"/>
    <n v="0"/>
    <n v="68"/>
    <n v="0"/>
    <n v="19"/>
    <n v="0"/>
    <x v="0"/>
    <n v="0"/>
    <n v="0"/>
    <n v="0"/>
    <n v="0"/>
    <n v="0"/>
    <n v="0"/>
    <n v="0"/>
    <n v="0"/>
    <n v="0"/>
    <n v="0"/>
    <n v="0"/>
    <x v="0"/>
    <n v="55"/>
    <n v="279"/>
  </r>
  <r>
    <x v="57"/>
    <x v="6"/>
    <n v="2258027015"/>
    <s v="5435 N BALBOA BLVD"/>
    <s v="5+"/>
    <x v="0"/>
    <n v="6"/>
    <n v="0"/>
    <n v="11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6"/>
    <n v="2366019003"/>
    <s v="11035 W AQUA VISTA ST 1-23"/>
    <s v="5+"/>
    <x v="0"/>
    <n v="0"/>
    <n v="0"/>
    <n v="68"/>
    <n v="0"/>
    <n v="17"/>
    <n v="0"/>
    <x v="0"/>
    <n v="0"/>
    <n v="0"/>
    <n v="0"/>
    <n v="0"/>
    <n v="0"/>
    <n v="0"/>
    <n v="0"/>
    <n v="0"/>
    <n v="0"/>
    <n v="0"/>
    <n v="0"/>
    <x v="0"/>
    <n v="55"/>
    <n v="688"/>
  </r>
  <r>
    <x v="57"/>
    <x v="6"/>
    <n v="4006019009"/>
    <s v="6524 S BRYNHURST AVE"/>
    <s v="5+"/>
    <x v="0"/>
    <n v="2"/>
    <n v="0"/>
    <n v="52"/>
    <n v="0"/>
    <n v="9"/>
    <n v="0"/>
    <x v="0"/>
    <n v="0"/>
    <n v="0"/>
    <n v="0"/>
    <n v="0"/>
    <n v="0"/>
    <n v="0"/>
    <n v="0"/>
    <n v="0"/>
    <n v="0"/>
    <n v="0"/>
    <n v="0"/>
    <x v="0"/>
    <n v="55"/>
    <n v="357"/>
  </r>
  <r>
    <x v="57"/>
    <x v="6"/>
    <n v="4221002104"/>
    <s v="12120 W WAGNER ST"/>
    <s v="5+"/>
    <x v="0"/>
    <n v="1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1400"/>
  </r>
  <r>
    <x v="57"/>
    <x v="6"/>
    <n v="4303012019"/>
    <s v="1540 S BEDFORD ST"/>
    <s v="5+"/>
    <x v="0"/>
    <n v="5"/>
    <n v="0"/>
    <n v="92"/>
    <n v="0"/>
    <n v="25"/>
    <n v="0"/>
    <x v="0"/>
    <n v="0"/>
    <n v="0"/>
    <n v="0"/>
    <n v="0"/>
    <n v="0"/>
    <n v="0"/>
    <n v="0"/>
    <n v="0"/>
    <n v="0"/>
    <n v="0"/>
    <n v="0"/>
    <x v="0"/>
    <n v="55"/>
    <n v="931"/>
  </r>
  <r>
    <x v="57"/>
    <x v="6"/>
    <n v="5040028027"/>
    <s v="1250 W JEFFERSON BLVD"/>
    <s v="5+"/>
    <x v="0"/>
    <n v="24"/>
    <n v="0"/>
    <n v="97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6"/>
    <n v="5051003002"/>
    <s v="3812 W ADAMS BLVD"/>
    <s v="5+"/>
    <x v="0"/>
    <n v="5"/>
    <n v="0"/>
    <n v="62"/>
    <n v="0"/>
    <n v="17"/>
    <n v="0"/>
    <x v="0"/>
    <n v="0"/>
    <n v="0"/>
    <n v="0"/>
    <n v="0"/>
    <n v="0"/>
    <n v="0"/>
    <n v="0"/>
    <n v="0"/>
    <n v="0"/>
    <n v="0"/>
    <n v="0"/>
    <x v="0"/>
    <n v="55"/>
    <n v="23"/>
  </r>
  <r>
    <x v="57"/>
    <x v="6"/>
    <n v="5055025009"/>
    <s v="2654 S MAGNOLIA AVE"/>
    <s v="5+"/>
    <x v="0"/>
    <n v="1"/>
    <n v="0"/>
    <n v="10"/>
    <n v="0"/>
    <n v="3"/>
    <n v="0"/>
    <x v="0"/>
    <n v="0"/>
    <n v="0"/>
    <n v="0"/>
    <n v="0"/>
    <n v="0"/>
    <n v="0"/>
    <n v="0"/>
    <n v="0"/>
    <n v="0"/>
    <n v="0"/>
    <n v="0"/>
    <x v="0"/>
    <n v="55"/>
    <n v="180"/>
  </r>
  <r>
    <x v="57"/>
    <x v="6"/>
    <n v="5062018002"/>
    <s v="2232 S LA BREA AVE"/>
    <s v="5+"/>
    <x v="0"/>
    <n v="0"/>
    <n v="0"/>
    <n v="47"/>
    <n v="0"/>
    <n v="12"/>
    <n v="0"/>
    <x v="0"/>
    <n v="0"/>
    <n v="0"/>
    <n v="0"/>
    <n v="0"/>
    <n v="0"/>
    <n v="0"/>
    <n v="0"/>
    <n v="0"/>
    <n v="0"/>
    <n v="0"/>
    <n v="0"/>
    <x v="0"/>
    <n v="55"/>
    <n v="145"/>
  </r>
  <r>
    <x v="57"/>
    <x v="6"/>
    <n v="5076006025"/>
    <s v="2600 W SAN MARINO ST"/>
    <s v="5+"/>
    <x v="0"/>
    <n v="0"/>
    <n v="0"/>
    <n v="83"/>
    <n v="0"/>
    <n v="21"/>
    <n v="0"/>
    <x v="0"/>
    <n v="0"/>
    <n v="0"/>
    <n v="0"/>
    <n v="0"/>
    <n v="0"/>
    <n v="0"/>
    <n v="0"/>
    <n v="0"/>
    <n v="0"/>
    <n v="0"/>
    <n v="0"/>
    <x v="0"/>
    <n v="55"/>
    <n v="303"/>
  </r>
  <r>
    <x v="57"/>
    <x v="6"/>
    <n v="5081014025"/>
    <s v="3655 W PICO BLVD"/>
    <s v="5+"/>
    <x v="0"/>
    <n v="0"/>
    <n v="0"/>
    <n v="71"/>
    <n v="0"/>
    <n v="17"/>
    <n v="0"/>
    <x v="0"/>
    <n v="0"/>
    <n v="0"/>
    <n v="0"/>
    <n v="0"/>
    <n v="0"/>
    <n v="0"/>
    <n v="0"/>
    <n v="0"/>
    <n v="0"/>
    <n v="0"/>
    <n v="0"/>
    <x v="0"/>
    <n v="55"/>
    <n v="102"/>
  </r>
  <r>
    <x v="57"/>
    <x v="6"/>
    <n v="5085021004"/>
    <s v="5750 W SAN VICENTE BLVD 1-8"/>
    <s v="5+"/>
    <x v="0"/>
    <n v="4"/>
    <n v="0"/>
    <n v="38"/>
    <n v="0"/>
    <n v="3"/>
    <n v="0"/>
    <x v="0"/>
    <n v="0"/>
    <n v="0"/>
    <n v="0"/>
    <n v="0"/>
    <n v="0"/>
    <n v="0"/>
    <n v="0"/>
    <n v="0"/>
    <n v="0"/>
    <n v="0"/>
    <n v="0"/>
    <x v="0"/>
    <n v="55"/>
    <n v="557"/>
  </r>
  <r>
    <x v="57"/>
    <x v="6"/>
    <n v="5092028040"/>
    <s v="708 S GRAMERCY DR"/>
    <s v="5+"/>
    <x v="0"/>
    <n v="0"/>
    <n v="0"/>
    <n v="79"/>
    <n v="0"/>
    <n v="21"/>
    <n v="0"/>
    <x v="0"/>
    <n v="0"/>
    <n v="0"/>
    <n v="0"/>
    <n v="0"/>
    <n v="0"/>
    <n v="0"/>
    <n v="0"/>
    <n v="0"/>
    <n v="0"/>
    <n v="0"/>
    <n v="0"/>
    <x v="0"/>
    <n v="55"/>
    <n v="4950"/>
  </r>
  <r>
    <x v="57"/>
    <x v="6"/>
    <n v="5118004016"/>
    <s v="1563 E 22ND ST"/>
    <s v="5+"/>
    <x v="0"/>
    <n v="0"/>
    <n v="0"/>
    <n v="142"/>
    <n v="0"/>
    <n v="35"/>
    <n v="0"/>
    <x v="0"/>
    <n v="0"/>
    <n v="0"/>
    <n v="0"/>
    <n v="0"/>
    <n v="0"/>
    <n v="0"/>
    <n v="0"/>
    <n v="0"/>
    <n v="0"/>
    <n v="0"/>
    <n v="0"/>
    <x v="0"/>
    <n v="55"/>
    <n v="244"/>
  </r>
  <r>
    <x v="57"/>
    <x v="6"/>
    <n v="5124004009"/>
    <s v="1015 W 21ST ST"/>
    <s v="5+"/>
    <x v="0"/>
    <n v="1"/>
    <n v="0"/>
    <n v="3"/>
    <n v="0"/>
    <n v="2"/>
    <n v="0"/>
    <x v="0"/>
    <n v="0"/>
    <n v="0"/>
    <n v="0"/>
    <n v="0"/>
    <n v="0"/>
    <n v="0"/>
    <n v="0"/>
    <n v="0"/>
    <n v="0"/>
    <n v="0"/>
    <n v="0"/>
    <x v="0"/>
    <n v="55"/>
    <n v="20"/>
  </r>
  <r>
    <x v="57"/>
    <x v="6"/>
    <n v="5127010008"/>
    <s v="643 E ADAMS BLVD"/>
    <s v="5+"/>
    <x v="0"/>
    <n v="0"/>
    <n v="0"/>
    <n v="72"/>
    <n v="0"/>
    <n v="19"/>
    <n v="0"/>
    <x v="0"/>
    <n v="0"/>
    <n v="0"/>
    <n v="0"/>
    <n v="0"/>
    <n v="0"/>
    <n v="0"/>
    <n v="0"/>
    <n v="0"/>
    <n v="0"/>
    <n v="0"/>
    <n v="0"/>
    <x v="0"/>
    <n v="55"/>
    <n v="1050"/>
  </r>
  <r>
    <x v="57"/>
    <x v="6"/>
    <n v="5157015018"/>
    <s v="425 N LAKE ST"/>
    <s v="5+"/>
    <x v="0"/>
    <n v="0"/>
    <n v="0"/>
    <n v="19"/>
    <n v="0"/>
    <n v="68"/>
    <n v="0"/>
    <x v="0"/>
    <n v="0"/>
    <n v="0"/>
    <n v="0"/>
    <n v="0"/>
    <n v="0"/>
    <n v="0"/>
    <n v="0"/>
    <n v="0"/>
    <n v="0"/>
    <n v="0"/>
    <n v="0"/>
    <x v="0"/>
    <n v="55"/>
    <n v="450"/>
  </r>
  <r>
    <x v="57"/>
    <x v="6"/>
    <n v="5550022005"/>
    <s v="1431 N VISTA ST"/>
    <s v="5+"/>
    <x v="0"/>
    <n v="1"/>
    <n v="0"/>
    <n v="29"/>
    <n v="0"/>
    <n v="7"/>
    <n v="0"/>
    <x v="0"/>
    <n v="0"/>
    <n v="0"/>
    <n v="0"/>
    <n v="0"/>
    <n v="0"/>
    <n v="0"/>
    <n v="0"/>
    <n v="0"/>
    <n v="0"/>
    <n v="0"/>
    <n v="0"/>
    <x v="0"/>
    <n v="55"/>
    <n v="322"/>
  </r>
  <r>
    <x v="57"/>
    <x v="6"/>
    <n v="6039018040"/>
    <s v="800 W 92ND ST"/>
    <s v="5+"/>
    <x v="0"/>
    <n v="2"/>
    <n v="0"/>
    <n v="40"/>
    <n v="0"/>
    <n v="8"/>
    <n v="0"/>
    <x v="0"/>
    <n v="0"/>
    <n v="0"/>
    <n v="0"/>
    <n v="0"/>
    <n v="0"/>
    <n v="0"/>
    <n v="0"/>
    <n v="0"/>
    <n v="0"/>
    <n v="0"/>
    <n v="0"/>
    <x v="0"/>
    <n v="55"/>
    <n v="920"/>
  </r>
  <r>
    <x v="57"/>
    <x v="6"/>
    <n v="6041016020"/>
    <s v="8630 S WALL ST"/>
    <s v="5+"/>
    <x v="0"/>
    <n v="2"/>
    <n v="0"/>
    <n v="18"/>
    <n v="0"/>
    <n v="0"/>
    <n v="0"/>
    <x v="0"/>
    <n v="0"/>
    <n v="0"/>
    <n v="0"/>
    <n v="0"/>
    <n v="0"/>
    <n v="0"/>
    <n v="0"/>
    <n v="0"/>
    <n v="0"/>
    <n v="0"/>
    <n v="0"/>
    <x v="0"/>
    <n v="55"/>
    <n v="1000"/>
  </r>
  <r>
    <x v="57"/>
    <x v="6"/>
    <n v="6058024008"/>
    <s v="10711 S WESTERN AVE"/>
    <s v="5+"/>
    <x v="0"/>
    <n v="0"/>
    <n v="0"/>
    <n v="25"/>
    <n v="0"/>
    <n v="6"/>
    <n v="0"/>
    <x v="0"/>
    <n v="0"/>
    <n v="0"/>
    <n v="0"/>
    <n v="0"/>
    <n v="0"/>
    <n v="0"/>
    <n v="0"/>
    <n v="0"/>
    <n v="0"/>
    <n v="0"/>
    <n v="0"/>
    <x v="0"/>
    <n v="55"/>
    <n v="28"/>
  </r>
  <r>
    <x v="57"/>
    <x v="6"/>
    <n v="7423003008"/>
    <s v="817 N AVALON BLVD"/>
    <s v="5+"/>
    <x v="0"/>
    <n v="0"/>
    <n v="0"/>
    <n v="54"/>
    <n v="0"/>
    <n v="14"/>
    <n v="0"/>
    <x v="0"/>
    <n v="0"/>
    <n v="0"/>
    <n v="0"/>
    <n v="0"/>
    <n v="0"/>
    <n v="0"/>
    <n v="0"/>
    <n v="0"/>
    <n v="0"/>
    <n v="0"/>
    <n v="0"/>
    <x v="0"/>
    <n v="55"/>
    <n v="188"/>
  </r>
  <r>
    <x v="57"/>
    <x v="1"/>
    <n v="2138018018"/>
    <s v="6904 N ETON AVE 1-21"/>
    <s v="5+"/>
    <x v="0"/>
    <n v="0"/>
    <n v="0"/>
    <n v="0"/>
    <n v="0"/>
    <n v="0"/>
    <n v="0"/>
    <x v="17"/>
    <n v="0"/>
    <n v="0"/>
    <n v="0"/>
    <n v="0"/>
    <n v="0"/>
    <n v="2"/>
    <n v="0"/>
    <n v="0"/>
    <n v="0"/>
    <n v="0"/>
    <n v="0"/>
    <x v="0"/>
    <n v="55"/>
    <n v="0"/>
  </r>
  <r>
    <x v="57"/>
    <x v="1"/>
    <n v="5534034012"/>
    <s v="5801 W CAMERFORD AVE"/>
    <s v="5+"/>
    <x v="0"/>
    <n v="0"/>
    <n v="0"/>
    <n v="0"/>
    <n v="0"/>
    <n v="0"/>
    <n v="0"/>
    <x v="5"/>
    <n v="0"/>
    <n v="1"/>
    <n v="0"/>
    <n v="0"/>
    <n v="0"/>
    <n v="4"/>
    <n v="0"/>
    <n v="1"/>
    <n v="0"/>
    <n v="0"/>
    <n v="0"/>
    <x v="0"/>
    <n v="55"/>
    <s v="0.34999999999999998"/>
  </r>
  <r>
    <x v="57"/>
    <x v="1"/>
    <n v="2330014028"/>
    <s v="6120 N WOODMAN AVE #1-16"/>
    <s v="5+"/>
    <x v="0"/>
    <n v="0"/>
    <n v="0"/>
    <n v="0"/>
    <n v="0"/>
    <n v="0"/>
    <n v="0"/>
    <x v="3"/>
    <n v="0"/>
    <n v="0"/>
    <n v="0"/>
    <n v="0"/>
    <n v="0"/>
    <n v="1"/>
    <n v="0"/>
    <n v="0"/>
    <n v="0"/>
    <n v="0"/>
    <n v="0"/>
    <x v="0"/>
    <n v="55"/>
    <s v="0.20000000000000001"/>
  </r>
  <r>
    <x v="57"/>
    <x v="1"/>
    <n v="2502024020"/>
    <s v="14401 W FOOTHILL BLVD 1-37"/>
    <s v="5+"/>
    <x v="0"/>
    <n v="0"/>
    <n v="0"/>
    <n v="0"/>
    <n v="0"/>
    <n v="0"/>
    <n v="0"/>
    <x v="2"/>
    <n v="0"/>
    <n v="0"/>
    <n v="0"/>
    <n v="0"/>
    <n v="0"/>
    <n v="3"/>
    <n v="0"/>
    <n v="0"/>
    <n v="0"/>
    <n v="0"/>
    <n v="0"/>
    <x v="1"/>
    <n v="55"/>
    <n v="0"/>
  </r>
  <r>
    <x v="57"/>
    <x v="1"/>
    <n v="5049016048"/>
    <s v="5181 W ADAMS BLVD"/>
    <s v="5+"/>
    <x v="0"/>
    <n v="0"/>
    <n v="0"/>
    <n v="0"/>
    <n v="0"/>
    <n v="0"/>
    <n v="0"/>
    <x v="21"/>
    <n v="0"/>
    <n v="0"/>
    <n v="0"/>
    <n v="0"/>
    <n v="0"/>
    <n v="13"/>
    <n v="0"/>
    <n v="0"/>
    <n v="0"/>
    <n v="0"/>
    <n v="0"/>
    <x v="1"/>
    <n v="55"/>
    <n v="0"/>
  </r>
  <r>
    <x v="57"/>
    <x v="1"/>
    <n v="4263008062"/>
    <s v="11750 W WILSHIRE BLVD 1-376"/>
    <s v="5+"/>
    <x v="0"/>
    <n v="0"/>
    <n v="0"/>
    <n v="0"/>
    <n v="0"/>
    <n v="0"/>
    <n v="0"/>
    <x v="0"/>
    <n v="0"/>
    <n v="0"/>
    <n v="0"/>
    <n v="0"/>
    <n v="0"/>
    <n v="16"/>
    <n v="0"/>
    <n v="0"/>
    <n v="0"/>
    <n v="0"/>
    <n v="0"/>
    <x v="0"/>
    <n v="55"/>
    <s v="0.20000000000000001"/>
  </r>
  <r>
    <x v="57"/>
    <x v="1"/>
    <n v="5121013004"/>
    <s v="3727 S SAN PEDRO ST 1-17"/>
    <s v="5+"/>
    <x v="0"/>
    <n v="0"/>
    <n v="0"/>
    <n v="17"/>
    <n v="0"/>
    <n v="0"/>
    <n v="0"/>
    <x v="0"/>
    <n v="0"/>
    <n v="17"/>
    <n v="0"/>
    <n v="0"/>
    <n v="0"/>
    <n v="0"/>
    <n v="0"/>
    <n v="0"/>
    <n v="0"/>
    <n v="0"/>
    <n v="0"/>
    <x v="1"/>
    <n v="55"/>
    <n v="0"/>
  </r>
  <r>
    <x v="152"/>
    <x v="6"/>
    <s v="125-580-16"/>
    <s v="638 Verandah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152"/>
    <x v="6"/>
    <s v="125-580-16"/>
    <s v="634 Verandah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57"/>
    <x v="6"/>
    <n v="2745001012"/>
    <s v="10243 N TOPANGA CANYON BLVD"/>
    <s v="5+"/>
    <x v="0"/>
    <n v="0"/>
    <n v="0"/>
    <n v="0"/>
    <n v="0"/>
    <n v="0"/>
    <n v="0"/>
    <x v="34"/>
    <n v="0"/>
    <n v="0"/>
    <n v="0"/>
    <n v="0"/>
    <n v="0"/>
    <n v="54"/>
    <n v="0"/>
    <n v="0"/>
    <n v="0"/>
    <n v="0"/>
    <n v="0"/>
    <x v="0"/>
    <n v="55"/>
    <n v="111.538461538462"/>
  </r>
  <r>
    <x v="57"/>
    <x v="1"/>
    <n v="6020022024"/>
    <s v="7524 S HOOVER ST"/>
    <s v="5+"/>
    <x v="0"/>
    <n v="0"/>
    <n v="0"/>
    <n v="62"/>
    <n v="0"/>
    <n v="16"/>
    <n v="0"/>
    <x v="0"/>
    <n v="0"/>
    <n v="62"/>
    <n v="0"/>
    <n v="16"/>
    <n v="0"/>
    <n v="0"/>
    <n v="0"/>
    <n v="0"/>
    <n v="0"/>
    <n v="0"/>
    <n v="0"/>
    <x v="0"/>
    <n v="55"/>
    <s v="3.3900000000000001"/>
  </r>
  <r>
    <x v="62"/>
    <x v="6"/>
    <n v="6959019"/>
    <s v="4840 MISSION ST"/>
    <s v="5+"/>
    <x v="0"/>
    <n v="0"/>
    <n v="0"/>
    <n v="0"/>
    <n v="0"/>
    <n v="0"/>
    <n v="0"/>
    <x v="0"/>
    <n v="0"/>
    <n v="0"/>
    <n v="0"/>
    <n v="0"/>
    <n v="0"/>
    <n v="0"/>
    <n v="0"/>
    <n v="98"/>
    <n v="0"/>
    <n v="37"/>
    <n v="0"/>
    <x v="0"/>
    <n v="99"/>
    <s v="0.34999999999999998"/>
  </r>
  <r>
    <x v="62"/>
    <x v="6"/>
    <n v="1797007"/>
    <s v="1360 43RD AV"/>
    <s v="5+"/>
    <x v="0"/>
    <n v="0"/>
    <n v="0"/>
    <n v="0"/>
    <n v="0"/>
    <n v="0"/>
    <n v="0"/>
    <x v="0"/>
    <n v="0"/>
    <n v="0"/>
    <n v="0"/>
    <n v="0"/>
    <n v="0"/>
    <n v="20"/>
    <n v="0"/>
    <n v="47"/>
    <n v="0"/>
    <n v="67"/>
    <n v="0"/>
    <x v="0"/>
    <n v="99"/>
    <s v="0.34999999999999998"/>
  </r>
  <r>
    <x v="57"/>
    <x v="6"/>
    <n v="5118009030"/>
    <s v="1432 E 25TH ST"/>
    <s v="5+"/>
    <x v="0"/>
    <n v="0"/>
    <n v="0"/>
    <n v="0"/>
    <n v="0"/>
    <n v="0"/>
    <n v="0"/>
    <x v="0"/>
    <n v="0"/>
    <n v="43"/>
    <n v="0"/>
    <n v="11"/>
    <n v="0"/>
    <n v="0"/>
    <n v="0"/>
    <n v="0"/>
    <n v="0"/>
    <n v="0"/>
    <n v="0"/>
    <x v="0"/>
    <n v="55"/>
    <n v="587"/>
  </r>
  <r>
    <x v="152"/>
    <x v="6"/>
    <s v="157-970-03"/>
    <s v="709 ROCKVIEW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57"/>
    <x v="1"/>
    <n v="5539022025"/>
    <s v="627 N JUANITA AVE 1-17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1"/>
    <n v="55"/>
    <n v="0"/>
  </r>
  <r>
    <x v="57"/>
    <x v="1"/>
    <n v="5548012029"/>
    <s v="7050 W HAWTHORN AVE"/>
    <s v="5+"/>
    <x v="0"/>
    <n v="0"/>
    <n v="0"/>
    <n v="0"/>
    <n v="0"/>
    <n v="0"/>
    <n v="0"/>
    <x v="14"/>
    <n v="0"/>
    <n v="3"/>
    <n v="0"/>
    <n v="2"/>
    <n v="0"/>
    <n v="0"/>
    <n v="0"/>
    <n v="0"/>
    <n v="0"/>
    <n v="0"/>
    <n v="0"/>
    <x v="0"/>
    <n v="55"/>
    <s v="0.34999999999999998"/>
  </r>
  <r>
    <x v="57"/>
    <x v="6"/>
    <n v="4261025027"/>
    <s v="1814 S FEDERAL AVE 1-11"/>
    <s v="5+"/>
    <x v="0"/>
    <n v="0"/>
    <n v="0"/>
    <n v="0"/>
    <n v="0"/>
    <n v="0"/>
    <n v="0"/>
    <x v="3"/>
    <n v="0"/>
    <n v="0"/>
    <n v="0"/>
    <n v="0"/>
    <n v="0"/>
    <n v="1"/>
    <n v="0"/>
    <n v="0"/>
    <n v="0"/>
    <n v="0"/>
    <n v="0"/>
    <x v="0"/>
    <n v="55"/>
    <n v="35"/>
  </r>
  <r>
    <x v="57"/>
    <x v="1"/>
    <n v="6074023001"/>
    <s v="11201 S MAIN ST 1-19"/>
    <s v="5+"/>
    <x v="0"/>
    <n v="0"/>
    <n v="0"/>
    <n v="0"/>
    <n v="0"/>
    <n v="0"/>
    <n v="0"/>
    <x v="3"/>
    <n v="0"/>
    <n v="13"/>
    <n v="0"/>
    <n v="0"/>
    <n v="0"/>
    <n v="0"/>
    <n v="0"/>
    <n v="0"/>
    <n v="0"/>
    <n v="0"/>
    <n v="0"/>
    <x v="1"/>
    <n v="55"/>
    <n v="0"/>
  </r>
  <r>
    <x v="57"/>
    <x v="6"/>
    <n v="5529007032"/>
    <s v="1002 N ALFRED ST"/>
    <s v="5+"/>
    <x v="0"/>
    <n v="0"/>
    <n v="0"/>
    <n v="0"/>
    <n v="0"/>
    <n v="0"/>
    <n v="0"/>
    <x v="6"/>
    <n v="0"/>
    <n v="1"/>
    <n v="0"/>
    <n v="0"/>
    <n v="0"/>
    <n v="0"/>
    <n v="0"/>
    <n v="0"/>
    <n v="0"/>
    <n v="0"/>
    <n v="0"/>
    <x v="0"/>
    <n v="55"/>
    <n v="24"/>
  </r>
  <r>
    <x v="57"/>
    <x v="6"/>
    <n v="5123018022"/>
    <s v="2722 S FIGUEROA ST 1-157"/>
    <s v="5+"/>
    <x v="0"/>
    <n v="0"/>
    <n v="0"/>
    <n v="0"/>
    <n v="0"/>
    <n v="0"/>
    <n v="0"/>
    <x v="29"/>
    <n v="0"/>
    <n v="0"/>
    <n v="0"/>
    <n v="0"/>
    <n v="0"/>
    <n v="18"/>
    <n v="0"/>
    <n v="0"/>
    <n v="0"/>
    <n v="0"/>
    <n v="0"/>
    <x v="0"/>
    <n v="55"/>
    <n v="222"/>
  </r>
  <r>
    <x v="57"/>
    <x v="1"/>
    <n v="5546013002"/>
    <s v="1540 N WILCOX; 1544 N WILCOX; 1546 N WILCOX; 1548 N WILCOX; 1550 N WILCOX; 1552 N WILCOX; 6422 W SELMA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17999999999999999"/>
  </r>
  <r>
    <x v="57"/>
    <x v="1"/>
    <n v="4230005005"/>
    <s v="4112 S DEL REY; 4120 S DEL REY; 4130 S DEL REY; 4132 S DEL REY; 4134 S DEL REY; 4136 S DEL REY"/>
    <s v="5+"/>
    <x v="0"/>
    <n v="18"/>
    <n v="0"/>
    <n v="0"/>
    <n v="0"/>
    <n v="3"/>
    <n v="0"/>
    <x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n v="5178003033"/>
    <s v="2840 E WABASH AVE 1-52"/>
    <s v="5+"/>
    <x v="0"/>
    <n v="0"/>
    <n v="0"/>
    <n v="0"/>
    <n v="0"/>
    <n v="0"/>
    <n v="0"/>
    <x v="0"/>
    <n v="0"/>
    <n v="40"/>
    <n v="0"/>
    <n v="11"/>
    <n v="0"/>
    <n v="0"/>
    <n v="0"/>
    <n v="0"/>
    <n v="0"/>
    <n v="0"/>
    <n v="0"/>
    <x v="0"/>
    <n v="55"/>
    <n v="73"/>
  </r>
  <r>
    <x v="57"/>
    <x v="6"/>
    <n v="5049032051"/>
    <s v="2900 S ORANGE DR 1-34"/>
    <s v="5+"/>
    <x v="0"/>
    <n v="0"/>
    <n v="0"/>
    <n v="0"/>
    <n v="0"/>
    <n v="0"/>
    <n v="0"/>
    <x v="0"/>
    <n v="0"/>
    <n v="26"/>
    <n v="0"/>
    <n v="7"/>
    <n v="0"/>
    <n v="0"/>
    <n v="0"/>
    <n v="0"/>
    <n v="0"/>
    <n v="0"/>
    <n v="0"/>
    <x v="0"/>
    <n v="55"/>
    <n v="278"/>
  </r>
  <r>
    <x v="57"/>
    <x v="6"/>
    <n v="6031004017"/>
    <s v="300 W 73RD ST 1-45"/>
    <s v="5+"/>
    <x v="0"/>
    <n v="0"/>
    <n v="0"/>
    <n v="0"/>
    <n v="0"/>
    <n v="0"/>
    <n v="0"/>
    <x v="0"/>
    <n v="0"/>
    <n v="35"/>
    <n v="0"/>
    <n v="9"/>
    <n v="0"/>
    <n v="0"/>
    <n v="0"/>
    <n v="0"/>
    <n v="0"/>
    <n v="0"/>
    <n v="0"/>
    <x v="0"/>
    <n v="55"/>
    <n v="181"/>
  </r>
  <r>
    <x v="57"/>
    <x v="1"/>
    <n v="2314006002"/>
    <s v="11039 W STRATHERN ST"/>
    <s v="5+"/>
    <x v="0"/>
    <n v="13"/>
    <n v="0"/>
    <n v="217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57"/>
    <x v="1"/>
    <n v="2345005016"/>
    <s v="5511 N ETHEL AVE"/>
    <s v="5+"/>
    <x v="0"/>
    <n v="1"/>
    <n v="0"/>
    <n v="158"/>
    <n v="0"/>
    <n v="40"/>
    <n v="0"/>
    <x v="0"/>
    <n v="0"/>
    <n v="0"/>
    <n v="0"/>
    <n v="0"/>
    <n v="0"/>
    <n v="0"/>
    <n v="0"/>
    <n v="0"/>
    <n v="0"/>
    <n v="0"/>
    <n v="0"/>
    <x v="0"/>
    <m/>
    <s v="9.9900000000000002"/>
  </r>
  <r>
    <x v="57"/>
    <x v="1"/>
    <n v="4337001010"/>
    <s v="951 N LA CIENEGA BLVD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23000000000000001"/>
  </r>
  <r>
    <x v="57"/>
    <x v="1"/>
    <n v="5020017003"/>
    <s v="1112 W MARTIN LUTHER KING, JR BLVD"/>
    <s v="5+"/>
    <x v="0"/>
    <n v="1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91000000000000003"/>
  </r>
  <r>
    <x v="57"/>
    <x v="1"/>
    <n v="5137019016"/>
    <s v="1604 W 11TH ST"/>
    <s v="5+"/>
    <x v="0"/>
    <n v="10"/>
    <n v="0"/>
    <n v="20"/>
    <n v="0"/>
    <n v="0"/>
    <n v="0"/>
    <x v="0"/>
    <n v="0"/>
    <n v="0"/>
    <n v="0"/>
    <n v="0"/>
    <n v="0"/>
    <n v="0"/>
    <n v="0"/>
    <n v="0"/>
    <n v="0"/>
    <n v="0"/>
    <n v="0"/>
    <x v="0"/>
    <m/>
    <s v="2.8799999999999999"/>
  </r>
  <r>
    <x v="57"/>
    <x v="1"/>
    <n v="6074024027"/>
    <s v="11301 S ATHENS WAY"/>
    <s v="5+"/>
    <x v="0"/>
    <n v="10"/>
    <n v="0"/>
    <n v="30"/>
    <n v="0"/>
    <n v="0"/>
    <n v="0"/>
    <x v="0"/>
    <n v="0"/>
    <n v="0"/>
    <n v="0"/>
    <n v="0"/>
    <n v="0"/>
    <n v="0"/>
    <n v="0"/>
    <n v="0"/>
    <n v="0"/>
    <n v="0"/>
    <n v="0"/>
    <x v="0"/>
    <m/>
    <s v="0.85999999999999999"/>
  </r>
  <r>
    <x v="44"/>
    <x v="6"/>
    <s v="481-19-003"/>
    <s v="1928 Alum Rock"/>
    <s v="5+"/>
    <x v="0"/>
    <n v="0"/>
    <n v="0"/>
    <n v="0"/>
    <n v="0"/>
    <n v="0"/>
    <n v="0"/>
    <x v="1"/>
    <n v="0"/>
    <n v="117"/>
    <n v="0"/>
    <n v="0"/>
    <n v="0"/>
    <n v="0"/>
    <n v="0"/>
    <n v="0"/>
    <n v="0"/>
    <n v="0"/>
    <n v="0"/>
    <x v="0"/>
    <n v="55"/>
    <n v="0"/>
  </r>
  <r>
    <x v="44"/>
    <x v="6"/>
    <s v="684-02-003"/>
    <s v="4300 Monterey Rd Building 1"/>
    <s v="5+"/>
    <x v="0"/>
    <n v="0"/>
    <n v="0"/>
    <n v="0"/>
    <n v="0"/>
    <n v="0"/>
    <n v="0"/>
    <x v="35"/>
    <n v="0"/>
    <n v="98"/>
    <n v="0"/>
    <n v="0"/>
    <n v="0"/>
    <n v="0"/>
    <n v="0"/>
    <n v="0"/>
    <n v="0"/>
    <n v="0"/>
    <n v="0"/>
    <x v="0"/>
    <m/>
    <n v="0"/>
  </r>
  <r>
    <x v="44"/>
    <x v="6"/>
    <s v="261-02-062"/>
    <s v="950 W. Julian St"/>
    <s v="5+"/>
    <x v="0"/>
    <n v="0"/>
    <n v="0"/>
    <n v="0"/>
    <n v="0"/>
    <n v="0"/>
    <n v="0"/>
    <x v="61"/>
    <n v="0"/>
    <n v="236"/>
    <n v="0"/>
    <n v="0"/>
    <n v="0"/>
    <n v="0"/>
    <n v="0"/>
    <n v="0"/>
    <n v="0"/>
    <n v="0"/>
    <n v="0"/>
    <x v="0"/>
    <n v="55"/>
    <n v="0"/>
  </r>
  <r>
    <x v="186"/>
    <x v="1"/>
    <s v="427-0016-050-04"/>
    <s v="22648 2nd                            ST_x000a_HAYWARD, CA 94541"/>
    <s v="5+"/>
    <x v="0"/>
    <n v="0"/>
    <n v="0"/>
    <n v="0"/>
    <n v="0"/>
    <n v="0"/>
    <n v="0"/>
    <x v="48"/>
    <n v="0"/>
    <n v="10"/>
    <n v="0"/>
    <n v="0"/>
    <n v="0"/>
    <n v="0"/>
    <n v="0"/>
    <n v="0"/>
    <n v="0"/>
    <n v="0"/>
    <n v="0"/>
    <x v="0"/>
    <n v="1000"/>
    <n v="0"/>
  </r>
  <r>
    <x v="57"/>
    <x v="6"/>
    <n v="5160011017"/>
    <s v="215 N TOLUCA ST"/>
    <s v="5+"/>
    <x v="0"/>
    <n v="0"/>
    <n v="0"/>
    <n v="0"/>
    <n v="0"/>
    <n v="0"/>
    <n v="0"/>
    <x v="12"/>
    <n v="0"/>
    <n v="0"/>
    <n v="0"/>
    <n v="0"/>
    <n v="0"/>
    <n v="5"/>
    <n v="0"/>
    <n v="0"/>
    <n v="0"/>
    <n v="0"/>
    <n v="0"/>
    <x v="0"/>
    <n v="55"/>
    <n v="35"/>
  </r>
  <r>
    <x v="52"/>
    <x v="1"/>
    <s v="07202701570000"/>
    <s v="75 SCHOLAR WAY 1000"/>
    <s v="5+"/>
    <x v="0"/>
    <n v="0"/>
    <n v="0"/>
    <n v="0"/>
    <n v="0"/>
    <n v="0"/>
    <n v="0"/>
    <x v="0"/>
    <n v="0"/>
    <n v="0"/>
    <n v="0"/>
    <n v="0"/>
    <n v="0"/>
    <n v="37"/>
    <n v="0"/>
    <n v="18"/>
    <n v="0"/>
    <n v="0"/>
    <n v="0"/>
    <x v="0"/>
    <m/>
    <s v="0.20000000000000001"/>
  </r>
  <r>
    <x v="111"/>
    <x v="6"/>
    <n v="146141072"/>
    <s v="11215 PIERCE ST, Riverside, CA 92505"/>
    <s v="5+"/>
    <x v="0"/>
    <n v="0"/>
    <n v="0"/>
    <n v="0"/>
    <n v="0"/>
    <n v="0"/>
    <n v="0"/>
    <x v="0"/>
    <n v="0"/>
    <n v="0"/>
    <n v="0"/>
    <n v="0"/>
    <n v="0"/>
    <n v="0"/>
    <n v="0"/>
    <n v="8"/>
    <n v="0"/>
    <n v="0"/>
    <n v="0"/>
    <x v="0"/>
    <n v="55"/>
    <n v="0"/>
  </r>
  <r>
    <x v="152"/>
    <x v="6"/>
    <s v="125-580-16"/>
    <s v="610 Verandah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152"/>
    <x v="6"/>
    <s v="141-261-29"/>
    <s v="1316-1320 Grant Ave"/>
    <s v="5+"/>
    <x v="0"/>
    <n v="21"/>
    <n v="0"/>
    <n v="185"/>
    <n v="0"/>
    <n v="0"/>
    <n v="0"/>
    <x v="0"/>
    <n v="0"/>
    <n v="0"/>
    <n v="0"/>
    <n v="0"/>
    <n v="0"/>
    <n v="0"/>
    <n v="0"/>
    <n v="0"/>
    <n v="0"/>
    <n v="0"/>
    <n v="0"/>
    <x v="0"/>
    <n v="55"/>
    <s v="8.0899999999999999"/>
  </r>
  <r>
    <x v="152"/>
    <x v="6"/>
    <s v="143-011-05 143-011-08"/>
    <s v="7530 Redwood Blvd"/>
    <s v="5+"/>
    <x v="0"/>
    <n v="18"/>
    <n v="0"/>
    <n v="7"/>
    <n v="0"/>
    <n v="0"/>
    <n v="40"/>
    <x v="0"/>
    <n v="0"/>
    <n v="0"/>
    <n v="0"/>
    <n v="0"/>
    <n v="0"/>
    <n v="0"/>
    <n v="0"/>
    <n v="0"/>
    <n v="0"/>
    <n v="0"/>
    <n v="0"/>
    <x v="0"/>
    <n v="55"/>
    <s v="0.46250000000000002"/>
  </r>
  <r>
    <x v="152"/>
    <x v="6"/>
    <s v="141-221-75"/>
    <s v="1602 VALLEJO #8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152"/>
    <x v="6"/>
    <s v="157-970-03"/>
    <s v="704 ROCKVIEW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44"/>
    <x v="6"/>
    <s v="097-017-046"/>
    <s v="210 Baypointe Pkwy"/>
    <s v="5+"/>
    <x v="1"/>
    <n v="15"/>
    <n v="0"/>
    <n v="0"/>
    <n v="0"/>
    <n v="0"/>
    <n v="0"/>
    <x v="0"/>
    <n v="0"/>
    <n v="0"/>
    <n v="0"/>
    <n v="0"/>
    <n v="0"/>
    <n v="0"/>
    <n v="0"/>
    <n v="0"/>
    <n v="0"/>
    <n v="0"/>
    <n v="0"/>
    <x v="1"/>
    <n v="99"/>
    <n v="0"/>
  </r>
  <r>
    <x v="44"/>
    <x v="6"/>
    <s v="684-02-003"/>
    <s v="4300 Monterey Rd Building 2"/>
    <s v="5+"/>
    <x v="0"/>
    <n v="0"/>
    <n v="0"/>
    <n v="0"/>
    <n v="0"/>
    <n v="0"/>
    <n v="0"/>
    <x v="35"/>
    <n v="0"/>
    <n v="91"/>
    <n v="0"/>
    <n v="0"/>
    <n v="0"/>
    <n v="0"/>
    <n v="0"/>
    <n v="0"/>
    <n v="0"/>
    <n v="0"/>
    <n v="0"/>
    <x v="0"/>
    <m/>
    <n v="0"/>
  </r>
  <r>
    <x v="186"/>
    <x v="1"/>
    <s v="444-0057-006-00"/>
    <s v="24997 Oneil Ave_x000a_Hayward, CA 94544"/>
    <s v="5+"/>
    <x v="0"/>
    <n v="0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1000"/>
    <n v="0.25"/>
  </r>
  <r>
    <x v="186"/>
    <x v="1"/>
    <s v="078C-0438-015-03"/>
    <s v="29505 Mission Blvd_x000a_Hayward, CA 94544"/>
    <s v="5+"/>
    <x v="0"/>
    <n v="0"/>
    <n v="0"/>
    <n v="0"/>
    <n v="0"/>
    <n v="0"/>
    <n v="0"/>
    <x v="0"/>
    <n v="0"/>
    <n v="0"/>
    <n v="0"/>
    <n v="0"/>
    <n v="0"/>
    <n v="26"/>
    <n v="0"/>
    <n v="113"/>
    <n v="0"/>
    <n v="0"/>
    <n v="0"/>
    <x v="0"/>
    <n v="1000"/>
    <s v="0.14999999999999999"/>
  </r>
  <r>
    <x v="52"/>
    <x v="1"/>
    <s v="07233700410000"/>
    <s v="14776 MANGINI PKWY"/>
    <s v="5+"/>
    <x v="0"/>
    <n v="0"/>
    <n v="0"/>
    <n v="0"/>
    <n v="0"/>
    <n v="0"/>
    <n v="0"/>
    <x v="12"/>
    <n v="0"/>
    <n v="19"/>
    <n v="0"/>
    <n v="0"/>
    <n v="0"/>
    <n v="0"/>
    <n v="0"/>
    <n v="0"/>
    <n v="0"/>
    <n v="0"/>
    <n v="0"/>
    <x v="0"/>
    <m/>
    <s v="0.012999999999999999"/>
  </r>
  <r>
    <x v="12"/>
    <x v="6"/>
    <n v="101290071000"/>
    <s v="1299 MARKET ST REDDING, CA 96001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0"/>
    <m/>
    <s v="0.20000000000000001"/>
  </r>
  <r>
    <x v="57"/>
    <x v="6"/>
    <n v="4260032034"/>
    <s v="2444 S BARRY AVE 1-61"/>
    <s v="5+"/>
    <x v="0"/>
    <n v="0"/>
    <n v="0"/>
    <n v="0"/>
    <n v="0"/>
    <n v="0"/>
    <n v="0"/>
    <x v="31"/>
    <n v="0"/>
    <n v="28"/>
    <n v="0"/>
    <n v="0"/>
    <n v="0"/>
    <n v="32"/>
    <n v="0"/>
    <n v="28"/>
    <n v="0"/>
    <n v="0"/>
    <n v="0"/>
    <x v="0"/>
    <n v="55"/>
    <n v="455"/>
  </r>
  <r>
    <x v="244"/>
    <x v="1"/>
    <s v="107-240-040"/>
    <s v="1331 E FOSTER RD, SANTA MARIA, CA 93455"/>
    <s v="5+"/>
    <x v="0"/>
    <n v="0"/>
    <n v="0"/>
    <n v="49"/>
    <n v="0"/>
    <n v="12"/>
    <n v="0"/>
    <x v="0"/>
    <n v="0"/>
    <n v="0"/>
    <n v="0"/>
    <n v="0"/>
    <n v="0"/>
    <n v="0"/>
    <n v="0"/>
    <n v="0"/>
    <n v="0"/>
    <n v="0"/>
    <n v="0"/>
    <x v="0"/>
    <n v="55"/>
    <s v="0.80000000000000004"/>
  </r>
  <r>
    <x v="57"/>
    <x v="6"/>
    <n v="5434031005"/>
    <s v="2800 N ROKEBY ST 1-39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n v="35"/>
  </r>
  <r>
    <x v="57"/>
    <x v="1"/>
    <n v="5529007032"/>
    <s v="1002 N ALFRED ST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23999999999999999"/>
  </r>
  <r>
    <x v="57"/>
    <x v="1"/>
    <n v="5529021064"/>
    <s v="812 N EDINBURGH AVE"/>
    <s v="5+"/>
    <x v="0"/>
    <n v="4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s v="0.26000000000000001"/>
  </r>
  <r>
    <x v="57"/>
    <x v="1"/>
    <n v="6020025014"/>
    <s v="7311 S FIGUEROA ST"/>
    <s v="5+"/>
    <x v="0"/>
    <n v="2"/>
    <n v="0"/>
    <n v="114"/>
    <n v="0"/>
    <n v="28"/>
    <n v="0"/>
    <x v="0"/>
    <n v="0"/>
    <n v="0"/>
    <n v="0"/>
    <n v="0"/>
    <n v="0"/>
    <n v="0"/>
    <n v="0"/>
    <n v="0"/>
    <n v="0"/>
    <n v="0"/>
    <n v="0"/>
    <x v="0"/>
    <n v="55"/>
    <s v="3.5299999999999998"/>
  </r>
  <r>
    <x v="57"/>
    <x v="1"/>
    <n v="4235025032"/>
    <s v="12118 W PACIFIC; 12124 W PACIFIC; 12134 W PACIFIC"/>
    <s v="5+"/>
    <x v="0"/>
    <n v="1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71999999999999997"/>
  </r>
  <r>
    <x v="244"/>
    <x v="1"/>
    <s v="141-380-045"/>
    <s v="890 REFUGIO, BLDG# 1, SANTA YNEZ, CA 93460"/>
    <s v="5+"/>
    <x v="0"/>
    <n v="0"/>
    <n v="0"/>
    <n v="0"/>
    <n v="0"/>
    <n v="0"/>
    <n v="0"/>
    <x v="0"/>
    <n v="0"/>
    <n v="0"/>
    <n v="0"/>
    <n v="0"/>
    <n v="0"/>
    <n v="0"/>
    <n v="0"/>
    <n v="60"/>
    <n v="0"/>
    <n v="0"/>
    <n v="0"/>
    <x v="1"/>
    <n v="55"/>
    <n v="0"/>
  </r>
  <r>
    <x v="62"/>
    <x v="6"/>
    <n v="3721013"/>
    <s v="524 HOWARD ST"/>
    <s v="5+"/>
    <x v="0"/>
    <n v="0"/>
    <n v="0"/>
    <n v="68"/>
    <n v="0"/>
    <n v="0"/>
    <n v="0"/>
    <x v="0"/>
    <n v="0"/>
    <n v="0"/>
    <n v="0"/>
    <n v="0"/>
    <n v="0"/>
    <n v="0"/>
    <n v="0"/>
    <n v="0"/>
    <n v="0"/>
    <n v="0"/>
    <n v="0"/>
    <x v="0"/>
    <n v="99"/>
    <n v="0.5"/>
  </r>
  <r>
    <x v="62"/>
    <x v="6"/>
    <n v="6468019"/>
    <s v="5425 MISSION ST"/>
    <s v="5+"/>
    <x v="0"/>
    <n v="0"/>
    <n v="0"/>
    <n v="9"/>
    <n v="0"/>
    <n v="3"/>
    <n v="0"/>
    <x v="0"/>
    <n v="0"/>
    <n v="0"/>
    <n v="0"/>
    <n v="0"/>
    <n v="0"/>
    <n v="0"/>
    <n v="0"/>
    <n v="0"/>
    <n v="0"/>
    <n v="0"/>
    <n v="0"/>
    <x v="0"/>
    <n v="99"/>
    <n v="1.23"/>
  </r>
  <r>
    <x v="52"/>
    <x v="1"/>
    <s v="07101900610000"/>
    <s v="425 E BIDWELL ST"/>
    <s v="5+"/>
    <x v="0"/>
    <n v="0"/>
    <n v="0"/>
    <n v="0"/>
    <n v="0"/>
    <n v="0"/>
    <n v="0"/>
    <x v="0"/>
    <n v="0"/>
    <n v="0"/>
    <n v="0"/>
    <n v="0"/>
    <n v="0"/>
    <n v="23"/>
    <n v="0"/>
    <n v="1"/>
    <n v="0"/>
    <n v="1"/>
    <n v="0"/>
    <x v="0"/>
    <m/>
    <s v="0.20000000000000001"/>
  </r>
  <r>
    <x v="52"/>
    <x v="1"/>
    <s v="07202701570000"/>
    <s v="75 SCHOLAR WAY 2000"/>
    <s v="5+"/>
    <x v="0"/>
    <n v="0"/>
    <n v="0"/>
    <n v="0"/>
    <n v="0"/>
    <n v="0"/>
    <n v="0"/>
    <x v="0"/>
    <n v="0"/>
    <n v="0"/>
    <n v="0"/>
    <n v="0"/>
    <n v="0"/>
    <n v="37"/>
    <n v="0"/>
    <n v="18"/>
    <n v="0"/>
    <n v="1"/>
    <n v="0"/>
    <x v="0"/>
    <m/>
    <s v="0.20000000000000001"/>
  </r>
  <r>
    <x v="97"/>
    <x v="6"/>
    <s v="2362603600, 2362603700, 2362603500, 2362603400"/>
    <s v="1860 S Escondido Blvd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0"/>
    <n v="55"/>
    <s v="0.42499999999999999"/>
  </r>
  <r>
    <x v="62"/>
    <x v="6"/>
    <n v="835004"/>
    <s v="30 VAN NESS AVE"/>
    <s v="5+"/>
    <x v="0"/>
    <n v="10"/>
    <n v="0"/>
    <n v="57"/>
    <n v="0"/>
    <n v="5"/>
    <n v="0"/>
    <x v="0"/>
    <n v="0"/>
    <n v="0"/>
    <n v="0"/>
    <n v="0"/>
    <n v="0"/>
    <n v="0"/>
    <n v="0"/>
    <n v="0"/>
    <n v="0"/>
    <n v="0"/>
    <n v="0"/>
    <x v="1"/>
    <n v="99"/>
    <n v="0"/>
  </r>
  <r>
    <x v="62"/>
    <x v="6"/>
    <n v="1249024"/>
    <s v="730 Stanyan St"/>
    <s v="5+"/>
    <x v="0"/>
    <n v="92"/>
    <n v="0"/>
    <n v="67"/>
    <n v="0"/>
    <n v="0"/>
    <n v="0"/>
    <x v="0"/>
    <n v="0"/>
    <n v="0"/>
    <n v="0"/>
    <n v="0"/>
    <n v="0"/>
    <n v="0"/>
    <n v="0"/>
    <n v="0"/>
    <n v="0"/>
    <n v="0"/>
    <n v="0"/>
    <x v="0"/>
    <n v="99"/>
    <n v="1"/>
  </r>
  <r>
    <x v="62"/>
    <x v="6"/>
    <n v="3520001"/>
    <s v="1401 FOLSOM ST"/>
    <s v="5+"/>
    <x v="0"/>
    <n v="0"/>
    <n v="0"/>
    <n v="10"/>
    <n v="0"/>
    <n v="0"/>
    <n v="0"/>
    <x v="0"/>
    <n v="0"/>
    <n v="0"/>
    <n v="0"/>
    <n v="0"/>
    <n v="0"/>
    <n v="0"/>
    <n v="0"/>
    <n v="0"/>
    <n v="0"/>
    <n v="0"/>
    <n v="0"/>
    <x v="0"/>
    <n v="99"/>
    <n v="0.5"/>
  </r>
  <r>
    <x v="62"/>
    <x v="6"/>
    <n v="3576001"/>
    <s v="2100 - 2112 MISSION ST"/>
    <s v="5+"/>
    <x v="0"/>
    <n v="0"/>
    <n v="0"/>
    <n v="8"/>
    <n v="0"/>
    <n v="0"/>
    <n v="0"/>
    <x v="0"/>
    <n v="0"/>
    <n v="0"/>
    <n v="0"/>
    <n v="0"/>
    <n v="0"/>
    <n v="0"/>
    <n v="0"/>
    <n v="0"/>
    <n v="0"/>
    <n v="0"/>
    <n v="0"/>
    <x v="1"/>
    <n v="99"/>
    <n v="0"/>
  </r>
  <r>
    <x v="62"/>
    <x v="6"/>
    <n v="3509007"/>
    <s v="150 09TH ST"/>
    <s v="5+"/>
    <x v="0"/>
    <n v="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99"/>
    <s v="0.28000000000000003"/>
  </r>
  <r>
    <x v="57"/>
    <x v="6"/>
    <n v="5021009029"/>
    <s v="4186 S WESTERN AVE 1-118"/>
    <s v="5+"/>
    <x v="0"/>
    <n v="0"/>
    <n v="0"/>
    <n v="0"/>
    <n v="0"/>
    <n v="0"/>
    <n v="0"/>
    <x v="3"/>
    <n v="0"/>
    <n v="92"/>
    <n v="0"/>
    <n v="24"/>
    <n v="0"/>
    <n v="0"/>
    <n v="0"/>
    <n v="0"/>
    <n v="0"/>
    <n v="0"/>
    <n v="0"/>
    <x v="0"/>
    <n v="55"/>
    <n v="353"/>
  </r>
  <r>
    <x v="244"/>
    <x v="6"/>
    <s v="061-040-048"/>
    <s v="4540 S HOLLISTER AVE, SANTA BARBARA, CA 93110"/>
    <s v="5+"/>
    <x v="0"/>
    <n v="0"/>
    <n v="0"/>
    <n v="34"/>
    <n v="0"/>
    <n v="0"/>
    <n v="0"/>
    <x v="0"/>
    <n v="0"/>
    <n v="0"/>
    <n v="0"/>
    <n v="0"/>
    <n v="0"/>
    <n v="0"/>
    <n v="0"/>
    <n v="0"/>
    <n v="0"/>
    <n v="0"/>
    <n v="0"/>
    <x v="0"/>
    <m/>
    <n v="0"/>
  </r>
  <r>
    <x v="111"/>
    <x v="6"/>
    <n v="211181033"/>
    <s v="1701 SEVENTH ST, Riverside, CA 92507"/>
    <s v="5+"/>
    <x v="0"/>
    <n v="0"/>
    <n v="0"/>
    <n v="0"/>
    <n v="0"/>
    <n v="0"/>
    <n v="0"/>
    <x v="0"/>
    <n v="0"/>
    <n v="0"/>
    <n v="0"/>
    <n v="0"/>
    <n v="0"/>
    <n v="0"/>
    <n v="0"/>
    <n v="13"/>
    <n v="0"/>
    <n v="0"/>
    <n v="0"/>
    <x v="0"/>
    <n v="55"/>
    <s v="0.10299999999999999"/>
  </r>
  <r>
    <x v="152"/>
    <x v="6"/>
    <s v="125-630-32"/>
    <s v="842 Verandah Ct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152"/>
    <x v="6"/>
    <s v="153-162-70"/>
    <s v="101 Landing Court"/>
    <s v="5+"/>
    <x v="0"/>
    <n v="30"/>
    <n v="0"/>
    <n v="268"/>
    <n v="0"/>
    <n v="0"/>
    <n v="0"/>
    <x v="0"/>
    <n v="0"/>
    <n v="0"/>
    <n v="0"/>
    <n v="0"/>
    <n v="0"/>
    <n v="0"/>
    <n v="0"/>
    <n v="0"/>
    <n v="0"/>
    <n v="0"/>
    <n v="0"/>
    <x v="0"/>
    <n v="55"/>
    <s v="2.9199999999999999"/>
  </r>
  <r>
    <x v="152"/>
    <x v="6"/>
    <s v="141-262-12"/>
    <s v="1212-1214 Grant Ave"/>
    <s v="5+"/>
    <x v="0"/>
    <n v="6"/>
    <n v="0"/>
    <n v="49"/>
    <n v="0"/>
    <n v="0"/>
    <n v="0"/>
    <x v="0"/>
    <n v="0"/>
    <n v="0"/>
    <n v="0"/>
    <n v="0"/>
    <n v="0"/>
    <n v="0"/>
    <n v="0"/>
    <n v="0"/>
    <n v="0"/>
    <n v="0"/>
    <n v="0"/>
    <x v="0"/>
    <n v="55"/>
    <n v="7"/>
  </r>
  <r>
    <x v="152"/>
    <x v="6"/>
    <s v="125-580-16"/>
    <s v="517 VALLEY OAKS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44"/>
    <x v="6"/>
    <s v="249-66-010"/>
    <s v="1271 E Julian St"/>
    <s v="5+"/>
    <x v="1"/>
    <n v="1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44"/>
    <x v="6"/>
    <s v="284-03-016"/>
    <s v="969 Meridian Ave"/>
    <s v="5+"/>
    <x v="0"/>
    <n v="0"/>
    <n v="0"/>
    <n v="0"/>
    <n v="0"/>
    <n v="0"/>
    <n v="0"/>
    <x v="56"/>
    <n v="0"/>
    <n v="121"/>
    <n v="0"/>
    <n v="0"/>
    <n v="0"/>
    <n v="0"/>
    <n v="0"/>
    <n v="0"/>
    <n v="0"/>
    <n v="0"/>
    <n v="0"/>
    <x v="0"/>
    <n v="55"/>
    <n v="0"/>
  </r>
  <r>
    <x v="111"/>
    <x v="6"/>
    <n v="211181033"/>
    <s v="1701 SEVENTH ST, Riverside, CA 92507"/>
    <s v="5+"/>
    <x v="0"/>
    <n v="0"/>
    <n v="0"/>
    <n v="0"/>
    <n v="0"/>
    <n v="0"/>
    <n v="0"/>
    <x v="0"/>
    <n v="0"/>
    <n v="0"/>
    <n v="0"/>
    <n v="0"/>
    <n v="0"/>
    <n v="12"/>
    <n v="0"/>
    <n v="0"/>
    <n v="0"/>
    <n v="0"/>
    <n v="0"/>
    <x v="0"/>
    <n v="55"/>
    <s v="0.10299999999999999"/>
  </r>
  <r>
    <x v="111"/>
    <x v="6"/>
    <n v="146141072"/>
    <s v="11215 PIERCE ST, Riverside, CA 92505"/>
    <s v="5+"/>
    <x v="0"/>
    <n v="0"/>
    <n v="0"/>
    <n v="0"/>
    <n v="0"/>
    <n v="0"/>
    <n v="0"/>
    <x v="0"/>
    <n v="0"/>
    <n v="0"/>
    <n v="0"/>
    <n v="0"/>
    <n v="0"/>
    <n v="0"/>
    <n v="0"/>
    <n v="8"/>
    <n v="0"/>
    <n v="0"/>
    <n v="0"/>
    <x v="0"/>
    <n v="55"/>
    <n v="0"/>
  </r>
  <r>
    <x v="111"/>
    <x v="6"/>
    <n v="146141072"/>
    <s v="11215 PIERCE ST, Riverside, CA 92505"/>
    <s v="5+"/>
    <x v="0"/>
    <n v="0"/>
    <n v="0"/>
    <n v="0"/>
    <n v="0"/>
    <n v="0"/>
    <n v="0"/>
    <x v="0"/>
    <n v="0"/>
    <n v="0"/>
    <n v="0"/>
    <n v="0"/>
    <n v="0"/>
    <n v="0"/>
    <n v="0"/>
    <n v="20"/>
    <n v="0"/>
    <n v="0"/>
    <n v="0"/>
    <x v="0"/>
    <n v="55"/>
    <n v="0"/>
  </r>
  <r>
    <x v="152"/>
    <x v="6"/>
    <s v="125-630-26"/>
    <s v="725 Verandah Ave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152"/>
    <x v="6"/>
    <s v="157-970-03"/>
    <s v="702 ROCKVIEW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152"/>
    <x v="6"/>
    <s v="157-970-03"/>
    <s v="705 ROCKVIEW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44"/>
    <x v="6"/>
    <s v="277-19-023"/>
    <s v="427 Page St"/>
    <s v="5+"/>
    <x v="1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44"/>
    <x v="6"/>
    <s v="097-52-027"/>
    <s v="71 Vista Montana"/>
    <s v="5+"/>
    <x v="0"/>
    <n v="0"/>
    <n v="0"/>
    <n v="444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6"/>
    <s v="484-20-040"/>
    <s v="2884 Alum Rock Avenue Bulding 1"/>
    <s v="5+"/>
    <x v="0"/>
    <n v="0"/>
    <n v="0"/>
    <n v="0"/>
    <n v="0"/>
    <n v="0"/>
    <n v="0"/>
    <x v="84"/>
    <n v="0"/>
    <n v="101"/>
    <n v="0"/>
    <n v="0"/>
    <n v="0"/>
    <n v="0"/>
    <n v="0"/>
    <n v="0"/>
    <n v="0"/>
    <n v="0"/>
    <n v="0"/>
    <x v="0"/>
    <n v="55"/>
    <n v="0"/>
  </r>
  <r>
    <x v="44"/>
    <x v="6"/>
    <s v="467-14-090"/>
    <s v="124 N. 15th Street"/>
    <s v="5+"/>
    <x v="0"/>
    <n v="0"/>
    <n v="0"/>
    <n v="0"/>
    <n v="0"/>
    <n v="0"/>
    <n v="0"/>
    <x v="111"/>
    <n v="0"/>
    <n v="0"/>
    <n v="0"/>
    <n v="0"/>
    <n v="0"/>
    <n v="0"/>
    <n v="0"/>
    <n v="0"/>
    <n v="0"/>
    <n v="0"/>
    <n v="0"/>
    <x v="0"/>
    <n v="55"/>
    <s v="0.033000000000000002"/>
  </r>
  <r>
    <x v="44"/>
    <x v="6"/>
    <s v="472-25-098"/>
    <s v="255 E Virginia St"/>
    <s v="5+"/>
    <x v="0"/>
    <n v="0"/>
    <n v="0"/>
    <n v="0"/>
    <n v="0"/>
    <n v="0"/>
    <n v="0"/>
    <x v="0"/>
    <n v="0"/>
    <n v="0"/>
    <n v="0"/>
    <n v="0"/>
    <n v="0"/>
    <n v="30"/>
    <n v="0"/>
    <n v="268"/>
    <n v="0"/>
    <n v="0"/>
    <n v="0"/>
    <x v="0"/>
    <n v="55"/>
    <n v="0"/>
  </r>
  <r>
    <x v="44"/>
    <x v="6"/>
    <s v="097-15-033"/>
    <s v="0 Seely Ave"/>
    <s v="5+"/>
    <x v="0"/>
    <n v="58"/>
    <n v="0"/>
    <n v="118"/>
    <n v="0"/>
    <n v="0"/>
    <n v="57"/>
    <x v="0"/>
    <n v="0"/>
    <n v="0"/>
    <n v="0"/>
    <n v="0"/>
    <n v="0"/>
    <n v="0"/>
    <n v="0"/>
    <n v="0"/>
    <n v="0"/>
    <n v="0"/>
    <n v="0"/>
    <x v="1"/>
    <n v="99"/>
    <n v="0"/>
  </r>
  <r>
    <x v="186"/>
    <x v="1"/>
    <s v="078C-0626-003-09"/>
    <s v="722 &amp; 728 Tennyson Rd_x000a_Hayward, CA 94544"/>
    <s v="5+"/>
    <x v="0"/>
    <n v="0"/>
    <n v="0"/>
    <n v="0"/>
    <n v="0"/>
    <n v="0"/>
    <n v="0"/>
    <x v="17"/>
    <n v="0"/>
    <n v="136"/>
    <n v="0"/>
    <n v="36"/>
    <n v="0"/>
    <n v="0"/>
    <n v="0"/>
    <n v="0"/>
    <n v="0"/>
    <n v="0"/>
    <n v="0"/>
    <x v="0"/>
    <m/>
    <n v="0.19"/>
  </r>
  <r>
    <x v="57"/>
    <x v="1"/>
    <n v="5521004020"/>
    <s v="641 N HOBART BLVD #1 - #14"/>
    <s v="5+"/>
    <x v="0"/>
    <n v="0"/>
    <n v="0"/>
    <n v="0"/>
    <n v="0"/>
    <n v="0"/>
    <n v="0"/>
    <x v="0"/>
    <n v="0"/>
    <n v="1"/>
    <n v="0"/>
    <n v="0"/>
    <n v="0"/>
    <n v="0"/>
    <n v="0"/>
    <n v="1"/>
    <n v="0"/>
    <n v="0"/>
    <n v="0"/>
    <x v="0"/>
    <n v="55"/>
    <s v="0.32500000000000001"/>
  </r>
  <r>
    <x v="57"/>
    <x v="1"/>
    <n v="5080017014"/>
    <s v="3170 W OLYMPIC BLVD"/>
    <s v="5+"/>
    <x v="0"/>
    <n v="0"/>
    <n v="0"/>
    <n v="0"/>
    <n v="0"/>
    <n v="0"/>
    <n v="0"/>
    <x v="48"/>
    <n v="0"/>
    <n v="0"/>
    <n v="0"/>
    <n v="0"/>
    <n v="0"/>
    <n v="46"/>
    <n v="0"/>
    <n v="0"/>
    <n v="0"/>
    <n v="0"/>
    <n v="0"/>
    <x v="0"/>
    <n v="55"/>
    <s v="0.34999999999999998"/>
  </r>
  <r>
    <x v="57"/>
    <x v="1"/>
    <n v="2419017013"/>
    <s v="5120 N CAHUENGA BLVD UNITS: 1-7"/>
    <s v="5+"/>
    <x v="0"/>
    <n v="0"/>
    <n v="0"/>
    <n v="0"/>
    <n v="0"/>
    <n v="0"/>
    <n v="0"/>
    <x v="0"/>
    <n v="0"/>
    <n v="1"/>
    <n v="0"/>
    <n v="0"/>
    <n v="0"/>
    <n v="0"/>
    <n v="0"/>
    <n v="1"/>
    <n v="0"/>
    <n v="0"/>
    <n v="0"/>
    <x v="0"/>
    <n v="55"/>
    <s v="0.34999999999999998"/>
  </r>
  <r>
    <x v="57"/>
    <x v="1"/>
    <n v="2424011004"/>
    <s v="10555 W BLOOMFIELD ST 1-57"/>
    <s v="5+"/>
    <x v="0"/>
    <n v="0"/>
    <n v="0"/>
    <n v="0"/>
    <n v="0"/>
    <n v="0"/>
    <n v="0"/>
    <x v="6"/>
    <n v="0"/>
    <n v="0"/>
    <n v="0"/>
    <n v="0"/>
    <n v="0"/>
    <n v="6"/>
    <n v="0"/>
    <n v="0"/>
    <n v="0"/>
    <n v="0"/>
    <n v="0"/>
    <x v="0"/>
    <n v="55"/>
    <s v="0.34999999999999998"/>
  </r>
  <r>
    <x v="57"/>
    <x v="1"/>
    <n v="5037031014"/>
    <s v="3800 S FIGUEROA ST"/>
    <s v="5+"/>
    <x v="0"/>
    <n v="0"/>
    <n v="0"/>
    <n v="0"/>
    <n v="0"/>
    <n v="0"/>
    <n v="0"/>
    <x v="42"/>
    <n v="0"/>
    <n v="0"/>
    <n v="0"/>
    <n v="0"/>
    <n v="0"/>
    <n v="8"/>
    <n v="0"/>
    <n v="0"/>
    <n v="0"/>
    <n v="0"/>
    <n v="0"/>
    <x v="0"/>
    <n v="55"/>
    <s v="0.34999999999999998"/>
  </r>
  <r>
    <x v="57"/>
    <x v="1"/>
    <n v="5016003008"/>
    <s v="1568 W VERNON AVE"/>
    <s v="5+"/>
    <x v="0"/>
    <n v="1"/>
    <n v="0"/>
    <n v="4"/>
    <n v="0"/>
    <n v="0"/>
    <n v="0"/>
    <x v="3"/>
    <n v="0"/>
    <n v="4"/>
    <n v="0"/>
    <n v="0"/>
    <n v="0"/>
    <n v="0"/>
    <n v="0"/>
    <n v="0"/>
    <n v="0"/>
    <n v="0"/>
    <n v="0"/>
    <x v="1"/>
    <n v="55"/>
    <n v="0"/>
  </r>
  <r>
    <x v="57"/>
    <x v="1"/>
    <n v="5309027016"/>
    <s v="5639 E HUNTINGTON DR NORTH 1-13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55"/>
    <s v="0.34999999999999998"/>
  </r>
  <r>
    <x v="57"/>
    <x v="1"/>
    <n v="5511014007"/>
    <s v="124 S CROFT AVE 1-13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55"/>
    <s v="0.34999999999999998"/>
  </r>
  <r>
    <x v="57"/>
    <x v="1"/>
    <n v="4332019021"/>
    <s v="1101 S BEDFORD DR UNIT 1-10"/>
    <s v="5+"/>
    <x v="0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0"/>
    <n v="55"/>
    <n v="0.25"/>
  </r>
  <r>
    <x v="57"/>
    <x v="1"/>
    <n v="5068026012"/>
    <s v="1568 S ORANGE GROVE AVE 1-14"/>
    <s v="5+"/>
    <x v="0"/>
    <n v="0"/>
    <n v="0"/>
    <n v="0"/>
    <n v="0"/>
    <n v="0"/>
    <n v="0"/>
    <x v="17"/>
    <n v="0"/>
    <n v="0"/>
    <n v="0"/>
    <n v="0"/>
    <n v="0"/>
    <n v="0"/>
    <n v="0"/>
    <n v="0"/>
    <n v="0"/>
    <n v="0"/>
    <n v="0"/>
    <x v="1"/>
    <n v="55"/>
    <n v="0"/>
  </r>
  <r>
    <x v="57"/>
    <x v="1"/>
    <n v="5156007008"/>
    <s v="330 N ROBINSON ST 1-20"/>
    <s v="5+"/>
    <x v="0"/>
    <n v="0"/>
    <n v="0"/>
    <n v="0"/>
    <n v="0"/>
    <n v="0"/>
    <n v="0"/>
    <x v="2"/>
    <n v="0"/>
    <n v="0"/>
    <n v="0"/>
    <n v="0"/>
    <n v="0"/>
    <n v="0"/>
    <n v="0"/>
    <n v="0"/>
    <n v="0"/>
    <n v="0"/>
    <n v="0"/>
    <x v="1"/>
    <n v="55"/>
    <n v="0"/>
  </r>
  <r>
    <x v="38"/>
    <x v="6"/>
    <d v="2001-11-13T00:00:00"/>
    <s v="727 HANOVER ST"/>
    <s v="5+"/>
    <x v="0"/>
    <n v="0"/>
    <n v="0"/>
    <n v="0"/>
    <n v="0"/>
    <n v="0"/>
    <n v="0"/>
    <x v="0"/>
    <n v="0"/>
    <n v="0"/>
    <n v="0"/>
    <n v="0"/>
    <n v="0"/>
    <n v="0"/>
    <n v="0"/>
    <n v="2"/>
    <n v="0"/>
    <n v="0"/>
    <n v="0"/>
    <x v="1"/>
    <n v="1000"/>
    <n v="0"/>
  </r>
  <r>
    <x v="201"/>
    <x v="0"/>
    <s v="216-052-01"/>
    <s v="1967 N. Vulcan Avenue"/>
    <s v="5+"/>
    <x v="0"/>
    <n v="0"/>
    <n v="0"/>
    <n v="12"/>
    <n v="0"/>
    <n v="0"/>
    <n v="0"/>
    <x v="0"/>
    <n v="0"/>
    <n v="0"/>
    <n v="0"/>
    <n v="0"/>
    <n v="0"/>
    <n v="0"/>
    <n v="0"/>
    <n v="0"/>
    <n v="0"/>
    <n v="0"/>
    <n v="0"/>
    <x v="0"/>
    <n v="55"/>
    <s v="0.34999999999999998"/>
  </r>
  <r>
    <x v="201"/>
    <x v="0"/>
    <s v="254-612-12"/>
    <s v="1150 Quail Gardens Drive"/>
    <s v="5+"/>
    <x v="1"/>
    <n v="4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99"/>
    <x v="6"/>
    <s v="001-691-001"/>
    <s v="595 Munras"/>
    <s v="5+"/>
    <x v="0"/>
    <n v="0"/>
    <n v="0"/>
    <n v="1"/>
    <n v="0"/>
    <n v="1"/>
    <n v="0"/>
    <x v="0"/>
    <n v="0"/>
    <n v="1"/>
    <n v="0"/>
    <n v="1"/>
    <n v="0"/>
    <n v="0"/>
    <n v="0"/>
    <n v="1"/>
    <n v="0"/>
    <n v="1"/>
    <n v="0"/>
    <x v="1"/>
    <m/>
    <n v="0"/>
  </r>
  <r>
    <x v="94"/>
    <x v="6"/>
    <n v="13202900560000"/>
    <s v="8335 TARAK DR"/>
    <s v="5+"/>
    <x v="0"/>
    <n v="0"/>
    <n v="0"/>
    <n v="0"/>
    <n v="0"/>
    <n v="0"/>
    <n v="0"/>
    <x v="87"/>
    <n v="0"/>
    <n v="73"/>
    <n v="0"/>
    <n v="0"/>
    <n v="0"/>
    <n v="0"/>
    <n v="0"/>
    <n v="0"/>
    <n v="0"/>
    <n v="0"/>
    <n v="0"/>
    <x v="0"/>
    <n v="55"/>
    <n v="0"/>
  </r>
  <r>
    <x v="57"/>
    <x v="1"/>
    <n v="5544025009"/>
    <s v="1657 N WESTERN AVE 1-200"/>
    <s v="5+"/>
    <x v="0"/>
    <n v="0"/>
    <n v="0"/>
    <n v="0"/>
    <n v="0"/>
    <n v="0"/>
    <n v="0"/>
    <x v="0"/>
    <n v="0"/>
    <n v="158"/>
    <n v="0"/>
    <n v="40"/>
    <n v="0"/>
    <n v="0"/>
    <n v="0"/>
    <n v="0"/>
    <n v="0"/>
    <n v="0"/>
    <n v="0"/>
    <x v="0"/>
    <n v="55"/>
    <n v="3.25"/>
  </r>
  <r>
    <x v="57"/>
    <x v="1"/>
    <n v="5006006007"/>
    <s v="5365 S CRENSHAW BLVD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57999999999999996"/>
  </r>
  <r>
    <x v="57"/>
    <x v="1"/>
    <n v="2537001033"/>
    <s v="12342 W OSBORNE PL"/>
    <s v="5+"/>
    <x v="0"/>
    <n v="0"/>
    <n v="0"/>
    <n v="80"/>
    <n v="0"/>
    <n v="19"/>
    <n v="0"/>
    <x v="0"/>
    <n v="0"/>
    <n v="0"/>
    <n v="0"/>
    <n v="0"/>
    <n v="0"/>
    <n v="0"/>
    <n v="0"/>
    <n v="0"/>
    <n v="0"/>
    <n v="0"/>
    <n v="0"/>
    <x v="0"/>
    <m/>
    <n v="2.23"/>
  </r>
  <r>
    <x v="57"/>
    <x v="1"/>
    <n v="5020025039"/>
    <s v="4301 S VERMONT AVE"/>
    <s v="5+"/>
    <x v="0"/>
    <n v="0"/>
    <n v="0"/>
    <n v="150"/>
    <n v="0"/>
    <n v="37"/>
    <n v="0"/>
    <x v="0"/>
    <n v="0"/>
    <n v="0"/>
    <n v="0"/>
    <n v="0"/>
    <n v="0"/>
    <n v="0"/>
    <n v="0"/>
    <n v="0"/>
    <n v="0"/>
    <n v="0"/>
    <n v="0"/>
    <x v="0"/>
    <n v="55"/>
    <s v="0.92000000000000004"/>
  </r>
  <r>
    <x v="57"/>
    <x v="1"/>
    <n v="5024006012"/>
    <s v="4345 S CRENSHAW BLVD"/>
    <s v="5+"/>
    <x v="0"/>
    <n v="0"/>
    <n v="0"/>
    <n v="55"/>
    <n v="0"/>
    <n v="0"/>
    <n v="0"/>
    <x v="0"/>
    <n v="0"/>
    <n v="0"/>
    <n v="0"/>
    <n v="0"/>
    <n v="0"/>
    <n v="0"/>
    <n v="0"/>
    <n v="0"/>
    <n v="0"/>
    <n v="0"/>
    <n v="0"/>
    <x v="0"/>
    <m/>
    <n v="1.3"/>
  </r>
  <r>
    <x v="57"/>
    <x v="1"/>
    <n v="5078035020"/>
    <s v="1228 S NORMANDIE AVE"/>
    <s v="5+"/>
    <x v="0"/>
    <n v="19"/>
    <n v="0"/>
    <n v="55"/>
    <n v="0"/>
    <n v="0"/>
    <n v="0"/>
    <x v="0"/>
    <n v="0"/>
    <n v="0"/>
    <n v="0"/>
    <n v="0"/>
    <n v="0"/>
    <n v="0"/>
    <n v="0"/>
    <n v="0"/>
    <n v="0"/>
    <n v="0"/>
    <n v="0"/>
    <x v="0"/>
    <m/>
    <n v="0.13"/>
  </r>
  <r>
    <x v="57"/>
    <x v="1"/>
    <n v="5110022010"/>
    <s v="5001 S BROADWAY"/>
    <s v="5+"/>
    <x v="0"/>
    <n v="0"/>
    <n v="0"/>
    <n v="149"/>
    <n v="0"/>
    <n v="37"/>
    <n v="0"/>
    <x v="0"/>
    <n v="0"/>
    <n v="0"/>
    <n v="0"/>
    <n v="0"/>
    <n v="0"/>
    <n v="0"/>
    <n v="0"/>
    <n v="0"/>
    <n v="0"/>
    <n v="0"/>
    <n v="0"/>
    <x v="0"/>
    <m/>
    <n v="1.7"/>
  </r>
  <r>
    <x v="38"/>
    <x v="6"/>
    <s v="008-311-07"/>
    <s v="136 RIVER ST"/>
    <s v="5+"/>
    <x v="0"/>
    <n v="38"/>
    <n v="0"/>
    <n v="12"/>
    <n v="0"/>
    <n v="0"/>
    <n v="0"/>
    <x v="0"/>
    <n v="0"/>
    <n v="0"/>
    <n v="0"/>
    <n v="0"/>
    <n v="0"/>
    <n v="0"/>
    <n v="0"/>
    <n v="0"/>
    <n v="0"/>
    <n v="0"/>
    <n v="0"/>
    <x v="0"/>
    <n v="1000"/>
    <s v="2.9199999999999999"/>
  </r>
  <r>
    <x v="57"/>
    <x v="1"/>
    <n v="5040024023"/>
    <s v="1317 W JEFFERSON BLVD"/>
    <s v="5+"/>
    <x v="0"/>
    <n v="2"/>
    <n v="0"/>
    <n v="0"/>
    <n v="0"/>
    <n v="0"/>
    <n v="0"/>
    <x v="2"/>
    <n v="0"/>
    <n v="0"/>
    <n v="0"/>
    <n v="0"/>
    <n v="0"/>
    <n v="0"/>
    <n v="0"/>
    <n v="0"/>
    <n v="0"/>
    <n v="0"/>
    <n v="0"/>
    <x v="0"/>
    <n v="55"/>
    <s v="0.28000000000000003"/>
  </r>
  <r>
    <x v="57"/>
    <x v="1"/>
    <n v="5209032029"/>
    <s v="4221 E HUNTINGTON DR N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92500000000000004"/>
  </r>
  <r>
    <x v="244"/>
    <x v="6"/>
    <s v="061-070-002"/>
    <s v="4555 HOLLISTER AVE, SANTA BARBARA 93110"/>
    <s v="5+"/>
    <x v="0"/>
    <n v="2"/>
    <n v="0"/>
    <n v="1"/>
    <n v="0"/>
    <n v="0"/>
    <n v="0"/>
    <x v="0"/>
    <n v="0"/>
    <n v="0"/>
    <n v="0"/>
    <n v="0"/>
    <n v="0"/>
    <n v="0"/>
    <n v="0"/>
    <n v="0"/>
    <n v="0"/>
    <n v="0"/>
    <n v="0"/>
    <x v="0"/>
    <m/>
    <s v="0.050000000000000003"/>
  </r>
  <r>
    <x v="57"/>
    <x v="1"/>
    <n v="4257006026"/>
    <s v="11701 W GATEWAY BLVD 1-73"/>
    <s v="5+"/>
    <x v="0"/>
    <n v="0"/>
    <n v="0"/>
    <n v="0"/>
    <n v="0"/>
    <n v="0"/>
    <n v="0"/>
    <x v="6"/>
    <n v="0"/>
    <n v="0"/>
    <n v="0"/>
    <n v="0"/>
    <n v="0"/>
    <n v="6"/>
    <n v="0"/>
    <n v="0"/>
    <n v="0"/>
    <n v="0"/>
    <n v="0"/>
    <x v="0"/>
    <n v="55"/>
    <s v="0.34999999999999998"/>
  </r>
  <r>
    <x v="57"/>
    <x v="1"/>
    <n v="4235013027"/>
    <s v="12444 W VENICE BLVD"/>
    <s v="5+"/>
    <x v="0"/>
    <n v="0"/>
    <n v="0"/>
    <n v="0"/>
    <n v="0"/>
    <n v="0"/>
    <n v="0"/>
    <x v="14"/>
    <n v="0"/>
    <n v="0"/>
    <n v="0"/>
    <n v="0"/>
    <n v="0"/>
    <n v="7"/>
    <n v="0"/>
    <n v="0"/>
    <n v="0"/>
    <n v="0"/>
    <n v="0"/>
    <x v="0"/>
    <n v="55"/>
    <s v="0.33000000000000002"/>
  </r>
  <r>
    <x v="233"/>
    <x v="6"/>
    <n v="4331024028"/>
    <s v="232 S DOHENY DR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233"/>
    <x v="6"/>
    <n v="4334004031"/>
    <s v="105 ROBERTSON BLVD N; 8811 WILSHIRE BLVD"/>
    <s v="5+"/>
    <x v="0"/>
    <n v="5"/>
    <n v="0"/>
    <n v="0"/>
    <n v="0"/>
    <n v="5"/>
    <n v="0"/>
    <x v="0"/>
    <n v="0"/>
    <n v="0"/>
    <n v="0"/>
    <n v="0"/>
    <n v="0"/>
    <n v="0"/>
    <n v="0"/>
    <n v="0"/>
    <n v="0"/>
    <n v="0"/>
    <n v="0"/>
    <x v="0"/>
    <n v="55"/>
    <n v="1"/>
  </r>
  <r>
    <x v="99"/>
    <x v="3"/>
    <s v="001-031--003"/>
    <s v="300 Cannery Row"/>
    <s v="5+"/>
    <x v="1"/>
    <n v="0"/>
    <n v="0"/>
    <n v="1"/>
    <n v="0"/>
    <n v="1"/>
    <n v="0"/>
    <x v="0"/>
    <n v="0"/>
    <n v="0"/>
    <n v="0"/>
    <n v="0"/>
    <n v="0"/>
    <n v="0"/>
    <n v="0"/>
    <n v="0"/>
    <n v="0"/>
    <n v="0"/>
    <n v="0"/>
    <x v="1"/>
    <m/>
    <n v="0"/>
  </r>
  <r>
    <x v="38"/>
    <x v="6"/>
    <d v="1940-01-22T00:00:00"/>
    <s v="900 HIGH ST"/>
    <s v="5+"/>
    <x v="0"/>
    <n v="4"/>
    <n v="0"/>
    <n v="5"/>
    <n v="0"/>
    <n v="0"/>
    <n v="0"/>
    <x v="0"/>
    <n v="0"/>
    <n v="0"/>
    <n v="0"/>
    <n v="0"/>
    <n v="0"/>
    <n v="0"/>
    <n v="0"/>
    <n v="0"/>
    <n v="0"/>
    <n v="0"/>
    <n v="0"/>
    <x v="0"/>
    <n v="1000"/>
    <n v="0"/>
  </r>
  <r>
    <x v="281"/>
    <x v="5"/>
    <s v="010-138-003"/>
    <s v="Dolores Street 2 SW of 5th Avenue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32500000000000001"/>
  </r>
  <r>
    <x v="282"/>
    <x v="6"/>
    <s v="2061-006-044"/>
    <s v="29045 Agoura Road"/>
    <s v="5+"/>
    <x v="0"/>
    <n v="28"/>
    <n v="0"/>
    <n v="10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57"/>
    <x v="1"/>
    <n v="5077017011"/>
    <s v="730 S VERMONT AVE"/>
    <s v="5+"/>
    <x v="0"/>
    <n v="0"/>
    <n v="0"/>
    <n v="0"/>
    <n v="0"/>
    <n v="0"/>
    <n v="0"/>
    <x v="42"/>
    <n v="0"/>
    <n v="0"/>
    <n v="0"/>
    <n v="0"/>
    <n v="0"/>
    <n v="0"/>
    <n v="0"/>
    <n v="0"/>
    <n v="0"/>
    <n v="0"/>
    <n v="0"/>
    <x v="1"/>
    <n v="55"/>
    <n v="0"/>
  </r>
  <r>
    <x v="57"/>
    <x v="1"/>
    <n v="5507030015"/>
    <s v="701 S HUDSON AVE"/>
    <s v="5+"/>
    <x v="0"/>
    <n v="0"/>
    <n v="0"/>
    <n v="0"/>
    <n v="0"/>
    <n v="0"/>
    <n v="0"/>
    <x v="6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521012025"/>
    <s v="539 N HOBART BLVD"/>
    <s v="5+"/>
    <x v="0"/>
    <n v="0"/>
    <n v="0"/>
    <n v="0"/>
    <n v="0"/>
    <n v="0"/>
    <n v="0"/>
    <x v="5"/>
    <n v="0"/>
    <n v="0"/>
    <n v="0"/>
    <n v="0"/>
    <n v="0"/>
    <n v="0"/>
    <n v="0"/>
    <n v="0"/>
    <n v="0"/>
    <n v="0"/>
    <n v="0"/>
    <x v="1"/>
    <n v="55"/>
    <n v="0"/>
  </r>
  <r>
    <x v="57"/>
    <x v="1"/>
    <n v="6004019004"/>
    <s v="6406 S HOOVER ST 1-16"/>
    <s v="5+"/>
    <x v="0"/>
    <n v="0"/>
    <n v="0"/>
    <n v="0"/>
    <n v="0"/>
    <n v="0"/>
    <n v="0"/>
    <x v="3"/>
    <n v="0"/>
    <n v="14"/>
    <n v="0"/>
    <n v="0"/>
    <n v="0"/>
    <n v="0"/>
    <n v="0"/>
    <n v="0"/>
    <n v="0"/>
    <n v="0"/>
    <n v="0"/>
    <x v="1"/>
    <n v="55"/>
    <n v="0"/>
  </r>
  <r>
    <x v="57"/>
    <x v="1"/>
    <n v="4005001013"/>
    <s v="5975 S CRENSHAW BLVD"/>
    <s v="5+"/>
    <x v="0"/>
    <n v="0"/>
    <n v="0"/>
    <n v="41"/>
    <n v="0"/>
    <n v="11"/>
    <n v="0"/>
    <x v="0"/>
    <n v="0"/>
    <n v="0"/>
    <n v="0"/>
    <n v="0"/>
    <n v="0"/>
    <n v="0"/>
    <n v="0"/>
    <n v="0"/>
    <n v="0"/>
    <n v="0"/>
    <n v="0"/>
    <x v="0"/>
    <n v="55"/>
    <s v="0.96999999999999997"/>
  </r>
  <r>
    <x v="57"/>
    <x v="1"/>
    <n v="5547031001"/>
    <s v="1301 N CHEROKEE AVE"/>
    <s v="5+"/>
    <x v="0"/>
    <n v="2"/>
    <n v="0"/>
    <n v="41"/>
    <n v="0"/>
    <n v="9"/>
    <n v="0"/>
    <x v="0"/>
    <n v="0"/>
    <n v="0"/>
    <n v="0"/>
    <n v="0"/>
    <n v="0"/>
    <n v="0"/>
    <n v="0"/>
    <n v="0"/>
    <n v="0"/>
    <n v="0"/>
    <n v="0"/>
    <x v="0"/>
    <m/>
    <s v="3.0699999999999998"/>
  </r>
  <r>
    <x v="57"/>
    <x v="1"/>
    <n v="5104017033"/>
    <s v="5516 S CENTRAL AVE"/>
    <s v="5+"/>
    <x v="0"/>
    <n v="0"/>
    <n v="0"/>
    <n v="22"/>
    <n v="0"/>
    <n v="6"/>
    <n v="0"/>
    <x v="0"/>
    <n v="0"/>
    <n v="0"/>
    <n v="0"/>
    <n v="0"/>
    <n v="0"/>
    <n v="0"/>
    <n v="0"/>
    <n v="0"/>
    <n v="0"/>
    <n v="0"/>
    <n v="0"/>
    <x v="0"/>
    <n v="55"/>
    <s v="0.70999999999999996"/>
  </r>
  <r>
    <x v="57"/>
    <x v="1"/>
    <n v="4005004001"/>
    <s v="3452 W SLAUSON AVE"/>
    <s v="5+"/>
    <x v="0"/>
    <n v="9"/>
    <n v="0"/>
    <n v="17"/>
    <n v="0"/>
    <n v="0"/>
    <n v="0"/>
    <x v="0"/>
    <n v="0"/>
    <n v="0"/>
    <n v="0"/>
    <n v="0"/>
    <n v="0"/>
    <n v="0"/>
    <n v="0"/>
    <n v="0"/>
    <n v="0"/>
    <n v="0"/>
    <n v="0"/>
    <x v="0"/>
    <m/>
    <n v="0.63"/>
  </r>
  <r>
    <x v="57"/>
    <x v="1"/>
    <n v="4252024020"/>
    <s v="3676 S KELTON AVE"/>
    <s v="5+"/>
    <x v="0"/>
    <n v="1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2.0099999999999998"/>
  </r>
  <r>
    <x v="57"/>
    <x v="1"/>
    <n v="5021009030"/>
    <s v="4186 S WESTERN AVE"/>
    <s v="5+"/>
    <x v="0"/>
    <n v="1"/>
    <n v="0"/>
    <n v="92"/>
    <n v="0"/>
    <n v="24"/>
    <n v="0"/>
    <x v="0"/>
    <n v="0"/>
    <n v="0"/>
    <n v="0"/>
    <n v="0"/>
    <n v="0"/>
    <n v="0"/>
    <n v="0"/>
    <n v="0"/>
    <n v="0"/>
    <n v="0"/>
    <n v="0"/>
    <x v="0"/>
    <n v="55"/>
    <n v="3.54"/>
  </r>
  <r>
    <x v="57"/>
    <x v="1"/>
    <n v="5135028007"/>
    <s v="1627 S OAK ST"/>
    <s v="5+"/>
    <x v="0"/>
    <n v="15"/>
    <n v="0"/>
    <n v="19"/>
    <n v="0"/>
    <n v="0"/>
    <n v="0"/>
    <x v="0"/>
    <n v="0"/>
    <n v="0"/>
    <n v="0"/>
    <n v="0"/>
    <n v="0"/>
    <n v="0"/>
    <n v="0"/>
    <n v="0"/>
    <n v="0"/>
    <n v="0"/>
    <n v="0"/>
    <x v="0"/>
    <m/>
    <s v="0.34999999999999998"/>
  </r>
  <r>
    <x v="57"/>
    <x v="1"/>
    <n v="5148024011"/>
    <s v="427 E 7TH ST"/>
    <s v="5+"/>
    <x v="0"/>
    <n v="215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4.8300000000000001"/>
  </r>
  <r>
    <x v="57"/>
    <x v="1"/>
    <n v="5536011009"/>
    <s v="5530 W VIRGINIA AVE"/>
    <s v="5+"/>
    <x v="0"/>
    <n v="1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m/>
    <s v="0.68000000000000005"/>
  </r>
  <r>
    <x v="233"/>
    <x v="1"/>
    <n v="4333030021"/>
    <s v="227 TOWER DRIVE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125"/>
  </r>
  <r>
    <x v="48"/>
    <x v="6"/>
    <s v="031935102"/>
    <s v="12301 3RD ST_x000a_CA"/>
    <s v="5+"/>
    <x v="0"/>
    <n v="0"/>
    <n v="0"/>
    <n v="0"/>
    <n v="0"/>
    <n v="0"/>
    <n v="0"/>
    <x v="0"/>
    <n v="0"/>
    <n v="0"/>
    <n v="0"/>
    <n v="16"/>
    <n v="0"/>
    <n v="0"/>
    <n v="0"/>
    <n v="0"/>
    <n v="0"/>
    <n v="16"/>
    <n v="0"/>
    <x v="0"/>
    <n v="55"/>
    <n v="1"/>
  </r>
  <r>
    <x v="99"/>
    <x v="3"/>
    <s v="001-691-001"/>
    <s v="595 Munras"/>
    <s v="5+"/>
    <x v="0"/>
    <n v="0"/>
    <n v="0"/>
    <n v="1"/>
    <n v="0"/>
    <n v="1"/>
    <n v="0"/>
    <x v="0"/>
    <n v="0"/>
    <n v="1"/>
    <n v="0"/>
    <n v="1"/>
    <n v="0"/>
    <n v="0"/>
    <n v="0"/>
    <n v="1"/>
    <n v="0"/>
    <n v="1"/>
    <n v="0"/>
    <x v="1"/>
    <m/>
    <n v="0"/>
  </r>
  <r>
    <x v="38"/>
    <x v="6"/>
    <s v="006-203-25"/>
    <s v="1130 MISSION ST"/>
    <s v="5+"/>
    <x v="0"/>
    <n v="6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s v="0.20000000000000001"/>
  </r>
  <r>
    <x v="57"/>
    <x v="1"/>
    <n v="5106001002"/>
    <s v="1528 1/2 E VERNON AVE"/>
    <s v="5+"/>
    <x v="0"/>
    <n v="3"/>
    <n v="0"/>
    <n v="20"/>
    <n v="0"/>
    <n v="0"/>
    <n v="0"/>
    <x v="0"/>
    <n v="0"/>
    <n v="0"/>
    <n v="0"/>
    <n v="0"/>
    <n v="0"/>
    <n v="0"/>
    <n v="0"/>
    <n v="0"/>
    <n v="0"/>
    <n v="0"/>
    <n v="0"/>
    <x v="1"/>
    <n v="55"/>
    <n v="0"/>
  </r>
  <r>
    <x v="57"/>
    <x v="1"/>
    <n v="6032010013"/>
    <s v="8301 S HOOVER ST"/>
    <s v="5+"/>
    <x v="0"/>
    <n v="0"/>
    <n v="0"/>
    <n v="55"/>
    <n v="0"/>
    <n v="14"/>
    <n v="0"/>
    <x v="0"/>
    <n v="0"/>
    <n v="0"/>
    <n v="0"/>
    <n v="0"/>
    <n v="0"/>
    <n v="0"/>
    <n v="0"/>
    <n v="0"/>
    <n v="0"/>
    <n v="0"/>
    <n v="0"/>
    <x v="0"/>
    <n v="55"/>
    <s v="0.96999999999999997"/>
  </r>
  <r>
    <x v="57"/>
    <x v="1"/>
    <n v="6035009003"/>
    <s v="8111 S WESTERN AVE"/>
    <s v="5+"/>
    <x v="0"/>
    <n v="0"/>
    <n v="0"/>
    <n v="35"/>
    <n v="0"/>
    <n v="0"/>
    <n v="0"/>
    <x v="0"/>
    <n v="0"/>
    <n v="0"/>
    <n v="0"/>
    <n v="0"/>
    <n v="0"/>
    <n v="0"/>
    <n v="0"/>
    <n v="0"/>
    <n v="0"/>
    <n v="0"/>
    <n v="0"/>
    <x v="0"/>
    <n v="55"/>
    <s v="0.59999999999999998"/>
  </r>
  <r>
    <x v="57"/>
    <x v="1"/>
    <n v="5547008022"/>
    <s v="1735 N HUDSON; 1743 N HUDSON; 1747 N HUDSON; 1749 N HUDSON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2375021027"/>
    <s v="12805 W VENTURA; 12805 W VENTURA; 12815 W VENTURA; 12825 W VENTURA; 12833 W VENTURA; 12835 W VENTURA; 4218 N COLDWATER CANYON; 4220 N COLDWATER CANYON"/>
    <s v="5+"/>
    <x v="0"/>
    <n v="78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57"/>
    <x v="1"/>
    <n v="2558032005"/>
    <s v="10211 N WILSEY; 10213 N WILSEY; 10217 N WILSEY; 10222 N PLAINVIEW; 10224 N PLAINVIEW; 10226 N PLAINVIEW; 10230 N PLAINVIEW; 7569 W FOOTHILL; 7573 W FOOTHILL; 7575 W FOOTHILL; 7577 W FOOTHILL; 7579 W FOOTHILL; 7581 W FOOTHILL; 7583 W FOOTHILL"/>
    <s v="5+"/>
    <x v="0"/>
    <n v="7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233"/>
    <x v="6"/>
    <n v="4335006043"/>
    <s v="412 NORTH OAKHURST DRIVE"/>
    <s v="5+"/>
    <x v="0"/>
    <n v="2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s v="0.88749999999999996"/>
  </r>
  <r>
    <x v="233"/>
    <x v="1"/>
    <n v="4331025026"/>
    <s v="332 DOHENY DR S"/>
    <s v="5+"/>
    <x v="0"/>
    <n v="1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16600000000000001"/>
  </r>
  <r>
    <x v="77"/>
    <x v="6"/>
    <s v="007270007000"/>
    <s v="682  Northstar  DR Unit: Bldg 2_x000a_Hanford, CA 93230"/>
    <s v="5+"/>
    <x v="0"/>
    <n v="0"/>
    <n v="0"/>
    <n v="0"/>
    <n v="0"/>
    <n v="0"/>
    <n v="0"/>
    <x v="0"/>
    <n v="0"/>
    <n v="0"/>
    <n v="0"/>
    <n v="0"/>
    <n v="0"/>
    <n v="21"/>
    <n v="0"/>
    <n v="0"/>
    <n v="0"/>
    <n v="0"/>
    <n v="0"/>
    <x v="1"/>
    <n v="55"/>
    <n v="0"/>
  </r>
  <r>
    <x v="38"/>
    <x v="6"/>
    <s v="005-152-31"/>
    <s v="902-920 PACIFIC AVE"/>
    <s v="5+"/>
    <x v="0"/>
    <n v="90"/>
    <n v="0"/>
    <n v="36"/>
    <n v="0"/>
    <n v="0"/>
    <n v="0"/>
    <x v="112"/>
    <n v="0"/>
    <n v="36"/>
    <n v="0"/>
    <n v="0"/>
    <n v="0"/>
    <n v="0"/>
    <n v="0"/>
    <n v="0"/>
    <n v="0"/>
    <n v="0"/>
    <n v="0"/>
    <x v="0"/>
    <n v="1000"/>
    <s v="1.0600000000000001"/>
  </r>
  <r>
    <x v="57"/>
    <x v="1"/>
    <n v="5548022040"/>
    <s v="1305 N SYCAMORE AVE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6020031011"/>
    <s v="7408 S FIGUEROA ST"/>
    <s v="5+"/>
    <x v="0"/>
    <n v="1"/>
    <n v="0"/>
    <n v="123"/>
    <n v="0"/>
    <n v="32"/>
    <n v="0"/>
    <x v="0"/>
    <n v="0"/>
    <n v="0"/>
    <n v="0"/>
    <n v="0"/>
    <n v="0"/>
    <n v="0"/>
    <n v="0"/>
    <n v="0"/>
    <n v="0"/>
    <n v="0"/>
    <n v="0"/>
    <x v="0"/>
    <n v="55"/>
    <s v="4.4100000000000001"/>
  </r>
  <r>
    <x v="52"/>
    <x v="1"/>
    <n v="7101900610000"/>
    <s v="425 E BIDWELL ST"/>
    <s v="5+"/>
    <x v="0"/>
    <n v="0"/>
    <n v="0"/>
    <n v="0"/>
    <n v="0"/>
    <n v="0"/>
    <n v="0"/>
    <x v="0"/>
    <n v="0"/>
    <n v="0"/>
    <n v="0"/>
    <n v="0"/>
    <n v="0"/>
    <n v="0"/>
    <n v="0"/>
    <n v="25"/>
    <n v="0"/>
    <n v="0"/>
    <n v="0"/>
    <x v="0"/>
    <m/>
    <s v="0.20000000000000001"/>
  </r>
  <r>
    <x v="57"/>
    <x v="1"/>
    <n v="2249005017"/>
    <s v="14535 W WEDDINGTON"/>
    <s v="5+"/>
    <x v="0"/>
    <n v="0"/>
    <n v="0"/>
    <n v="17"/>
    <n v="0"/>
    <n v="5"/>
    <n v="0"/>
    <x v="0"/>
    <n v="0"/>
    <n v="0"/>
    <n v="0"/>
    <n v="0"/>
    <n v="0"/>
    <n v="0"/>
    <n v="0"/>
    <n v="0"/>
    <n v="0"/>
    <n v="0"/>
    <n v="0"/>
    <x v="0"/>
    <n v="55"/>
    <n v="4.75"/>
  </r>
  <r>
    <x v="57"/>
    <x v="1"/>
    <n v="5534018018"/>
    <s v="5814 W LEXINGTON; 5814 W LEXINGTON; 5816 W LEXINGTON; 5822 W LEXINGTON"/>
    <s v="5+"/>
    <x v="0"/>
    <n v="2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073016009"/>
    <s v="1848 S GRAMERCY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42999999999999999"/>
  </r>
  <r>
    <x v="57"/>
    <x v="1"/>
    <n v="4236020030"/>
    <s v="12740 W ZANJA; 12750 W ZANJA; 3984 S MEIER; 3988 S MEIER"/>
    <s v="5+"/>
    <x v="0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33000000000000002"/>
  </r>
  <r>
    <x v="38"/>
    <x v="6"/>
    <s v="008-181-23"/>
    <s v="150 FELKER ST"/>
    <s v="5+"/>
    <x v="0"/>
    <n v="4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1000"/>
    <n v="0.5"/>
  </r>
  <r>
    <x v="38"/>
    <x v="6"/>
    <s v="003-351-37"/>
    <s v="400 INGALLS ALLEY"/>
    <s v="5+"/>
    <x v="0"/>
    <n v="0"/>
    <n v="0"/>
    <n v="0"/>
    <n v="0"/>
    <n v="0"/>
    <n v="0"/>
    <x v="0"/>
    <n v="0"/>
    <n v="7"/>
    <n v="0"/>
    <n v="0"/>
    <n v="12"/>
    <n v="0"/>
    <n v="0"/>
    <n v="0"/>
    <n v="0"/>
    <n v="0"/>
    <n v="0"/>
    <x v="1"/>
    <n v="1000"/>
    <n v="0"/>
  </r>
  <r>
    <x v="62"/>
    <x v="6"/>
    <n v="3776044"/>
    <s v="56 WELSH ST"/>
    <s v="5+"/>
    <x v="0"/>
    <n v="46"/>
    <n v="0"/>
    <n v="16"/>
    <n v="0"/>
    <n v="16"/>
    <n v="0"/>
    <x v="0"/>
    <n v="0"/>
    <n v="0"/>
    <n v="0"/>
    <n v="0"/>
    <n v="0"/>
    <n v="0"/>
    <n v="0"/>
    <n v="0"/>
    <n v="0"/>
    <n v="0"/>
    <n v="0"/>
    <x v="0"/>
    <n v="99"/>
    <s v="0.42499999999999999"/>
  </r>
  <r>
    <x v="62"/>
    <x v="6"/>
    <n v="3706048"/>
    <s v="785 MARKET ST"/>
    <s v="5+"/>
    <x v="0"/>
    <n v="4"/>
    <n v="0"/>
    <n v="21"/>
    <n v="0"/>
    <n v="2"/>
    <n v="0"/>
    <x v="0"/>
    <n v="0"/>
    <n v="0"/>
    <n v="0"/>
    <n v="0"/>
    <n v="0"/>
    <n v="0"/>
    <n v="0"/>
    <n v="0"/>
    <n v="0"/>
    <n v="0"/>
    <n v="0"/>
    <x v="1"/>
    <n v="99"/>
    <n v="0"/>
  </r>
  <r>
    <x v="62"/>
    <x v="6"/>
    <n v="3596099"/>
    <s v="811 VALENCIA ST"/>
    <s v="5+"/>
    <x v="0"/>
    <n v="0"/>
    <n v="0"/>
    <n v="2"/>
    <n v="0"/>
    <n v="0"/>
    <n v="0"/>
    <x v="0"/>
    <n v="0"/>
    <n v="0"/>
    <n v="0"/>
    <n v="0"/>
    <n v="0"/>
    <n v="0"/>
    <n v="0"/>
    <n v="0"/>
    <n v="0"/>
    <n v="0"/>
    <n v="0"/>
    <x v="1"/>
    <n v="99"/>
    <n v="0"/>
  </r>
  <r>
    <x v="62"/>
    <x v="6"/>
    <n v="343014"/>
    <s v="180 JONES ST"/>
    <s v="5+"/>
    <x v="0"/>
    <n v="0"/>
    <n v="0"/>
    <n v="0"/>
    <n v="0"/>
    <n v="0"/>
    <n v="0"/>
    <x v="0"/>
    <n v="0"/>
    <n v="0"/>
    <n v="0"/>
    <n v="0"/>
    <n v="0"/>
    <n v="48"/>
    <n v="0"/>
    <n v="21"/>
    <n v="0"/>
    <n v="0"/>
    <n v="0"/>
    <x v="0"/>
    <n v="99"/>
    <s v="1.3700000000000001"/>
  </r>
  <r>
    <x v="111"/>
    <x v="6"/>
    <n v="211181033"/>
    <s v="1701 SEVENTH ST, Riverside, CA 92507"/>
    <s v="5+"/>
    <x v="0"/>
    <n v="0"/>
    <n v="0"/>
    <n v="0"/>
    <n v="0"/>
    <n v="0"/>
    <n v="0"/>
    <x v="0"/>
    <n v="0"/>
    <n v="0"/>
    <n v="0"/>
    <n v="0"/>
    <n v="0"/>
    <n v="0"/>
    <n v="0"/>
    <n v="13"/>
    <n v="0"/>
    <n v="0"/>
    <n v="0"/>
    <x v="0"/>
    <n v="55"/>
    <s v="0.10299999999999999"/>
  </r>
  <r>
    <x v="152"/>
    <x v="6"/>
    <s v="125-580-16"/>
    <s v="614 Verandah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152"/>
    <x v="6"/>
    <s v="125-580-16"/>
    <s v="814 Verandah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152"/>
    <x v="6"/>
    <s v="141-201-48"/>
    <s v="1787 Grant Ave"/>
    <s v="5+"/>
    <x v="0"/>
    <n v="4"/>
    <n v="0"/>
    <n v="1"/>
    <n v="0"/>
    <n v="0"/>
    <n v="0"/>
    <x v="0"/>
    <n v="0"/>
    <n v="0"/>
    <n v="0"/>
    <n v="0"/>
    <n v="0"/>
    <n v="0"/>
    <n v="0"/>
    <n v="0"/>
    <n v="0"/>
    <n v="0"/>
    <n v="0"/>
    <x v="0"/>
    <n v="55"/>
    <s v="0.29999999999999999"/>
  </r>
  <r>
    <x v="152"/>
    <x v="6"/>
    <s v="157-970-03"/>
    <s v="123 ROCKVIEW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152"/>
    <x v="6"/>
    <s v="157-970-03"/>
    <s v="601 ROCKVIEW"/>
    <s v="5+"/>
    <x v="1"/>
    <n v="0"/>
    <n v="0"/>
    <n v="0"/>
    <n v="0"/>
    <n v="0"/>
    <n v="0"/>
    <x v="0"/>
    <n v="0"/>
    <n v="0"/>
    <n v="0"/>
    <n v="0"/>
    <n v="0"/>
    <n v="0"/>
    <n v="0"/>
    <n v="0"/>
    <n v="0"/>
    <n v="1"/>
    <n v="0"/>
    <x v="1"/>
    <n v="55"/>
    <n v="0"/>
  </r>
  <r>
    <x v="152"/>
    <x v="6"/>
    <s v="157-970-03"/>
    <s v="605 ROCKVIEW"/>
    <s v="5+"/>
    <x v="1"/>
    <n v="0"/>
    <n v="0"/>
    <n v="0"/>
    <n v="0"/>
    <n v="0"/>
    <n v="0"/>
    <x v="0"/>
    <n v="0"/>
    <n v="0"/>
    <n v="0"/>
    <n v="0"/>
    <n v="0"/>
    <n v="0"/>
    <n v="0"/>
    <n v="1"/>
    <n v="0"/>
    <n v="0"/>
    <n v="0"/>
    <x v="1"/>
    <n v="55"/>
    <n v="0"/>
  </r>
  <r>
    <x v="224"/>
    <x v="6"/>
    <s v="019-042-21"/>
    <s v="251-351 W Imperial Hwy"/>
    <s v="5+"/>
    <x v="1"/>
    <n v="0"/>
    <n v="0"/>
    <n v="0"/>
    <n v="0"/>
    <n v="12"/>
    <n v="0"/>
    <x v="0"/>
    <n v="0"/>
    <n v="0"/>
    <n v="0"/>
    <n v="0"/>
    <n v="7"/>
    <n v="0"/>
    <n v="0"/>
    <n v="0"/>
    <n v="0"/>
    <n v="0"/>
    <n v="0"/>
    <x v="0"/>
    <n v="55"/>
    <n v="0"/>
  </r>
  <r>
    <x v="44"/>
    <x v="6"/>
    <s v="279-25-014"/>
    <s v="1390 S Winchester Blvd"/>
    <s v="5+"/>
    <x v="0"/>
    <n v="0"/>
    <n v="0"/>
    <n v="99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4"/>
    <x v="6"/>
    <s v="249-66-051"/>
    <s v="1319 Tripp Avenu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s v="0.28000000000000003"/>
  </r>
  <r>
    <x v="44"/>
    <x v="6"/>
    <s v="296-40-009"/>
    <s v="4300 Stevens Creek Blvd"/>
    <s v="5+"/>
    <x v="0"/>
    <n v="0"/>
    <n v="0"/>
    <n v="0"/>
    <n v="0"/>
    <n v="0"/>
    <n v="0"/>
    <x v="90"/>
    <n v="0"/>
    <n v="113"/>
    <n v="0"/>
    <n v="0"/>
    <n v="0"/>
    <n v="0"/>
    <n v="0"/>
    <n v="0"/>
    <n v="0"/>
    <n v="0"/>
    <n v="0"/>
    <x v="0"/>
    <n v="55"/>
    <n v="0"/>
  </r>
  <r>
    <x v="99"/>
    <x v="6"/>
    <s v="001-031--003"/>
    <s v="300 Cannery Row"/>
    <s v="5+"/>
    <x v="1"/>
    <n v="0"/>
    <n v="0"/>
    <n v="1"/>
    <n v="0"/>
    <n v="1"/>
    <n v="0"/>
    <x v="0"/>
    <n v="0"/>
    <n v="0"/>
    <n v="0"/>
    <n v="0"/>
    <n v="0"/>
    <n v="0"/>
    <n v="0"/>
    <n v="0"/>
    <n v="0"/>
    <n v="0"/>
    <n v="0"/>
    <x v="1"/>
    <m/>
    <n v="0"/>
  </r>
  <r>
    <x v="52"/>
    <x v="1"/>
    <s v="07233700410000"/>
    <s v="14776 MANGINI PKWY"/>
    <s v="5+"/>
    <x v="0"/>
    <n v="0"/>
    <n v="0"/>
    <n v="0"/>
    <n v="0"/>
    <n v="0"/>
    <n v="0"/>
    <x v="12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x v="12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x v="12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x v="12"/>
    <n v="0"/>
    <n v="19"/>
    <n v="0"/>
    <n v="0"/>
    <n v="0"/>
    <n v="0"/>
    <n v="0"/>
    <n v="0"/>
    <n v="0"/>
    <n v="0"/>
    <n v="0"/>
    <x v="0"/>
    <m/>
    <s v="0.012999999999999999"/>
  </r>
  <r>
    <x v="62"/>
    <x v="6"/>
    <n v="3535015"/>
    <s v="2051 MARKET ST"/>
    <s v="5+"/>
    <x v="0"/>
    <n v="0"/>
    <n v="0"/>
    <n v="3"/>
    <n v="0"/>
    <n v="0"/>
    <n v="0"/>
    <x v="0"/>
    <n v="0"/>
    <n v="0"/>
    <n v="0"/>
    <n v="0"/>
    <n v="0"/>
    <n v="0"/>
    <n v="0"/>
    <n v="0"/>
    <n v="0"/>
    <n v="0"/>
    <n v="0"/>
    <x v="0"/>
    <n v="99"/>
    <s v="0.047100000000000003"/>
  </r>
  <r>
    <x v="62"/>
    <x v="6"/>
    <n v="130025"/>
    <s v="1526 POWELL ST"/>
    <s v="5+"/>
    <x v="0"/>
    <n v="0"/>
    <n v="0"/>
    <n v="3"/>
    <n v="0"/>
    <n v="0"/>
    <n v="0"/>
    <x v="0"/>
    <n v="0"/>
    <n v="0"/>
    <n v="0"/>
    <n v="0"/>
    <n v="0"/>
    <n v="0"/>
    <n v="0"/>
    <n v="0"/>
    <n v="0"/>
    <n v="0"/>
    <n v="0"/>
    <x v="0"/>
    <n v="99"/>
    <s v="0.46250000000000002"/>
  </r>
  <r>
    <x v="109"/>
    <x v="6"/>
    <n v="507251015"/>
    <s v="5174 BLOSSOM CIR"/>
    <s v="5+"/>
    <x v="1"/>
    <n v="0"/>
    <n v="0"/>
    <n v="0"/>
    <n v="0"/>
    <n v="0"/>
    <n v="0"/>
    <x v="0"/>
    <n v="0"/>
    <n v="0"/>
    <n v="0"/>
    <n v="1"/>
    <n v="0"/>
    <n v="0"/>
    <n v="0"/>
    <n v="0"/>
    <n v="0"/>
    <n v="0"/>
    <n v="0"/>
    <x v="1"/>
    <m/>
    <n v="0"/>
  </r>
  <r>
    <x v="164"/>
    <x v="6"/>
    <s v="143-040-139"/>
    <s v="591 Carlson Avenu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8"/>
    <n v="0"/>
    <x v="1"/>
    <n v="55"/>
    <n v="0"/>
  </r>
  <r>
    <x v="11"/>
    <x v="6"/>
    <s v="5767-026-039"/>
    <s v="30 SUFFOLK AVE"/>
    <s v="5+"/>
    <x v="0"/>
    <n v="0"/>
    <n v="0"/>
    <n v="1"/>
    <n v="0"/>
    <n v="0"/>
    <n v="0"/>
    <x v="0"/>
    <n v="0"/>
    <n v="1"/>
    <n v="0"/>
    <n v="0"/>
    <n v="0"/>
    <n v="0"/>
    <n v="0"/>
    <n v="1"/>
    <n v="0"/>
    <n v="0"/>
    <n v="0"/>
    <x v="0"/>
    <m/>
    <s v="0.14999999999999999"/>
  </r>
  <r>
    <x v="77"/>
    <x v="6"/>
    <s v="007270007000"/>
    <s v="664  Northstar DR Unit: Bldg 1_x000a_Hanford , CA 93230"/>
    <s v="5+"/>
    <x v="0"/>
    <n v="0"/>
    <n v="0"/>
    <n v="0"/>
    <n v="0"/>
    <n v="0"/>
    <n v="0"/>
    <x v="0"/>
    <n v="0"/>
    <n v="0"/>
    <n v="0"/>
    <n v="0"/>
    <n v="0"/>
    <n v="26"/>
    <n v="25"/>
    <n v="0"/>
    <n v="0"/>
    <n v="0"/>
    <n v="0"/>
    <x v="1"/>
    <n v="55"/>
    <n v="0"/>
  </r>
  <r>
    <x v="4"/>
    <x v="6"/>
    <s v="004-709-028"/>
    <s v="3802 Ranchhouse Rd_x000a_San Luis Obispo, CA 93401"/>
    <s v="5+"/>
    <x v="1"/>
    <n v="0"/>
    <n v="0"/>
    <n v="0"/>
    <n v="0"/>
    <n v="0"/>
    <n v="0"/>
    <x v="0"/>
    <n v="0"/>
    <n v="0"/>
    <n v="0"/>
    <n v="9"/>
    <n v="0"/>
    <n v="0"/>
    <n v="0"/>
    <n v="0"/>
    <n v="0"/>
    <n v="0"/>
    <n v="0"/>
    <x v="1"/>
    <m/>
    <n v="0"/>
  </r>
  <r>
    <x v="111"/>
    <x v="6"/>
    <n v="211181033"/>
    <s v="1701 SEVENTH ST, Riverside, CA 92507"/>
    <s v="5+"/>
    <x v="0"/>
    <n v="0"/>
    <n v="0"/>
    <n v="0"/>
    <n v="0"/>
    <n v="0"/>
    <n v="0"/>
    <x v="0"/>
    <n v="0"/>
    <n v="0"/>
    <n v="0"/>
    <n v="0"/>
    <n v="0"/>
    <n v="0"/>
    <n v="0"/>
    <n v="13"/>
    <n v="0"/>
    <n v="0"/>
    <n v="0"/>
    <x v="0"/>
    <n v="55"/>
    <s v="0.10299999999999999"/>
  </r>
  <r>
    <x v="111"/>
    <x v="6"/>
    <n v="211181033"/>
    <s v="1701 SEVENTH ST, Riverside, CA 92507"/>
    <s v="5+"/>
    <x v="0"/>
    <n v="0"/>
    <n v="0"/>
    <n v="0"/>
    <n v="0"/>
    <n v="0"/>
    <n v="0"/>
    <x v="0"/>
    <n v="0"/>
    <n v="0"/>
    <n v="0"/>
    <n v="0"/>
    <n v="0"/>
    <n v="0"/>
    <n v="0"/>
    <n v="13"/>
    <n v="0"/>
    <n v="0"/>
    <n v="0"/>
    <x v="0"/>
    <n v="55"/>
    <s v="0.10299999999999999"/>
  </r>
  <r>
    <x v="111"/>
    <x v="6"/>
    <n v="146141072"/>
    <s v="11215 PIERCE ST, Riverside, CA 92505"/>
    <s v="5+"/>
    <x v="0"/>
    <n v="0"/>
    <n v="0"/>
    <n v="0"/>
    <n v="0"/>
    <n v="0"/>
    <n v="0"/>
    <x v="0"/>
    <n v="0"/>
    <n v="0"/>
    <n v="0"/>
    <n v="0"/>
    <n v="0"/>
    <n v="0"/>
    <n v="0"/>
    <n v="12"/>
    <n v="0"/>
    <n v="0"/>
    <n v="0"/>
    <x v="0"/>
    <n v="55"/>
    <n v="0"/>
  </r>
  <r>
    <x v="152"/>
    <x v="6"/>
    <s v="125-580-16"/>
    <s v="521 VALLEY OAKS"/>
    <s v="5+"/>
    <x v="1"/>
    <n v="0"/>
    <n v="0"/>
    <n v="0"/>
    <n v="0"/>
    <n v="0"/>
    <n v="0"/>
    <x v="0"/>
    <n v="0"/>
    <n v="0"/>
    <n v="0"/>
    <n v="0"/>
    <n v="0"/>
    <n v="1"/>
    <n v="0"/>
    <n v="0"/>
    <n v="0"/>
    <n v="0"/>
    <n v="0"/>
    <x v="1"/>
    <n v="55"/>
    <n v="0"/>
  </r>
  <r>
    <x v="44"/>
    <x v="6"/>
    <s v="277-21-049"/>
    <s v="426 Page St"/>
    <s v="5+"/>
    <x v="1"/>
    <n v="3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.5"/>
  </r>
  <r>
    <x v="44"/>
    <x v="6"/>
    <s v="249-66-010"/>
    <s v="1271 E Julian St"/>
    <s v="5+"/>
    <x v="0"/>
    <n v="183"/>
    <n v="0"/>
    <n v="120"/>
    <n v="0"/>
    <n v="0"/>
    <n v="0"/>
    <x v="0"/>
    <n v="0"/>
    <n v="0"/>
    <n v="0"/>
    <n v="0"/>
    <n v="0"/>
    <n v="0"/>
    <n v="0"/>
    <n v="0"/>
    <n v="0"/>
    <n v="0"/>
    <n v="0"/>
    <x v="0"/>
    <n v="55"/>
    <n v="2.27"/>
  </r>
  <r>
    <x v="44"/>
    <x v="6"/>
    <s v="690-25-021"/>
    <s v="397 Blossom Hill Road"/>
    <s v="5+"/>
    <x v="0"/>
    <n v="0"/>
    <n v="0"/>
    <n v="0"/>
    <n v="0"/>
    <n v="0"/>
    <n v="0"/>
    <x v="0"/>
    <n v="0"/>
    <n v="0"/>
    <n v="0"/>
    <n v="0"/>
    <n v="0"/>
    <n v="145"/>
    <n v="0"/>
    <n v="0"/>
    <n v="0"/>
    <n v="0"/>
    <n v="0"/>
    <x v="0"/>
    <n v="55"/>
    <n v="0"/>
  </r>
  <r>
    <x v="44"/>
    <x v="6"/>
    <s v="259-20-066"/>
    <s v="457 N 1st St"/>
    <s v="5+"/>
    <x v="0"/>
    <n v="0"/>
    <n v="0"/>
    <n v="0"/>
    <n v="0"/>
    <n v="0"/>
    <n v="0"/>
    <x v="0"/>
    <n v="0"/>
    <n v="0"/>
    <n v="0"/>
    <n v="0"/>
    <n v="0"/>
    <n v="65"/>
    <n v="0"/>
    <n v="48"/>
    <n v="0"/>
    <n v="0"/>
    <n v="0"/>
    <x v="0"/>
    <n v="55"/>
    <n v="0"/>
  </r>
  <r>
    <x v="186"/>
    <x v="1"/>
    <s v="441-0068-040-04"/>
    <s v="2595 Depot Rd_x000a_Hayward, CA 94545"/>
    <s v="5+"/>
    <x v="0"/>
    <n v="0"/>
    <n v="0"/>
    <n v="0"/>
    <n v="0"/>
    <n v="0"/>
    <n v="0"/>
    <x v="0"/>
    <n v="0"/>
    <n v="0"/>
    <n v="0"/>
    <n v="0"/>
    <n v="0"/>
    <n v="94"/>
    <n v="0"/>
    <n v="30"/>
    <n v="0"/>
    <n v="0"/>
    <n v="0"/>
    <x v="0"/>
    <n v="1000"/>
    <n v="2.29"/>
  </r>
  <r>
    <x v="99"/>
    <x v="6"/>
    <s v="013-171-014"/>
    <s v="2200 North Fremont"/>
    <s v="5+"/>
    <x v="0"/>
    <n v="0"/>
    <n v="0"/>
    <n v="4"/>
    <n v="0"/>
    <n v="4"/>
    <n v="0"/>
    <x v="0"/>
    <n v="0"/>
    <n v="0"/>
    <n v="0"/>
    <n v="0"/>
    <n v="0"/>
    <n v="0"/>
    <n v="0"/>
    <n v="0"/>
    <n v="0"/>
    <n v="0"/>
    <n v="0"/>
    <x v="0"/>
    <m/>
    <s v="0.070000000000000007"/>
  </r>
  <r>
    <x v="94"/>
    <x v="6"/>
    <s v="115-0180-013"/>
    <s v="8484 Elk Grove Florin Road"/>
    <s v="5+"/>
    <x v="0"/>
    <n v="0"/>
    <n v="80"/>
    <n v="0"/>
    <n v="0"/>
    <n v="0"/>
    <n v="0"/>
    <x v="0"/>
    <n v="0"/>
    <n v="0"/>
    <n v="0"/>
    <n v="0"/>
    <n v="0"/>
    <n v="0"/>
    <n v="0"/>
    <n v="0"/>
    <n v="0"/>
    <n v="0"/>
    <n v="0"/>
    <x v="0"/>
    <n v="30"/>
    <s v="0.23999999999999999"/>
  </r>
  <r>
    <x v="283"/>
    <x v="6"/>
    <s v="118-440-023"/>
    <s v="1000-3000 David Street"/>
    <s v="5+"/>
    <x v="0"/>
    <n v="70"/>
    <n v="0"/>
    <n v="90"/>
    <n v="0"/>
    <n v="0"/>
    <n v="0"/>
    <x v="101"/>
    <n v="0"/>
    <n v="90"/>
    <n v="0"/>
    <n v="0"/>
    <n v="0"/>
    <n v="0"/>
    <n v="0"/>
    <n v="0"/>
    <n v="0"/>
    <n v="0"/>
    <n v="0"/>
    <x v="0"/>
    <m/>
    <n v="0.11"/>
  </r>
  <r>
    <x v="74"/>
    <x v="3"/>
    <n v="39032215"/>
    <s v="1800 E. La Veta Ave."/>
    <s v="5+"/>
    <x v="0"/>
    <n v="59"/>
    <n v="0"/>
    <n v="106"/>
    <n v="0"/>
    <n v="1"/>
    <n v="0"/>
    <x v="0"/>
    <n v="0"/>
    <n v="0"/>
    <n v="0"/>
    <n v="0"/>
    <n v="0"/>
    <n v="0"/>
    <n v="0"/>
    <n v="0"/>
    <n v="0"/>
    <n v="0"/>
    <n v="0"/>
    <x v="0"/>
    <n v="55"/>
    <s v="0.80000000000000004"/>
  </r>
  <r>
    <x v="284"/>
    <x v="6"/>
    <n v="7223600470000"/>
    <s v="3390 Zinfandel Drive"/>
    <s v="5+"/>
    <x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109"/>
    <x v="6"/>
    <s v="538-181-035-6"/>
    <s v="100 Macdonald Ave"/>
    <s v="5+"/>
    <x v="0"/>
    <n v="25"/>
    <n v="0"/>
    <n v="6"/>
    <n v="0"/>
    <n v="0"/>
    <n v="0"/>
    <x v="0"/>
    <n v="0"/>
    <n v="0"/>
    <n v="0"/>
    <n v="0"/>
    <n v="0"/>
    <n v="0"/>
    <n v="0"/>
    <n v="0"/>
    <n v="0"/>
    <n v="0"/>
    <n v="0"/>
    <x v="0"/>
    <n v="55"/>
    <n v="0"/>
  </r>
  <r>
    <x v="48"/>
    <x v="6"/>
    <s v="031919119, 031919127, 031919128, 031919129, 031919134"/>
    <s v="34567 Wildwood Canyon Rd"/>
    <s v="5+"/>
    <x v="0"/>
    <n v="0"/>
    <n v="0"/>
    <n v="52"/>
    <n v="0"/>
    <n v="0"/>
    <n v="0"/>
    <x v="0"/>
    <n v="0"/>
    <n v="0"/>
    <n v="0"/>
    <n v="0"/>
    <n v="0"/>
    <n v="0"/>
    <n v="0"/>
    <n v="0"/>
    <n v="0"/>
    <n v="0"/>
    <n v="0"/>
    <x v="0"/>
    <n v="55"/>
    <n v="1"/>
  </r>
  <r>
    <x v="48"/>
    <x v="6"/>
    <s v="031935102"/>
    <s v="12301 3RD ST_x000a_CA"/>
    <s v="5+"/>
    <x v="0"/>
    <n v="0"/>
    <n v="0"/>
    <n v="0"/>
    <n v="0"/>
    <n v="0"/>
    <n v="0"/>
    <x v="0"/>
    <n v="0"/>
    <n v="0"/>
    <n v="0"/>
    <n v="16"/>
    <n v="0"/>
    <n v="0"/>
    <n v="0"/>
    <n v="0"/>
    <n v="0"/>
    <n v="16"/>
    <n v="0"/>
    <x v="0"/>
    <n v="55"/>
    <n v="1"/>
  </r>
  <r>
    <x v="105"/>
    <x v="6"/>
    <s v="020-121-360"/>
    <s v="111 SAN BRUNO AVE"/>
    <s v="5+"/>
    <x v="0"/>
    <n v="2"/>
    <n v="0"/>
    <n v="2"/>
    <n v="0"/>
    <n v="3"/>
    <n v="0"/>
    <x v="0"/>
    <n v="0"/>
    <n v="0"/>
    <n v="0"/>
    <n v="0"/>
    <n v="0"/>
    <n v="0"/>
    <n v="0"/>
    <n v="0"/>
    <n v="0"/>
    <n v="0"/>
    <n v="0"/>
    <x v="0"/>
    <n v="55"/>
    <n v="0.5"/>
  </r>
  <r>
    <x v="233"/>
    <x v="6"/>
    <n v="4343003004"/>
    <s v="250 CRESCENT DR N"/>
    <s v="5+"/>
    <x v="1"/>
    <n v="0"/>
    <n v="0"/>
    <n v="0"/>
    <n v="0"/>
    <n v="0"/>
    <n v="0"/>
    <x v="3"/>
    <n v="0"/>
    <n v="0"/>
    <n v="0"/>
    <n v="0"/>
    <n v="0"/>
    <n v="1"/>
    <n v="0"/>
    <n v="0"/>
    <n v="0"/>
    <n v="0"/>
    <n v="0"/>
    <x v="0"/>
    <m/>
    <s v="0.34999999999999998"/>
  </r>
  <r>
    <x v="109"/>
    <x v="6"/>
    <s v="514-050-010-8"/>
    <s v="NEVIN AVE"/>
    <s v="5+"/>
    <x v="0"/>
    <n v="74"/>
    <n v="0"/>
    <n v="75"/>
    <n v="0"/>
    <n v="0"/>
    <n v="0"/>
    <x v="0"/>
    <n v="0"/>
    <n v="0"/>
    <n v="0"/>
    <n v="0"/>
    <n v="0"/>
    <n v="0"/>
    <n v="0"/>
    <n v="0"/>
    <n v="0"/>
    <n v="0"/>
    <n v="0"/>
    <x v="0"/>
    <n v="55"/>
    <s v="0.20000000000000001"/>
  </r>
  <r>
    <x v="109"/>
    <x v="6"/>
    <n v="561151009"/>
    <s v="1243-1329 FRED JACKSON WAY"/>
    <s v="5+"/>
    <x v="1"/>
    <n v="0"/>
    <n v="0"/>
    <n v="0"/>
    <n v="0"/>
    <n v="0"/>
    <n v="0"/>
    <x v="89"/>
    <n v="0"/>
    <n v="10"/>
    <n v="0"/>
    <n v="18"/>
    <n v="0"/>
    <n v="0"/>
    <n v="0"/>
    <n v="0"/>
    <n v="0"/>
    <n v="0"/>
    <n v="0"/>
    <x v="1"/>
    <m/>
    <n v="0"/>
  </r>
  <r>
    <x v="58"/>
    <x v="0"/>
    <s v="070-222-23"/>
    <s v="3801 Franklin Ave"/>
    <s v="5+"/>
    <x v="0"/>
    <n v="1"/>
    <n v="0"/>
    <n v="0"/>
    <n v="0"/>
    <n v="0"/>
    <n v="0"/>
    <x v="3"/>
    <n v="0"/>
    <n v="0"/>
    <n v="0"/>
    <n v="0"/>
    <n v="0"/>
    <n v="0"/>
    <n v="0"/>
    <n v="0"/>
    <n v="0"/>
    <n v="0"/>
    <n v="0"/>
    <x v="0"/>
    <n v="55"/>
    <s v="0.10000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DEB05A-3D86-9A48-AF4D-018C2F5A79D0}" name="PivotTable4" cacheId="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5:D9" firstHeaderRow="1" firstDataRow="2" firstDataCol="1" rowPageCount="3" colPageCount="1"/>
  <pivotFields count="27">
    <pivotField axis="axisPage" showAll="0">
      <items count="286">
        <item x="282"/>
        <item x="56"/>
        <item x="128"/>
        <item x="176"/>
        <item x="187"/>
        <item x="87"/>
        <item x="107"/>
        <item x="113"/>
        <item x="230"/>
        <item x="208"/>
        <item x="68"/>
        <item x="83"/>
        <item x="220"/>
        <item x="262"/>
        <item x="90"/>
        <item x="193"/>
        <item x="260"/>
        <item x="126"/>
        <item x="215"/>
        <item x="272"/>
        <item x="246"/>
        <item x="131"/>
        <item x="233"/>
        <item x="251"/>
        <item x="206"/>
        <item x="278"/>
        <item x="210"/>
        <item x="167"/>
        <item x="172"/>
        <item x="24"/>
        <item x="33"/>
        <item x="198"/>
        <item x="183"/>
        <item x="161"/>
        <item x="135"/>
        <item x="78"/>
        <item x="34"/>
        <item x="35"/>
        <item x="281"/>
        <item x="267"/>
        <item x="270"/>
        <item x="195"/>
        <item x="21"/>
        <item x="231"/>
        <item x="72"/>
        <item x="93"/>
        <item x="160"/>
        <item x="258"/>
        <item x="156"/>
        <item x="217"/>
        <item x="136"/>
        <item x="118"/>
        <item x="240"/>
        <item x="115"/>
        <item x="153"/>
        <item x="45"/>
        <item x="67"/>
        <item x="259"/>
        <item x="277"/>
        <item x="108"/>
        <item x="283"/>
        <item x="29"/>
        <item x="71"/>
        <item x="123"/>
        <item x="174"/>
        <item x="63"/>
        <item x="155"/>
        <item x="166"/>
        <item x="196"/>
        <item x="178"/>
        <item x="271"/>
        <item x="70"/>
        <item x="81"/>
        <item x="142"/>
        <item x="239"/>
        <item x="194"/>
        <item x="22"/>
        <item x="94"/>
        <item x="119"/>
        <item x="201"/>
        <item x="97"/>
        <item x="173"/>
        <item x="76"/>
        <item x="222"/>
        <item x="138"/>
        <item x="52"/>
        <item x="146"/>
        <item x="181"/>
        <item x="149"/>
        <item x="96"/>
        <item x="58"/>
        <item x="211"/>
        <item x="86"/>
        <item x="104"/>
        <item x="2"/>
        <item x="212"/>
        <item x="188"/>
        <item x="269"/>
        <item x="77"/>
        <item x="122"/>
        <item x="186"/>
        <item x="199"/>
        <item x="268"/>
        <item x="249"/>
        <item x="209"/>
        <item x="163"/>
        <item x="189"/>
        <item x="171"/>
        <item x="66"/>
        <item x="120"/>
        <item x="224"/>
        <item x="13"/>
        <item x="219"/>
        <item x="221"/>
        <item x="18"/>
        <item x="165"/>
        <item x="14"/>
        <item x="200"/>
        <item x="247"/>
        <item x="84"/>
        <item x="65"/>
        <item x="263"/>
        <item x="121"/>
        <item x="229"/>
        <item x="234"/>
        <item x="252"/>
        <item x="40"/>
        <item x="177"/>
        <item x="236"/>
        <item x="254"/>
        <item x="0"/>
        <item x="276"/>
        <item x="46"/>
        <item x="57"/>
        <item x="133"/>
        <item x="114"/>
        <item x="129"/>
        <item x="241"/>
        <item x="55"/>
        <item x="264"/>
        <item x="144"/>
        <item x="54"/>
        <item x="53"/>
        <item x="150"/>
        <item x="28"/>
        <item x="25"/>
        <item x="141"/>
        <item x="19"/>
        <item x="130"/>
        <item x="9"/>
        <item x="99"/>
        <item x="185"/>
        <item x="5"/>
        <item x="95"/>
        <item x="51"/>
        <item x="26"/>
        <item x="250"/>
        <item x="169"/>
        <item x="202"/>
        <item x="245"/>
        <item x="266"/>
        <item x="36"/>
        <item x="157"/>
        <item x="88"/>
        <item x="152"/>
        <item x="15"/>
        <item x="203"/>
        <item x="143"/>
        <item x="74"/>
        <item x="132"/>
        <item x="227"/>
        <item x="127"/>
        <item x="61"/>
        <item x="110"/>
        <item x="43"/>
        <item x="30"/>
        <item x="102"/>
        <item x="159"/>
        <item x="98"/>
        <item x="151"/>
        <item x="80"/>
        <item x="273"/>
        <item x="89"/>
        <item x="27"/>
        <item x="125"/>
        <item x="101"/>
        <item x="20"/>
        <item x="179"/>
        <item x="197"/>
        <item x="284"/>
        <item x="261"/>
        <item x="12"/>
        <item x="238"/>
        <item x="154"/>
        <item x="7"/>
        <item x="255"/>
        <item x="109"/>
        <item x="218"/>
        <item x="111"/>
        <item x="47"/>
        <item x="164"/>
        <item x="265"/>
        <item x="50"/>
        <item x="64"/>
        <item x="92"/>
        <item x="1"/>
        <item x="117"/>
        <item x="41"/>
        <item x="243"/>
        <item x="105"/>
        <item x="180"/>
        <item x="73"/>
        <item x="8"/>
        <item x="235"/>
        <item x="62"/>
        <item x="232"/>
        <item x="44"/>
        <item x="103"/>
        <item x="162"/>
        <item x="4"/>
        <item x="69"/>
        <item x="116"/>
        <item x="79"/>
        <item x="253"/>
        <item x="191"/>
        <item x="60"/>
        <item x="85"/>
        <item x="17"/>
        <item x="124"/>
        <item x="244"/>
        <item x="10"/>
        <item x="280"/>
        <item x="38"/>
        <item x="82"/>
        <item x="148"/>
        <item x="49"/>
        <item x="32"/>
        <item x="158"/>
        <item x="112"/>
        <item x="100"/>
        <item x="182"/>
        <item x="225"/>
        <item x="257"/>
        <item x="170"/>
        <item x="213"/>
        <item x="11"/>
        <item x="190"/>
        <item x="248"/>
        <item x="274"/>
        <item x="42"/>
        <item x="139"/>
        <item x="192"/>
        <item x="145"/>
        <item x="75"/>
        <item x="256"/>
        <item x="31"/>
        <item x="279"/>
        <item x="242"/>
        <item x="205"/>
        <item x="106"/>
        <item x="226"/>
        <item x="23"/>
        <item x="204"/>
        <item x="39"/>
        <item x="16"/>
        <item x="237"/>
        <item x="59"/>
        <item x="275"/>
        <item x="214"/>
        <item x="228"/>
        <item x="6"/>
        <item x="134"/>
        <item x="137"/>
        <item x="91"/>
        <item x="175"/>
        <item x="147"/>
        <item x="3"/>
        <item x="207"/>
        <item x="184"/>
        <item x="223"/>
        <item x="37"/>
        <item x="140"/>
        <item x="216"/>
        <item x="168"/>
        <item x="48"/>
        <item t="default"/>
      </items>
    </pivotField>
    <pivotField axis="axisPage" showAll="0">
      <items count="8">
        <item x="5"/>
        <item x="4"/>
        <item x="2"/>
        <item x="0"/>
        <item x="3"/>
        <item x="1"/>
        <item x="6"/>
        <item t="default"/>
      </items>
    </pivotField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h="1" x="0"/>
        <item x="1"/>
        <item t="default"/>
      </items>
    </pivotField>
    <pivotField showAll="0"/>
    <pivotField showAll="0"/>
  </pivotFields>
  <rowFields count="1">
    <field x="-2"/>
  </rowFields>
  <rowItems count="3">
    <i>
      <x/>
    </i>
    <i i="1">
      <x v="1"/>
    </i>
    <i i="2">
      <x v="2"/>
    </i>
  </rowItems>
  <colFields count="1">
    <field x="5"/>
  </colFields>
  <colItems count="3">
    <i>
      <x/>
    </i>
    <i>
      <x v="1"/>
    </i>
    <i t="grand">
      <x/>
    </i>
  </colItems>
  <pageFields count="3">
    <pageField fld="1" hier="-1"/>
    <pageField fld="0" hier="-1"/>
    <pageField fld="24" hier="-1"/>
  </pageFields>
  <dataFields count="3">
    <dataField name="Sum of VLOW_INCOME_DR" fld="6" baseField="0" baseItem="0"/>
    <dataField name="Sum of LOW_INCOME_DR" fld="8" baseField="0" baseItem="0"/>
    <dataField name="Sum of MOD_INCOME_DR" fld="10" baseField="0" baseItem="0"/>
  </dataFields>
  <chartFormats count="6">
    <chartFormat chart="0" format="2" series="1">
      <pivotArea type="data" outline="0" fieldPosition="0">
        <references count="2">
          <reference field="4294967294" count="1" selected="0">
            <x v="2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2"/>
          </reference>
          <reference field="5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ADF442-4002-C746-928F-F3247A6080C7}" name="PivotTable4" cacheId="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4:D8" firstHeaderRow="1" firstDataRow="2" firstDataCol="1" rowPageCount="2" colPageCount="1"/>
  <pivotFields count="27">
    <pivotField axis="axisPage" showAll="0">
      <items count="286">
        <item x="282"/>
        <item x="56"/>
        <item x="128"/>
        <item x="176"/>
        <item x="187"/>
        <item x="87"/>
        <item x="107"/>
        <item x="113"/>
        <item x="230"/>
        <item x="208"/>
        <item x="68"/>
        <item x="83"/>
        <item x="220"/>
        <item x="262"/>
        <item x="90"/>
        <item x="193"/>
        <item x="260"/>
        <item x="126"/>
        <item x="215"/>
        <item x="272"/>
        <item x="246"/>
        <item x="131"/>
        <item x="233"/>
        <item x="251"/>
        <item x="206"/>
        <item x="278"/>
        <item x="210"/>
        <item x="167"/>
        <item x="172"/>
        <item x="24"/>
        <item x="33"/>
        <item x="198"/>
        <item x="183"/>
        <item x="161"/>
        <item x="135"/>
        <item x="78"/>
        <item x="34"/>
        <item x="35"/>
        <item x="281"/>
        <item x="267"/>
        <item x="270"/>
        <item x="195"/>
        <item x="21"/>
        <item x="231"/>
        <item x="72"/>
        <item x="93"/>
        <item x="160"/>
        <item x="258"/>
        <item x="156"/>
        <item x="217"/>
        <item x="136"/>
        <item x="118"/>
        <item x="240"/>
        <item x="115"/>
        <item x="153"/>
        <item x="45"/>
        <item x="67"/>
        <item x="259"/>
        <item x="277"/>
        <item x="108"/>
        <item x="283"/>
        <item x="29"/>
        <item x="71"/>
        <item x="123"/>
        <item x="174"/>
        <item x="63"/>
        <item x="155"/>
        <item x="166"/>
        <item x="196"/>
        <item x="178"/>
        <item x="271"/>
        <item x="70"/>
        <item x="81"/>
        <item x="142"/>
        <item x="239"/>
        <item x="194"/>
        <item x="22"/>
        <item x="94"/>
        <item x="119"/>
        <item x="201"/>
        <item x="97"/>
        <item x="173"/>
        <item x="76"/>
        <item x="222"/>
        <item x="138"/>
        <item x="52"/>
        <item x="146"/>
        <item x="181"/>
        <item x="149"/>
        <item x="96"/>
        <item x="58"/>
        <item x="211"/>
        <item x="86"/>
        <item x="104"/>
        <item x="2"/>
        <item x="212"/>
        <item x="188"/>
        <item x="269"/>
        <item x="77"/>
        <item x="122"/>
        <item x="186"/>
        <item x="199"/>
        <item x="268"/>
        <item x="249"/>
        <item x="209"/>
        <item x="163"/>
        <item x="189"/>
        <item x="171"/>
        <item x="66"/>
        <item x="120"/>
        <item x="224"/>
        <item x="13"/>
        <item x="219"/>
        <item x="221"/>
        <item x="18"/>
        <item x="165"/>
        <item x="14"/>
        <item x="200"/>
        <item x="247"/>
        <item x="84"/>
        <item x="65"/>
        <item x="263"/>
        <item x="121"/>
        <item x="229"/>
        <item x="234"/>
        <item x="252"/>
        <item x="40"/>
        <item x="177"/>
        <item x="236"/>
        <item x="254"/>
        <item x="0"/>
        <item x="276"/>
        <item x="46"/>
        <item x="57"/>
        <item x="133"/>
        <item x="114"/>
        <item x="129"/>
        <item x="241"/>
        <item x="55"/>
        <item x="264"/>
        <item x="144"/>
        <item x="54"/>
        <item x="53"/>
        <item x="150"/>
        <item x="28"/>
        <item x="25"/>
        <item x="141"/>
        <item x="19"/>
        <item x="130"/>
        <item x="9"/>
        <item x="99"/>
        <item x="185"/>
        <item x="5"/>
        <item x="95"/>
        <item x="51"/>
        <item x="26"/>
        <item x="250"/>
        <item x="169"/>
        <item x="202"/>
        <item x="245"/>
        <item x="266"/>
        <item x="36"/>
        <item x="157"/>
        <item x="88"/>
        <item x="152"/>
        <item x="15"/>
        <item x="203"/>
        <item x="143"/>
        <item x="74"/>
        <item x="132"/>
        <item x="227"/>
        <item x="127"/>
        <item x="61"/>
        <item x="110"/>
        <item x="43"/>
        <item x="30"/>
        <item x="102"/>
        <item x="159"/>
        <item x="98"/>
        <item x="151"/>
        <item x="80"/>
        <item x="273"/>
        <item x="89"/>
        <item x="27"/>
        <item x="125"/>
        <item x="101"/>
        <item x="20"/>
        <item x="179"/>
        <item x="197"/>
        <item x="284"/>
        <item x="261"/>
        <item x="12"/>
        <item x="238"/>
        <item x="154"/>
        <item x="7"/>
        <item x="255"/>
        <item x="109"/>
        <item x="218"/>
        <item x="111"/>
        <item x="47"/>
        <item x="164"/>
        <item x="265"/>
        <item x="50"/>
        <item x="64"/>
        <item x="92"/>
        <item x="1"/>
        <item x="117"/>
        <item x="41"/>
        <item x="243"/>
        <item x="105"/>
        <item x="180"/>
        <item x="73"/>
        <item x="8"/>
        <item x="235"/>
        <item x="62"/>
        <item x="232"/>
        <item x="44"/>
        <item x="103"/>
        <item x="162"/>
        <item x="4"/>
        <item x="69"/>
        <item x="116"/>
        <item x="79"/>
        <item x="253"/>
        <item x="191"/>
        <item x="60"/>
        <item x="85"/>
        <item x="17"/>
        <item x="124"/>
        <item x="244"/>
        <item x="10"/>
        <item x="280"/>
        <item x="38"/>
        <item x="82"/>
        <item x="148"/>
        <item x="49"/>
        <item x="32"/>
        <item x="158"/>
        <item x="112"/>
        <item x="100"/>
        <item x="182"/>
        <item x="225"/>
        <item x="257"/>
        <item x="170"/>
        <item x="213"/>
        <item x="11"/>
        <item x="190"/>
        <item x="248"/>
        <item x="274"/>
        <item x="42"/>
        <item x="139"/>
        <item x="192"/>
        <item x="145"/>
        <item x="75"/>
        <item x="256"/>
        <item x="31"/>
        <item x="279"/>
        <item x="242"/>
        <item x="205"/>
        <item x="106"/>
        <item x="226"/>
        <item x="23"/>
        <item x="204"/>
        <item x="39"/>
        <item x="16"/>
        <item x="237"/>
        <item x="59"/>
        <item x="275"/>
        <item x="214"/>
        <item x="228"/>
        <item x="6"/>
        <item x="134"/>
        <item x="137"/>
        <item x="91"/>
        <item x="175"/>
        <item x="147"/>
        <item x="3"/>
        <item x="207"/>
        <item x="184"/>
        <item x="223"/>
        <item x="37"/>
        <item x="140"/>
        <item x="216"/>
        <item x="168"/>
        <item x="48"/>
        <item t="default"/>
      </items>
    </pivotField>
    <pivotField axis="axisPage" showAll="0">
      <items count="8">
        <item x="5"/>
        <item x="4"/>
        <item x="2"/>
        <item x="0"/>
        <item x="3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</pivotFields>
  <rowFields count="1">
    <field x="-2"/>
  </rowFields>
  <rowItems count="3">
    <i>
      <x/>
    </i>
    <i i="1">
      <x v="1"/>
    </i>
    <i i="2">
      <x v="2"/>
    </i>
  </rowItems>
  <colFields count="1">
    <field x="24"/>
  </colFields>
  <colItems count="3">
    <i>
      <x/>
    </i>
    <i>
      <x v="1"/>
    </i>
    <i t="grand">
      <x/>
    </i>
  </colItems>
  <pageFields count="2">
    <pageField fld="0" hier="-1"/>
    <pageField fld="1" hier="-1"/>
  </pageFields>
  <dataFields count="3">
    <dataField name="Sum of CO_VLOW_INCOME_DR" fld="18" baseField="0" baseItem="0"/>
    <dataField name="Sum of CO_LOW_INCOME_DR" fld="20" baseField="0" baseItem="0"/>
    <dataField name="Sum of CO_MOD_INCOME_DR" fld="22" baseField="0" baseItem="0"/>
  </dataFields>
  <chartFormats count="6"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5" format="10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5" format="11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6" format="12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5AF3C-2382-024A-AF0D-8D3D50E3DC76}" name="PivotTable1" cacheId="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5:D9" firstHeaderRow="1" firstDataRow="2" firstDataCol="1" rowPageCount="3" colPageCount="1"/>
  <pivotFields count="27">
    <pivotField axis="axisPage" showAll="0">
      <items count="286">
        <item x="282"/>
        <item x="56"/>
        <item x="128"/>
        <item x="176"/>
        <item x="187"/>
        <item x="87"/>
        <item x="107"/>
        <item x="113"/>
        <item x="230"/>
        <item x="208"/>
        <item x="68"/>
        <item x="83"/>
        <item x="220"/>
        <item x="262"/>
        <item x="90"/>
        <item x="193"/>
        <item x="260"/>
        <item x="126"/>
        <item x="215"/>
        <item x="272"/>
        <item x="246"/>
        <item x="131"/>
        <item x="233"/>
        <item x="251"/>
        <item x="206"/>
        <item x="278"/>
        <item x="210"/>
        <item x="167"/>
        <item x="172"/>
        <item x="24"/>
        <item x="33"/>
        <item x="198"/>
        <item x="183"/>
        <item x="161"/>
        <item x="135"/>
        <item x="78"/>
        <item x="34"/>
        <item x="35"/>
        <item x="281"/>
        <item x="267"/>
        <item x="270"/>
        <item x="195"/>
        <item x="21"/>
        <item x="231"/>
        <item x="72"/>
        <item x="93"/>
        <item x="160"/>
        <item x="258"/>
        <item x="156"/>
        <item x="217"/>
        <item x="136"/>
        <item x="118"/>
        <item x="240"/>
        <item x="115"/>
        <item x="153"/>
        <item x="45"/>
        <item x="67"/>
        <item x="259"/>
        <item x="277"/>
        <item x="108"/>
        <item x="283"/>
        <item x="29"/>
        <item x="71"/>
        <item x="123"/>
        <item x="174"/>
        <item x="63"/>
        <item x="155"/>
        <item x="166"/>
        <item x="196"/>
        <item x="178"/>
        <item x="271"/>
        <item x="70"/>
        <item x="81"/>
        <item x="142"/>
        <item x="239"/>
        <item x="194"/>
        <item x="22"/>
        <item x="94"/>
        <item x="119"/>
        <item x="201"/>
        <item x="97"/>
        <item x="173"/>
        <item x="76"/>
        <item x="222"/>
        <item x="138"/>
        <item x="52"/>
        <item x="146"/>
        <item x="181"/>
        <item x="149"/>
        <item x="96"/>
        <item x="58"/>
        <item x="211"/>
        <item x="86"/>
        <item x="104"/>
        <item x="2"/>
        <item x="212"/>
        <item x="188"/>
        <item x="269"/>
        <item x="77"/>
        <item x="122"/>
        <item x="186"/>
        <item x="199"/>
        <item x="268"/>
        <item x="249"/>
        <item x="209"/>
        <item x="163"/>
        <item x="189"/>
        <item x="171"/>
        <item x="66"/>
        <item x="120"/>
        <item x="224"/>
        <item x="13"/>
        <item x="219"/>
        <item x="221"/>
        <item x="18"/>
        <item x="165"/>
        <item x="14"/>
        <item x="200"/>
        <item x="247"/>
        <item x="84"/>
        <item x="65"/>
        <item x="263"/>
        <item x="121"/>
        <item x="229"/>
        <item x="234"/>
        <item x="252"/>
        <item x="40"/>
        <item x="177"/>
        <item x="236"/>
        <item x="254"/>
        <item x="0"/>
        <item x="276"/>
        <item x="46"/>
        <item x="57"/>
        <item x="133"/>
        <item x="114"/>
        <item x="129"/>
        <item x="241"/>
        <item x="55"/>
        <item x="264"/>
        <item x="144"/>
        <item x="54"/>
        <item x="53"/>
        <item x="150"/>
        <item x="28"/>
        <item x="25"/>
        <item x="141"/>
        <item x="19"/>
        <item x="130"/>
        <item x="9"/>
        <item x="99"/>
        <item x="185"/>
        <item x="5"/>
        <item x="95"/>
        <item x="51"/>
        <item x="26"/>
        <item x="250"/>
        <item x="169"/>
        <item x="202"/>
        <item x="245"/>
        <item x="266"/>
        <item x="36"/>
        <item x="157"/>
        <item x="88"/>
        <item x="152"/>
        <item x="15"/>
        <item x="203"/>
        <item x="143"/>
        <item x="74"/>
        <item x="132"/>
        <item x="227"/>
        <item x="127"/>
        <item x="61"/>
        <item x="110"/>
        <item x="43"/>
        <item x="30"/>
        <item x="102"/>
        <item x="159"/>
        <item x="98"/>
        <item x="151"/>
        <item x="80"/>
        <item x="273"/>
        <item x="89"/>
        <item x="27"/>
        <item x="125"/>
        <item x="101"/>
        <item x="20"/>
        <item x="179"/>
        <item x="197"/>
        <item x="284"/>
        <item x="261"/>
        <item x="12"/>
        <item x="238"/>
        <item x="154"/>
        <item x="7"/>
        <item x="255"/>
        <item x="109"/>
        <item x="218"/>
        <item x="111"/>
        <item x="47"/>
        <item x="164"/>
        <item x="265"/>
        <item x="50"/>
        <item x="64"/>
        <item x="92"/>
        <item x="1"/>
        <item x="117"/>
        <item x="41"/>
        <item x="243"/>
        <item x="105"/>
        <item x="180"/>
        <item x="73"/>
        <item x="8"/>
        <item x="235"/>
        <item x="62"/>
        <item x="232"/>
        <item x="44"/>
        <item x="103"/>
        <item x="162"/>
        <item x="4"/>
        <item x="69"/>
        <item x="116"/>
        <item x="79"/>
        <item x="253"/>
        <item x="191"/>
        <item x="60"/>
        <item x="85"/>
        <item x="17"/>
        <item x="124"/>
        <item x="244"/>
        <item x="10"/>
        <item x="280"/>
        <item x="38"/>
        <item x="82"/>
        <item x="148"/>
        <item x="49"/>
        <item x="32"/>
        <item x="158"/>
        <item x="112"/>
        <item x="100"/>
        <item x="182"/>
        <item x="225"/>
        <item x="257"/>
        <item x="170"/>
        <item x="213"/>
        <item x="11"/>
        <item x="190"/>
        <item x="248"/>
        <item x="274"/>
        <item x="42"/>
        <item x="139"/>
        <item x="192"/>
        <item x="145"/>
        <item x="75"/>
        <item x="256"/>
        <item x="31"/>
        <item x="279"/>
        <item x="242"/>
        <item x="205"/>
        <item x="106"/>
        <item x="226"/>
        <item x="23"/>
        <item x="204"/>
        <item x="39"/>
        <item x="16"/>
        <item x="237"/>
        <item x="59"/>
        <item x="275"/>
        <item x="214"/>
        <item x="228"/>
        <item x="6"/>
        <item x="134"/>
        <item x="137"/>
        <item x="91"/>
        <item x="175"/>
        <item x="147"/>
        <item x="3"/>
        <item x="207"/>
        <item x="184"/>
        <item x="223"/>
        <item x="37"/>
        <item x="140"/>
        <item x="216"/>
        <item x="168"/>
        <item x="48"/>
        <item t="default"/>
      </items>
    </pivotField>
    <pivotField axis="axisPage" showAll="0">
      <items count="8">
        <item x="5"/>
        <item x="4"/>
        <item x="2"/>
        <item x="0"/>
        <item x="3"/>
        <item x="1"/>
        <item x="6"/>
        <item t="default"/>
      </items>
    </pivotField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showAll="0"/>
  </pivotFields>
  <rowFields count="1">
    <field x="-2"/>
  </rowFields>
  <rowItems count="3">
    <i>
      <x/>
    </i>
    <i i="1">
      <x v="1"/>
    </i>
    <i i="2">
      <x v="2"/>
    </i>
  </rowItems>
  <colFields count="1">
    <field x="5"/>
  </colFields>
  <colItems count="3">
    <i>
      <x/>
    </i>
    <i>
      <x v="1"/>
    </i>
    <i t="grand">
      <x/>
    </i>
  </colItems>
  <pageFields count="3">
    <pageField fld="1" hier="-1"/>
    <pageField fld="24" hier="-1"/>
    <pageField fld="0" hier="-1"/>
  </pageFields>
  <dataFields count="3">
    <dataField name="Sum of VLOW_INCOME_NDR" fld="7" baseField="0" baseItem="0"/>
    <dataField name="Sum of LOW_INCOME_NDR" fld="9" baseField="0" baseItem="0"/>
    <dataField name="Sum of MOD_INCOME_NDR" fld="11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865B40-79EE-334C-A3F1-63FEB282BDF9}" name="PivotTable2" cacheId="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5:D9" firstHeaderRow="1" firstDataRow="2" firstDataCol="1" rowPageCount="3" colPageCount="1"/>
  <pivotFields count="27">
    <pivotField axis="axisPage" showAll="0">
      <items count="286">
        <item x="282"/>
        <item x="56"/>
        <item x="128"/>
        <item x="176"/>
        <item x="187"/>
        <item x="87"/>
        <item x="107"/>
        <item x="113"/>
        <item x="230"/>
        <item x="208"/>
        <item x="68"/>
        <item x="83"/>
        <item x="220"/>
        <item x="262"/>
        <item x="90"/>
        <item x="193"/>
        <item x="260"/>
        <item x="126"/>
        <item x="215"/>
        <item x="272"/>
        <item x="246"/>
        <item x="131"/>
        <item x="233"/>
        <item x="251"/>
        <item x="206"/>
        <item x="278"/>
        <item x="210"/>
        <item x="167"/>
        <item x="172"/>
        <item x="24"/>
        <item x="33"/>
        <item x="198"/>
        <item x="183"/>
        <item x="161"/>
        <item x="135"/>
        <item x="78"/>
        <item x="34"/>
        <item x="35"/>
        <item x="281"/>
        <item x="267"/>
        <item x="270"/>
        <item x="195"/>
        <item x="21"/>
        <item x="231"/>
        <item x="72"/>
        <item x="93"/>
        <item x="160"/>
        <item x="258"/>
        <item x="156"/>
        <item x="217"/>
        <item x="136"/>
        <item x="118"/>
        <item x="240"/>
        <item x="115"/>
        <item x="153"/>
        <item x="45"/>
        <item x="67"/>
        <item x="259"/>
        <item x="277"/>
        <item x="108"/>
        <item x="283"/>
        <item x="29"/>
        <item x="71"/>
        <item x="123"/>
        <item x="174"/>
        <item x="63"/>
        <item x="155"/>
        <item x="166"/>
        <item x="196"/>
        <item x="178"/>
        <item x="271"/>
        <item x="70"/>
        <item x="81"/>
        <item x="142"/>
        <item x="239"/>
        <item x="194"/>
        <item x="22"/>
        <item x="94"/>
        <item x="119"/>
        <item x="201"/>
        <item x="97"/>
        <item x="173"/>
        <item x="76"/>
        <item x="222"/>
        <item x="138"/>
        <item x="52"/>
        <item x="146"/>
        <item x="181"/>
        <item x="149"/>
        <item x="96"/>
        <item x="58"/>
        <item x="211"/>
        <item x="86"/>
        <item x="104"/>
        <item x="2"/>
        <item x="212"/>
        <item x="188"/>
        <item x="269"/>
        <item x="77"/>
        <item x="122"/>
        <item x="186"/>
        <item x="199"/>
        <item x="268"/>
        <item x="249"/>
        <item x="209"/>
        <item x="163"/>
        <item x="189"/>
        <item x="171"/>
        <item x="66"/>
        <item x="120"/>
        <item x="224"/>
        <item x="13"/>
        <item x="219"/>
        <item x="221"/>
        <item x="18"/>
        <item x="165"/>
        <item x="14"/>
        <item x="200"/>
        <item x="247"/>
        <item x="84"/>
        <item x="65"/>
        <item x="263"/>
        <item x="121"/>
        <item x="229"/>
        <item x="234"/>
        <item x="252"/>
        <item x="40"/>
        <item x="177"/>
        <item x="236"/>
        <item x="254"/>
        <item x="0"/>
        <item x="276"/>
        <item x="46"/>
        <item x="57"/>
        <item x="133"/>
        <item x="114"/>
        <item x="129"/>
        <item x="241"/>
        <item x="55"/>
        <item x="264"/>
        <item x="144"/>
        <item x="54"/>
        <item x="53"/>
        <item x="150"/>
        <item x="28"/>
        <item x="25"/>
        <item x="141"/>
        <item x="19"/>
        <item x="130"/>
        <item x="9"/>
        <item x="99"/>
        <item x="185"/>
        <item x="5"/>
        <item x="95"/>
        <item x="51"/>
        <item x="26"/>
        <item x="250"/>
        <item x="169"/>
        <item x="202"/>
        <item x="245"/>
        <item x="266"/>
        <item x="36"/>
        <item x="157"/>
        <item x="88"/>
        <item x="152"/>
        <item x="15"/>
        <item x="203"/>
        <item x="143"/>
        <item x="74"/>
        <item x="132"/>
        <item x="227"/>
        <item x="127"/>
        <item x="61"/>
        <item x="110"/>
        <item x="43"/>
        <item x="30"/>
        <item x="102"/>
        <item x="159"/>
        <item x="98"/>
        <item x="151"/>
        <item x="80"/>
        <item x="273"/>
        <item x="89"/>
        <item x="27"/>
        <item x="125"/>
        <item x="101"/>
        <item x="20"/>
        <item x="179"/>
        <item x="197"/>
        <item x="284"/>
        <item x="261"/>
        <item x="12"/>
        <item x="238"/>
        <item x="154"/>
        <item x="7"/>
        <item x="255"/>
        <item x="109"/>
        <item x="218"/>
        <item x="111"/>
        <item x="47"/>
        <item x="164"/>
        <item x="265"/>
        <item x="50"/>
        <item x="64"/>
        <item x="92"/>
        <item x="1"/>
        <item x="117"/>
        <item x="41"/>
        <item x="243"/>
        <item x="105"/>
        <item x="180"/>
        <item x="73"/>
        <item x="8"/>
        <item x="235"/>
        <item x="62"/>
        <item x="232"/>
        <item x="44"/>
        <item x="103"/>
        <item x="162"/>
        <item x="4"/>
        <item x="69"/>
        <item x="116"/>
        <item x="79"/>
        <item x="253"/>
        <item x="191"/>
        <item x="60"/>
        <item x="85"/>
        <item x="17"/>
        <item x="124"/>
        <item x="244"/>
        <item x="10"/>
        <item x="280"/>
        <item x="38"/>
        <item x="82"/>
        <item x="148"/>
        <item x="49"/>
        <item x="32"/>
        <item x="158"/>
        <item x="112"/>
        <item x="100"/>
        <item x="182"/>
        <item x="225"/>
        <item x="257"/>
        <item x="170"/>
        <item x="213"/>
        <item x="11"/>
        <item x="190"/>
        <item x="248"/>
        <item x="274"/>
        <item x="42"/>
        <item x="139"/>
        <item x="192"/>
        <item x="145"/>
        <item x="75"/>
        <item x="256"/>
        <item x="31"/>
        <item x="279"/>
        <item x="242"/>
        <item x="205"/>
        <item x="106"/>
        <item x="226"/>
        <item x="23"/>
        <item x="204"/>
        <item x="39"/>
        <item x="16"/>
        <item x="237"/>
        <item x="59"/>
        <item x="275"/>
        <item x="214"/>
        <item x="228"/>
        <item x="6"/>
        <item x="134"/>
        <item x="137"/>
        <item x="91"/>
        <item x="175"/>
        <item x="147"/>
        <item x="3"/>
        <item x="207"/>
        <item x="184"/>
        <item x="223"/>
        <item x="37"/>
        <item x="140"/>
        <item x="216"/>
        <item x="168"/>
        <item x="48"/>
        <item t="default"/>
      </items>
    </pivotField>
    <pivotField axis="axisPage" showAll="0">
      <items count="8">
        <item x="5"/>
        <item x="4"/>
        <item x="2"/>
        <item x="0"/>
        <item x="3"/>
        <item x="1"/>
        <item x="6"/>
        <item t="default"/>
      </items>
    </pivotField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>
      <items count="114">
        <item x="0"/>
        <item x="3"/>
        <item x="17"/>
        <item x="2"/>
        <item x="5"/>
        <item x="12"/>
        <item x="6"/>
        <item x="14"/>
        <item x="42"/>
        <item x="25"/>
        <item x="7"/>
        <item x="58"/>
        <item x="28"/>
        <item x="21"/>
        <item x="89"/>
        <item x="11"/>
        <item x="45"/>
        <item x="84"/>
        <item x="29"/>
        <item x="13"/>
        <item x="15"/>
        <item x="50"/>
        <item x="10"/>
        <item x="43"/>
        <item x="35"/>
        <item x="36"/>
        <item x="4"/>
        <item x="8"/>
        <item x="26"/>
        <item x="70"/>
        <item x="46"/>
        <item x="30"/>
        <item x="31"/>
        <item x="86"/>
        <item x="59"/>
        <item x="66"/>
        <item x="69"/>
        <item x="37"/>
        <item x="33"/>
        <item x="52"/>
        <item x="98"/>
        <item x="49"/>
        <item x="67"/>
        <item x="24"/>
        <item x="76"/>
        <item x="91"/>
        <item x="48"/>
        <item x="20"/>
        <item x="57"/>
        <item x="22"/>
        <item x="53"/>
        <item x="80"/>
        <item x="51"/>
        <item x="34"/>
        <item x="44"/>
        <item x="75"/>
        <item x="65"/>
        <item x="90"/>
        <item x="18"/>
        <item x="61"/>
        <item x="81"/>
        <item x="110"/>
        <item x="32"/>
        <item x="74"/>
        <item x="106"/>
        <item x="87"/>
        <item x="64"/>
        <item x="63"/>
        <item x="60"/>
        <item x="101"/>
        <item x="55"/>
        <item x="83"/>
        <item x="73"/>
        <item x="85"/>
        <item x="1"/>
        <item x="94"/>
        <item x="40"/>
        <item x="109"/>
        <item x="72"/>
        <item x="39"/>
        <item x="71"/>
        <item x="68"/>
        <item x="104"/>
        <item x="96"/>
        <item x="16"/>
        <item x="82"/>
        <item x="112"/>
        <item x="38"/>
        <item x="107"/>
        <item x="54"/>
        <item x="93"/>
        <item x="100"/>
        <item x="27"/>
        <item x="23"/>
        <item x="111"/>
        <item x="99"/>
        <item x="41"/>
        <item x="56"/>
        <item x="97"/>
        <item x="108"/>
        <item x="88"/>
        <item x="92"/>
        <item x="62"/>
        <item x="105"/>
        <item x="47"/>
        <item x="79"/>
        <item x="19"/>
        <item x="77"/>
        <item x="103"/>
        <item x="95"/>
        <item x="102"/>
        <item x="9"/>
        <item x="78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showAll="0"/>
  </pivotFields>
  <rowFields count="1">
    <field x="-2"/>
  </rowFields>
  <rowItems count="3">
    <i>
      <x/>
    </i>
    <i i="1">
      <x v="1"/>
    </i>
    <i i="2">
      <x v="2"/>
    </i>
  </rowItems>
  <colFields count="1">
    <field x="5"/>
  </colFields>
  <colItems count="3">
    <i>
      <x/>
    </i>
    <i>
      <x v="1"/>
    </i>
    <i t="grand">
      <x/>
    </i>
  </colItems>
  <pageFields count="3">
    <pageField fld="1" hier="-1"/>
    <pageField fld="0" hier="-1"/>
    <pageField fld="24" hier="-1"/>
  </pageFields>
  <dataFields count="3">
    <dataField name="Sum of BP_VLOW_INCOME_DR" fld="12" baseField="0" baseItem="0"/>
    <dataField name="Sum of BP_LOW_INCOME_DR" fld="14" baseField="0" baseItem="0"/>
    <dataField name="Sum of BP_MOD_INCOME_DR" fld="16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E5933A-D266-144E-8230-9FA917F85C7D}" name="PivotTable3" cacheId="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5:D9" firstHeaderRow="1" firstDataRow="2" firstDataCol="1" rowPageCount="3" colPageCount="1"/>
  <pivotFields count="27">
    <pivotField axis="axisPage" showAll="0">
      <items count="286">
        <item x="282"/>
        <item x="56"/>
        <item x="128"/>
        <item x="176"/>
        <item x="187"/>
        <item x="87"/>
        <item x="107"/>
        <item x="113"/>
        <item x="230"/>
        <item x="208"/>
        <item x="68"/>
        <item x="83"/>
        <item x="220"/>
        <item x="262"/>
        <item x="90"/>
        <item x="193"/>
        <item x="260"/>
        <item x="126"/>
        <item x="215"/>
        <item x="272"/>
        <item x="246"/>
        <item x="131"/>
        <item x="233"/>
        <item x="251"/>
        <item x="206"/>
        <item x="278"/>
        <item x="210"/>
        <item x="167"/>
        <item x="172"/>
        <item x="24"/>
        <item x="33"/>
        <item x="198"/>
        <item x="183"/>
        <item x="161"/>
        <item x="135"/>
        <item x="78"/>
        <item x="34"/>
        <item x="35"/>
        <item x="281"/>
        <item x="267"/>
        <item x="270"/>
        <item x="195"/>
        <item x="21"/>
        <item x="231"/>
        <item x="72"/>
        <item x="93"/>
        <item x="160"/>
        <item x="258"/>
        <item x="156"/>
        <item x="217"/>
        <item x="136"/>
        <item x="118"/>
        <item x="240"/>
        <item x="115"/>
        <item x="153"/>
        <item x="45"/>
        <item x="67"/>
        <item x="259"/>
        <item x="277"/>
        <item x="108"/>
        <item x="283"/>
        <item x="29"/>
        <item x="71"/>
        <item x="123"/>
        <item x="174"/>
        <item x="63"/>
        <item x="155"/>
        <item x="166"/>
        <item x="196"/>
        <item x="178"/>
        <item x="271"/>
        <item x="70"/>
        <item x="81"/>
        <item x="142"/>
        <item x="239"/>
        <item x="194"/>
        <item x="22"/>
        <item x="94"/>
        <item x="119"/>
        <item x="201"/>
        <item x="97"/>
        <item x="173"/>
        <item x="76"/>
        <item x="222"/>
        <item x="138"/>
        <item x="52"/>
        <item x="146"/>
        <item x="181"/>
        <item x="149"/>
        <item x="96"/>
        <item x="58"/>
        <item x="211"/>
        <item x="86"/>
        <item x="104"/>
        <item x="2"/>
        <item x="212"/>
        <item x="188"/>
        <item x="269"/>
        <item x="77"/>
        <item x="122"/>
        <item x="186"/>
        <item x="199"/>
        <item x="268"/>
        <item x="249"/>
        <item x="209"/>
        <item x="163"/>
        <item x="189"/>
        <item x="171"/>
        <item x="66"/>
        <item x="120"/>
        <item x="224"/>
        <item x="13"/>
        <item x="219"/>
        <item x="221"/>
        <item x="18"/>
        <item x="165"/>
        <item x="14"/>
        <item x="200"/>
        <item x="247"/>
        <item x="84"/>
        <item x="65"/>
        <item x="263"/>
        <item x="121"/>
        <item x="229"/>
        <item x="234"/>
        <item x="252"/>
        <item x="40"/>
        <item x="177"/>
        <item x="236"/>
        <item x="254"/>
        <item x="0"/>
        <item x="276"/>
        <item x="46"/>
        <item x="57"/>
        <item x="133"/>
        <item x="114"/>
        <item x="129"/>
        <item x="241"/>
        <item x="55"/>
        <item x="264"/>
        <item x="144"/>
        <item x="54"/>
        <item x="53"/>
        <item x="150"/>
        <item x="28"/>
        <item x="25"/>
        <item x="141"/>
        <item x="19"/>
        <item x="130"/>
        <item x="9"/>
        <item x="99"/>
        <item x="185"/>
        <item x="5"/>
        <item x="95"/>
        <item x="51"/>
        <item x="26"/>
        <item x="250"/>
        <item x="169"/>
        <item x="202"/>
        <item x="245"/>
        <item x="266"/>
        <item x="36"/>
        <item x="157"/>
        <item x="88"/>
        <item x="152"/>
        <item x="15"/>
        <item x="203"/>
        <item x="143"/>
        <item x="74"/>
        <item x="132"/>
        <item x="227"/>
        <item x="127"/>
        <item x="61"/>
        <item x="110"/>
        <item x="43"/>
        <item x="30"/>
        <item x="102"/>
        <item x="159"/>
        <item x="98"/>
        <item x="151"/>
        <item x="80"/>
        <item x="273"/>
        <item x="89"/>
        <item x="27"/>
        <item x="125"/>
        <item x="101"/>
        <item x="20"/>
        <item x="179"/>
        <item x="197"/>
        <item x="284"/>
        <item x="261"/>
        <item x="12"/>
        <item x="238"/>
        <item x="154"/>
        <item x="7"/>
        <item x="255"/>
        <item x="109"/>
        <item x="218"/>
        <item x="111"/>
        <item x="47"/>
        <item x="164"/>
        <item x="265"/>
        <item x="50"/>
        <item x="64"/>
        <item x="92"/>
        <item x="1"/>
        <item x="117"/>
        <item x="41"/>
        <item x="243"/>
        <item x="105"/>
        <item x="180"/>
        <item x="73"/>
        <item x="8"/>
        <item x="235"/>
        <item x="62"/>
        <item x="232"/>
        <item x="44"/>
        <item x="103"/>
        <item x="162"/>
        <item x="4"/>
        <item x="69"/>
        <item x="116"/>
        <item x="79"/>
        <item x="253"/>
        <item x="191"/>
        <item x="60"/>
        <item x="85"/>
        <item x="17"/>
        <item x="124"/>
        <item x="244"/>
        <item x="10"/>
        <item x="280"/>
        <item x="38"/>
        <item x="82"/>
        <item x="148"/>
        <item x="49"/>
        <item x="32"/>
        <item x="158"/>
        <item x="112"/>
        <item x="100"/>
        <item x="182"/>
        <item x="225"/>
        <item x="257"/>
        <item x="170"/>
        <item x="213"/>
        <item x="11"/>
        <item x="190"/>
        <item x="248"/>
        <item x="274"/>
        <item x="42"/>
        <item x="139"/>
        <item x="192"/>
        <item x="145"/>
        <item x="75"/>
        <item x="256"/>
        <item x="31"/>
        <item x="279"/>
        <item x="242"/>
        <item x="205"/>
        <item x="106"/>
        <item x="226"/>
        <item x="23"/>
        <item x="204"/>
        <item x="39"/>
        <item x="16"/>
        <item x="237"/>
        <item x="59"/>
        <item x="275"/>
        <item x="214"/>
        <item x="228"/>
        <item x="6"/>
        <item x="134"/>
        <item x="137"/>
        <item x="91"/>
        <item x="175"/>
        <item x="147"/>
        <item x="3"/>
        <item x="207"/>
        <item x="184"/>
        <item x="223"/>
        <item x="37"/>
        <item x="140"/>
        <item x="216"/>
        <item x="168"/>
        <item x="48"/>
        <item t="default"/>
      </items>
    </pivotField>
    <pivotField axis="axisPage" showAll="0">
      <items count="8">
        <item x="5"/>
        <item x="4"/>
        <item x="2"/>
        <item x="0"/>
        <item x="3"/>
        <item x="1"/>
        <item x="6"/>
        <item t="default"/>
      </items>
    </pivotField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-2"/>
  </rowFields>
  <rowItems count="3">
    <i>
      <x/>
    </i>
    <i i="1">
      <x v="1"/>
    </i>
    <i i="2">
      <x v="2"/>
    </i>
  </rowItems>
  <colFields count="1">
    <field x="5"/>
  </colFields>
  <colItems count="3">
    <i>
      <x/>
    </i>
    <i>
      <x v="1"/>
    </i>
    <i t="grand">
      <x/>
    </i>
  </colItems>
  <pageFields count="3">
    <pageField fld="1" hier="-1"/>
    <pageField fld="0" hier="-1"/>
    <pageField fld="24" hier="-1"/>
  </pageFields>
  <dataFields count="3">
    <dataField name="Sum of BP_VLOW_INCOME_NDR" fld="13" baseField="0" baseItem="0"/>
    <dataField name="Sum of BP_LOW_INCOME_NDR" fld="15" baseField="0" baseItem="0"/>
    <dataField name="Sum of BP_MOD_INCOME_NDR" fld="17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01006-0257-D549-A008-DF296475EB28}">
  <dimension ref="A1:AA5415"/>
  <sheetViews>
    <sheetView tabSelected="1" topLeftCell="V1" workbookViewId="0"/>
  </sheetViews>
  <sheetFormatPr baseColWidth="10" defaultRowHeight="16" x14ac:dyDescent="0.2"/>
  <sheetData>
    <row r="1" spans="1:2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</row>
    <row r="2" spans="1:27" x14ac:dyDescent="0.2">
      <c r="A2" t="s">
        <v>27</v>
      </c>
      <c r="B2">
        <v>2021</v>
      </c>
      <c r="C2">
        <v>7274019900</v>
      </c>
      <c r="D2" t="s">
        <v>28</v>
      </c>
      <c r="E2" t="s">
        <v>29</v>
      </c>
      <c r="F2" t="s">
        <v>30</v>
      </c>
      <c r="G2">
        <v>14</v>
      </c>
      <c r="H2">
        <v>0</v>
      </c>
      <c r="I2">
        <v>49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 t="s">
        <v>31</v>
      </c>
      <c r="Z2">
        <v>55</v>
      </c>
      <c r="AA2">
        <v>0</v>
      </c>
    </row>
    <row r="3" spans="1:27" x14ac:dyDescent="0.2">
      <c r="A3" t="s">
        <v>32</v>
      </c>
      <c r="B3">
        <v>2021</v>
      </c>
      <c r="C3" t="s">
        <v>33</v>
      </c>
      <c r="D3" s="1" t="s">
        <v>34</v>
      </c>
      <c r="E3" t="s">
        <v>29</v>
      </c>
      <c r="F3" t="s">
        <v>30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75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t="s">
        <v>31</v>
      </c>
      <c r="AA3">
        <v>0</v>
      </c>
    </row>
    <row r="4" spans="1:27" x14ac:dyDescent="0.2">
      <c r="A4" t="s">
        <v>32</v>
      </c>
      <c r="B4">
        <v>2021</v>
      </c>
      <c r="C4" t="s">
        <v>35</v>
      </c>
      <c r="D4" t="s">
        <v>36</v>
      </c>
      <c r="E4" t="s">
        <v>29</v>
      </c>
      <c r="F4" t="s">
        <v>30</v>
      </c>
      <c r="G4">
        <v>0</v>
      </c>
      <c r="H4">
        <v>0</v>
      </c>
      <c r="I4">
        <v>194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t="s">
        <v>31</v>
      </c>
      <c r="Z4">
        <v>1000</v>
      </c>
      <c r="AA4">
        <v>0</v>
      </c>
    </row>
    <row r="5" spans="1:27" x14ac:dyDescent="0.2">
      <c r="A5" t="s">
        <v>32</v>
      </c>
      <c r="B5">
        <v>2021</v>
      </c>
      <c r="C5" t="s">
        <v>33</v>
      </c>
      <c r="D5" s="1" t="s">
        <v>34</v>
      </c>
      <c r="E5" t="s">
        <v>29</v>
      </c>
      <c r="F5" t="s">
        <v>30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50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t="s">
        <v>31</v>
      </c>
      <c r="AA5">
        <v>0</v>
      </c>
    </row>
    <row r="6" spans="1:27" x14ac:dyDescent="0.2">
      <c r="A6" t="s">
        <v>27</v>
      </c>
      <c r="B6">
        <v>2021</v>
      </c>
      <c r="C6">
        <v>7115007037</v>
      </c>
      <c r="D6" t="s">
        <v>37</v>
      </c>
      <c r="E6" t="s">
        <v>29</v>
      </c>
      <c r="F6" t="s">
        <v>30</v>
      </c>
      <c r="G6">
        <v>0</v>
      </c>
      <c r="H6">
        <v>0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 t="s">
        <v>31</v>
      </c>
      <c r="Z6">
        <v>55</v>
      </c>
      <c r="AA6">
        <v>20</v>
      </c>
    </row>
    <row r="7" spans="1:27" x14ac:dyDescent="0.2">
      <c r="A7" t="s">
        <v>38</v>
      </c>
      <c r="B7">
        <v>2021</v>
      </c>
      <c r="C7" t="s">
        <v>39</v>
      </c>
      <c r="D7" t="s">
        <v>40</v>
      </c>
      <c r="E7" t="s">
        <v>29</v>
      </c>
      <c r="F7" t="s">
        <v>41</v>
      </c>
      <c r="G7">
        <v>0</v>
      </c>
      <c r="H7">
        <v>0</v>
      </c>
      <c r="I7">
        <v>0</v>
      </c>
      <c r="J7">
        <v>0</v>
      </c>
      <c r="K7">
        <v>9</v>
      </c>
      <c r="L7">
        <v>0</v>
      </c>
      <c r="M7">
        <v>0</v>
      </c>
      <c r="N7">
        <v>0</v>
      </c>
      <c r="O7">
        <v>0</v>
      </c>
      <c r="P7">
        <v>0</v>
      </c>
      <c r="Q7">
        <v>9</v>
      </c>
      <c r="R7">
        <v>0</v>
      </c>
      <c r="S7">
        <v>0</v>
      </c>
      <c r="T7">
        <v>0</v>
      </c>
      <c r="U7">
        <v>0</v>
      </c>
      <c r="V7">
        <v>0</v>
      </c>
      <c r="W7">
        <v>9</v>
      </c>
      <c r="X7">
        <v>0</v>
      </c>
      <c r="Y7" t="s">
        <v>31</v>
      </c>
      <c r="Z7">
        <v>55</v>
      </c>
      <c r="AA7" s="2" t="s">
        <v>42</v>
      </c>
    </row>
    <row r="8" spans="1:27" x14ac:dyDescent="0.2">
      <c r="A8" t="s">
        <v>43</v>
      </c>
      <c r="B8">
        <v>2021</v>
      </c>
      <c r="C8" t="s">
        <v>44</v>
      </c>
      <c r="D8" t="s">
        <v>45</v>
      </c>
      <c r="E8" t="s">
        <v>29</v>
      </c>
      <c r="F8" t="s">
        <v>30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3</v>
      </c>
      <c r="N8">
        <v>0</v>
      </c>
      <c r="O8">
        <v>0</v>
      </c>
      <c r="P8">
        <v>0</v>
      </c>
      <c r="Q8">
        <v>2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 t="s">
        <v>31</v>
      </c>
      <c r="Z8">
        <v>1000</v>
      </c>
      <c r="AA8">
        <v>35</v>
      </c>
    </row>
    <row r="9" spans="1:27" x14ac:dyDescent="0.2">
      <c r="A9" t="s">
        <v>43</v>
      </c>
      <c r="B9">
        <v>2021</v>
      </c>
      <c r="C9" t="s">
        <v>46</v>
      </c>
      <c r="D9" t="s">
        <v>47</v>
      </c>
      <c r="E9" t="s">
        <v>29</v>
      </c>
      <c r="F9" t="s">
        <v>30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 t="s">
        <v>31</v>
      </c>
      <c r="Z9">
        <v>1000</v>
      </c>
      <c r="AA9">
        <v>30.5</v>
      </c>
    </row>
    <row r="10" spans="1:27" x14ac:dyDescent="0.2">
      <c r="A10" t="s">
        <v>48</v>
      </c>
      <c r="B10">
        <v>2021</v>
      </c>
      <c r="C10" t="s">
        <v>49</v>
      </c>
      <c r="D10" t="s">
        <v>50</v>
      </c>
      <c r="E10" t="s">
        <v>29</v>
      </c>
      <c r="F10" t="s">
        <v>30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t="s">
        <v>51</v>
      </c>
      <c r="AA10">
        <v>0</v>
      </c>
    </row>
    <row r="11" spans="1:27" x14ac:dyDescent="0.2">
      <c r="A11" t="s">
        <v>43</v>
      </c>
      <c r="B11">
        <v>2021</v>
      </c>
      <c r="C11" t="s">
        <v>52</v>
      </c>
      <c r="D11" t="s">
        <v>53</v>
      </c>
      <c r="E11" t="s">
        <v>29</v>
      </c>
      <c r="F11" t="s">
        <v>30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V11">
        <v>0</v>
      </c>
      <c r="W11">
        <v>0</v>
      </c>
      <c r="X11">
        <v>0</v>
      </c>
      <c r="Y11" t="s">
        <v>31</v>
      </c>
      <c r="Z11">
        <v>1000</v>
      </c>
      <c r="AA11">
        <v>35</v>
      </c>
    </row>
    <row r="12" spans="1:27" x14ac:dyDescent="0.2">
      <c r="A12" t="s">
        <v>48</v>
      </c>
      <c r="B12">
        <v>2021</v>
      </c>
      <c r="C12" t="s">
        <v>54</v>
      </c>
      <c r="D12" t="s">
        <v>55</v>
      </c>
      <c r="E12" t="s">
        <v>29</v>
      </c>
      <c r="F12" t="s">
        <v>30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26</v>
      </c>
      <c r="N12">
        <v>0</v>
      </c>
      <c r="O12">
        <v>10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 t="s">
        <v>31</v>
      </c>
      <c r="Z12">
        <v>45</v>
      </c>
      <c r="AA12">
        <v>0</v>
      </c>
    </row>
    <row r="13" spans="1:27" x14ac:dyDescent="0.2">
      <c r="A13" t="s">
        <v>38</v>
      </c>
      <c r="B13">
        <v>2021</v>
      </c>
      <c r="C13" t="s">
        <v>56</v>
      </c>
      <c r="D13" t="s">
        <v>57</v>
      </c>
      <c r="E13" t="s">
        <v>29</v>
      </c>
      <c r="F13" t="s">
        <v>30</v>
      </c>
      <c r="G13">
        <v>4</v>
      </c>
      <c r="H13">
        <v>0</v>
      </c>
      <c r="I13">
        <v>0</v>
      </c>
      <c r="J13">
        <v>0</v>
      </c>
      <c r="K13">
        <v>0</v>
      </c>
      <c r="L13">
        <v>0</v>
      </c>
      <c r="M13">
        <v>4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 t="s">
        <v>31</v>
      </c>
      <c r="Z13">
        <v>55</v>
      </c>
      <c r="AA13" s="2" t="s">
        <v>58</v>
      </c>
    </row>
    <row r="14" spans="1:27" x14ac:dyDescent="0.2">
      <c r="A14" t="s">
        <v>43</v>
      </c>
      <c r="B14">
        <v>2021</v>
      </c>
      <c r="C14" t="s">
        <v>59</v>
      </c>
      <c r="D14" t="s">
        <v>60</v>
      </c>
      <c r="E14" t="s">
        <v>29</v>
      </c>
      <c r="F14" t="s">
        <v>30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6</v>
      </c>
      <c r="N14">
        <v>0</v>
      </c>
      <c r="O14">
        <v>0</v>
      </c>
      <c r="P14">
        <v>0</v>
      </c>
      <c r="Q14">
        <v>5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 t="s">
        <v>31</v>
      </c>
      <c r="Z14">
        <v>1000</v>
      </c>
      <c r="AA14">
        <v>35</v>
      </c>
    </row>
    <row r="15" spans="1:27" x14ac:dyDescent="0.2">
      <c r="A15" t="s">
        <v>48</v>
      </c>
      <c r="B15">
        <v>2021</v>
      </c>
      <c r="C15" t="s">
        <v>61</v>
      </c>
      <c r="D15" t="s">
        <v>62</v>
      </c>
      <c r="E15" t="s">
        <v>29</v>
      </c>
      <c r="F15" t="s">
        <v>30</v>
      </c>
      <c r="G15">
        <v>0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 t="s">
        <v>51</v>
      </c>
      <c r="AA15">
        <v>0</v>
      </c>
    </row>
    <row r="16" spans="1:27" x14ac:dyDescent="0.2">
      <c r="A16" t="s">
        <v>48</v>
      </c>
      <c r="B16">
        <v>2021</v>
      </c>
      <c r="C16" t="s">
        <v>63</v>
      </c>
      <c r="D16" t="s">
        <v>64</v>
      </c>
      <c r="E16" t="s">
        <v>29</v>
      </c>
      <c r="F16" t="s">
        <v>30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 t="s">
        <v>51</v>
      </c>
      <c r="AA16">
        <v>0</v>
      </c>
    </row>
    <row r="17" spans="1:27" x14ac:dyDescent="0.2">
      <c r="A17" t="s">
        <v>48</v>
      </c>
      <c r="B17">
        <v>2021</v>
      </c>
      <c r="C17" t="s">
        <v>65</v>
      </c>
      <c r="D17" t="s">
        <v>66</v>
      </c>
      <c r="E17" t="s">
        <v>29</v>
      </c>
      <c r="F17" t="s">
        <v>30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V17">
        <v>0</v>
      </c>
      <c r="W17">
        <v>0</v>
      </c>
      <c r="X17">
        <v>0</v>
      </c>
      <c r="Y17" t="s">
        <v>51</v>
      </c>
      <c r="AA17">
        <v>0</v>
      </c>
    </row>
    <row r="18" spans="1:27" x14ac:dyDescent="0.2">
      <c r="A18" t="s">
        <v>67</v>
      </c>
      <c r="B18">
        <v>2021</v>
      </c>
      <c r="C18">
        <v>482161028</v>
      </c>
      <c r="D18" t="s">
        <v>68</v>
      </c>
      <c r="E18" t="s">
        <v>29</v>
      </c>
      <c r="F18" t="s">
        <v>30</v>
      </c>
      <c r="G18">
        <v>10</v>
      </c>
      <c r="H18">
        <v>0</v>
      </c>
      <c r="I18">
        <v>10</v>
      </c>
      <c r="J18">
        <v>0</v>
      </c>
      <c r="K18">
        <v>0</v>
      </c>
      <c r="L18">
        <v>0</v>
      </c>
      <c r="M18">
        <v>10</v>
      </c>
      <c r="N18">
        <v>0</v>
      </c>
      <c r="O18">
        <v>10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 t="s">
        <v>31</v>
      </c>
      <c r="Z18">
        <v>56</v>
      </c>
      <c r="AA18">
        <v>25</v>
      </c>
    </row>
    <row r="19" spans="1:27" x14ac:dyDescent="0.2">
      <c r="A19" t="s">
        <v>69</v>
      </c>
      <c r="B19">
        <v>2023</v>
      </c>
      <c r="C19" t="s">
        <v>70</v>
      </c>
      <c r="D19" t="s">
        <v>71</v>
      </c>
      <c r="E19" t="s">
        <v>29</v>
      </c>
      <c r="F19" t="s">
        <v>30</v>
      </c>
      <c r="G19">
        <v>0</v>
      </c>
      <c r="H19">
        <v>0</v>
      </c>
      <c r="I19">
        <v>14</v>
      </c>
      <c r="J19">
        <v>0</v>
      </c>
      <c r="K19">
        <v>0</v>
      </c>
      <c r="L19">
        <v>0</v>
      </c>
      <c r="M19">
        <v>0</v>
      </c>
      <c r="N19">
        <v>0</v>
      </c>
      <c r="O19">
        <v>14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 t="s">
        <v>51</v>
      </c>
      <c r="Z19">
        <v>55</v>
      </c>
      <c r="AA19">
        <v>0</v>
      </c>
    </row>
    <row r="20" spans="1:27" x14ac:dyDescent="0.2">
      <c r="A20" t="s">
        <v>72</v>
      </c>
      <c r="B20">
        <v>2023</v>
      </c>
      <c r="C20" t="s">
        <v>73</v>
      </c>
      <c r="D20" t="s">
        <v>74</v>
      </c>
      <c r="E20" t="s">
        <v>29</v>
      </c>
      <c r="F20" t="s">
        <v>30</v>
      </c>
      <c r="G20">
        <v>0</v>
      </c>
      <c r="H20">
        <v>0</v>
      </c>
      <c r="I20">
        <v>0</v>
      </c>
      <c r="J20">
        <v>71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 t="s">
        <v>31</v>
      </c>
      <c r="AA20">
        <v>0</v>
      </c>
    </row>
    <row r="21" spans="1:27" x14ac:dyDescent="0.2">
      <c r="A21" t="s">
        <v>75</v>
      </c>
      <c r="B21">
        <v>2023</v>
      </c>
      <c r="C21">
        <v>4240620900</v>
      </c>
      <c r="D21" t="s">
        <v>76</v>
      </c>
      <c r="E21" t="s">
        <v>29</v>
      </c>
      <c r="F21" t="s">
        <v>30</v>
      </c>
      <c r="G21">
        <v>4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31</v>
      </c>
      <c r="Z21">
        <v>55</v>
      </c>
      <c r="AA21">
        <v>113</v>
      </c>
    </row>
    <row r="22" spans="1:27" x14ac:dyDescent="0.2">
      <c r="A22" t="s">
        <v>75</v>
      </c>
      <c r="B22">
        <v>2023</v>
      </c>
      <c r="C22">
        <v>4210501200</v>
      </c>
      <c r="D22" t="s">
        <v>77</v>
      </c>
      <c r="E22" t="s">
        <v>29</v>
      </c>
      <c r="F22" t="s">
        <v>30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27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 t="s">
        <v>31</v>
      </c>
      <c r="Z22">
        <v>55</v>
      </c>
      <c r="AA22">
        <v>39</v>
      </c>
    </row>
    <row r="23" spans="1:27" x14ac:dyDescent="0.2">
      <c r="A23" t="s">
        <v>75</v>
      </c>
      <c r="B23">
        <v>2023</v>
      </c>
      <c r="C23">
        <v>4463611200</v>
      </c>
      <c r="D23" t="s">
        <v>78</v>
      </c>
      <c r="E23" t="s">
        <v>29</v>
      </c>
      <c r="F23" t="s">
        <v>30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 t="s">
        <v>51</v>
      </c>
      <c r="Z23">
        <v>55</v>
      </c>
      <c r="AA23">
        <v>0</v>
      </c>
    </row>
    <row r="24" spans="1:27" x14ac:dyDescent="0.2">
      <c r="A24" t="s">
        <v>75</v>
      </c>
      <c r="B24">
        <v>2023</v>
      </c>
      <c r="C24">
        <v>4365810400</v>
      </c>
      <c r="D24" t="s">
        <v>79</v>
      </c>
      <c r="E24" t="s">
        <v>29</v>
      </c>
      <c r="F24" t="s">
        <v>30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 t="s">
        <v>31</v>
      </c>
      <c r="Z24">
        <v>55</v>
      </c>
      <c r="AA24">
        <v>60</v>
      </c>
    </row>
    <row r="25" spans="1:27" x14ac:dyDescent="0.2">
      <c r="A25" t="s">
        <v>75</v>
      </c>
      <c r="B25">
        <v>2023</v>
      </c>
      <c r="C25">
        <v>4461211400</v>
      </c>
      <c r="D25" t="s">
        <v>80</v>
      </c>
      <c r="E25" t="s">
        <v>29</v>
      </c>
      <c r="F25" t="s">
        <v>30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 t="s">
        <v>31</v>
      </c>
      <c r="Z25">
        <v>55</v>
      </c>
      <c r="AA25">
        <v>17</v>
      </c>
    </row>
    <row r="26" spans="1:27" x14ac:dyDescent="0.2">
      <c r="A26" t="s">
        <v>75</v>
      </c>
      <c r="B26">
        <v>2023</v>
      </c>
      <c r="C26">
        <v>5334332800</v>
      </c>
      <c r="D26" t="s">
        <v>81</v>
      </c>
      <c r="E26" t="s">
        <v>29</v>
      </c>
      <c r="F26" t="s">
        <v>30</v>
      </c>
      <c r="G26">
        <v>0</v>
      </c>
      <c r="H26">
        <v>0</v>
      </c>
      <c r="I26">
        <v>52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 t="s">
        <v>51</v>
      </c>
      <c r="Z26">
        <v>55</v>
      </c>
      <c r="AA26">
        <v>0</v>
      </c>
    </row>
    <row r="27" spans="1:27" x14ac:dyDescent="0.2">
      <c r="A27" t="s">
        <v>75</v>
      </c>
      <c r="B27">
        <v>2023</v>
      </c>
      <c r="C27">
        <v>5342050800</v>
      </c>
      <c r="D27" t="s">
        <v>82</v>
      </c>
      <c r="E27" t="s">
        <v>29</v>
      </c>
      <c r="F27" t="s">
        <v>30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270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 t="s">
        <v>31</v>
      </c>
      <c r="Z27">
        <v>55</v>
      </c>
      <c r="AA27">
        <v>0</v>
      </c>
    </row>
    <row r="28" spans="1:27" x14ac:dyDescent="0.2">
      <c r="A28" t="s">
        <v>75</v>
      </c>
      <c r="B28">
        <v>2023</v>
      </c>
      <c r="C28">
        <v>5481500700</v>
      </c>
      <c r="D28" t="s">
        <v>83</v>
      </c>
      <c r="E28" t="s">
        <v>29</v>
      </c>
      <c r="F28" t="s">
        <v>30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22</v>
      </c>
      <c r="N28">
        <v>0</v>
      </c>
      <c r="O28">
        <v>77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 t="s">
        <v>31</v>
      </c>
      <c r="Z28">
        <v>55</v>
      </c>
      <c r="AA28">
        <v>163</v>
      </c>
    </row>
    <row r="29" spans="1:27" x14ac:dyDescent="0.2">
      <c r="A29" t="s">
        <v>75</v>
      </c>
      <c r="B29">
        <v>2023</v>
      </c>
      <c r="C29">
        <v>5303711000</v>
      </c>
      <c r="D29" t="s">
        <v>84</v>
      </c>
      <c r="E29" t="s">
        <v>29</v>
      </c>
      <c r="F29" t="s">
        <v>30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 t="s">
        <v>31</v>
      </c>
      <c r="Z29">
        <v>55</v>
      </c>
      <c r="AA29">
        <v>40</v>
      </c>
    </row>
    <row r="30" spans="1:27" x14ac:dyDescent="0.2">
      <c r="A30" t="s">
        <v>85</v>
      </c>
      <c r="B30">
        <v>2021</v>
      </c>
      <c r="C30" t="s">
        <v>86</v>
      </c>
      <c r="D30" t="s">
        <v>87</v>
      </c>
      <c r="E30" t="s">
        <v>29</v>
      </c>
      <c r="F30" t="s">
        <v>30</v>
      </c>
      <c r="G30">
        <v>63</v>
      </c>
      <c r="H30">
        <v>0</v>
      </c>
      <c r="I30">
        <v>60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 t="s">
        <v>31</v>
      </c>
      <c r="Z30">
        <v>55</v>
      </c>
      <c r="AA30">
        <v>193</v>
      </c>
    </row>
    <row r="31" spans="1:27" x14ac:dyDescent="0.2">
      <c r="A31" t="s">
        <v>88</v>
      </c>
      <c r="B31">
        <v>2020</v>
      </c>
      <c r="C31" t="s">
        <v>89</v>
      </c>
      <c r="D31" t="s">
        <v>90</v>
      </c>
      <c r="E31" t="s">
        <v>29</v>
      </c>
      <c r="F31" t="s">
        <v>30</v>
      </c>
      <c r="G31">
        <v>72</v>
      </c>
      <c r="H31">
        <v>0</v>
      </c>
      <c r="I31">
        <v>77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 t="s">
        <v>51</v>
      </c>
      <c r="Z31">
        <v>55</v>
      </c>
      <c r="AA31">
        <v>0</v>
      </c>
    </row>
    <row r="32" spans="1:27" x14ac:dyDescent="0.2">
      <c r="A32" t="s">
        <v>48</v>
      </c>
      <c r="B32">
        <v>2021</v>
      </c>
      <c r="C32" t="s">
        <v>91</v>
      </c>
      <c r="D32" t="s">
        <v>92</v>
      </c>
      <c r="E32" t="s">
        <v>29</v>
      </c>
      <c r="F32" t="s">
        <v>41</v>
      </c>
      <c r="G32">
        <v>0</v>
      </c>
      <c r="H32">
        <v>0</v>
      </c>
      <c r="I32">
        <v>2</v>
      </c>
      <c r="J32">
        <v>0</v>
      </c>
      <c r="K32">
        <v>5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 t="s">
        <v>51</v>
      </c>
      <c r="AA32">
        <v>0</v>
      </c>
    </row>
    <row r="33" spans="1:27" x14ac:dyDescent="0.2">
      <c r="A33" t="s">
        <v>43</v>
      </c>
      <c r="B33">
        <v>2021</v>
      </c>
      <c r="C33" t="s">
        <v>93</v>
      </c>
      <c r="D33" t="s">
        <v>94</v>
      </c>
      <c r="E33" t="s">
        <v>29</v>
      </c>
      <c r="F33" t="s">
        <v>30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4</v>
      </c>
      <c r="V33">
        <v>0</v>
      </c>
      <c r="W33">
        <v>8</v>
      </c>
      <c r="X33">
        <v>0</v>
      </c>
      <c r="Y33" t="s">
        <v>31</v>
      </c>
      <c r="Z33">
        <v>1000</v>
      </c>
      <c r="AA33">
        <v>35</v>
      </c>
    </row>
    <row r="34" spans="1:27" x14ac:dyDescent="0.2">
      <c r="A34" t="s">
        <v>43</v>
      </c>
      <c r="B34">
        <v>2021</v>
      </c>
      <c r="C34" t="s">
        <v>95</v>
      </c>
      <c r="D34" t="s">
        <v>96</v>
      </c>
      <c r="E34" t="s">
        <v>29</v>
      </c>
      <c r="F34" t="s">
        <v>30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>
        <v>0</v>
      </c>
      <c r="Y34" t="s">
        <v>31</v>
      </c>
      <c r="Z34">
        <v>1000</v>
      </c>
      <c r="AA34">
        <v>35</v>
      </c>
    </row>
    <row r="35" spans="1:27" x14ac:dyDescent="0.2">
      <c r="A35" t="s">
        <v>67</v>
      </c>
      <c r="B35">
        <v>2021</v>
      </c>
      <c r="C35">
        <v>482161028</v>
      </c>
      <c r="D35" t="s">
        <v>68</v>
      </c>
      <c r="E35" t="s">
        <v>29</v>
      </c>
      <c r="F35" t="s">
        <v>30</v>
      </c>
      <c r="G35">
        <v>15</v>
      </c>
      <c r="H35">
        <v>0</v>
      </c>
      <c r="I35">
        <v>15</v>
      </c>
      <c r="J35">
        <v>0</v>
      </c>
      <c r="K35">
        <v>0</v>
      </c>
      <c r="L35">
        <v>0</v>
      </c>
      <c r="M35">
        <v>15</v>
      </c>
      <c r="N35">
        <v>0</v>
      </c>
      <c r="O35">
        <v>15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 t="s">
        <v>31</v>
      </c>
      <c r="Z35">
        <v>56</v>
      </c>
      <c r="AA35">
        <v>25</v>
      </c>
    </row>
    <row r="36" spans="1:27" x14ac:dyDescent="0.2">
      <c r="A36" t="s">
        <v>38</v>
      </c>
      <c r="B36">
        <v>2021</v>
      </c>
      <c r="C36">
        <v>5623005038</v>
      </c>
      <c r="D36" t="s">
        <v>97</v>
      </c>
      <c r="E36" t="s">
        <v>29</v>
      </c>
      <c r="F36" t="s">
        <v>30</v>
      </c>
      <c r="G36">
        <v>5</v>
      </c>
      <c r="H36">
        <v>0</v>
      </c>
      <c r="I36">
        <v>0</v>
      </c>
      <c r="J36">
        <v>0</v>
      </c>
      <c r="K36">
        <v>0</v>
      </c>
      <c r="L36">
        <v>0</v>
      </c>
      <c r="M36">
        <v>5</v>
      </c>
      <c r="N36">
        <v>0</v>
      </c>
      <c r="O36">
        <v>0</v>
      </c>
      <c r="P36">
        <v>0</v>
      </c>
      <c r="Q36">
        <v>0</v>
      </c>
      <c r="R36">
        <v>0</v>
      </c>
      <c r="S36">
        <v>5</v>
      </c>
      <c r="T36">
        <v>0</v>
      </c>
      <c r="U36">
        <v>0</v>
      </c>
      <c r="V36">
        <v>0</v>
      </c>
      <c r="W36">
        <v>0</v>
      </c>
      <c r="X36">
        <v>0</v>
      </c>
      <c r="Y36" t="s">
        <v>31</v>
      </c>
      <c r="Z36">
        <v>55</v>
      </c>
      <c r="AA36">
        <v>35</v>
      </c>
    </row>
    <row r="37" spans="1:27" x14ac:dyDescent="0.2">
      <c r="A37" t="s">
        <v>38</v>
      </c>
      <c r="B37">
        <v>2021</v>
      </c>
      <c r="C37" t="s">
        <v>98</v>
      </c>
      <c r="D37" t="s">
        <v>99</v>
      </c>
      <c r="E37" t="s">
        <v>29</v>
      </c>
      <c r="F37" t="s">
        <v>30</v>
      </c>
      <c r="G37">
        <v>138</v>
      </c>
      <c r="H37">
        <v>0</v>
      </c>
      <c r="I37">
        <v>199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 t="s">
        <v>31</v>
      </c>
      <c r="Z37">
        <v>75</v>
      </c>
      <c r="AA37">
        <v>750</v>
      </c>
    </row>
    <row r="38" spans="1:27" x14ac:dyDescent="0.2">
      <c r="A38" t="s">
        <v>43</v>
      </c>
      <c r="B38">
        <v>2021</v>
      </c>
      <c r="C38" t="s">
        <v>100</v>
      </c>
      <c r="D38" t="s">
        <v>101</v>
      </c>
      <c r="E38" t="s">
        <v>29</v>
      </c>
      <c r="F38" t="s">
        <v>30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</v>
      </c>
      <c r="P38">
        <v>0</v>
      </c>
      <c r="Q38">
        <v>3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 t="s">
        <v>31</v>
      </c>
      <c r="Z38">
        <v>1000</v>
      </c>
      <c r="AA38">
        <v>55</v>
      </c>
    </row>
    <row r="39" spans="1:27" x14ac:dyDescent="0.2">
      <c r="A39" t="s">
        <v>48</v>
      </c>
      <c r="B39">
        <v>2021</v>
      </c>
      <c r="C39" t="s">
        <v>102</v>
      </c>
      <c r="D39" t="s">
        <v>103</v>
      </c>
      <c r="E39" t="s">
        <v>29</v>
      </c>
      <c r="F39" t="s">
        <v>30</v>
      </c>
      <c r="G39">
        <v>0</v>
      </c>
      <c r="H39">
        <v>0</v>
      </c>
      <c r="I39">
        <v>0</v>
      </c>
      <c r="J39">
        <v>0</v>
      </c>
      <c r="K39">
        <v>11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 t="s">
        <v>51</v>
      </c>
      <c r="AA39">
        <v>0</v>
      </c>
    </row>
    <row r="40" spans="1:27" x14ac:dyDescent="0.2">
      <c r="A40" t="s">
        <v>48</v>
      </c>
      <c r="B40">
        <v>2021</v>
      </c>
      <c r="C40" t="s">
        <v>104</v>
      </c>
      <c r="D40" t="s">
        <v>105</v>
      </c>
      <c r="E40" t="s">
        <v>29</v>
      </c>
      <c r="F40" t="s">
        <v>41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2</v>
      </c>
      <c r="X40">
        <v>0</v>
      </c>
      <c r="Y40" t="s">
        <v>51</v>
      </c>
      <c r="AA40">
        <v>0</v>
      </c>
    </row>
    <row r="41" spans="1:27" x14ac:dyDescent="0.2">
      <c r="A41" t="s">
        <v>67</v>
      </c>
      <c r="B41">
        <v>2021</v>
      </c>
      <c r="C41">
        <v>482161028</v>
      </c>
      <c r="D41" t="s">
        <v>68</v>
      </c>
      <c r="E41" t="s">
        <v>29</v>
      </c>
      <c r="F41" t="s">
        <v>30</v>
      </c>
      <c r="G41">
        <v>0</v>
      </c>
      <c r="H41">
        <v>0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 t="s">
        <v>31</v>
      </c>
      <c r="Z41">
        <v>56</v>
      </c>
      <c r="AA41">
        <v>25</v>
      </c>
    </row>
    <row r="42" spans="1:27" x14ac:dyDescent="0.2">
      <c r="A42" t="s">
        <v>106</v>
      </c>
      <c r="B42">
        <v>2021</v>
      </c>
      <c r="C42" t="s">
        <v>107</v>
      </c>
      <c r="D42" t="s">
        <v>108</v>
      </c>
      <c r="E42" t="s">
        <v>29</v>
      </c>
      <c r="F42" t="s">
        <v>30</v>
      </c>
      <c r="G42">
        <v>0</v>
      </c>
      <c r="H42">
        <v>0</v>
      </c>
      <c r="I42">
        <v>0</v>
      </c>
      <c r="J42">
        <v>0</v>
      </c>
      <c r="K42">
        <v>1</v>
      </c>
      <c r="L42">
        <v>0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 t="s">
        <v>31</v>
      </c>
      <c r="Z42">
        <v>55</v>
      </c>
      <c r="AA42">
        <v>15</v>
      </c>
    </row>
    <row r="43" spans="1:27" x14ac:dyDescent="0.2">
      <c r="A43" t="s">
        <v>43</v>
      </c>
      <c r="B43">
        <v>2021</v>
      </c>
      <c r="C43" t="s">
        <v>109</v>
      </c>
      <c r="D43" t="s">
        <v>110</v>
      </c>
      <c r="E43" t="s">
        <v>29</v>
      </c>
      <c r="F43" t="s">
        <v>30</v>
      </c>
      <c r="G43">
        <v>0</v>
      </c>
      <c r="H43">
        <v>0</v>
      </c>
      <c r="I43">
        <v>1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 t="s">
        <v>31</v>
      </c>
      <c r="Z43">
        <v>1000</v>
      </c>
      <c r="AA43">
        <v>35</v>
      </c>
    </row>
    <row r="44" spans="1:27" x14ac:dyDescent="0.2">
      <c r="A44" t="s">
        <v>67</v>
      </c>
      <c r="B44">
        <v>2021</v>
      </c>
      <c r="C44">
        <v>482161028</v>
      </c>
      <c r="D44" t="s">
        <v>68</v>
      </c>
      <c r="E44" t="s">
        <v>29</v>
      </c>
      <c r="F44" t="s">
        <v>30</v>
      </c>
      <c r="G44">
        <v>15</v>
      </c>
      <c r="H44">
        <v>0</v>
      </c>
      <c r="I44">
        <v>15</v>
      </c>
      <c r="J44">
        <v>0</v>
      </c>
      <c r="K44">
        <v>0</v>
      </c>
      <c r="L44">
        <v>0</v>
      </c>
      <c r="M44">
        <v>15</v>
      </c>
      <c r="N44">
        <v>0</v>
      </c>
      <c r="O44">
        <v>15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 t="s">
        <v>31</v>
      </c>
      <c r="Z44">
        <v>56</v>
      </c>
      <c r="AA44">
        <v>25</v>
      </c>
    </row>
    <row r="45" spans="1:27" x14ac:dyDescent="0.2">
      <c r="A45" t="s">
        <v>38</v>
      </c>
      <c r="B45">
        <v>2021</v>
      </c>
      <c r="C45" t="s">
        <v>111</v>
      </c>
      <c r="D45" t="s">
        <v>112</v>
      </c>
      <c r="E45" t="s">
        <v>29</v>
      </c>
      <c r="F45" t="s">
        <v>30</v>
      </c>
      <c r="G45">
        <v>26</v>
      </c>
      <c r="H45">
        <v>0</v>
      </c>
      <c r="I45">
        <v>100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 t="s">
        <v>31</v>
      </c>
      <c r="Z45">
        <v>75</v>
      </c>
      <c r="AA45">
        <v>324</v>
      </c>
    </row>
    <row r="46" spans="1:27" x14ac:dyDescent="0.2">
      <c r="A46" t="s">
        <v>38</v>
      </c>
      <c r="B46">
        <v>2021</v>
      </c>
      <c r="C46" t="s">
        <v>113</v>
      </c>
      <c r="D46" t="s">
        <v>114</v>
      </c>
      <c r="E46" t="s">
        <v>29</v>
      </c>
      <c r="F46" t="s">
        <v>30</v>
      </c>
      <c r="G46">
        <v>31</v>
      </c>
      <c r="H46">
        <v>0</v>
      </c>
      <c r="I46">
        <v>8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 t="s">
        <v>31</v>
      </c>
      <c r="Z46">
        <v>75</v>
      </c>
      <c r="AA46">
        <v>17</v>
      </c>
    </row>
    <row r="47" spans="1:27" x14ac:dyDescent="0.2">
      <c r="A47" t="s">
        <v>43</v>
      </c>
      <c r="B47">
        <v>2021</v>
      </c>
      <c r="C47" t="s">
        <v>115</v>
      </c>
      <c r="D47" t="s">
        <v>116</v>
      </c>
      <c r="E47" t="s">
        <v>29</v>
      </c>
      <c r="F47" t="s">
        <v>30</v>
      </c>
      <c r="G47">
        <v>3</v>
      </c>
      <c r="H47">
        <v>0</v>
      </c>
      <c r="I47">
        <v>0</v>
      </c>
      <c r="J47">
        <v>0</v>
      </c>
      <c r="K47">
        <v>3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 t="s">
        <v>31</v>
      </c>
      <c r="Z47">
        <v>1000</v>
      </c>
      <c r="AA47">
        <v>35</v>
      </c>
    </row>
    <row r="48" spans="1:27" x14ac:dyDescent="0.2">
      <c r="A48" t="s">
        <v>48</v>
      </c>
      <c r="B48">
        <v>2021</v>
      </c>
      <c r="C48" t="s">
        <v>117</v>
      </c>
      <c r="D48" t="s">
        <v>118</v>
      </c>
      <c r="E48" t="s">
        <v>29</v>
      </c>
      <c r="F48" t="s">
        <v>30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4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 t="s">
        <v>51</v>
      </c>
      <c r="AA48">
        <v>0</v>
      </c>
    </row>
    <row r="49" spans="1:27" x14ac:dyDescent="0.2">
      <c r="A49" t="s">
        <v>75</v>
      </c>
      <c r="B49">
        <v>2023</v>
      </c>
      <c r="C49">
        <v>3150205500</v>
      </c>
      <c r="D49" t="s">
        <v>119</v>
      </c>
      <c r="E49" t="s">
        <v>29</v>
      </c>
      <c r="F49" t="s">
        <v>30</v>
      </c>
      <c r="G49">
        <v>0</v>
      </c>
      <c r="H49">
        <v>0</v>
      </c>
      <c r="I49">
        <v>6</v>
      </c>
      <c r="J49">
        <v>0</v>
      </c>
      <c r="K49">
        <v>49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 t="s">
        <v>51</v>
      </c>
      <c r="Z49">
        <v>55</v>
      </c>
      <c r="AA49">
        <v>0</v>
      </c>
    </row>
    <row r="50" spans="1:27" x14ac:dyDescent="0.2">
      <c r="A50" t="s">
        <v>75</v>
      </c>
      <c r="B50">
        <v>2023</v>
      </c>
      <c r="C50">
        <v>4152411000</v>
      </c>
      <c r="D50" t="s">
        <v>120</v>
      </c>
      <c r="E50" t="s">
        <v>29</v>
      </c>
      <c r="F50" t="s">
        <v>30</v>
      </c>
      <c r="G50">
        <v>2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 t="s">
        <v>51</v>
      </c>
      <c r="Z50">
        <v>55</v>
      </c>
      <c r="AA50">
        <v>0</v>
      </c>
    </row>
    <row r="51" spans="1:27" x14ac:dyDescent="0.2">
      <c r="A51" t="s">
        <v>75</v>
      </c>
      <c r="B51">
        <v>2023</v>
      </c>
      <c r="C51">
        <v>5334140800</v>
      </c>
      <c r="D51" t="s">
        <v>121</v>
      </c>
      <c r="E51" t="s">
        <v>29</v>
      </c>
      <c r="F51" t="s">
        <v>30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 t="s">
        <v>31</v>
      </c>
      <c r="Z51">
        <v>55</v>
      </c>
      <c r="AA51">
        <v>20</v>
      </c>
    </row>
    <row r="52" spans="1:27" x14ac:dyDescent="0.2">
      <c r="A52" t="s">
        <v>75</v>
      </c>
      <c r="B52">
        <v>2023</v>
      </c>
      <c r="C52">
        <v>5333630400</v>
      </c>
      <c r="D52" t="s">
        <v>122</v>
      </c>
      <c r="E52" t="s">
        <v>29</v>
      </c>
      <c r="F52" t="s">
        <v>30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7</v>
      </c>
      <c r="N52">
        <v>0</v>
      </c>
      <c r="O52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 t="s">
        <v>31</v>
      </c>
      <c r="Z52">
        <v>55</v>
      </c>
      <c r="AA52">
        <v>69</v>
      </c>
    </row>
    <row r="53" spans="1:27" x14ac:dyDescent="0.2">
      <c r="A53" t="s">
        <v>75</v>
      </c>
      <c r="B53">
        <v>2023</v>
      </c>
      <c r="C53">
        <v>6380200400</v>
      </c>
      <c r="D53" t="s">
        <v>123</v>
      </c>
      <c r="E53" t="s">
        <v>29</v>
      </c>
      <c r="F53" t="s">
        <v>30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167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 t="s">
        <v>31</v>
      </c>
      <c r="Z53">
        <v>55</v>
      </c>
      <c r="AA53">
        <v>157</v>
      </c>
    </row>
    <row r="54" spans="1:27" x14ac:dyDescent="0.2">
      <c r="A54" t="s">
        <v>75</v>
      </c>
      <c r="B54">
        <v>2023</v>
      </c>
      <c r="C54">
        <v>6380200500</v>
      </c>
      <c r="D54" t="s">
        <v>124</v>
      </c>
      <c r="E54" t="s">
        <v>29</v>
      </c>
      <c r="F54" t="s">
        <v>30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20</v>
      </c>
      <c r="N54">
        <v>0</v>
      </c>
      <c r="O54">
        <v>79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 t="s">
        <v>31</v>
      </c>
      <c r="Z54">
        <v>55</v>
      </c>
      <c r="AA54">
        <v>318</v>
      </c>
    </row>
    <row r="55" spans="1:27" x14ac:dyDescent="0.2">
      <c r="A55" t="s">
        <v>75</v>
      </c>
      <c r="B55">
        <v>2023</v>
      </c>
      <c r="C55">
        <v>5340421100</v>
      </c>
      <c r="D55" t="s">
        <v>125</v>
      </c>
      <c r="E55" t="s">
        <v>29</v>
      </c>
      <c r="F55" t="s">
        <v>30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87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 t="s">
        <v>31</v>
      </c>
      <c r="Z55">
        <v>55</v>
      </c>
      <c r="AA55">
        <v>0</v>
      </c>
    </row>
    <row r="56" spans="1:27" x14ac:dyDescent="0.2">
      <c r="A56" t="s">
        <v>75</v>
      </c>
      <c r="B56">
        <v>2023</v>
      </c>
      <c r="C56">
        <v>3130600600</v>
      </c>
      <c r="D56" t="s">
        <v>126</v>
      </c>
      <c r="E56" t="s">
        <v>29</v>
      </c>
      <c r="F56" t="s">
        <v>30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81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 t="s">
        <v>31</v>
      </c>
      <c r="Z56">
        <v>55</v>
      </c>
      <c r="AA56">
        <v>0</v>
      </c>
    </row>
    <row r="57" spans="1:27" x14ac:dyDescent="0.2">
      <c r="A57" t="s">
        <v>75</v>
      </c>
      <c r="B57">
        <v>2023</v>
      </c>
      <c r="C57">
        <v>4454210200</v>
      </c>
      <c r="D57" t="s">
        <v>127</v>
      </c>
      <c r="E57" t="s">
        <v>29</v>
      </c>
      <c r="F57" t="s">
        <v>30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5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 t="s">
        <v>31</v>
      </c>
      <c r="Z57">
        <v>55</v>
      </c>
      <c r="AA57">
        <v>42.5</v>
      </c>
    </row>
    <row r="58" spans="1:27" x14ac:dyDescent="0.2">
      <c r="A58" t="s">
        <v>75</v>
      </c>
      <c r="B58">
        <v>2023</v>
      </c>
      <c r="C58">
        <v>4456911100</v>
      </c>
      <c r="D58" t="s">
        <v>128</v>
      </c>
      <c r="E58" t="s">
        <v>29</v>
      </c>
      <c r="F58" t="s">
        <v>30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2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 t="s">
        <v>31</v>
      </c>
      <c r="Z58">
        <v>55</v>
      </c>
      <c r="AA58">
        <v>100</v>
      </c>
    </row>
    <row r="59" spans="1:27" x14ac:dyDescent="0.2">
      <c r="A59" t="s">
        <v>75</v>
      </c>
      <c r="B59">
        <v>2023</v>
      </c>
      <c r="C59">
        <v>4445110900</v>
      </c>
      <c r="D59" t="s">
        <v>129</v>
      </c>
      <c r="E59" t="s">
        <v>29</v>
      </c>
      <c r="F59" t="s">
        <v>30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2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 t="s">
        <v>31</v>
      </c>
      <c r="Z59">
        <v>55</v>
      </c>
      <c r="AA59">
        <v>90</v>
      </c>
    </row>
    <row r="60" spans="1:27" x14ac:dyDescent="0.2">
      <c r="A60" t="s">
        <v>75</v>
      </c>
      <c r="B60">
        <v>2023</v>
      </c>
      <c r="C60">
        <v>6454100100</v>
      </c>
      <c r="D60" t="s">
        <v>130</v>
      </c>
      <c r="E60" t="s">
        <v>29</v>
      </c>
      <c r="F60" t="s">
        <v>41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8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 t="s">
        <v>51</v>
      </c>
      <c r="Z60">
        <v>55</v>
      </c>
      <c r="AA60">
        <v>0</v>
      </c>
    </row>
    <row r="61" spans="1:27" x14ac:dyDescent="0.2">
      <c r="A61" t="s">
        <v>75</v>
      </c>
      <c r="B61">
        <v>2023</v>
      </c>
      <c r="C61">
        <v>6454100100</v>
      </c>
      <c r="D61" t="s">
        <v>131</v>
      </c>
      <c r="E61" t="s">
        <v>29</v>
      </c>
      <c r="F61" t="s">
        <v>41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6</v>
      </c>
      <c r="R61">
        <v>0</v>
      </c>
      <c r="S61">
        <v>0</v>
      </c>
      <c r="T61">
        <v>0</v>
      </c>
      <c r="U61">
        <v>0</v>
      </c>
      <c r="V61">
        <v>0</v>
      </c>
      <c r="W61">
        <v>6</v>
      </c>
      <c r="X61">
        <v>0</v>
      </c>
      <c r="Y61" t="s">
        <v>51</v>
      </c>
      <c r="Z61">
        <v>55</v>
      </c>
      <c r="AA61">
        <v>0</v>
      </c>
    </row>
    <row r="62" spans="1:27" x14ac:dyDescent="0.2">
      <c r="A62" t="s">
        <v>75</v>
      </c>
      <c r="B62">
        <v>2023</v>
      </c>
      <c r="C62">
        <v>5354810400</v>
      </c>
      <c r="D62" t="s">
        <v>132</v>
      </c>
      <c r="E62" t="s">
        <v>29</v>
      </c>
      <c r="F62" t="s">
        <v>30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1</v>
      </c>
      <c r="V62">
        <v>0</v>
      </c>
      <c r="W62">
        <v>0</v>
      </c>
      <c r="X62">
        <v>0</v>
      </c>
      <c r="Y62" t="s">
        <v>31</v>
      </c>
      <c r="Z62">
        <v>55</v>
      </c>
      <c r="AA62">
        <v>75</v>
      </c>
    </row>
    <row r="63" spans="1:27" x14ac:dyDescent="0.2">
      <c r="A63" t="s">
        <v>75</v>
      </c>
      <c r="B63">
        <v>2023</v>
      </c>
      <c r="C63">
        <v>4454011000</v>
      </c>
      <c r="D63" t="s">
        <v>133</v>
      </c>
      <c r="E63" t="s">
        <v>29</v>
      </c>
      <c r="F63" t="s">
        <v>30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6</v>
      </c>
      <c r="T63">
        <v>0</v>
      </c>
      <c r="U63">
        <v>0</v>
      </c>
      <c r="V63">
        <v>0</v>
      </c>
      <c r="W63">
        <v>0</v>
      </c>
      <c r="X63">
        <v>0</v>
      </c>
      <c r="Y63" t="s">
        <v>31</v>
      </c>
      <c r="Z63">
        <v>55</v>
      </c>
      <c r="AA63">
        <v>60.5</v>
      </c>
    </row>
    <row r="64" spans="1:27" x14ac:dyDescent="0.2">
      <c r="A64" t="s">
        <v>38</v>
      </c>
      <c r="B64">
        <v>2021</v>
      </c>
      <c r="C64">
        <v>5675030006</v>
      </c>
      <c r="D64" t="s">
        <v>134</v>
      </c>
      <c r="E64" t="s">
        <v>29</v>
      </c>
      <c r="F64" t="s">
        <v>30</v>
      </c>
      <c r="G64">
        <v>2</v>
      </c>
      <c r="H64">
        <v>0</v>
      </c>
      <c r="I64">
        <v>0</v>
      </c>
      <c r="J64">
        <v>0</v>
      </c>
      <c r="K64">
        <v>0</v>
      </c>
      <c r="L64">
        <v>0</v>
      </c>
      <c r="M64">
        <v>2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 t="s">
        <v>31</v>
      </c>
      <c r="Z64">
        <v>55</v>
      </c>
      <c r="AA64">
        <v>35</v>
      </c>
    </row>
    <row r="65" spans="1:27" x14ac:dyDescent="0.2">
      <c r="A65" t="s">
        <v>75</v>
      </c>
      <c r="B65">
        <v>2023</v>
      </c>
      <c r="C65">
        <v>4152411000</v>
      </c>
      <c r="D65" t="s">
        <v>135</v>
      </c>
      <c r="E65" t="s">
        <v>29</v>
      </c>
      <c r="F65" t="s">
        <v>30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2</v>
      </c>
      <c r="T65">
        <v>0</v>
      </c>
      <c r="U65">
        <v>0</v>
      </c>
      <c r="V65">
        <v>0</v>
      </c>
      <c r="W65">
        <v>0</v>
      </c>
      <c r="X65">
        <v>0</v>
      </c>
      <c r="Y65" t="s">
        <v>31</v>
      </c>
      <c r="Z65">
        <v>55</v>
      </c>
      <c r="AA65">
        <v>53</v>
      </c>
    </row>
    <row r="66" spans="1:27" x14ac:dyDescent="0.2">
      <c r="A66" t="s">
        <v>75</v>
      </c>
      <c r="B66">
        <v>2023</v>
      </c>
      <c r="C66">
        <v>5387512200</v>
      </c>
      <c r="D66" t="s">
        <v>136</v>
      </c>
      <c r="E66" t="s">
        <v>29</v>
      </c>
      <c r="F66" t="s">
        <v>30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2</v>
      </c>
      <c r="T66">
        <v>0</v>
      </c>
      <c r="U66">
        <v>0</v>
      </c>
      <c r="V66">
        <v>0</v>
      </c>
      <c r="W66">
        <v>0</v>
      </c>
      <c r="X66">
        <v>0</v>
      </c>
      <c r="Y66" t="s">
        <v>31</v>
      </c>
      <c r="Z66">
        <v>55</v>
      </c>
      <c r="AA66">
        <v>0</v>
      </c>
    </row>
    <row r="67" spans="1:27" ht="68" x14ac:dyDescent="0.2">
      <c r="A67" t="s">
        <v>137</v>
      </c>
      <c r="B67">
        <v>2023</v>
      </c>
      <c r="C67" t="s">
        <v>138</v>
      </c>
      <c r="D67" s="1" t="s">
        <v>139</v>
      </c>
      <c r="E67" t="s">
        <v>29</v>
      </c>
      <c r="F67" t="s">
        <v>30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59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 t="s">
        <v>31</v>
      </c>
      <c r="Z67">
        <v>59</v>
      </c>
      <c r="AA67">
        <v>200</v>
      </c>
    </row>
    <row r="68" spans="1:27" x14ac:dyDescent="0.2">
      <c r="A68" t="s">
        <v>75</v>
      </c>
      <c r="B68">
        <v>2023</v>
      </c>
      <c r="C68">
        <v>6782511300</v>
      </c>
      <c r="D68" t="s">
        <v>140</v>
      </c>
      <c r="E68" t="s">
        <v>29</v>
      </c>
      <c r="F68" t="s">
        <v>30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13</v>
      </c>
      <c r="V68">
        <v>0</v>
      </c>
      <c r="W68">
        <v>0</v>
      </c>
      <c r="X68">
        <v>0</v>
      </c>
      <c r="Y68" t="s">
        <v>31</v>
      </c>
      <c r="Z68">
        <v>55</v>
      </c>
      <c r="AA68">
        <v>0</v>
      </c>
    </row>
    <row r="69" spans="1:27" x14ac:dyDescent="0.2">
      <c r="A69" t="s">
        <v>75</v>
      </c>
      <c r="B69">
        <v>2023</v>
      </c>
      <c r="C69">
        <v>6782511300</v>
      </c>
      <c r="D69" t="s">
        <v>141</v>
      </c>
      <c r="E69" t="s">
        <v>29</v>
      </c>
      <c r="F69" t="s">
        <v>30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57</v>
      </c>
      <c r="V69">
        <v>0</v>
      </c>
      <c r="W69">
        <v>0</v>
      </c>
      <c r="X69">
        <v>0</v>
      </c>
      <c r="Y69" t="s">
        <v>31</v>
      </c>
      <c r="Z69">
        <v>55</v>
      </c>
      <c r="AA69">
        <v>0</v>
      </c>
    </row>
    <row r="70" spans="1:27" x14ac:dyDescent="0.2">
      <c r="A70" t="s">
        <v>43</v>
      </c>
      <c r="B70">
        <v>2021</v>
      </c>
      <c r="C70" t="s">
        <v>142</v>
      </c>
      <c r="D70" t="s">
        <v>143</v>
      </c>
      <c r="E70" t="s">
        <v>29</v>
      </c>
      <c r="F70" t="s">
        <v>30</v>
      </c>
      <c r="G70">
        <v>2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 t="s">
        <v>31</v>
      </c>
      <c r="Z70">
        <v>1000</v>
      </c>
      <c r="AA70">
        <v>50</v>
      </c>
    </row>
    <row r="71" spans="1:27" x14ac:dyDescent="0.2">
      <c r="A71" t="s">
        <v>43</v>
      </c>
      <c r="B71">
        <v>2021</v>
      </c>
      <c r="C71" t="s">
        <v>144</v>
      </c>
      <c r="D71" t="s">
        <v>145</v>
      </c>
      <c r="E71" t="s">
        <v>29</v>
      </c>
      <c r="F71" t="s">
        <v>30</v>
      </c>
      <c r="G71">
        <v>2</v>
      </c>
      <c r="H71">
        <v>0</v>
      </c>
      <c r="I71">
        <v>0</v>
      </c>
      <c r="J71">
        <v>0</v>
      </c>
      <c r="K71">
        <v>5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 t="s">
        <v>31</v>
      </c>
      <c r="Z71">
        <v>1000</v>
      </c>
      <c r="AA71">
        <v>42.5</v>
      </c>
    </row>
    <row r="72" spans="1:27" x14ac:dyDescent="0.2">
      <c r="A72" t="s">
        <v>43</v>
      </c>
      <c r="B72">
        <v>2021</v>
      </c>
      <c r="C72" t="s">
        <v>146</v>
      </c>
      <c r="D72" t="s">
        <v>147</v>
      </c>
      <c r="E72" t="s">
        <v>29</v>
      </c>
      <c r="F72" t="s">
        <v>30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2</v>
      </c>
      <c r="N72">
        <v>0</v>
      </c>
      <c r="O72">
        <v>2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 t="s">
        <v>31</v>
      </c>
      <c r="Z72">
        <v>1000</v>
      </c>
      <c r="AA72">
        <v>35</v>
      </c>
    </row>
    <row r="73" spans="1:27" x14ac:dyDescent="0.2">
      <c r="A73" t="s">
        <v>48</v>
      </c>
      <c r="B73">
        <v>2021</v>
      </c>
      <c r="C73" t="s">
        <v>148</v>
      </c>
      <c r="D73" t="s">
        <v>149</v>
      </c>
      <c r="E73" t="s">
        <v>29</v>
      </c>
      <c r="F73" t="s">
        <v>30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 t="s">
        <v>51</v>
      </c>
      <c r="AA73">
        <v>0</v>
      </c>
    </row>
    <row r="74" spans="1:27" x14ac:dyDescent="0.2">
      <c r="A74" t="s">
        <v>75</v>
      </c>
      <c r="B74">
        <v>2023</v>
      </c>
      <c r="C74">
        <v>4317200200</v>
      </c>
      <c r="D74" t="s">
        <v>150</v>
      </c>
      <c r="E74" t="s">
        <v>29</v>
      </c>
      <c r="F74" t="s">
        <v>30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10</v>
      </c>
      <c r="T74">
        <v>0</v>
      </c>
      <c r="U74">
        <v>0</v>
      </c>
      <c r="V74">
        <v>0</v>
      </c>
      <c r="W74">
        <v>0</v>
      </c>
      <c r="X74">
        <v>0</v>
      </c>
      <c r="Y74" t="s">
        <v>31</v>
      </c>
      <c r="Z74">
        <v>55</v>
      </c>
      <c r="AA74">
        <v>50</v>
      </c>
    </row>
    <row r="75" spans="1:27" x14ac:dyDescent="0.2">
      <c r="A75" t="s">
        <v>75</v>
      </c>
      <c r="B75">
        <v>2023</v>
      </c>
      <c r="C75">
        <v>6380912800</v>
      </c>
      <c r="D75" t="s">
        <v>151</v>
      </c>
      <c r="E75" t="s">
        <v>29</v>
      </c>
      <c r="F75" t="s">
        <v>30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8</v>
      </c>
      <c r="T75">
        <v>0</v>
      </c>
      <c r="U75">
        <v>0</v>
      </c>
      <c r="V75">
        <v>0</v>
      </c>
      <c r="W75">
        <v>0</v>
      </c>
      <c r="X75">
        <v>0</v>
      </c>
      <c r="Y75" t="s">
        <v>51</v>
      </c>
      <c r="Z75">
        <v>55</v>
      </c>
      <c r="AA75">
        <v>0</v>
      </c>
    </row>
    <row r="76" spans="1:27" x14ac:dyDescent="0.2">
      <c r="A76" t="s">
        <v>48</v>
      </c>
      <c r="B76">
        <v>2021</v>
      </c>
      <c r="C76" t="s">
        <v>104</v>
      </c>
      <c r="D76" t="s">
        <v>152</v>
      </c>
      <c r="E76" t="s">
        <v>29</v>
      </c>
      <c r="F76" t="s">
        <v>41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 t="s">
        <v>51</v>
      </c>
      <c r="AA76">
        <v>0</v>
      </c>
    </row>
    <row r="77" spans="1:27" x14ac:dyDescent="0.2">
      <c r="A77" t="s">
        <v>75</v>
      </c>
      <c r="B77">
        <v>2023</v>
      </c>
      <c r="C77">
        <v>4456500800</v>
      </c>
      <c r="D77" t="s">
        <v>153</v>
      </c>
      <c r="E77" t="s">
        <v>29</v>
      </c>
      <c r="F77" t="s">
        <v>30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2</v>
      </c>
      <c r="T77">
        <v>0</v>
      </c>
      <c r="U77">
        <v>0</v>
      </c>
      <c r="V77">
        <v>0</v>
      </c>
      <c r="W77">
        <v>0</v>
      </c>
      <c r="X77">
        <v>0</v>
      </c>
      <c r="Y77" t="s">
        <v>31</v>
      </c>
      <c r="Z77">
        <v>55</v>
      </c>
      <c r="AA77">
        <v>100</v>
      </c>
    </row>
    <row r="78" spans="1:27" x14ac:dyDescent="0.2">
      <c r="A78" t="s">
        <v>38</v>
      </c>
      <c r="B78">
        <v>2023</v>
      </c>
      <c r="C78">
        <v>5637023806</v>
      </c>
      <c r="D78" t="s">
        <v>99</v>
      </c>
      <c r="E78" t="s">
        <v>29</v>
      </c>
      <c r="F78" t="s">
        <v>30</v>
      </c>
      <c r="G78">
        <v>138</v>
      </c>
      <c r="H78">
        <v>0</v>
      </c>
      <c r="I78">
        <v>199</v>
      </c>
      <c r="J78">
        <v>0</v>
      </c>
      <c r="K78">
        <v>0</v>
      </c>
      <c r="L78">
        <v>0</v>
      </c>
      <c r="M78">
        <v>138</v>
      </c>
      <c r="N78">
        <v>0</v>
      </c>
      <c r="O78">
        <v>199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 t="s">
        <v>31</v>
      </c>
      <c r="Z78">
        <v>78</v>
      </c>
      <c r="AA78">
        <v>750</v>
      </c>
    </row>
    <row r="79" spans="1:27" x14ac:dyDescent="0.2">
      <c r="A79" t="s">
        <v>72</v>
      </c>
      <c r="B79">
        <v>2023</v>
      </c>
      <c r="C79" t="s">
        <v>154</v>
      </c>
      <c r="D79" t="s">
        <v>155</v>
      </c>
      <c r="E79" t="s">
        <v>29</v>
      </c>
      <c r="F79" t="s">
        <v>30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47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 t="s">
        <v>31</v>
      </c>
      <c r="Z79">
        <v>55</v>
      </c>
      <c r="AA79">
        <v>0</v>
      </c>
    </row>
    <row r="80" spans="1:27" x14ac:dyDescent="0.2">
      <c r="A80" t="s">
        <v>75</v>
      </c>
      <c r="B80">
        <v>2023</v>
      </c>
      <c r="C80">
        <v>3561106100</v>
      </c>
      <c r="D80" t="s">
        <v>156</v>
      </c>
      <c r="E80" t="s">
        <v>29</v>
      </c>
      <c r="F80" t="s">
        <v>30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22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 t="s">
        <v>51</v>
      </c>
      <c r="Z80">
        <v>55</v>
      </c>
      <c r="AA80">
        <v>0</v>
      </c>
    </row>
    <row r="81" spans="1:27" x14ac:dyDescent="0.2">
      <c r="A81" t="s">
        <v>75</v>
      </c>
      <c r="B81">
        <v>2023</v>
      </c>
      <c r="C81">
        <v>4373501100</v>
      </c>
      <c r="D81" t="s">
        <v>157</v>
      </c>
      <c r="E81" t="s">
        <v>29</v>
      </c>
      <c r="F81" t="s">
        <v>30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13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 t="s">
        <v>51</v>
      </c>
      <c r="Z81">
        <v>55</v>
      </c>
      <c r="AA81">
        <v>0</v>
      </c>
    </row>
    <row r="82" spans="1:27" x14ac:dyDescent="0.2">
      <c r="A82" t="s">
        <v>75</v>
      </c>
      <c r="B82">
        <v>2023</v>
      </c>
      <c r="C82">
        <v>6786904900</v>
      </c>
      <c r="D82" t="s">
        <v>158</v>
      </c>
      <c r="E82" t="s">
        <v>29</v>
      </c>
      <c r="F82" t="s">
        <v>30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95</v>
      </c>
      <c r="P82">
        <v>0</v>
      </c>
      <c r="Q82">
        <v>74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 t="s">
        <v>31</v>
      </c>
      <c r="Z82">
        <v>55</v>
      </c>
      <c r="AA82">
        <v>80</v>
      </c>
    </row>
    <row r="83" spans="1:27" x14ac:dyDescent="0.2">
      <c r="A83" t="s">
        <v>75</v>
      </c>
      <c r="B83">
        <v>2023</v>
      </c>
      <c r="C83">
        <v>4666920400</v>
      </c>
      <c r="D83" t="s">
        <v>159</v>
      </c>
      <c r="E83" t="s">
        <v>29</v>
      </c>
      <c r="F83" t="s">
        <v>30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131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t="s">
        <v>31</v>
      </c>
      <c r="Z83">
        <v>55</v>
      </c>
      <c r="AA83">
        <v>100</v>
      </c>
    </row>
    <row r="84" spans="1:27" x14ac:dyDescent="0.2">
      <c r="A84" t="s">
        <v>75</v>
      </c>
      <c r="B84">
        <v>2023</v>
      </c>
      <c r="C84">
        <v>3616611200</v>
      </c>
      <c r="D84" t="s">
        <v>160</v>
      </c>
      <c r="E84" t="s">
        <v>29</v>
      </c>
      <c r="F84" t="s">
        <v>30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49</v>
      </c>
      <c r="N84">
        <v>0</v>
      </c>
      <c r="O84">
        <v>29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 t="s">
        <v>31</v>
      </c>
      <c r="Z84">
        <v>55</v>
      </c>
      <c r="AA84">
        <v>13</v>
      </c>
    </row>
    <row r="85" spans="1:27" x14ac:dyDescent="0.2">
      <c r="A85" t="s">
        <v>75</v>
      </c>
      <c r="B85">
        <v>2023</v>
      </c>
      <c r="C85">
        <v>4364030100</v>
      </c>
      <c r="D85" t="s">
        <v>161</v>
      </c>
      <c r="E85" t="s">
        <v>29</v>
      </c>
      <c r="F85" t="s">
        <v>30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7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 t="s">
        <v>31</v>
      </c>
      <c r="Z85">
        <v>55</v>
      </c>
      <c r="AA85">
        <v>47</v>
      </c>
    </row>
    <row r="86" spans="1:27" x14ac:dyDescent="0.2">
      <c r="A86" t="s">
        <v>75</v>
      </c>
      <c r="B86">
        <v>2023</v>
      </c>
      <c r="C86">
        <v>5481301800</v>
      </c>
      <c r="D86" t="s">
        <v>162</v>
      </c>
      <c r="E86" t="s">
        <v>29</v>
      </c>
      <c r="F86" t="s">
        <v>30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O86">
        <v>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t="s">
        <v>31</v>
      </c>
      <c r="Z86">
        <v>55</v>
      </c>
      <c r="AA86">
        <v>0</v>
      </c>
    </row>
    <row r="87" spans="1:27" x14ac:dyDescent="0.2">
      <c r="A87" t="s">
        <v>163</v>
      </c>
      <c r="B87">
        <v>2023</v>
      </c>
      <c r="C87">
        <v>4692301900</v>
      </c>
      <c r="D87" t="s">
        <v>164</v>
      </c>
      <c r="E87" t="s">
        <v>29</v>
      </c>
      <c r="F87" t="s">
        <v>30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1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 t="s">
        <v>31</v>
      </c>
      <c r="Z87">
        <v>55</v>
      </c>
      <c r="AA87">
        <v>20</v>
      </c>
    </row>
    <row r="88" spans="1:27" x14ac:dyDescent="0.2">
      <c r="A88" t="s">
        <v>163</v>
      </c>
      <c r="B88">
        <v>2023</v>
      </c>
      <c r="C88">
        <v>4691300300</v>
      </c>
      <c r="D88" t="s">
        <v>165</v>
      </c>
      <c r="E88" t="s">
        <v>29</v>
      </c>
      <c r="F88" t="s">
        <v>30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1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 t="s">
        <v>31</v>
      </c>
      <c r="Z88">
        <v>55</v>
      </c>
      <c r="AA88" s="2" t="s">
        <v>166</v>
      </c>
    </row>
    <row r="89" spans="1:27" x14ac:dyDescent="0.2">
      <c r="A89" t="s">
        <v>75</v>
      </c>
      <c r="B89">
        <v>2023</v>
      </c>
      <c r="C89">
        <v>4613201200</v>
      </c>
      <c r="D89" t="s">
        <v>167</v>
      </c>
      <c r="E89" t="s">
        <v>29</v>
      </c>
      <c r="F89" t="s">
        <v>30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5</v>
      </c>
      <c r="T89">
        <v>0</v>
      </c>
      <c r="U89">
        <v>0</v>
      </c>
      <c r="V89">
        <v>0</v>
      </c>
      <c r="W89">
        <v>0</v>
      </c>
      <c r="X89">
        <v>0</v>
      </c>
      <c r="Y89" t="s">
        <v>51</v>
      </c>
      <c r="Z89">
        <v>55</v>
      </c>
      <c r="AA89">
        <v>0</v>
      </c>
    </row>
    <row r="90" spans="1:27" x14ac:dyDescent="0.2">
      <c r="A90" t="s">
        <v>75</v>
      </c>
      <c r="B90">
        <v>2023</v>
      </c>
      <c r="C90">
        <v>4413700100</v>
      </c>
      <c r="D90" t="s">
        <v>168</v>
      </c>
      <c r="E90" t="s">
        <v>29</v>
      </c>
      <c r="F90" t="s">
        <v>30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 t="s">
        <v>31</v>
      </c>
      <c r="Z90">
        <v>55</v>
      </c>
      <c r="AA90">
        <v>100</v>
      </c>
    </row>
    <row r="91" spans="1:27" x14ac:dyDescent="0.2">
      <c r="A91" t="s">
        <v>75</v>
      </c>
      <c r="B91">
        <v>2023</v>
      </c>
      <c r="C91">
        <v>3194601700</v>
      </c>
      <c r="D91" t="s">
        <v>169</v>
      </c>
      <c r="E91" t="s">
        <v>29</v>
      </c>
      <c r="F91" t="s">
        <v>30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26</v>
      </c>
      <c r="T91">
        <v>0</v>
      </c>
      <c r="U91">
        <v>0</v>
      </c>
      <c r="V91">
        <v>0</v>
      </c>
      <c r="W91">
        <v>0</v>
      </c>
      <c r="X91">
        <v>0</v>
      </c>
      <c r="Y91" t="s">
        <v>31</v>
      </c>
      <c r="Z91">
        <v>55</v>
      </c>
      <c r="AA91">
        <v>35</v>
      </c>
    </row>
    <row r="92" spans="1:27" x14ac:dyDescent="0.2">
      <c r="A92" t="s">
        <v>170</v>
      </c>
      <c r="B92">
        <v>2023</v>
      </c>
      <c r="C92">
        <v>63604313</v>
      </c>
      <c r="D92" t="s">
        <v>171</v>
      </c>
      <c r="E92" t="s">
        <v>29</v>
      </c>
      <c r="F92" t="s">
        <v>30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12</v>
      </c>
      <c r="T92">
        <v>0</v>
      </c>
      <c r="U92">
        <v>0</v>
      </c>
      <c r="V92">
        <v>0</v>
      </c>
      <c r="W92">
        <v>0</v>
      </c>
      <c r="X92">
        <v>0</v>
      </c>
      <c r="Y92" t="s">
        <v>31</v>
      </c>
      <c r="Z92">
        <v>30</v>
      </c>
      <c r="AA92">
        <v>144</v>
      </c>
    </row>
    <row r="93" spans="1:27" x14ac:dyDescent="0.2">
      <c r="A93" t="s">
        <v>172</v>
      </c>
      <c r="B93">
        <v>2023</v>
      </c>
      <c r="C93" t="s">
        <v>173</v>
      </c>
      <c r="D93" t="s">
        <v>174</v>
      </c>
      <c r="E93" t="s">
        <v>29</v>
      </c>
      <c r="F93" t="s">
        <v>30</v>
      </c>
      <c r="G93">
        <v>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 t="s">
        <v>31</v>
      </c>
      <c r="Z93">
        <v>55</v>
      </c>
      <c r="AA93">
        <v>50</v>
      </c>
    </row>
    <row r="94" spans="1:27" x14ac:dyDescent="0.2">
      <c r="A94" t="s">
        <v>172</v>
      </c>
      <c r="B94">
        <v>2023</v>
      </c>
      <c r="C94" t="s">
        <v>175</v>
      </c>
      <c r="D94" t="s">
        <v>176</v>
      </c>
      <c r="E94" t="s">
        <v>29</v>
      </c>
      <c r="F94" t="s">
        <v>30</v>
      </c>
      <c r="G94">
        <v>0</v>
      </c>
      <c r="H94">
        <v>0</v>
      </c>
      <c r="I94">
        <v>14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 t="s">
        <v>31</v>
      </c>
      <c r="Z94">
        <v>55</v>
      </c>
      <c r="AA94">
        <v>50</v>
      </c>
    </row>
    <row r="95" spans="1:27" x14ac:dyDescent="0.2">
      <c r="A95" t="s">
        <v>172</v>
      </c>
      <c r="B95">
        <v>2023</v>
      </c>
      <c r="C95" t="s">
        <v>177</v>
      </c>
      <c r="D95" t="s">
        <v>178</v>
      </c>
      <c r="E95" t="s">
        <v>29</v>
      </c>
      <c r="F95" t="s">
        <v>30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49</v>
      </c>
      <c r="N95">
        <v>0</v>
      </c>
      <c r="O95">
        <v>51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 t="s">
        <v>31</v>
      </c>
      <c r="Z95">
        <v>55</v>
      </c>
      <c r="AA95">
        <v>50</v>
      </c>
    </row>
    <row r="96" spans="1:27" x14ac:dyDescent="0.2">
      <c r="A96" t="s">
        <v>75</v>
      </c>
      <c r="B96">
        <v>2023</v>
      </c>
      <c r="C96">
        <v>4456413200</v>
      </c>
      <c r="D96" t="s">
        <v>179</v>
      </c>
      <c r="E96" t="s">
        <v>29</v>
      </c>
      <c r="F96" t="s">
        <v>30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3</v>
      </c>
      <c r="T96">
        <v>0</v>
      </c>
      <c r="U96">
        <v>0</v>
      </c>
      <c r="V96">
        <v>0</v>
      </c>
      <c r="W96">
        <v>0</v>
      </c>
      <c r="X96">
        <v>0</v>
      </c>
      <c r="Y96" t="s">
        <v>31</v>
      </c>
      <c r="Z96">
        <v>55</v>
      </c>
      <c r="AA96">
        <v>100</v>
      </c>
    </row>
    <row r="97" spans="1:27" x14ac:dyDescent="0.2">
      <c r="A97" t="s">
        <v>75</v>
      </c>
      <c r="B97">
        <v>2023</v>
      </c>
      <c r="C97">
        <v>4530420100</v>
      </c>
      <c r="D97" t="s">
        <v>180</v>
      </c>
      <c r="E97" t="s">
        <v>29</v>
      </c>
      <c r="F97" t="s">
        <v>30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3</v>
      </c>
      <c r="T97">
        <v>0</v>
      </c>
      <c r="U97">
        <v>0</v>
      </c>
      <c r="V97">
        <v>0</v>
      </c>
      <c r="W97">
        <v>0</v>
      </c>
      <c r="X97">
        <v>0</v>
      </c>
      <c r="Y97" t="s">
        <v>31</v>
      </c>
      <c r="Z97">
        <v>55</v>
      </c>
      <c r="AA97">
        <v>50</v>
      </c>
    </row>
    <row r="98" spans="1:27" x14ac:dyDescent="0.2">
      <c r="A98" t="s">
        <v>172</v>
      </c>
      <c r="B98">
        <v>2023</v>
      </c>
      <c r="C98" t="s">
        <v>181</v>
      </c>
      <c r="D98" t="s">
        <v>182</v>
      </c>
      <c r="E98" t="s">
        <v>29</v>
      </c>
      <c r="F98" t="s">
        <v>30</v>
      </c>
      <c r="G98">
        <v>0</v>
      </c>
      <c r="H98">
        <v>0</v>
      </c>
      <c r="I98">
        <v>0</v>
      </c>
      <c r="J98">
        <v>0</v>
      </c>
      <c r="K98">
        <v>24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 t="s">
        <v>31</v>
      </c>
      <c r="Z98">
        <v>55</v>
      </c>
      <c r="AA98">
        <v>42.5</v>
      </c>
    </row>
    <row r="99" spans="1:27" x14ac:dyDescent="0.2">
      <c r="A99" t="s">
        <v>172</v>
      </c>
      <c r="B99">
        <v>2023</v>
      </c>
      <c r="C99" t="s">
        <v>183</v>
      </c>
      <c r="D99" t="s">
        <v>184</v>
      </c>
      <c r="E99" t="s">
        <v>29</v>
      </c>
      <c r="F99" t="s">
        <v>30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49</v>
      </c>
      <c r="N99">
        <v>0</v>
      </c>
      <c r="O99">
        <v>0</v>
      </c>
      <c r="P99">
        <v>0</v>
      </c>
      <c r="Q99">
        <v>1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 t="s">
        <v>31</v>
      </c>
      <c r="Z99">
        <v>55</v>
      </c>
      <c r="AA99">
        <v>75</v>
      </c>
    </row>
    <row r="100" spans="1:27" x14ac:dyDescent="0.2">
      <c r="A100" t="s">
        <v>69</v>
      </c>
      <c r="B100">
        <v>2023</v>
      </c>
      <c r="C100" t="s">
        <v>185</v>
      </c>
      <c r="D100" t="s">
        <v>186</v>
      </c>
      <c r="E100" t="s">
        <v>29</v>
      </c>
      <c r="F100" t="s">
        <v>30</v>
      </c>
      <c r="G100">
        <v>1</v>
      </c>
      <c r="H100">
        <v>0</v>
      </c>
      <c r="I100">
        <v>1</v>
      </c>
      <c r="J100">
        <v>0</v>
      </c>
      <c r="K100">
        <v>0</v>
      </c>
      <c r="L100">
        <v>0</v>
      </c>
      <c r="M100">
        <v>1</v>
      </c>
      <c r="N100">
        <v>0</v>
      </c>
      <c r="O100">
        <v>1</v>
      </c>
      <c r="P100">
        <v>0</v>
      </c>
      <c r="Q100">
        <v>0</v>
      </c>
      <c r="R100">
        <v>0</v>
      </c>
      <c r="S100">
        <v>1</v>
      </c>
      <c r="T100">
        <v>0</v>
      </c>
      <c r="U100">
        <v>1</v>
      </c>
      <c r="V100">
        <v>0</v>
      </c>
      <c r="W100">
        <v>0</v>
      </c>
      <c r="X100">
        <v>0</v>
      </c>
      <c r="Y100" t="s">
        <v>51</v>
      </c>
      <c r="Z100">
        <v>55</v>
      </c>
      <c r="AA100">
        <v>0</v>
      </c>
    </row>
    <row r="101" spans="1:27" x14ac:dyDescent="0.2">
      <c r="A101" t="s">
        <v>75</v>
      </c>
      <c r="B101">
        <v>2023</v>
      </c>
      <c r="C101">
        <v>6381902700</v>
      </c>
      <c r="D101" t="s">
        <v>187</v>
      </c>
      <c r="E101" t="s">
        <v>29</v>
      </c>
      <c r="F101" t="s">
        <v>30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100</v>
      </c>
      <c r="N101">
        <v>0</v>
      </c>
      <c r="O101">
        <v>0</v>
      </c>
      <c r="P101">
        <v>0</v>
      </c>
      <c r="Q101">
        <v>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 t="s">
        <v>31</v>
      </c>
      <c r="Z101">
        <v>55</v>
      </c>
      <c r="AA101">
        <v>91</v>
      </c>
    </row>
    <row r="102" spans="1:27" x14ac:dyDescent="0.2">
      <c r="A102" t="s">
        <v>75</v>
      </c>
      <c r="B102">
        <v>2023</v>
      </c>
      <c r="C102">
        <v>5333221300</v>
      </c>
      <c r="D102" t="s">
        <v>188</v>
      </c>
      <c r="E102" t="s">
        <v>29</v>
      </c>
      <c r="F102" t="s">
        <v>30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43</v>
      </c>
      <c r="N102">
        <v>0</v>
      </c>
      <c r="O102">
        <v>20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 t="s">
        <v>31</v>
      </c>
      <c r="Z102">
        <v>55</v>
      </c>
      <c r="AA102">
        <v>15</v>
      </c>
    </row>
    <row r="103" spans="1:27" x14ac:dyDescent="0.2">
      <c r="A103" t="s">
        <v>75</v>
      </c>
      <c r="B103">
        <v>2023</v>
      </c>
      <c r="C103">
        <v>6461007100</v>
      </c>
      <c r="D103" t="s">
        <v>189</v>
      </c>
      <c r="E103" t="s">
        <v>29</v>
      </c>
      <c r="F103" t="s">
        <v>30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60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t="s">
        <v>31</v>
      </c>
      <c r="Z103">
        <v>55</v>
      </c>
      <c r="AA103">
        <v>0</v>
      </c>
    </row>
    <row r="104" spans="1:27" x14ac:dyDescent="0.2">
      <c r="A104" t="s">
        <v>75</v>
      </c>
      <c r="B104">
        <v>2023</v>
      </c>
      <c r="C104">
        <v>6461008400</v>
      </c>
      <c r="D104" t="s">
        <v>190</v>
      </c>
      <c r="E104" t="s">
        <v>29</v>
      </c>
      <c r="F104" t="s">
        <v>30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59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 t="s">
        <v>31</v>
      </c>
      <c r="Z104">
        <v>55</v>
      </c>
      <c r="AA104">
        <v>0</v>
      </c>
    </row>
    <row r="105" spans="1:27" x14ac:dyDescent="0.2">
      <c r="A105" t="s">
        <v>75</v>
      </c>
      <c r="B105">
        <v>2023</v>
      </c>
      <c r="C105">
        <v>3136801800</v>
      </c>
      <c r="D105" t="s">
        <v>191</v>
      </c>
      <c r="E105" t="s">
        <v>29</v>
      </c>
      <c r="F105" t="s">
        <v>30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10</v>
      </c>
      <c r="P105">
        <v>0</v>
      </c>
      <c r="Q105">
        <v>5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 t="s">
        <v>31</v>
      </c>
      <c r="Z105">
        <v>55</v>
      </c>
      <c r="AA105">
        <v>0</v>
      </c>
    </row>
    <row r="106" spans="1:27" x14ac:dyDescent="0.2">
      <c r="A106" t="s">
        <v>75</v>
      </c>
      <c r="B106">
        <v>2023</v>
      </c>
      <c r="C106">
        <v>4666920400</v>
      </c>
      <c r="D106" t="s">
        <v>192</v>
      </c>
      <c r="E106" t="s">
        <v>29</v>
      </c>
      <c r="F106" t="s">
        <v>30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41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 t="s">
        <v>31</v>
      </c>
      <c r="Z106">
        <v>55</v>
      </c>
      <c r="AA106">
        <v>100</v>
      </c>
    </row>
    <row r="107" spans="1:27" x14ac:dyDescent="0.2">
      <c r="A107" t="s">
        <v>75</v>
      </c>
      <c r="B107">
        <v>2023</v>
      </c>
      <c r="C107">
        <v>4671712800</v>
      </c>
      <c r="D107" t="s">
        <v>193</v>
      </c>
      <c r="E107" t="s">
        <v>29</v>
      </c>
      <c r="F107" t="s">
        <v>30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3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t="s">
        <v>31</v>
      </c>
      <c r="Z107">
        <v>55</v>
      </c>
      <c r="AA107">
        <v>48</v>
      </c>
    </row>
    <row r="108" spans="1:27" x14ac:dyDescent="0.2">
      <c r="A108" t="s">
        <v>75</v>
      </c>
      <c r="B108">
        <v>2023</v>
      </c>
      <c r="C108">
        <v>5481301800</v>
      </c>
      <c r="D108" t="s">
        <v>194</v>
      </c>
      <c r="E108" t="s">
        <v>29</v>
      </c>
      <c r="F108" t="s">
        <v>30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14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 t="s">
        <v>31</v>
      </c>
      <c r="Z108">
        <v>55</v>
      </c>
      <c r="AA108">
        <v>0</v>
      </c>
    </row>
    <row r="109" spans="1:27" x14ac:dyDescent="0.2">
      <c r="A109" t="s">
        <v>75</v>
      </c>
      <c r="B109">
        <v>2023</v>
      </c>
      <c r="C109">
        <v>4455512100</v>
      </c>
      <c r="D109" t="s">
        <v>195</v>
      </c>
      <c r="E109" t="s">
        <v>29</v>
      </c>
      <c r="F109" t="s">
        <v>30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 t="s">
        <v>51</v>
      </c>
      <c r="Z109">
        <v>55</v>
      </c>
      <c r="AA109">
        <v>0</v>
      </c>
    </row>
    <row r="110" spans="1:27" x14ac:dyDescent="0.2">
      <c r="A110" t="s">
        <v>69</v>
      </c>
      <c r="B110">
        <v>2023</v>
      </c>
      <c r="C110" t="s">
        <v>196</v>
      </c>
      <c r="D110" t="s">
        <v>197</v>
      </c>
      <c r="E110" t="s">
        <v>29</v>
      </c>
      <c r="F110" t="s">
        <v>30</v>
      </c>
      <c r="G110">
        <v>0</v>
      </c>
      <c r="H110">
        <v>0</v>
      </c>
      <c r="I110">
        <v>0</v>
      </c>
      <c r="J110">
        <v>0</v>
      </c>
      <c r="K110">
        <v>4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t="s">
        <v>51</v>
      </c>
      <c r="Z110">
        <v>55</v>
      </c>
      <c r="AA110">
        <v>0</v>
      </c>
    </row>
    <row r="111" spans="1:27" x14ac:dyDescent="0.2">
      <c r="A111" t="s">
        <v>75</v>
      </c>
      <c r="B111">
        <v>2023</v>
      </c>
      <c r="C111">
        <v>5313420300</v>
      </c>
      <c r="D111" t="s">
        <v>198</v>
      </c>
      <c r="E111" t="s">
        <v>29</v>
      </c>
      <c r="F111" t="s">
        <v>30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 t="s">
        <v>51</v>
      </c>
      <c r="Z111">
        <v>55</v>
      </c>
      <c r="AA111">
        <v>0</v>
      </c>
    </row>
    <row r="112" spans="1:27" x14ac:dyDescent="0.2">
      <c r="A112" t="s">
        <v>75</v>
      </c>
      <c r="B112">
        <v>2023</v>
      </c>
      <c r="C112">
        <v>4521031000</v>
      </c>
      <c r="D112" t="s">
        <v>199</v>
      </c>
      <c r="E112" t="s">
        <v>29</v>
      </c>
      <c r="F112" t="s">
        <v>30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9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t="s">
        <v>31</v>
      </c>
      <c r="Z112">
        <v>55</v>
      </c>
      <c r="AA112">
        <v>20</v>
      </c>
    </row>
    <row r="113" spans="1:27" x14ac:dyDescent="0.2">
      <c r="A113" t="s">
        <v>75</v>
      </c>
      <c r="B113">
        <v>2023</v>
      </c>
      <c r="C113">
        <v>5480511000</v>
      </c>
      <c r="D113" t="s">
        <v>200</v>
      </c>
      <c r="E113" t="s">
        <v>29</v>
      </c>
      <c r="F113" t="s">
        <v>30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28</v>
      </c>
      <c r="N113">
        <v>0</v>
      </c>
      <c r="O113">
        <v>109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 t="s">
        <v>31</v>
      </c>
      <c r="Z113">
        <v>55</v>
      </c>
      <c r="AA113">
        <v>500</v>
      </c>
    </row>
    <row r="114" spans="1:27" x14ac:dyDescent="0.2">
      <c r="A114" t="s">
        <v>75</v>
      </c>
      <c r="B114">
        <v>2023</v>
      </c>
      <c r="C114">
        <v>6370211700</v>
      </c>
      <c r="D114" t="s">
        <v>201</v>
      </c>
      <c r="E114" t="s">
        <v>29</v>
      </c>
      <c r="F114" t="s">
        <v>30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99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t="s">
        <v>31</v>
      </c>
      <c r="Z114">
        <v>55</v>
      </c>
      <c r="AA114">
        <v>104</v>
      </c>
    </row>
    <row r="115" spans="1:27" x14ac:dyDescent="0.2">
      <c r="A115" t="s">
        <v>75</v>
      </c>
      <c r="B115">
        <v>2023</v>
      </c>
      <c r="C115">
        <v>4671713300</v>
      </c>
      <c r="D115" t="s">
        <v>202</v>
      </c>
      <c r="E115" t="s">
        <v>29</v>
      </c>
      <c r="F115" t="s">
        <v>30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 t="s">
        <v>31</v>
      </c>
      <c r="Z115">
        <v>55</v>
      </c>
      <c r="AA115">
        <v>19</v>
      </c>
    </row>
    <row r="116" spans="1:27" x14ac:dyDescent="0.2">
      <c r="A116" t="s">
        <v>75</v>
      </c>
      <c r="B116">
        <v>2023</v>
      </c>
      <c r="C116">
        <v>4365711100</v>
      </c>
      <c r="D116" t="s">
        <v>203</v>
      </c>
      <c r="E116" t="s">
        <v>29</v>
      </c>
      <c r="F116" t="s">
        <v>30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1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 t="s">
        <v>31</v>
      </c>
      <c r="Z116">
        <v>55</v>
      </c>
      <c r="AA116">
        <v>100</v>
      </c>
    </row>
    <row r="117" spans="1:27" x14ac:dyDescent="0.2">
      <c r="A117" t="s">
        <v>75</v>
      </c>
      <c r="B117">
        <v>2021</v>
      </c>
      <c r="C117">
        <v>4531540100</v>
      </c>
      <c r="D117" t="s">
        <v>204</v>
      </c>
      <c r="E117" t="s">
        <v>29</v>
      </c>
      <c r="F117" t="s">
        <v>30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2</v>
      </c>
      <c r="T117">
        <v>0</v>
      </c>
      <c r="U117">
        <v>0</v>
      </c>
      <c r="V117">
        <v>0</v>
      </c>
      <c r="W117">
        <v>0</v>
      </c>
      <c r="X117">
        <v>0</v>
      </c>
      <c r="Y117" t="s">
        <v>31</v>
      </c>
      <c r="Z117">
        <v>55</v>
      </c>
      <c r="AA117">
        <v>0</v>
      </c>
    </row>
    <row r="118" spans="1:27" x14ac:dyDescent="0.2">
      <c r="A118" t="s">
        <v>205</v>
      </c>
      <c r="B118">
        <v>2023</v>
      </c>
      <c r="C118" t="s">
        <v>206</v>
      </c>
      <c r="D118" t="s">
        <v>207</v>
      </c>
      <c r="E118" t="s">
        <v>29</v>
      </c>
      <c r="F118" t="s">
        <v>30</v>
      </c>
      <c r="G118">
        <v>0</v>
      </c>
      <c r="H118">
        <v>0</v>
      </c>
      <c r="I118">
        <v>0</v>
      </c>
      <c r="J118">
        <v>6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 t="s">
        <v>31</v>
      </c>
      <c r="AA118">
        <v>6</v>
      </c>
    </row>
    <row r="119" spans="1:27" x14ac:dyDescent="0.2">
      <c r="A119" t="s">
        <v>75</v>
      </c>
      <c r="B119">
        <v>2023</v>
      </c>
      <c r="C119">
        <v>4520561300</v>
      </c>
      <c r="D119" t="s">
        <v>208</v>
      </c>
      <c r="E119" t="s">
        <v>29</v>
      </c>
      <c r="F119" t="s">
        <v>30</v>
      </c>
      <c r="G119">
        <v>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 t="s">
        <v>51</v>
      </c>
      <c r="Z119">
        <v>55</v>
      </c>
      <c r="AA119">
        <v>0</v>
      </c>
    </row>
    <row r="120" spans="1:27" x14ac:dyDescent="0.2">
      <c r="A120" t="s">
        <v>75</v>
      </c>
      <c r="B120">
        <v>2023</v>
      </c>
      <c r="C120">
        <v>4635903200</v>
      </c>
      <c r="D120" t="s">
        <v>209</v>
      </c>
      <c r="E120" t="s">
        <v>29</v>
      </c>
      <c r="F120" t="s">
        <v>30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34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 t="s">
        <v>51</v>
      </c>
      <c r="Z120">
        <v>55</v>
      </c>
      <c r="AA120">
        <v>0</v>
      </c>
    </row>
    <row r="121" spans="1:27" x14ac:dyDescent="0.2">
      <c r="A121" t="s">
        <v>75</v>
      </c>
      <c r="B121">
        <v>2023</v>
      </c>
      <c r="C121">
        <v>4373500500</v>
      </c>
      <c r="D121" t="s">
        <v>210</v>
      </c>
      <c r="E121" t="s">
        <v>29</v>
      </c>
      <c r="F121" t="s">
        <v>30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 t="s">
        <v>51</v>
      </c>
      <c r="Z121">
        <v>55</v>
      </c>
      <c r="AA121">
        <v>0</v>
      </c>
    </row>
    <row r="122" spans="1:27" x14ac:dyDescent="0.2">
      <c r="A122" t="s">
        <v>75</v>
      </c>
      <c r="B122">
        <v>2023</v>
      </c>
      <c r="C122">
        <v>3616611200</v>
      </c>
      <c r="D122" t="s">
        <v>211</v>
      </c>
      <c r="E122" t="s">
        <v>29</v>
      </c>
      <c r="F122" t="s">
        <v>30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230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 t="s">
        <v>31</v>
      </c>
      <c r="Z122">
        <v>55</v>
      </c>
      <c r="AA122">
        <v>49</v>
      </c>
    </row>
    <row r="123" spans="1:27" x14ac:dyDescent="0.2">
      <c r="A123" t="s">
        <v>75</v>
      </c>
      <c r="B123">
        <v>2023</v>
      </c>
      <c r="C123">
        <v>6782511300</v>
      </c>
      <c r="D123" t="s">
        <v>212</v>
      </c>
      <c r="E123" t="s">
        <v>29</v>
      </c>
      <c r="F123" t="s">
        <v>30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57</v>
      </c>
      <c r="V123">
        <v>0</v>
      </c>
      <c r="W123">
        <v>0</v>
      </c>
      <c r="X123">
        <v>0</v>
      </c>
      <c r="Y123" t="s">
        <v>31</v>
      </c>
      <c r="Z123">
        <v>55</v>
      </c>
      <c r="AA123">
        <v>0</v>
      </c>
    </row>
    <row r="124" spans="1:27" x14ac:dyDescent="0.2">
      <c r="A124" t="s">
        <v>75</v>
      </c>
      <c r="B124">
        <v>2023</v>
      </c>
      <c r="C124">
        <v>6782521500</v>
      </c>
      <c r="D124" t="s">
        <v>213</v>
      </c>
      <c r="E124" t="s">
        <v>29</v>
      </c>
      <c r="F124" t="s">
        <v>30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99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 t="s">
        <v>31</v>
      </c>
      <c r="Z124">
        <v>55</v>
      </c>
      <c r="AA124">
        <v>178</v>
      </c>
    </row>
    <row r="125" spans="1:27" x14ac:dyDescent="0.2">
      <c r="A125" t="s">
        <v>75</v>
      </c>
      <c r="B125">
        <v>2023</v>
      </c>
      <c r="C125">
        <v>5481301800</v>
      </c>
      <c r="D125" t="s">
        <v>214</v>
      </c>
      <c r="E125" t="s">
        <v>29</v>
      </c>
      <c r="F125" t="s">
        <v>30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18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 t="s">
        <v>31</v>
      </c>
      <c r="Z125">
        <v>55</v>
      </c>
      <c r="AA125">
        <v>0</v>
      </c>
    </row>
    <row r="126" spans="1:27" x14ac:dyDescent="0.2">
      <c r="A126" t="s">
        <v>75</v>
      </c>
      <c r="B126">
        <v>2023</v>
      </c>
      <c r="C126">
        <v>5481301800</v>
      </c>
      <c r="D126" t="s">
        <v>215</v>
      </c>
      <c r="E126" t="s">
        <v>29</v>
      </c>
      <c r="F126" t="s">
        <v>30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15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 t="s">
        <v>31</v>
      </c>
      <c r="Z126">
        <v>55</v>
      </c>
      <c r="AA126">
        <v>0</v>
      </c>
    </row>
    <row r="127" spans="1:27" x14ac:dyDescent="0.2">
      <c r="A127" t="s">
        <v>75</v>
      </c>
      <c r="B127">
        <v>2023</v>
      </c>
      <c r="C127">
        <v>5481301800</v>
      </c>
      <c r="D127" t="s">
        <v>216</v>
      </c>
      <c r="E127" t="s">
        <v>29</v>
      </c>
      <c r="F127" t="s">
        <v>30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15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 t="s">
        <v>31</v>
      </c>
      <c r="Z127">
        <v>55</v>
      </c>
      <c r="AA127">
        <v>0</v>
      </c>
    </row>
    <row r="128" spans="1:27" x14ac:dyDescent="0.2">
      <c r="A128" t="s">
        <v>75</v>
      </c>
      <c r="B128">
        <v>2023</v>
      </c>
      <c r="C128">
        <v>4320600700</v>
      </c>
      <c r="D128" t="s">
        <v>217</v>
      </c>
      <c r="E128" t="s">
        <v>29</v>
      </c>
      <c r="F128" t="s">
        <v>30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 t="s">
        <v>31</v>
      </c>
      <c r="Z128">
        <v>55</v>
      </c>
      <c r="AA128">
        <v>43</v>
      </c>
    </row>
    <row r="129" spans="1:27" x14ac:dyDescent="0.2">
      <c r="A129" t="s">
        <v>38</v>
      </c>
      <c r="B129">
        <v>2023</v>
      </c>
      <c r="C129">
        <v>5674010023</v>
      </c>
      <c r="D129" t="s">
        <v>112</v>
      </c>
      <c r="E129" t="s">
        <v>29</v>
      </c>
      <c r="F129" t="s">
        <v>30</v>
      </c>
      <c r="G129">
        <v>26</v>
      </c>
      <c r="H129">
        <v>0</v>
      </c>
      <c r="I129">
        <v>100</v>
      </c>
      <c r="J129">
        <v>0</v>
      </c>
      <c r="K129">
        <v>0</v>
      </c>
      <c r="L129">
        <v>0</v>
      </c>
      <c r="M129">
        <v>26</v>
      </c>
      <c r="N129">
        <v>0</v>
      </c>
      <c r="O129">
        <v>100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 t="s">
        <v>31</v>
      </c>
      <c r="Z129">
        <v>72</v>
      </c>
      <c r="AA129">
        <v>324</v>
      </c>
    </row>
    <row r="130" spans="1:27" x14ac:dyDescent="0.2">
      <c r="A130" t="s">
        <v>38</v>
      </c>
      <c r="B130">
        <v>2023</v>
      </c>
      <c r="C130">
        <v>5695015030</v>
      </c>
      <c r="D130" t="s">
        <v>218</v>
      </c>
      <c r="E130" t="s">
        <v>29</v>
      </c>
      <c r="F130" t="s">
        <v>30</v>
      </c>
      <c r="G130">
        <v>0</v>
      </c>
      <c r="H130">
        <v>0</v>
      </c>
      <c r="I130">
        <v>2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2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 t="s">
        <v>31</v>
      </c>
      <c r="AA130">
        <v>35</v>
      </c>
    </row>
    <row r="131" spans="1:27" x14ac:dyDescent="0.2">
      <c r="A131" t="s">
        <v>219</v>
      </c>
      <c r="B131">
        <v>2023</v>
      </c>
      <c r="C131" t="s">
        <v>220</v>
      </c>
      <c r="D131" t="s">
        <v>221</v>
      </c>
      <c r="E131" t="s">
        <v>29</v>
      </c>
      <c r="F131" t="s">
        <v>30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16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 t="s">
        <v>31</v>
      </c>
      <c r="Z131">
        <v>55</v>
      </c>
      <c r="AA131">
        <v>70</v>
      </c>
    </row>
    <row r="132" spans="1:27" x14ac:dyDescent="0.2">
      <c r="A132" t="s">
        <v>219</v>
      </c>
      <c r="B132">
        <v>2023</v>
      </c>
      <c r="C132" t="s">
        <v>222</v>
      </c>
      <c r="D132" t="s">
        <v>223</v>
      </c>
      <c r="E132" t="s">
        <v>29</v>
      </c>
      <c r="F132" t="s">
        <v>30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56</v>
      </c>
      <c r="T132">
        <v>0</v>
      </c>
      <c r="U132">
        <v>491</v>
      </c>
      <c r="V132">
        <v>0</v>
      </c>
      <c r="W132">
        <v>0</v>
      </c>
      <c r="X132">
        <v>0</v>
      </c>
      <c r="Y132" t="s">
        <v>31</v>
      </c>
      <c r="Z132">
        <v>55</v>
      </c>
      <c r="AA132">
        <v>55</v>
      </c>
    </row>
    <row r="133" spans="1:27" x14ac:dyDescent="0.2">
      <c r="A133" t="s">
        <v>75</v>
      </c>
      <c r="B133">
        <v>2023</v>
      </c>
      <c r="C133">
        <v>4521032700</v>
      </c>
      <c r="D133" t="s">
        <v>224</v>
      </c>
      <c r="E133" t="s">
        <v>29</v>
      </c>
      <c r="F133" t="s">
        <v>30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0</v>
      </c>
      <c r="W133">
        <v>0</v>
      </c>
      <c r="X133">
        <v>0</v>
      </c>
      <c r="Y133" t="s">
        <v>31</v>
      </c>
      <c r="Z133">
        <v>55</v>
      </c>
      <c r="AA133">
        <v>100</v>
      </c>
    </row>
    <row r="134" spans="1:27" x14ac:dyDescent="0.2">
      <c r="A134" t="s">
        <v>75</v>
      </c>
      <c r="B134">
        <v>2023</v>
      </c>
      <c r="C134">
        <v>4413700100</v>
      </c>
      <c r="D134" t="s">
        <v>168</v>
      </c>
      <c r="E134" t="s">
        <v>29</v>
      </c>
      <c r="F134" t="s">
        <v>30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1</v>
      </c>
      <c r="T134">
        <v>0</v>
      </c>
      <c r="U134">
        <v>0</v>
      </c>
      <c r="V134">
        <v>0</v>
      </c>
      <c r="W134">
        <v>0</v>
      </c>
      <c r="X134">
        <v>0</v>
      </c>
      <c r="Y134" t="s">
        <v>31</v>
      </c>
      <c r="Z134">
        <v>55</v>
      </c>
      <c r="AA134">
        <v>100</v>
      </c>
    </row>
    <row r="135" spans="1:27" x14ac:dyDescent="0.2">
      <c r="A135" t="s">
        <v>75</v>
      </c>
      <c r="B135">
        <v>2023</v>
      </c>
      <c r="C135">
        <v>5334220100</v>
      </c>
      <c r="D135" t="s">
        <v>225</v>
      </c>
      <c r="E135" t="s">
        <v>29</v>
      </c>
      <c r="F135" t="s">
        <v>30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77</v>
      </c>
      <c r="V135">
        <v>0</v>
      </c>
      <c r="W135">
        <v>0</v>
      </c>
      <c r="X135">
        <v>0</v>
      </c>
      <c r="Y135" t="s">
        <v>51</v>
      </c>
      <c r="Z135">
        <v>55</v>
      </c>
      <c r="AA135">
        <v>0</v>
      </c>
    </row>
    <row r="136" spans="1:27" x14ac:dyDescent="0.2">
      <c r="A136" t="s">
        <v>75</v>
      </c>
      <c r="B136">
        <v>2023</v>
      </c>
      <c r="C136">
        <v>6782511300</v>
      </c>
      <c r="D136" t="s">
        <v>226</v>
      </c>
      <c r="E136" t="s">
        <v>29</v>
      </c>
      <c r="F136" t="s">
        <v>30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48</v>
      </c>
      <c r="V136">
        <v>0</v>
      </c>
      <c r="W136">
        <v>0</v>
      </c>
      <c r="X136">
        <v>0</v>
      </c>
      <c r="Y136" t="s">
        <v>31</v>
      </c>
      <c r="Z136">
        <v>55</v>
      </c>
      <c r="AA136">
        <v>0</v>
      </c>
    </row>
    <row r="137" spans="1:27" x14ac:dyDescent="0.2">
      <c r="A137" t="s">
        <v>227</v>
      </c>
      <c r="B137">
        <v>2023</v>
      </c>
      <c r="C137" t="s">
        <v>228</v>
      </c>
      <c r="D137" t="s">
        <v>229</v>
      </c>
      <c r="E137" t="s">
        <v>29</v>
      </c>
      <c r="F137" t="s">
        <v>41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 t="s">
        <v>51</v>
      </c>
      <c r="AA137">
        <v>0</v>
      </c>
    </row>
    <row r="138" spans="1:27" x14ac:dyDescent="0.2">
      <c r="A138" t="s">
        <v>163</v>
      </c>
      <c r="B138">
        <v>2023</v>
      </c>
      <c r="C138">
        <v>4692301500</v>
      </c>
      <c r="D138" t="s">
        <v>164</v>
      </c>
      <c r="E138" t="s">
        <v>29</v>
      </c>
      <c r="F138" t="s">
        <v>30</v>
      </c>
      <c r="G138">
        <v>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 t="s">
        <v>31</v>
      </c>
      <c r="Z138">
        <v>55</v>
      </c>
      <c r="AA138">
        <v>20</v>
      </c>
    </row>
    <row r="139" spans="1:27" x14ac:dyDescent="0.2">
      <c r="A139" t="s">
        <v>163</v>
      </c>
      <c r="B139">
        <v>2023</v>
      </c>
      <c r="C139">
        <v>4691304700</v>
      </c>
      <c r="D139" t="s">
        <v>230</v>
      </c>
      <c r="E139" t="s">
        <v>29</v>
      </c>
      <c r="F139" t="s">
        <v>30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 t="s">
        <v>31</v>
      </c>
      <c r="Z139">
        <v>55</v>
      </c>
      <c r="AA139" s="2" t="s">
        <v>166</v>
      </c>
    </row>
    <row r="140" spans="1:27" x14ac:dyDescent="0.2">
      <c r="A140" t="s">
        <v>163</v>
      </c>
      <c r="B140">
        <v>2023</v>
      </c>
      <c r="C140">
        <v>4691300300</v>
      </c>
      <c r="D140" t="s">
        <v>231</v>
      </c>
      <c r="E140" t="s">
        <v>29</v>
      </c>
      <c r="F140" t="s">
        <v>30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2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 t="s">
        <v>31</v>
      </c>
      <c r="Z140">
        <v>55</v>
      </c>
      <c r="AA140" s="2" t="s">
        <v>166</v>
      </c>
    </row>
    <row r="141" spans="1:27" x14ac:dyDescent="0.2">
      <c r="A141" t="s">
        <v>163</v>
      </c>
      <c r="B141">
        <v>2023</v>
      </c>
      <c r="C141">
        <v>4990306700</v>
      </c>
      <c r="D141" t="s">
        <v>232</v>
      </c>
      <c r="E141" t="s">
        <v>29</v>
      </c>
      <c r="F141" t="s">
        <v>30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4</v>
      </c>
      <c r="T141">
        <v>0</v>
      </c>
      <c r="U141">
        <v>0</v>
      </c>
      <c r="V141">
        <v>0</v>
      </c>
      <c r="W141">
        <v>0</v>
      </c>
      <c r="X141">
        <v>0</v>
      </c>
      <c r="Y141" t="s">
        <v>31</v>
      </c>
      <c r="Z141">
        <v>55</v>
      </c>
      <c r="AA141">
        <v>35</v>
      </c>
    </row>
    <row r="142" spans="1:27" x14ac:dyDescent="0.2">
      <c r="A142" t="s">
        <v>233</v>
      </c>
      <c r="B142">
        <v>2023</v>
      </c>
      <c r="C142" t="s">
        <v>234</v>
      </c>
      <c r="D142" t="s">
        <v>235</v>
      </c>
      <c r="E142" t="s">
        <v>29</v>
      </c>
      <c r="F142" t="s">
        <v>30</v>
      </c>
      <c r="G142">
        <v>30</v>
      </c>
      <c r="H142">
        <v>0</v>
      </c>
      <c r="I142">
        <v>14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 t="s">
        <v>31</v>
      </c>
      <c r="AA142">
        <v>56</v>
      </c>
    </row>
    <row r="143" spans="1:27" x14ac:dyDescent="0.2">
      <c r="A143" t="s">
        <v>163</v>
      </c>
      <c r="B143">
        <v>2020</v>
      </c>
      <c r="C143">
        <v>4943001100</v>
      </c>
      <c r="D143" t="s">
        <v>236</v>
      </c>
      <c r="E143" t="s">
        <v>29</v>
      </c>
      <c r="F143" t="s">
        <v>30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10</v>
      </c>
      <c r="V143">
        <v>0</v>
      </c>
      <c r="W143">
        <v>0</v>
      </c>
      <c r="X143">
        <v>0</v>
      </c>
      <c r="Y143" t="s">
        <v>31</v>
      </c>
      <c r="Z143">
        <v>55</v>
      </c>
      <c r="AA143">
        <v>0</v>
      </c>
    </row>
    <row r="144" spans="1:27" x14ac:dyDescent="0.2">
      <c r="A144" t="s">
        <v>38</v>
      </c>
      <c r="B144">
        <v>2023</v>
      </c>
      <c r="C144" t="s">
        <v>237</v>
      </c>
      <c r="D144" t="s">
        <v>57</v>
      </c>
      <c r="E144" t="s">
        <v>29</v>
      </c>
      <c r="F144" t="s">
        <v>30</v>
      </c>
      <c r="G144">
        <v>4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4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 t="s">
        <v>31</v>
      </c>
      <c r="Z144">
        <v>55</v>
      </c>
      <c r="AA144" s="2" t="s">
        <v>58</v>
      </c>
    </row>
    <row r="145" spans="1:27" x14ac:dyDescent="0.2">
      <c r="A145" t="s">
        <v>38</v>
      </c>
      <c r="B145">
        <v>2023</v>
      </c>
      <c r="C145">
        <v>5674010024</v>
      </c>
      <c r="D145" t="s">
        <v>114</v>
      </c>
      <c r="E145" t="s">
        <v>29</v>
      </c>
      <c r="F145" t="s">
        <v>30</v>
      </c>
      <c r="G145">
        <v>31</v>
      </c>
      <c r="H145">
        <v>0</v>
      </c>
      <c r="I145">
        <v>8</v>
      </c>
      <c r="J145">
        <v>0</v>
      </c>
      <c r="K145">
        <v>0</v>
      </c>
      <c r="L145">
        <v>0</v>
      </c>
      <c r="M145">
        <v>31</v>
      </c>
      <c r="N145">
        <v>0</v>
      </c>
      <c r="O145">
        <v>8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 t="s">
        <v>31</v>
      </c>
      <c r="Z145">
        <v>75</v>
      </c>
      <c r="AA145">
        <v>17</v>
      </c>
    </row>
    <row r="146" spans="1:27" x14ac:dyDescent="0.2">
      <c r="A146" t="s">
        <v>75</v>
      </c>
      <c r="B146">
        <v>2021</v>
      </c>
      <c r="C146">
        <v>3576130100</v>
      </c>
      <c r="D146" t="s">
        <v>238</v>
      </c>
      <c r="E146" t="s">
        <v>29</v>
      </c>
      <c r="F146" t="s">
        <v>30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 t="s">
        <v>31</v>
      </c>
      <c r="Z146">
        <v>55</v>
      </c>
      <c r="AA146">
        <v>0</v>
      </c>
    </row>
    <row r="147" spans="1:27" x14ac:dyDescent="0.2">
      <c r="A147" t="s">
        <v>75</v>
      </c>
      <c r="B147">
        <v>2021</v>
      </c>
      <c r="C147">
        <v>5334220100</v>
      </c>
      <c r="D147" t="s">
        <v>239</v>
      </c>
      <c r="E147" t="s">
        <v>29</v>
      </c>
      <c r="F147" t="s">
        <v>30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32</v>
      </c>
      <c r="N147">
        <v>0</v>
      </c>
      <c r="O147">
        <v>45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 t="s">
        <v>51</v>
      </c>
      <c r="Z147">
        <v>55</v>
      </c>
      <c r="AA147">
        <v>0</v>
      </c>
    </row>
    <row r="148" spans="1:27" x14ac:dyDescent="0.2">
      <c r="A148" t="s">
        <v>75</v>
      </c>
      <c r="B148">
        <v>2021</v>
      </c>
      <c r="C148">
        <v>4612201200</v>
      </c>
      <c r="D148" t="s">
        <v>240</v>
      </c>
      <c r="E148" t="s">
        <v>29</v>
      </c>
      <c r="F148" t="s">
        <v>30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 t="s">
        <v>31</v>
      </c>
      <c r="Z148">
        <v>55</v>
      </c>
      <c r="AA148">
        <v>0</v>
      </c>
    </row>
    <row r="149" spans="1:27" x14ac:dyDescent="0.2">
      <c r="A149" t="s">
        <v>75</v>
      </c>
      <c r="B149">
        <v>2021</v>
      </c>
      <c r="C149">
        <v>5331061300</v>
      </c>
      <c r="D149" t="s">
        <v>241</v>
      </c>
      <c r="E149" t="s">
        <v>29</v>
      </c>
      <c r="F149" t="s">
        <v>30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 t="s">
        <v>31</v>
      </c>
      <c r="Z149">
        <v>55</v>
      </c>
      <c r="AA149">
        <v>0</v>
      </c>
    </row>
    <row r="150" spans="1:27" x14ac:dyDescent="0.2">
      <c r="A150" t="s">
        <v>219</v>
      </c>
      <c r="B150">
        <v>2023</v>
      </c>
      <c r="C150" t="s">
        <v>242</v>
      </c>
      <c r="D150" t="s">
        <v>243</v>
      </c>
      <c r="E150" t="s">
        <v>29</v>
      </c>
      <c r="F150" t="s">
        <v>30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92</v>
      </c>
      <c r="V150">
        <v>0</v>
      </c>
      <c r="W150">
        <v>0</v>
      </c>
      <c r="X150">
        <v>0</v>
      </c>
      <c r="Y150" t="s">
        <v>51</v>
      </c>
      <c r="Z150">
        <v>55</v>
      </c>
      <c r="AA150">
        <v>0</v>
      </c>
    </row>
    <row r="151" spans="1:27" x14ac:dyDescent="0.2">
      <c r="A151" t="s">
        <v>244</v>
      </c>
      <c r="B151">
        <v>2021</v>
      </c>
      <c r="C151" t="s">
        <v>245</v>
      </c>
      <c r="D151" t="s">
        <v>246</v>
      </c>
      <c r="E151" t="s">
        <v>29</v>
      </c>
      <c r="F151" t="s">
        <v>30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63</v>
      </c>
      <c r="N151">
        <v>0</v>
      </c>
      <c r="O151">
        <v>15</v>
      </c>
      <c r="P151">
        <v>0</v>
      </c>
      <c r="Q151">
        <v>2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 t="s">
        <v>31</v>
      </c>
      <c r="Z151">
        <v>30</v>
      </c>
      <c r="AA151">
        <v>0</v>
      </c>
    </row>
    <row r="152" spans="1:27" x14ac:dyDescent="0.2">
      <c r="A152" t="s">
        <v>75</v>
      </c>
      <c r="B152">
        <v>2021</v>
      </c>
      <c r="C152">
        <v>5332050300</v>
      </c>
      <c r="D152" t="s">
        <v>247</v>
      </c>
      <c r="E152" t="s">
        <v>29</v>
      </c>
      <c r="F152" t="s">
        <v>30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2</v>
      </c>
      <c r="T152">
        <v>0</v>
      </c>
      <c r="U152">
        <v>0</v>
      </c>
      <c r="V152">
        <v>0</v>
      </c>
      <c r="W152">
        <v>0</v>
      </c>
      <c r="X152">
        <v>0</v>
      </c>
      <c r="Y152" t="s">
        <v>31</v>
      </c>
      <c r="Z152">
        <v>55</v>
      </c>
      <c r="AA152">
        <v>0</v>
      </c>
    </row>
    <row r="153" spans="1:27" x14ac:dyDescent="0.2">
      <c r="A153" t="s">
        <v>75</v>
      </c>
      <c r="B153">
        <v>2021</v>
      </c>
      <c r="C153">
        <v>5395312900</v>
      </c>
      <c r="D153" t="s">
        <v>248</v>
      </c>
      <c r="E153" t="s">
        <v>29</v>
      </c>
      <c r="F153" t="s">
        <v>30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2</v>
      </c>
      <c r="V153">
        <v>0</v>
      </c>
      <c r="W153">
        <v>0</v>
      </c>
      <c r="X153">
        <v>0</v>
      </c>
      <c r="Y153" t="s">
        <v>31</v>
      </c>
      <c r="Z153">
        <v>55</v>
      </c>
      <c r="AA153">
        <v>0</v>
      </c>
    </row>
    <row r="154" spans="1:27" x14ac:dyDescent="0.2">
      <c r="A154" t="s">
        <v>172</v>
      </c>
      <c r="B154">
        <v>2023</v>
      </c>
      <c r="C154" t="s">
        <v>249</v>
      </c>
      <c r="D154" t="s">
        <v>250</v>
      </c>
      <c r="E154" t="s">
        <v>29</v>
      </c>
      <c r="F154" t="s">
        <v>30</v>
      </c>
      <c r="G154">
        <v>0</v>
      </c>
      <c r="H154">
        <v>0</v>
      </c>
      <c r="I154">
        <v>70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 t="s">
        <v>31</v>
      </c>
      <c r="Z154">
        <v>55</v>
      </c>
      <c r="AA154">
        <v>50</v>
      </c>
    </row>
    <row r="155" spans="1:27" x14ac:dyDescent="0.2">
      <c r="A155" t="s">
        <v>251</v>
      </c>
      <c r="B155">
        <v>2023</v>
      </c>
      <c r="C155" t="s">
        <v>252</v>
      </c>
      <c r="D155" t="s">
        <v>253</v>
      </c>
      <c r="E155" t="s">
        <v>29</v>
      </c>
      <c r="F155" t="s">
        <v>30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6</v>
      </c>
      <c r="T155">
        <v>0</v>
      </c>
      <c r="U155">
        <v>10</v>
      </c>
      <c r="V155">
        <v>0</v>
      </c>
      <c r="W155">
        <v>0</v>
      </c>
      <c r="X155">
        <v>0</v>
      </c>
      <c r="Y155" t="s">
        <v>31</v>
      </c>
      <c r="Z155">
        <v>55</v>
      </c>
      <c r="AA155">
        <v>20</v>
      </c>
    </row>
    <row r="156" spans="1:27" x14ac:dyDescent="0.2">
      <c r="A156" t="s">
        <v>254</v>
      </c>
      <c r="B156">
        <v>2023</v>
      </c>
      <c r="C156" t="s">
        <v>255</v>
      </c>
      <c r="D156" t="s">
        <v>256</v>
      </c>
      <c r="E156" t="s">
        <v>29</v>
      </c>
      <c r="F156" t="s">
        <v>30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38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 t="s">
        <v>31</v>
      </c>
      <c r="AA156">
        <v>144</v>
      </c>
    </row>
    <row r="157" spans="1:27" x14ac:dyDescent="0.2">
      <c r="A157" t="s">
        <v>163</v>
      </c>
      <c r="B157">
        <v>2020</v>
      </c>
      <c r="C157">
        <v>4702301600</v>
      </c>
      <c r="D157" t="s">
        <v>257</v>
      </c>
      <c r="E157" t="s">
        <v>29</v>
      </c>
      <c r="F157" t="s">
        <v>30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10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 t="s">
        <v>31</v>
      </c>
      <c r="Z157">
        <v>55</v>
      </c>
      <c r="AA157">
        <v>20</v>
      </c>
    </row>
    <row r="158" spans="1:27" x14ac:dyDescent="0.2">
      <c r="A158" t="s">
        <v>75</v>
      </c>
      <c r="B158">
        <v>2021</v>
      </c>
      <c r="C158">
        <v>4363621400</v>
      </c>
      <c r="D158" t="s">
        <v>258</v>
      </c>
      <c r="E158" t="s">
        <v>29</v>
      </c>
      <c r="F158" t="s">
        <v>30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3</v>
      </c>
      <c r="T158">
        <v>0</v>
      </c>
      <c r="U158">
        <v>0</v>
      </c>
      <c r="V158">
        <v>0</v>
      </c>
      <c r="W158">
        <v>0</v>
      </c>
      <c r="X158">
        <v>0</v>
      </c>
      <c r="Y158" t="s">
        <v>31</v>
      </c>
      <c r="Z158">
        <v>55</v>
      </c>
      <c r="AA158">
        <v>0</v>
      </c>
    </row>
    <row r="159" spans="1:27" x14ac:dyDescent="0.2">
      <c r="A159" t="s">
        <v>163</v>
      </c>
      <c r="B159">
        <v>2023</v>
      </c>
      <c r="C159">
        <v>4948402500</v>
      </c>
      <c r="D159" t="s">
        <v>259</v>
      </c>
      <c r="E159" t="s">
        <v>29</v>
      </c>
      <c r="F159" t="s">
        <v>30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 t="s">
        <v>31</v>
      </c>
      <c r="Z159">
        <v>55</v>
      </c>
      <c r="AA159">
        <v>0</v>
      </c>
    </row>
    <row r="160" spans="1:27" x14ac:dyDescent="0.2">
      <c r="A160" t="s">
        <v>260</v>
      </c>
      <c r="B160">
        <v>2023</v>
      </c>
      <c r="C160">
        <v>19410046000</v>
      </c>
      <c r="D160" t="s">
        <v>261</v>
      </c>
      <c r="E160" t="s">
        <v>29</v>
      </c>
      <c r="F160" t="s">
        <v>30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33</v>
      </c>
      <c r="T160">
        <v>0</v>
      </c>
      <c r="U160">
        <v>34</v>
      </c>
      <c r="V160">
        <v>0</v>
      </c>
      <c r="W160">
        <v>0</v>
      </c>
      <c r="X160">
        <v>0</v>
      </c>
      <c r="Y160" t="s">
        <v>31</v>
      </c>
      <c r="Z160">
        <v>1000</v>
      </c>
      <c r="AA160">
        <v>40</v>
      </c>
    </row>
    <row r="161" spans="1:27" x14ac:dyDescent="0.2">
      <c r="A161" t="s">
        <v>205</v>
      </c>
      <c r="B161">
        <v>2023</v>
      </c>
      <c r="C161" t="s">
        <v>262</v>
      </c>
      <c r="D161" t="s">
        <v>263</v>
      </c>
      <c r="E161" t="s">
        <v>29</v>
      </c>
      <c r="F161" t="s">
        <v>30</v>
      </c>
      <c r="G161">
        <v>0</v>
      </c>
      <c r="H161">
        <v>0</v>
      </c>
      <c r="I161">
        <v>0</v>
      </c>
      <c r="J161">
        <v>6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6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 t="s">
        <v>31</v>
      </c>
      <c r="AA161">
        <v>6</v>
      </c>
    </row>
    <row r="162" spans="1:27" x14ac:dyDescent="0.2">
      <c r="A162" t="s">
        <v>75</v>
      </c>
      <c r="B162">
        <v>2021</v>
      </c>
      <c r="C162">
        <v>4453232700</v>
      </c>
      <c r="D162" t="s">
        <v>264</v>
      </c>
      <c r="E162" t="s">
        <v>29</v>
      </c>
      <c r="F162" t="s">
        <v>30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2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 t="s">
        <v>31</v>
      </c>
      <c r="Z162">
        <v>55</v>
      </c>
      <c r="AA162">
        <v>0</v>
      </c>
    </row>
    <row r="163" spans="1:27" x14ac:dyDescent="0.2">
      <c r="A163" t="s">
        <v>75</v>
      </c>
      <c r="B163">
        <v>2021</v>
      </c>
      <c r="C163">
        <v>4456500800</v>
      </c>
      <c r="D163" t="s">
        <v>153</v>
      </c>
      <c r="E163" t="s">
        <v>29</v>
      </c>
      <c r="F163" t="s">
        <v>30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 t="s">
        <v>31</v>
      </c>
      <c r="Z163">
        <v>55</v>
      </c>
      <c r="AA163">
        <v>0</v>
      </c>
    </row>
    <row r="164" spans="1:27" x14ac:dyDescent="0.2">
      <c r="A164" t="s">
        <v>75</v>
      </c>
      <c r="B164">
        <v>2021</v>
      </c>
      <c r="C164">
        <v>4454011000</v>
      </c>
      <c r="D164" t="s">
        <v>133</v>
      </c>
      <c r="E164" t="s">
        <v>29</v>
      </c>
      <c r="F164" t="s">
        <v>30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54</v>
      </c>
      <c r="N164">
        <v>0</v>
      </c>
      <c r="O164">
        <v>6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 t="s">
        <v>31</v>
      </c>
      <c r="Z164">
        <v>55</v>
      </c>
      <c r="AA164">
        <v>0</v>
      </c>
    </row>
    <row r="165" spans="1:27" x14ac:dyDescent="0.2">
      <c r="A165" t="s">
        <v>75</v>
      </c>
      <c r="B165">
        <v>2021</v>
      </c>
      <c r="C165">
        <v>4613201200</v>
      </c>
      <c r="D165" t="s">
        <v>167</v>
      </c>
      <c r="E165" t="s">
        <v>29</v>
      </c>
      <c r="F165" t="s">
        <v>30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5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 t="s">
        <v>51</v>
      </c>
      <c r="Z165">
        <v>55</v>
      </c>
      <c r="AA165">
        <v>0</v>
      </c>
    </row>
    <row r="166" spans="1:27" x14ac:dyDescent="0.2">
      <c r="A166" t="s">
        <v>75</v>
      </c>
      <c r="B166">
        <v>2021</v>
      </c>
      <c r="C166">
        <v>6461021600</v>
      </c>
      <c r="D166" t="s">
        <v>265</v>
      </c>
      <c r="E166" t="s">
        <v>29</v>
      </c>
      <c r="F166" t="s">
        <v>30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 t="s">
        <v>51</v>
      </c>
      <c r="Z166">
        <v>55</v>
      </c>
      <c r="AA166">
        <v>0</v>
      </c>
    </row>
    <row r="167" spans="1:27" x14ac:dyDescent="0.2">
      <c r="A167" t="s">
        <v>251</v>
      </c>
      <c r="B167">
        <v>2023</v>
      </c>
      <c r="C167" t="s">
        <v>252</v>
      </c>
      <c r="D167" t="s">
        <v>266</v>
      </c>
      <c r="E167" t="s">
        <v>29</v>
      </c>
      <c r="F167" t="s">
        <v>30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15</v>
      </c>
      <c r="V167">
        <v>0</v>
      </c>
      <c r="W167">
        <v>0</v>
      </c>
      <c r="X167">
        <v>1</v>
      </c>
      <c r="Y167" t="s">
        <v>31</v>
      </c>
      <c r="Z167">
        <v>55</v>
      </c>
      <c r="AA167">
        <v>20</v>
      </c>
    </row>
    <row r="168" spans="1:27" x14ac:dyDescent="0.2">
      <c r="A168" t="s">
        <v>267</v>
      </c>
      <c r="B168">
        <v>2021</v>
      </c>
      <c r="C168" s="3">
        <v>23030</v>
      </c>
      <c r="D168" t="s">
        <v>268</v>
      </c>
      <c r="E168" t="s">
        <v>29</v>
      </c>
      <c r="F168" t="s">
        <v>30</v>
      </c>
      <c r="G168">
        <v>80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 t="s">
        <v>31</v>
      </c>
      <c r="Z168">
        <v>55</v>
      </c>
      <c r="AA168">
        <v>0</v>
      </c>
    </row>
    <row r="169" spans="1:27" x14ac:dyDescent="0.2">
      <c r="A169" t="s">
        <v>172</v>
      </c>
      <c r="B169">
        <v>2023</v>
      </c>
      <c r="C169" t="s">
        <v>269</v>
      </c>
      <c r="D169" t="s">
        <v>270</v>
      </c>
      <c r="E169" t="s">
        <v>29</v>
      </c>
      <c r="F169" t="s">
        <v>30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 t="s">
        <v>31</v>
      </c>
      <c r="Z169">
        <v>55</v>
      </c>
      <c r="AA169">
        <v>30</v>
      </c>
    </row>
    <row r="170" spans="1:27" x14ac:dyDescent="0.2">
      <c r="A170" t="s">
        <v>271</v>
      </c>
      <c r="B170">
        <v>2023</v>
      </c>
      <c r="C170">
        <v>8636013</v>
      </c>
      <c r="D170" t="s">
        <v>272</v>
      </c>
      <c r="E170" t="s">
        <v>29</v>
      </c>
      <c r="F170" t="s">
        <v>30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93</v>
      </c>
      <c r="T170">
        <v>0</v>
      </c>
      <c r="U170">
        <v>8</v>
      </c>
      <c r="V170">
        <v>0</v>
      </c>
      <c r="W170">
        <v>0</v>
      </c>
      <c r="X170">
        <v>0</v>
      </c>
      <c r="Y170" t="s">
        <v>31</v>
      </c>
      <c r="Z170">
        <v>55</v>
      </c>
      <c r="AA170">
        <v>36</v>
      </c>
    </row>
    <row r="171" spans="1:27" x14ac:dyDescent="0.2">
      <c r="A171" t="s">
        <v>75</v>
      </c>
      <c r="B171">
        <v>2021</v>
      </c>
      <c r="C171">
        <v>5341622500</v>
      </c>
      <c r="D171" t="s">
        <v>273</v>
      </c>
      <c r="E171" t="s">
        <v>29</v>
      </c>
      <c r="F171" t="s">
        <v>30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 t="s">
        <v>31</v>
      </c>
      <c r="Z171">
        <v>55</v>
      </c>
      <c r="AA171">
        <v>0</v>
      </c>
    </row>
    <row r="172" spans="1:27" x14ac:dyDescent="0.2">
      <c r="A172" t="s">
        <v>75</v>
      </c>
      <c r="B172">
        <v>2021</v>
      </c>
      <c r="C172">
        <v>3130601000</v>
      </c>
      <c r="D172" t="s">
        <v>274</v>
      </c>
      <c r="E172" t="s">
        <v>29</v>
      </c>
      <c r="F172" t="s">
        <v>30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 t="s">
        <v>31</v>
      </c>
      <c r="Z172">
        <v>55</v>
      </c>
      <c r="AA172">
        <v>0</v>
      </c>
    </row>
    <row r="173" spans="1:27" x14ac:dyDescent="0.2">
      <c r="A173" t="s">
        <v>75</v>
      </c>
      <c r="B173">
        <v>2021</v>
      </c>
      <c r="C173">
        <v>3130601000</v>
      </c>
      <c r="D173" t="s">
        <v>275</v>
      </c>
      <c r="E173" t="s">
        <v>29</v>
      </c>
      <c r="F173" t="s">
        <v>30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 t="s">
        <v>31</v>
      </c>
      <c r="Z173">
        <v>55</v>
      </c>
      <c r="AA173">
        <v>0</v>
      </c>
    </row>
    <row r="174" spans="1:27" x14ac:dyDescent="0.2">
      <c r="A174" t="s">
        <v>75</v>
      </c>
      <c r="B174">
        <v>2021</v>
      </c>
      <c r="C174">
        <v>4456921800</v>
      </c>
      <c r="D174" t="s">
        <v>276</v>
      </c>
      <c r="E174" t="s">
        <v>29</v>
      </c>
      <c r="F174" t="s">
        <v>30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3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 t="s">
        <v>31</v>
      </c>
      <c r="Z174">
        <v>55</v>
      </c>
      <c r="AA174">
        <v>0</v>
      </c>
    </row>
    <row r="175" spans="1:27" x14ac:dyDescent="0.2">
      <c r="A175" t="s">
        <v>75</v>
      </c>
      <c r="B175">
        <v>2021</v>
      </c>
      <c r="C175">
        <v>4413700100</v>
      </c>
      <c r="D175" t="s">
        <v>168</v>
      </c>
      <c r="E175" t="s">
        <v>29</v>
      </c>
      <c r="F175" t="s">
        <v>30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 t="s">
        <v>31</v>
      </c>
      <c r="Z175">
        <v>55</v>
      </c>
      <c r="AA175">
        <v>0</v>
      </c>
    </row>
    <row r="176" spans="1:27" x14ac:dyDescent="0.2">
      <c r="A176" t="s">
        <v>251</v>
      </c>
      <c r="B176">
        <v>2023</v>
      </c>
      <c r="C176" t="s">
        <v>252</v>
      </c>
      <c r="D176" t="s">
        <v>277</v>
      </c>
      <c r="E176" t="s">
        <v>29</v>
      </c>
      <c r="F176" t="s">
        <v>30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16</v>
      </c>
      <c r="T176">
        <v>0</v>
      </c>
      <c r="U176">
        <v>0</v>
      </c>
      <c r="V176">
        <v>0</v>
      </c>
      <c r="W176">
        <v>0</v>
      </c>
      <c r="X176">
        <v>0</v>
      </c>
      <c r="Y176" t="s">
        <v>31</v>
      </c>
      <c r="Z176">
        <v>55</v>
      </c>
      <c r="AA176">
        <v>20</v>
      </c>
    </row>
    <row r="177" spans="1:27" x14ac:dyDescent="0.2">
      <c r="A177" t="s">
        <v>278</v>
      </c>
      <c r="B177">
        <v>2023</v>
      </c>
      <c r="C177" t="s">
        <v>279</v>
      </c>
      <c r="D177" t="s">
        <v>280</v>
      </c>
      <c r="E177" t="s">
        <v>29</v>
      </c>
      <c r="F177" t="s">
        <v>30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3</v>
      </c>
      <c r="V177">
        <v>0</v>
      </c>
      <c r="W177">
        <v>6</v>
      </c>
      <c r="X177">
        <v>0</v>
      </c>
      <c r="Y177" t="s">
        <v>51</v>
      </c>
      <c r="AA177">
        <v>0</v>
      </c>
    </row>
    <row r="178" spans="1:27" x14ac:dyDescent="0.2">
      <c r="A178" t="s">
        <v>278</v>
      </c>
      <c r="B178">
        <v>2023</v>
      </c>
      <c r="C178" t="s">
        <v>281</v>
      </c>
      <c r="D178" t="s">
        <v>282</v>
      </c>
      <c r="E178" t="s">
        <v>29</v>
      </c>
      <c r="F178" t="s">
        <v>30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10</v>
      </c>
      <c r="N178">
        <v>0</v>
      </c>
      <c r="O178">
        <v>10</v>
      </c>
      <c r="P178">
        <v>0</v>
      </c>
      <c r="Q178">
        <v>10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 t="s">
        <v>51</v>
      </c>
      <c r="Z178">
        <v>1000</v>
      </c>
      <c r="AA178">
        <v>0</v>
      </c>
    </row>
    <row r="179" spans="1:27" x14ac:dyDescent="0.2">
      <c r="A179" t="s">
        <v>283</v>
      </c>
      <c r="B179">
        <v>2023</v>
      </c>
      <c r="C179" t="s">
        <v>284</v>
      </c>
      <c r="D179" t="s">
        <v>285</v>
      </c>
      <c r="E179" t="s">
        <v>29</v>
      </c>
      <c r="F179" t="s">
        <v>30</v>
      </c>
      <c r="G179">
        <v>0</v>
      </c>
      <c r="H179">
        <v>0</v>
      </c>
      <c r="I179">
        <v>58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 t="s">
        <v>31</v>
      </c>
      <c r="AA179">
        <v>50</v>
      </c>
    </row>
    <row r="180" spans="1:27" x14ac:dyDescent="0.2">
      <c r="A180" t="s">
        <v>38</v>
      </c>
      <c r="B180">
        <v>2022</v>
      </c>
      <c r="C180" t="s">
        <v>39</v>
      </c>
      <c r="D180" t="s">
        <v>40</v>
      </c>
      <c r="E180" t="s">
        <v>29</v>
      </c>
      <c r="F180" t="s">
        <v>41</v>
      </c>
      <c r="G180">
        <v>0</v>
      </c>
      <c r="H180">
        <v>0</v>
      </c>
      <c r="I180">
        <v>0</v>
      </c>
      <c r="J180">
        <v>0</v>
      </c>
      <c r="K180">
        <v>9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9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9</v>
      </c>
      <c r="X180">
        <v>0</v>
      </c>
      <c r="Y180" t="s">
        <v>31</v>
      </c>
      <c r="Z180">
        <v>55</v>
      </c>
      <c r="AA180" s="2" t="s">
        <v>42</v>
      </c>
    </row>
    <row r="181" spans="1:27" x14ac:dyDescent="0.2">
      <c r="A181" t="s">
        <v>38</v>
      </c>
      <c r="B181">
        <v>2022</v>
      </c>
      <c r="C181">
        <v>5623005038</v>
      </c>
      <c r="D181" t="s">
        <v>97</v>
      </c>
      <c r="E181" t="s">
        <v>29</v>
      </c>
      <c r="F181" t="s">
        <v>30</v>
      </c>
      <c r="G181">
        <v>5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5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5</v>
      </c>
      <c r="T181">
        <v>0</v>
      </c>
      <c r="U181">
        <v>0</v>
      </c>
      <c r="V181">
        <v>0</v>
      </c>
      <c r="W181">
        <v>0</v>
      </c>
      <c r="X181">
        <v>0</v>
      </c>
      <c r="Y181" t="s">
        <v>31</v>
      </c>
      <c r="Z181">
        <v>55</v>
      </c>
      <c r="AA181">
        <v>35</v>
      </c>
    </row>
    <row r="182" spans="1:27" x14ac:dyDescent="0.2">
      <c r="A182" t="s">
        <v>38</v>
      </c>
      <c r="B182">
        <v>2023</v>
      </c>
      <c r="C182">
        <v>5643006012</v>
      </c>
      <c r="D182" t="s">
        <v>286</v>
      </c>
      <c r="E182" t="s">
        <v>29</v>
      </c>
      <c r="F182" t="s">
        <v>30</v>
      </c>
      <c r="G182">
        <v>3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3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 t="s">
        <v>31</v>
      </c>
      <c r="AA182">
        <v>35</v>
      </c>
    </row>
    <row r="183" spans="1:27" ht="85" x14ac:dyDescent="0.2">
      <c r="A183" t="s">
        <v>38</v>
      </c>
      <c r="B183">
        <v>2023</v>
      </c>
      <c r="C183">
        <v>5637020013</v>
      </c>
      <c r="D183" s="1" t="s">
        <v>287</v>
      </c>
      <c r="E183" t="s">
        <v>29</v>
      </c>
      <c r="F183" t="s">
        <v>30</v>
      </c>
      <c r="G183">
        <v>0</v>
      </c>
      <c r="H183">
        <v>0</v>
      </c>
      <c r="I183">
        <v>8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 t="s">
        <v>31</v>
      </c>
      <c r="AA183">
        <v>153</v>
      </c>
    </row>
    <row r="184" spans="1:27" x14ac:dyDescent="0.2">
      <c r="A184" t="s">
        <v>219</v>
      </c>
      <c r="B184">
        <v>2023</v>
      </c>
      <c r="C184" t="s">
        <v>288</v>
      </c>
      <c r="D184" t="s">
        <v>289</v>
      </c>
      <c r="E184" t="s">
        <v>29</v>
      </c>
      <c r="F184" t="s">
        <v>30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47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 t="s">
        <v>51</v>
      </c>
      <c r="Z184">
        <v>55</v>
      </c>
      <c r="AA184">
        <v>0</v>
      </c>
    </row>
    <row r="185" spans="1:27" x14ac:dyDescent="0.2">
      <c r="A185" t="s">
        <v>163</v>
      </c>
      <c r="B185">
        <v>2023</v>
      </c>
      <c r="C185">
        <v>4948400900</v>
      </c>
      <c r="D185" t="s">
        <v>290</v>
      </c>
      <c r="E185" t="s">
        <v>29</v>
      </c>
      <c r="F185" t="s">
        <v>30</v>
      </c>
      <c r="G185">
        <v>0</v>
      </c>
      <c r="H185">
        <v>0</v>
      </c>
      <c r="I185">
        <v>10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 t="s">
        <v>31</v>
      </c>
      <c r="Z185">
        <v>55</v>
      </c>
      <c r="AA185">
        <v>0</v>
      </c>
    </row>
    <row r="186" spans="1:27" x14ac:dyDescent="0.2">
      <c r="A186" t="s">
        <v>163</v>
      </c>
      <c r="B186">
        <v>2023</v>
      </c>
      <c r="C186">
        <v>4948402500</v>
      </c>
      <c r="D186" t="s">
        <v>259</v>
      </c>
      <c r="E186" t="s">
        <v>29</v>
      </c>
      <c r="F186" t="s">
        <v>30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 t="s">
        <v>31</v>
      </c>
      <c r="Z186">
        <v>55</v>
      </c>
      <c r="AA186">
        <v>0</v>
      </c>
    </row>
    <row r="187" spans="1:27" x14ac:dyDescent="0.2">
      <c r="A187" t="s">
        <v>163</v>
      </c>
      <c r="B187">
        <v>2023</v>
      </c>
      <c r="C187">
        <v>4948402500</v>
      </c>
      <c r="D187" t="s">
        <v>259</v>
      </c>
      <c r="E187" t="s">
        <v>29</v>
      </c>
      <c r="F187" t="s">
        <v>30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 t="s">
        <v>31</v>
      </c>
      <c r="Z187">
        <v>55</v>
      </c>
      <c r="AA187">
        <v>0</v>
      </c>
    </row>
    <row r="188" spans="1:27" x14ac:dyDescent="0.2">
      <c r="A188" t="s">
        <v>163</v>
      </c>
      <c r="B188">
        <v>2023</v>
      </c>
      <c r="C188">
        <v>4948402500</v>
      </c>
      <c r="D188" t="s">
        <v>259</v>
      </c>
      <c r="E188" t="s">
        <v>29</v>
      </c>
      <c r="F188" t="s">
        <v>30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 t="s">
        <v>31</v>
      </c>
      <c r="Z188">
        <v>55</v>
      </c>
      <c r="AA188">
        <v>0</v>
      </c>
    </row>
    <row r="189" spans="1:27" x14ac:dyDescent="0.2">
      <c r="A189" t="s">
        <v>291</v>
      </c>
      <c r="B189">
        <v>2023</v>
      </c>
      <c r="C189">
        <v>21276330</v>
      </c>
      <c r="D189" t="s">
        <v>292</v>
      </c>
      <c r="E189" t="s">
        <v>29</v>
      </c>
      <c r="F189" t="s">
        <v>30</v>
      </c>
      <c r="G189">
        <v>14</v>
      </c>
      <c r="H189">
        <v>0</v>
      </c>
      <c r="I189">
        <v>5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 t="s">
        <v>31</v>
      </c>
      <c r="AA189">
        <v>46</v>
      </c>
    </row>
    <row r="190" spans="1:27" ht="51" x14ac:dyDescent="0.2">
      <c r="A190" t="s">
        <v>38</v>
      </c>
      <c r="B190">
        <v>2022</v>
      </c>
      <c r="C190">
        <v>5695015030</v>
      </c>
      <c r="D190" s="1" t="s">
        <v>293</v>
      </c>
      <c r="E190" t="s">
        <v>29</v>
      </c>
      <c r="F190" t="s">
        <v>30</v>
      </c>
      <c r="G190">
        <v>0</v>
      </c>
      <c r="H190">
        <v>0</v>
      </c>
      <c r="I190">
        <v>2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2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 t="s">
        <v>31</v>
      </c>
      <c r="AA190">
        <v>35</v>
      </c>
    </row>
    <row r="191" spans="1:27" ht="85" x14ac:dyDescent="0.2">
      <c r="A191" t="s">
        <v>38</v>
      </c>
      <c r="B191">
        <v>2022</v>
      </c>
      <c r="C191">
        <v>5640041029</v>
      </c>
      <c r="D191" s="1" t="s">
        <v>294</v>
      </c>
      <c r="E191" t="s">
        <v>29</v>
      </c>
      <c r="F191" t="s">
        <v>30</v>
      </c>
      <c r="G191">
        <v>5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5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 t="s">
        <v>31</v>
      </c>
      <c r="AA191">
        <v>0</v>
      </c>
    </row>
    <row r="192" spans="1:27" x14ac:dyDescent="0.2">
      <c r="A192" t="s">
        <v>227</v>
      </c>
      <c r="B192">
        <v>2023</v>
      </c>
      <c r="C192" t="s">
        <v>295</v>
      </c>
      <c r="D192" t="s">
        <v>296</v>
      </c>
      <c r="E192" t="s">
        <v>29</v>
      </c>
      <c r="F192" t="s">
        <v>41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1</v>
      </c>
      <c r="T192">
        <v>0</v>
      </c>
      <c r="U192">
        <v>0</v>
      </c>
      <c r="V192">
        <v>0</v>
      </c>
      <c r="W192">
        <v>3</v>
      </c>
      <c r="X192">
        <v>0</v>
      </c>
      <c r="Y192" t="s">
        <v>51</v>
      </c>
      <c r="AA192">
        <v>0</v>
      </c>
    </row>
    <row r="193" spans="1:27" x14ac:dyDescent="0.2">
      <c r="A193" t="s">
        <v>163</v>
      </c>
      <c r="B193">
        <v>2020</v>
      </c>
      <c r="C193">
        <v>4946410900</v>
      </c>
      <c r="D193" t="s">
        <v>297</v>
      </c>
      <c r="E193" t="s">
        <v>29</v>
      </c>
      <c r="F193" t="s">
        <v>30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 t="s">
        <v>31</v>
      </c>
      <c r="Z193">
        <v>55</v>
      </c>
      <c r="AA193">
        <v>0</v>
      </c>
    </row>
    <row r="194" spans="1:27" x14ac:dyDescent="0.2">
      <c r="A194" t="s">
        <v>172</v>
      </c>
      <c r="B194">
        <v>2023</v>
      </c>
      <c r="C194" t="s">
        <v>298</v>
      </c>
      <c r="D194" t="s">
        <v>299</v>
      </c>
      <c r="E194" t="s">
        <v>29</v>
      </c>
      <c r="F194" t="s">
        <v>30</v>
      </c>
      <c r="G194">
        <v>2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 t="s">
        <v>31</v>
      </c>
      <c r="Z194">
        <v>55</v>
      </c>
      <c r="AA194">
        <v>50</v>
      </c>
    </row>
    <row r="195" spans="1:27" x14ac:dyDescent="0.2">
      <c r="A195" t="s">
        <v>278</v>
      </c>
      <c r="B195">
        <v>2023</v>
      </c>
      <c r="C195" t="s">
        <v>300</v>
      </c>
      <c r="D195" t="s">
        <v>301</v>
      </c>
      <c r="E195" t="s">
        <v>29</v>
      </c>
      <c r="F195" t="s">
        <v>41</v>
      </c>
      <c r="G195">
        <v>2</v>
      </c>
      <c r="H195">
        <v>0</v>
      </c>
      <c r="I195">
        <v>0</v>
      </c>
      <c r="J195">
        <v>0</v>
      </c>
      <c r="K195">
        <v>2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 t="s">
        <v>31</v>
      </c>
      <c r="Z195">
        <v>1000</v>
      </c>
      <c r="AA195">
        <v>27.5</v>
      </c>
    </row>
    <row r="196" spans="1:27" x14ac:dyDescent="0.2">
      <c r="A196" t="s">
        <v>302</v>
      </c>
      <c r="B196">
        <v>2023</v>
      </c>
      <c r="C196" t="s">
        <v>303</v>
      </c>
      <c r="D196" t="s">
        <v>304</v>
      </c>
      <c r="E196" t="s">
        <v>29</v>
      </c>
      <c r="F196" t="s">
        <v>30</v>
      </c>
      <c r="G196">
        <v>7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4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 t="s">
        <v>31</v>
      </c>
      <c r="Z196">
        <v>55</v>
      </c>
      <c r="AA196">
        <v>50</v>
      </c>
    </row>
    <row r="197" spans="1:27" ht="68" x14ac:dyDescent="0.2">
      <c r="A197" t="s">
        <v>38</v>
      </c>
      <c r="B197">
        <v>2022</v>
      </c>
      <c r="C197">
        <v>5637003054</v>
      </c>
      <c r="D197" s="1" t="s">
        <v>305</v>
      </c>
      <c r="E197" t="s">
        <v>29</v>
      </c>
      <c r="F197" t="s">
        <v>30</v>
      </c>
      <c r="G197">
        <v>0</v>
      </c>
      <c r="H197">
        <v>0</v>
      </c>
      <c r="I197">
        <v>3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 t="s">
        <v>31</v>
      </c>
      <c r="AA197">
        <v>35</v>
      </c>
    </row>
    <row r="198" spans="1:27" x14ac:dyDescent="0.2">
      <c r="A198" t="s">
        <v>38</v>
      </c>
      <c r="B198">
        <v>2023</v>
      </c>
      <c r="C198">
        <v>5675030006</v>
      </c>
      <c r="D198" t="s">
        <v>134</v>
      </c>
      <c r="E198" t="s">
        <v>29</v>
      </c>
      <c r="F198" t="s">
        <v>30</v>
      </c>
      <c r="G198">
        <v>2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2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 t="s">
        <v>31</v>
      </c>
      <c r="Z198">
        <v>55</v>
      </c>
      <c r="AA198">
        <v>35</v>
      </c>
    </row>
    <row r="199" spans="1:27" x14ac:dyDescent="0.2">
      <c r="A199" t="s">
        <v>38</v>
      </c>
      <c r="B199">
        <v>2023</v>
      </c>
      <c r="C199">
        <v>5640041029</v>
      </c>
      <c r="D199" t="s">
        <v>306</v>
      </c>
      <c r="E199" t="s">
        <v>29</v>
      </c>
      <c r="F199" t="s">
        <v>30</v>
      </c>
      <c r="G199">
        <v>5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5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 t="s">
        <v>31</v>
      </c>
      <c r="AA199">
        <v>0</v>
      </c>
    </row>
    <row r="200" spans="1:27" x14ac:dyDescent="0.2">
      <c r="A200" t="s">
        <v>48</v>
      </c>
      <c r="B200">
        <v>2020</v>
      </c>
      <c r="C200" t="s">
        <v>307</v>
      </c>
      <c r="D200" t="s">
        <v>308</v>
      </c>
      <c r="E200" t="s">
        <v>29</v>
      </c>
      <c r="F200" t="s">
        <v>30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2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 t="s">
        <v>31</v>
      </c>
      <c r="Z200">
        <v>55</v>
      </c>
      <c r="AA200">
        <v>0</v>
      </c>
    </row>
    <row r="201" spans="1:27" x14ac:dyDescent="0.2">
      <c r="A201" t="s">
        <v>48</v>
      </c>
      <c r="B201">
        <v>2020</v>
      </c>
      <c r="C201" t="s">
        <v>309</v>
      </c>
      <c r="D201" t="s">
        <v>310</v>
      </c>
      <c r="E201" t="s">
        <v>29</v>
      </c>
      <c r="F201" t="s">
        <v>30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2</v>
      </c>
      <c r="V201">
        <v>0</v>
      </c>
      <c r="W201">
        <v>0</v>
      </c>
      <c r="X201">
        <v>0</v>
      </c>
      <c r="Y201" t="s">
        <v>51</v>
      </c>
      <c r="Z201">
        <v>55</v>
      </c>
      <c r="AA201">
        <v>0</v>
      </c>
    </row>
    <row r="202" spans="1:27" x14ac:dyDescent="0.2">
      <c r="A202" t="s">
        <v>48</v>
      </c>
      <c r="B202">
        <v>2020</v>
      </c>
      <c r="C202" t="s">
        <v>311</v>
      </c>
      <c r="D202" t="s">
        <v>312</v>
      </c>
      <c r="E202" t="s">
        <v>29</v>
      </c>
      <c r="F202" t="s">
        <v>30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4</v>
      </c>
      <c r="T202">
        <v>0</v>
      </c>
      <c r="U202">
        <v>0</v>
      </c>
      <c r="V202">
        <v>0</v>
      </c>
      <c r="W202">
        <v>0</v>
      </c>
      <c r="X202">
        <v>0</v>
      </c>
      <c r="Y202" t="s">
        <v>31</v>
      </c>
      <c r="Z202">
        <v>55</v>
      </c>
      <c r="AA202">
        <v>0</v>
      </c>
    </row>
    <row r="203" spans="1:27" x14ac:dyDescent="0.2">
      <c r="A203" t="s">
        <v>313</v>
      </c>
      <c r="B203">
        <v>2023</v>
      </c>
      <c r="C203" t="s">
        <v>314</v>
      </c>
      <c r="D203" t="s">
        <v>315</v>
      </c>
      <c r="E203" t="s">
        <v>29</v>
      </c>
      <c r="F203" t="s">
        <v>30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149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 t="s">
        <v>31</v>
      </c>
      <c r="Z203">
        <v>55</v>
      </c>
      <c r="AA203">
        <v>0</v>
      </c>
    </row>
    <row r="204" spans="1:27" x14ac:dyDescent="0.2">
      <c r="A204" t="s">
        <v>313</v>
      </c>
      <c r="B204">
        <v>2023</v>
      </c>
      <c r="C204" t="s">
        <v>316</v>
      </c>
      <c r="D204" t="s">
        <v>317</v>
      </c>
      <c r="E204" t="s">
        <v>29</v>
      </c>
      <c r="F204" t="s">
        <v>30</v>
      </c>
      <c r="G204">
        <v>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 t="s">
        <v>31</v>
      </c>
      <c r="Z204">
        <v>55</v>
      </c>
      <c r="AA204">
        <v>5</v>
      </c>
    </row>
    <row r="205" spans="1:27" x14ac:dyDescent="0.2">
      <c r="A205" t="s">
        <v>318</v>
      </c>
      <c r="B205">
        <v>2023</v>
      </c>
      <c r="C205">
        <v>20522040</v>
      </c>
      <c r="D205" t="s">
        <v>319</v>
      </c>
      <c r="E205" t="s">
        <v>29</v>
      </c>
      <c r="F205" t="s">
        <v>30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13</v>
      </c>
      <c r="T205">
        <v>0</v>
      </c>
      <c r="U205">
        <v>0</v>
      </c>
      <c r="V205">
        <v>0</v>
      </c>
      <c r="W205">
        <v>0</v>
      </c>
      <c r="X205">
        <v>134</v>
      </c>
      <c r="Y205" t="s">
        <v>51</v>
      </c>
      <c r="Z205">
        <v>55</v>
      </c>
      <c r="AA205">
        <v>0</v>
      </c>
    </row>
    <row r="206" spans="1:27" ht="85" x14ac:dyDescent="0.2">
      <c r="A206" t="s">
        <v>38</v>
      </c>
      <c r="B206">
        <v>2023</v>
      </c>
      <c r="C206">
        <v>5640029014</v>
      </c>
      <c r="D206" s="1" t="s">
        <v>320</v>
      </c>
      <c r="E206" t="s">
        <v>29</v>
      </c>
      <c r="F206" t="s">
        <v>30</v>
      </c>
      <c r="G206">
        <v>0</v>
      </c>
      <c r="H206">
        <v>0</v>
      </c>
      <c r="I206">
        <v>3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 t="s">
        <v>31</v>
      </c>
      <c r="AA206">
        <v>35</v>
      </c>
    </row>
    <row r="207" spans="1:27" x14ac:dyDescent="0.2">
      <c r="A207" t="s">
        <v>321</v>
      </c>
      <c r="B207">
        <v>2020</v>
      </c>
      <c r="C207">
        <v>4291005014</v>
      </c>
      <c r="D207" t="s">
        <v>322</v>
      </c>
      <c r="E207" t="s">
        <v>29</v>
      </c>
      <c r="F207" t="s">
        <v>30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3</v>
      </c>
      <c r="P207">
        <v>0</v>
      </c>
      <c r="Q207">
        <v>2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 t="s">
        <v>51</v>
      </c>
      <c r="Z207">
        <v>55</v>
      </c>
      <c r="AA207">
        <v>0</v>
      </c>
    </row>
    <row r="208" spans="1:27" x14ac:dyDescent="0.2">
      <c r="A208" t="s">
        <v>321</v>
      </c>
      <c r="B208">
        <v>2020</v>
      </c>
      <c r="C208">
        <v>4291019027</v>
      </c>
      <c r="D208" t="s">
        <v>323</v>
      </c>
      <c r="E208" t="s">
        <v>29</v>
      </c>
      <c r="F208" t="s">
        <v>30</v>
      </c>
      <c r="G208">
        <v>19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 t="s">
        <v>51</v>
      </c>
      <c r="AA208">
        <v>0</v>
      </c>
    </row>
    <row r="209" spans="1:27" ht="34" x14ac:dyDescent="0.2">
      <c r="A209" t="s">
        <v>324</v>
      </c>
      <c r="B209">
        <v>2020</v>
      </c>
      <c r="C209">
        <v>29231210</v>
      </c>
      <c r="D209" s="1" t="s">
        <v>325</v>
      </c>
      <c r="E209" t="s">
        <v>29</v>
      </c>
      <c r="F209" t="s">
        <v>41</v>
      </c>
      <c r="G209">
        <v>0</v>
      </c>
      <c r="H209">
        <v>0</v>
      </c>
      <c r="I209">
        <v>0</v>
      </c>
      <c r="J209">
        <v>0</v>
      </c>
      <c r="K209">
        <v>2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 t="s">
        <v>31</v>
      </c>
      <c r="Z209">
        <v>55</v>
      </c>
      <c r="AA209">
        <v>0</v>
      </c>
    </row>
    <row r="210" spans="1:27" x14ac:dyDescent="0.2">
      <c r="A210" t="s">
        <v>75</v>
      </c>
      <c r="B210">
        <v>2021</v>
      </c>
      <c r="C210">
        <v>4455212200</v>
      </c>
      <c r="D210" t="s">
        <v>326</v>
      </c>
      <c r="E210" t="s">
        <v>29</v>
      </c>
      <c r="F210" t="s">
        <v>30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1</v>
      </c>
      <c r="T210">
        <v>0</v>
      </c>
      <c r="U210">
        <v>0</v>
      </c>
      <c r="V210">
        <v>0</v>
      </c>
      <c r="W210">
        <v>0</v>
      </c>
      <c r="X210">
        <v>0</v>
      </c>
      <c r="Y210" t="s">
        <v>31</v>
      </c>
      <c r="Z210">
        <v>55</v>
      </c>
      <c r="AA210">
        <v>0</v>
      </c>
    </row>
    <row r="211" spans="1:27" x14ac:dyDescent="0.2">
      <c r="A211" t="s">
        <v>254</v>
      </c>
      <c r="B211">
        <v>2023</v>
      </c>
      <c r="C211" t="s">
        <v>327</v>
      </c>
      <c r="D211" t="s">
        <v>328</v>
      </c>
      <c r="E211" t="s">
        <v>29</v>
      </c>
      <c r="F211" t="s">
        <v>30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18</v>
      </c>
      <c r="N211">
        <v>0</v>
      </c>
      <c r="O211">
        <v>35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 t="s">
        <v>31</v>
      </c>
      <c r="AA211">
        <v>35</v>
      </c>
    </row>
    <row r="212" spans="1:27" x14ac:dyDescent="0.2">
      <c r="A212" t="s">
        <v>227</v>
      </c>
      <c r="B212">
        <v>2023</v>
      </c>
      <c r="C212" t="s">
        <v>329</v>
      </c>
      <c r="D212" t="s">
        <v>330</v>
      </c>
      <c r="E212" t="s">
        <v>29</v>
      </c>
      <c r="F212" t="s">
        <v>41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1</v>
      </c>
      <c r="T212">
        <v>0</v>
      </c>
      <c r="U212">
        <v>0</v>
      </c>
      <c r="V212">
        <v>0</v>
      </c>
      <c r="W212">
        <v>2</v>
      </c>
      <c r="X212">
        <v>0</v>
      </c>
      <c r="Y212" t="s">
        <v>51</v>
      </c>
      <c r="AA212">
        <v>0</v>
      </c>
    </row>
    <row r="213" spans="1:27" x14ac:dyDescent="0.2">
      <c r="A213" t="s">
        <v>227</v>
      </c>
      <c r="B213">
        <v>2023</v>
      </c>
      <c r="C213" t="s">
        <v>331</v>
      </c>
      <c r="D213" t="s">
        <v>332</v>
      </c>
      <c r="E213" t="s">
        <v>29</v>
      </c>
      <c r="F213" t="s">
        <v>41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 t="s">
        <v>31</v>
      </c>
      <c r="AA213">
        <v>8</v>
      </c>
    </row>
    <row r="214" spans="1:27" x14ac:dyDescent="0.2">
      <c r="A214" t="s">
        <v>227</v>
      </c>
      <c r="B214">
        <v>2023</v>
      </c>
      <c r="C214" t="s">
        <v>333</v>
      </c>
      <c r="D214" t="s">
        <v>334</v>
      </c>
      <c r="E214" t="s">
        <v>29</v>
      </c>
      <c r="F214" t="s">
        <v>41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 t="s">
        <v>51</v>
      </c>
      <c r="AA214">
        <v>0</v>
      </c>
    </row>
    <row r="215" spans="1:27" x14ac:dyDescent="0.2">
      <c r="A215" t="s">
        <v>75</v>
      </c>
      <c r="B215">
        <v>2021</v>
      </c>
      <c r="C215">
        <v>5502210800</v>
      </c>
      <c r="D215" t="s">
        <v>335</v>
      </c>
      <c r="E215" t="s">
        <v>29</v>
      </c>
      <c r="F215" t="s">
        <v>30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 t="s">
        <v>31</v>
      </c>
      <c r="Z215">
        <v>55</v>
      </c>
      <c r="AA215">
        <v>0</v>
      </c>
    </row>
    <row r="216" spans="1:27" x14ac:dyDescent="0.2">
      <c r="A216" t="s">
        <v>48</v>
      </c>
      <c r="B216">
        <v>2020</v>
      </c>
      <c r="C216" t="s">
        <v>336</v>
      </c>
      <c r="D216" t="s">
        <v>337</v>
      </c>
      <c r="E216" t="s">
        <v>29</v>
      </c>
      <c r="F216" t="s">
        <v>30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12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 t="s">
        <v>31</v>
      </c>
      <c r="Z216">
        <v>55</v>
      </c>
      <c r="AA216">
        <v>0</v>
      </c>
    </row>
    <row r="217" spans="1:27" x14ac:dyDescent="0.2">
      <c r="A217" t="s">
        <v>48</v>
      </c>
      <c r="B217">
        <v>2020</v>
      </c>
      <c r="C217" t="s">
        <v>338</v>
      </c>
      <c r="D217" t="s">
        <v>339</v>
      </c>
      <c r="E217" t="s">
        <v>29</v>
      </c>
      <c r="F217" t="s">
        <v>30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1</v>
      </c>
      <c r="X217">
        <v>0</v>
      </c>
      <c r="Y217" t="s">
        <v>51</v>
      </c>
      <c r="Z217">
        <v>55</v>
      </c>
      <c r="AA217">
        <v>0</v>
      </c>
    </row>
    <row r="218" spans="1:27" x14ac:dyDescent="0.2">
      <c r="A218" t="s">
        <v>75</v>
      </c>
      <c r="B218">
        <v>2021</v>
      </c>
      <c r="C218">
        <v>5331630500</v>
      </c>
      <c r="D218" t="s">
        <v>340</v>
      </c>
      <c r="E218" t="s">
        <v>29</v>
      </c>
      <c r="F218" t="s">
        <v>30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 t="s">
        <v>31</v>
      </c>
      <c r="Z218">
        <v>55</v>
      </c>
      <c r="AA218">
        <v>0</v>
      </c>
    </row>
    <row r="219" spans="1:27" x14ac:dyDescent="0.2">
      <c r="A219" t="s">
        <v>75</v>
      </c>
      <c r="B219">
        <v>2021</v>
      </c>
      <c r="C219">
        <v>4453512400</v>
      </c>
      <c r="D219" t="s">
        <v>341</v>
      </c>
      <c r="E219" t="s">
        <v>29</v>
      </c>
      <c r="F219" t="s">
        <v>30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2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 t="s">
        <v>31</v>
      </c>
      <c r="Z219">
        <v>55</v>
      </c>
      <c r="AA219">
        <v>0</v>
      </c>
    </row>
    <row r="220" spans="1:27" x14ac:dyDescent="0.2">
      <c r="A220" t="s">
        <v>75</v>
      </c>
      <c r="B220">
        <v>2021</v>
      </c>
      <c r="C220">
        <v>4312820100</v>
      </c>
      <c r="D220" t="s">
        <v>342</v>
      </c>
      <c r="E220" t="s">
        <v>29</v>
      </c>
      <c r="F220" t="s">
        <v>30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 t="s">
        <v>31</v>
      </c>
      <c r="Z220">
        <v>55</v>
      </c>
      <c r="AA220">
        <v>0</v>
      </c>
    </row>
    <row r="221" spans="1:27" x14ac:dyDescent="0.2">
      <c r="A221" t="s">
        <v>75</v>
      </c>
      <c r="B221">
        <v>2021</v>
      </c>
      <c r="C221">
        <v>4530420100</v>
      </c>
      <c r="D221" t="s">
        <v>343</v>
      </c>
      <c r="E221" t="s">
        <v>29</v>
      </c>
      <c r="F221" t="s">
        <v>30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 t="s">
        <v>31</v>
      </c>
      <c r="Z221">
        <v>55</v>
      </c>
      <c r="AA221">
        <v>0</v>
      </c>
    </row>
    <row r="222" spans="1:27" x14ac:dyDescent="0.2">
      <c r="A222" t="s">
        <v>75</v>
      </c>
      <c r="B222">
        <v>2021</v>
      </c>
      <c r="C222">
        <v>3130601000</v>
      </c>
      <c r="D222" t="s">
        <v>344</v>
      </c>
      <c r="E222" t="s">
        <v>29</v>
      </c>
      <c r="F222" t="s">
        <v>30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4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 t="s">
        <v>31</v>
      </c>
      <c r="Z222">
        <v>55</v>
      </c>
      <c r="AA222">
        <v>0</v>
      </c>
    </row>
    <row r="223" spans="1:27" x14ac:dyDescent="0.2">
      <c r="A223" t="s">
        <v>75</v>
      </c>
      <c r="B223">
        <v>2021</v>
      </c>
      <c r="C223">
        <v>4624401700</v>
      </c>
      <c r="D223" t="s">
        <v>345</v>
      </c>
      <c r="E223" t="s">
        <v>29</v>
      </c>
      <c r="F223" t="s">
        <v>30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9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 t="s">
        <v>31</v>
      </c>
      <c r="Z223">
        <v>55</v>
      </c>
      <c r="AA223">
        <v>0</v>
      </c>
    </row>
    <row r="224" spans="1:27" x14ac:dyDescent="0.2">
      <c r="A224" t="s">
        <v>251</v>
      </c>
      <c r="B224">
        <v>2023</v>
      </c>
      <c r="C224" t="s">
        <v>252</v>
      </c>
      <c r="D224" t="s">
        <v>346</v>
      </c>
      <c r="E224" t="s">
        <v>29</v>
      </c>
      <c r="F224" t="s">
        <v>30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16</v>
      </c>
      <c r="T224">
        <v>0</v>
      </c>
      <c r="U224">
        <v>0</v>
      </c>
      <c r="V224">
        <v>0</v>
      </c>
      <c r="W224">
        <v>0</v>
      </c>
      <c r="X224">
        <v>0</v>
      </c>
      <c r="Y224" t="s">
        <v>31</v>
      </c>
      <c r="Z224">
        <v>55</v>
      </c>
      <c r="AA224">
        <v>20</v>
      </c>
    </row>
    <row r="225" spans="1:27" x14ac:dyDescent="0.2">
      <c r="A225" t="s">
        <v>251</v>
      </c>
      <c r="B225">
        <v>2023</v>
      </c>
      <c r="C225" t="s">
        <v>252</v>
      </c>
      <c r="D225" t="s">
        <v>347</v>
      </c>
      <c r="E225" t="s">
        <v>29</v>
      </c>
      <c r="F225" t="s">
        <v>30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16</v>
      </c>
      <c r="T225">
        <v>0</v>
      </c>
      <c r="U225">
        <v>0</v>
      </c>
      <c r="V225">
        <v>0</v>
      </c>
      <c r="W225">
        <v>0</v>
      </c>
      <c r="X225">
        <v>0</v>
      </c>
      <c r="Y225" t="s">
        <v>31</v>
      </c>
      <c r="Z225">
        <v>55</v>
      </c>
      <c r="AA225">
        <v>20</v>
      </c>
    </row>
    <row r="226" spans="1:27" x14ac:dyDescent="0.2">
      <c r="A226" t="s">
        <v>321</v>
      </c>
      <c r="B226">
        <v>2020</v>
      </c>
      <c r="C226">
        <v>4282025017</v>
      </c>
      <c r="D226" t="s">
        <v>348</v>
      </c>
      <c r="E226" t="s">
        <v>29</v>
      </c>
      <c r="F226" t="s">
        <v>30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24</v>
      </c>
      <c r="N226">
        <v>0</v>
      </c>
      <c r="O226">
        <v>15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 t="s">
        <v>51</v>
      </c>
      <c r="Z226">
        <v>55</v>
      </c>
      <c r="AA226">
        <v>0</v>
      </c>
    </row>
    <row r="227" spans="1:27" x14ac:dyDescent="0.2">
      <c r="A227" t="s">
        <v>349</v>
      </c>
      <c r="B227">
        <v>2023</v>
      </c>
      <c r="C227" t="s">
        <v>350</v>
      </c>
      <c r="D227" t="s">
        <v>351</v>
      </c>
      <c r="E227" t="s">
        <v>29</v>
      </c>
      <c r="F227" t="s">
        <v>30</v>
      </c>
      <c r="G227">
        <v>25</v>
      </c>
      <c r="H227">
        <v>0</v>
      </c>
      <c r="I227">
        <v>10</v>
      </c>
      <c r="J227">
        <v>0</v>
      </c>
      <c r="K227">
        <v>0</v>
      </c>
      <c r="L227">
        <v>1</v>
      </c>
      <c r="M227">
        <v>25</v>
      </c>
      <c r="N227">
        <v>0</v>
      </c>
      <c r="O227">
        <v>10</v>
      </c>
      <c r="P227">
        <v>0</v>
      </c>
      <c r="Q227">
        <v>0</v>
      </c>
      <c r="R227">
        <v>1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 t="s">
        <v>51</v>
      </c>
      <c r="AA227">
        <v>0</v>
      </c>
    </row>
    <row r="228" spans="1:27" x14ac:dyDescent="0.2">
      <c r="A228" t="s">
        <v>321</v>
      </c>
      <c r="B228">
        <v>2020</v>
      </c>
      <c r="C228">
        <v>4282025010</v>
      </c>
      <c r="D228" t="s">
        <v>352</v>
      </c>
      <c r="E228" t="s">
        <v>29</v>
      </c>
      <c r="F228" t="s">
        <v>41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2</v>
      </c>
      <c r="X228">
        <v>0</v>
      </c>
      <c r="Y228" t="s">
        <v>51</v>
      </c>
      <c r="AA228">
        <v>0</v>
      </c>
    </row>
    <row r="229" spans="1:27" x14ac:dyDescent="0.2">
      <c r="A229" t="s">
        <v>353</v>
      </c>
      <c r="B229">
        <v>2020</v>
      </c>
      <c r="C229">
        <v>2161701400</v>
      </c>
      <c r="D229" t="s">
        <v>354</v>
      </c>
      <c r="E229" t="s">
        <v>29</v>
      </c>
      <c r="F229" t="s">
        <v>30</v>
      </c>
      <c r="G229">
        <v>0</v>
      </c>
      <c r="H229">
        <v>0</v>
      </c>
      <c r="I229">
        <v>4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 t="s">
        <v>31</v>
      </c>
      <c r="AA229">
        <v>0</v>
      </c>
    </row>
    <row r="230" spans="1:27" x14ac:dyDescent="0.2">
      <c r="A230" t="s">
        <v>353</v>
      </c>
      <c r="B230">
        <v>2020</v>
      </c>
      <c r="C230">
        <v>2120405600</v>
      </c>
      <c r="D230" t="s">
        <v>355</v>
      </c>
      <c r="E230" t="s">
        <v>29</v>
      </c>
      <c r="F230" t="s">
        <v>30</v>
      </c>
      <c r="G230">
        <v>7</v>
      </c>
      <c r="H230">
        <v>0</v>
      </c>
      <c r="I230">
        <v>62</v>
      </c>
      <c r="J230">
        <v>0</v>
      </c>
      <c r="K230">
        <v>12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 t="s">
        <v>51</v>
      </c>
      <c r="AA230">
        <v>0</v>
      </c>
    </row>
    <row r="231" spans="1:27" x14ac:dyDescent="0.2">
      <c r="A231" t="s">
        <v>172</v>
      </c>
      <c r="B231">
        <v>2023</v>
      </c>
      <c r="C231" t="s">
        <v>356</v>
      </c>
      <c r="D231" t="s">
        <v>357</v>
      </c>
      <c r="E231" t="s">
        <v>29</v>
      </c>
      <c r="F231" t="s">
        <v>30</v>
      </c>
      <c r="G231">
        <v>18</v>
      </c>
      <c r="H231">
        <v>0</v>
      </c>
      <c r="I231">
        <v>2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 t="s">
        <v>31</v>
      </c>
      <c r="Z231">
        <v>55</v>
      </c>
      <c r="AA231" s="2" t="s">
        <v>358</v>
      </c>
    </row>
    <row r="232" spans="1:27" x14ac:dyDescent="0.2">
      <c r="A232" t="s">
        <v>163</v>
      </c>
      <c r="B232">
        <v>2023</v>
      </c>
      <c r="C232">
        <v>4948402500</v>
      </c>
      <c r="D232" t="s">
        <v>259</v>
      </c>
      <c r="E232" t="s">
        <v>29</v>
      </c>
      <c r="F232" t="s">
        <v>30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 t="s">
        <v>31</v>
      </c>
      <c r="Z232">
        <v>55</v>
      </c>
      <c r="AA232">
        <v>0</v>
      </c>
    </row>
    <row r="233" spans="1:27" x14ac:dyDescent="0.2">
      <c r="A233" t="s">
        <v>163</v>
      </c>
      <c r="B233">
        <v>2023</v>
      </c>
      <c r="C233">
        <v>4946410900</v>
      </c>
      <c r="D233" t="s">
        <v>359</v>
      </c>
      <c r="E233" t="s">
        <v>29</v>
      </c>
      <c r="F233" t="s">
        <v>30</v>
      </c>
      <c r="G233">
        <v>5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 t="s">
        <v>31</v>
      </c>
      <c r="Z233">
        <v>55</v>
      </c>
      <c r="AA233">
        <v>0</v>
      </c>
    </row>
    <row r="234" spans="1:27" x14ac:dyDescent="0.2">
      <c r="A234" t="s">
        <v>267</v>
      </c>
      <c r="B234">
        <v>2021</v>
      </c>
      <c r="D234" t="s">
        <v>360</v>
      </c>
      <c r="E234" t="s">
        <v>29</v>
      </c>
      <c r="F234" t="s">
        <v>30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3</v>
      </c>
      <c r="N234">
        <v>0</v>
      </c>
      <c r="O234">
        <v>5</v>
      </c>
      <c r="P234">
        <v>0</v>
      </c>
      <c r="Q234">
        <v>0</v>
      </c>
      <c r="R234">
        <v>0</v>
      </c>
      <c r="S234">
        <v>3</v>
      </c>
      <c r="T234">
        <v>0</v>
      </c>
      <c r="U234">
        <v>5</v>
      </c>
      <c r="V234">
        <v>0</v>
      </c>
      <c r="W234">
        <v>0</v>
      </c>
      <c r="X234">
        <v>0</v>
      </c>
      <c r="Y234" t="s">
        <v>31</v>
      </c>
      <c r="Z234">
        <v>55</v>
      </c>
      <c r="AA234">
        <v>0</v>
      </c>
    </row>
    <row r="235" spans="1:27" x14ac:dyDescent="0.2">
      <c r="A235" t="s">
        <v>278</v>
      </c>
      <c r="B235">
        <v>2023</v>
      </c>
      <c r="C235" t="s">
        <v>361</v>
      </c>
      <c r="D235" t="s">
        <v>362</v>
      </c>
      <c r="E235" t="s">
        <v>29</v>
      </c>
      <c r="F235" t="s">
        <v>30</v>
      </c>
      <c r="G235">
        <v>40</v>
      </c>
      <c r="H235">
        <v>0</v>
      </c>
      <c r="I235">
        <v>38</v>
      </c>
      <c r="J235">
        <v>0</v>
      </c>
      <c r="K235">
        <v>1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 t="s">
        <v>31</v>
      </c>
      <c r="Z235">
        <v>55</v>
      </c>
      <c r="AA235">
        <v>18</v>
      </c>
    </row>
    <row r="236" spans="1:27" x14ac:dyDescent="0.2">
      <c r="A236" t="s">
        <v>278</v>
      </c>
      <c r="B236">
        <v>2023</v>
      </c>
      <c r="C236" t="s">
        <v>363</v>
      </c>
      <c r="D236" t="s">
        <v>364</v>
      </c>
      <c r="E236" t="s">
        <v>29</v>
      </c>
      <c r="F236" t="s">
        <v>30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42</v>
      </c>
      <c r="T236">
        <v>0</v>
      </c>
      <c r="U236">
        <v>28</v>
      </c>
      <c r="V236">
        <v>0</v>
      </c>
      <c r="W236">
        <v>0</v>
      </c>
      <c r="X236">
        <v>0</v>
      </c>
      <c r="Y236" t="s">
        <v>31</v>
      </c>
      <c r="Z236">
        <v>55</v>
      </c>
      <c r="AA236">
        <v>5</v>
      </c>
    </row>
    <row r="237" spans="1:27" x14ac:dyDescent="0.2">
      <c r="A237" t="s">
        <v>75</v>
      </c>
      <c r="B237">
        <v>2021</v>
      </c>
      <c r="C237">
        <v>4523612400</v>
      </c>
      <c r="D237" t="s">
        <v>365</v>
      </c>
      <c r="E237" t="s">
        <v>29</v>
      </c>
      <c r="F237" t="s">
        <v>30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2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 t="s">
        <v>31</v>
      </c>
      <c r="Z237">
        <v>55</v>
      </c>
      <c r="AA237">
        <v>0</v>
      </c>
    </row>
    <row r="238" spans="1:27" x14ac:dyDescent="0.2">
      <c r="A238" t="s">
        <v>75</v>
      </c>
      <c r="B238">
        <v>2021</v>
      </c>
      <c r="C238">
        <v>5395921100</v>
      </c>
      <c r="D238" t="s">
        <v>366</v>
      </c>
      <c r="E238" t="s">
        <v>29</v>
      </c>
      <c r="F238" t="s">
        <v>30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3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 t="s">
        <v>31</v>
      </c>
      <c r="Z238">
        <v>55</v>
      </c>
      <c r="AA238">
        <v>0</v>
      </c>
    </row>
    <row r="239" spans="1:27" x14ac:dyDescent="0.2">
      <c r="A239" t="s">
        <v>75</v>
      </c>
      <c r="B239">
        <v>2021</v>
      </c>
      <c r="C239">
        <v>4456413200</v>
      </c>
      <c r="D239" t="s">
        <v>179</v>
      </c>
      <c r="E239" t="s">
        <v>29</v>
      </c>
      <c r="F239" t="s">
        <v>30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3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 t="s">
        <v>31</v>
      </c>
      <c r="Z239">
        <v>55</v>
      </c>
      <c r="AA239">
        <v>0</v>
      </c>
    </row>
    <row r="240" spans="1:27" x14ac:dyDescent="0.2">
      <c r="A240" t="s">
        <v>75</v>
      </c>
      <c r="B240">
        <v>2021</v>
      </c>
      <c r="C240">
        <v>3130601000</v>
      </c>
      <c r="D240" t="s">
        <v>367</v>
      </c>
      <c r="E240" t="s">
        <v>29</v>
      </c>
      <c r="F240" t="s">
        <v>30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3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 t="s">
        <v>31</v>
      </c>
      <c r="Z240">
        <v>55</v>
      </c>
      <c r="AA240">
        <v>0</v>
      </c>
    </row>
    <row r="241" spans="1:27" x14ac:dyDescent="0.2">
      <c r="A241" t="s">
        <v>251</v>
      </c>
      <c r="B241">
        <v>2023</v>
      </c>
      <c r="C241" t="s">
        <v>368</v>
      </c>
      <c r="D241" t="s">
        <v>369</v>
      </c>
      <c r="E241" t="s">
        <v>29</v>
      </c>
      <c r="F241" t="s">
        <v>30</v>
      </c>
      <c r="G241">
        <v>37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37</v>
      </c>
      <c r="N241">
        <v>0</v>
      </c>
      <c r="O241">
        <v>0</v>
      </c>
      <c r="P241">
        <v>0</v>
      </c>
      <c r="Q241">
        <v>0</v>
      </c>
      <c r="R241">
        <v>1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 t="s">
        <v>31</v>
      </c>
      <c r="Z241">
        <v>55</v>
      </c>
      <c r="AA241">
        <v>35</v>
      </c>
    </row>
    <row r="242" spans="1:27" x14ac:dyDescent="0.2">
      <c r="A242" t="s">
        <v>251</v>
      </c>
      <c r="B242">
        <v>2023</v>
      </c>
      <c r="C242" t="s">
        <v>252</v>
      </c>
      <c r="D242" t="s">
        <v>370</v>
      </c>
      <c r="E242" t="s">
        <v>29</v>
      </c>
      <c r="F242" t="s">
        <v>30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8</v>
      </c>
      <c r="T242">
        <v>0</v>
      </c>
      <c r="U242">
        <v>0</v>
      </c>
      <c r="V242">
        <v>0</v>
      </c>
      <c r="W242">
        <v>0</v>
      </c>
      <c r="X242">
        <v>0</v>
      </c>
      <c r="Y242" t="s">
        <v>31</v>
      </c>
      <c r="Z242">
        <v>55</v>
      </c>
      <c r="AA242">
        <v>20</v>
      </c>
    </row>
    <row r="243" spans="1:27" x14ac:dyDescent="0.2">
      <c r="A243" t="s">
        <v>172</v>
      </c>
      <c r="B243">
        <v>2023</v>
      </c>
      <c r="C243" t="s">
        <v>371</v>
      </c>
      <c r="D243" t="s">
        <v>372</v>
      </c>
      <c r="E243" t="s">
        <v>29</v>
      </c>
      <c r="F243" t="s">
        <v>30</v>
      </c>
      <c r="G243">
        <v>13</v>
      </c>
      <c r="H243">
        <v>0</v>
      </c>
      <c r="I243">
        <v>0</v>
      </c>
      <c r="J243">
        <v>0</v>
      </c>
      <c r="K243">
        <v>43</v>
      </c>
      <c r="L243">
        <v>0</v>
      </c>
      <c r="M243">
        <v>13</v>
      </c>
      <c r="N243">
        <v>0</v>
      </c>
      <c r="O243">
        <v>0</v>
      </c>
      <c r="P243">
        <v>0</v>
      </c>
      <c r="Q243">
        <v>43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 t="s">
        <v>31</v>
      </c>
      <c r="Z243">
        <v>55</v>
      </c>
      <c r="AA243">
        <v>49.5</v>
      </c>
    </row>
    <row r="244" spans="1:27" x14ac:dyDescent="0.2">
      <c r="A244" t="s">
        <v>172</v>
      </c>
      <c r="B244">
        <v>2023</v>
      </c>
      <c r="C244" t="s">
        <v>373</v>
      </c>
      <c r="D244" t="s">
        <v>374</v>
      </c>
      <c r="E244" t="s">
        <v>29</v>
      </c>
      <c r="F244" t="s">
        <v>30</v>
      </c>
      <c r="G244">
        <v>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 t="s">
        <v>31</v>
      </c>
      <c r="Z244">
        <v>55</v>
      </c>
      <c r="AA244" s="2" t="s">
        <v>375</v>
      </c>
    </row>
    <row r="245" spans="1:27" x14ac:dyDescent="0.2">
      <c r="A245" t="s">
        <v>376</v>
      </c>
      <c r="B245">
        <v>2021</v>
      </c>
      <c r="C245" t="s">
        <v>377</v>
      </c>
      <c r="D245" t="s">
        <v>378</v>
      </c>
      <c r="E245" t="s">
        <v>29</v>
      </c>
      <c r="F245" t="s">
        <v>30</v>
      </c>
      <c r="G245">
        <v>4</v>
      </c>
      <c r="H245">
        <v>0</v>
      </c>
      <c r="I245">
        <v>9</v>
      </c>
      <c r="J245">
        <v>0</v>
      </c>
      <c r="K245">
        <v>16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 t="s">
        <v>51</v>
      </c>
      <c r="Z245">
        <v>55</v>
      </c>
      <c r="AA245">
        <v>0</v>
      </c>
    </row>
    <row r="246" spans="1:27" x14ac:dyDescent="0.2">
      <c r="A246" t="s">
        <v>271</v>
      </c>
      <c r="B246">
        <v>2021</v>
      </c>
      <c r="C246">
        <v>8636013</v>
      </c>
      <c r="D246" t="s">
        <v>272</v>
      </c>
      <c r="E246" t="s">
        <v>29</v>
      </c>
      <c r="F246" t="s">
        <v>30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91</v>
      </c>
      <c r="N246">
        <v>0</v>
      </c>
      <c r="O246">
        <v>10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 t="s">
        <v>31</v>
      </c>
      <c r="Z246">
        <v>55</v>
      </c>
      <c r="AA246">
        <v>36</v>
      </c>
    </row>
    <row r="247" spans="1:27" x14ac:dyDescent="0.2">
      <c r="A247" t="s">
        <v>379</v>
      </c>
      <c r="B247">
        <v>2021</v>
      </c>
      <c r="C247" t="s">
        <v>380</v>
      </c>
      <c r="D247" t="s">
        <v>381</v>
      </c>
      <c r="E247" t="s">
        <v>29</v>
      </c>
      <c r="F247" t="s">
        <v>30</v>
      </c>
      <c r="G247">
        <v>0</v>
      </c>
      <c r="H247">
        <v>0</v>
      </c>
      <c r="I247">
        <v>133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 t="s">
        <v>31</v>
      </c>
      <c r="Z247">
        <v>55</v>
      </c>
      <c r="AA247">
        <v>13</v>
      </c>
    </row>
    <row r="248" spans="1:27" x14ac:dyDescent="0.2">
      <c r="A248" t="s">
        <v>379</v>
      </c>
      <c r="B248">
        <v>2021</v>
      </c>
      <c r="C248" t="s">
        <v>382</v>
      </c>
      <c r="D248" t="s">
        <v>383</v>
      </c>
      <c r="E248" t="s">
        <v>29</v>
      </c>
      <c r="F248" t="s">
        <v>30</v>
      </c>
      <c r="G248">
        <v>24</v>
      </c>
      <c r="H248">
        <v>0</v>
      </c>
      <c r="I248">
        <v>27</v>
      </c>
      <c r="J248">
        <v>0</v>
      </c>
      <c r="K248">
        <v>1</v>
      </c>
      <c r="L248">
        <v>0</v>
      </c>
      <c r="M248">
        <v>24</v>
      </c>
      <c r="N248">
        <v>0</v>
      </c>
      <c r="O248">
        <v>27</v>
      </c>
      <c r="P248">
        <v>0</v>
      </c>
      <c r="Q248">
        <v>1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 t="s">
        <v>51</v>
      </c>
      <c r="Z248">
        <v>55</v>
      </c>
      <c r="AA248">
        <v>0</v>
      </c>
    </row>
    <row r="249" spans="1:27" x14ac:dyDescent="0.2">
      <c r="A249" t="s">
        <v>324</v>
      </c>
      <c r="B249">
        <v>2020</v>
      </c>
      <c r="C249" t="s">
        <v>384</v>
      </c>
      <c r="D249" t="s">
        <v>385</v>
      </c>
      <c r="E249" t="s">
        <v>29</v>
      </c>
      <c r="F249" t="s">
        <v>30</v>
      </c>
      <c r="G249">
        <v>0</v>
      </c>
      <c r="H249">
        <v>0</v>
      </c>
      <c r="I249">
        <v>0</v>
      </c>
      <c r="J249">
        <v>0</v>
      </c>
      <c r="K249">
        <v>17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 t="s">
        <v>31</v>
      </c>
      <c r="Z249">
        <v>55</v>
      </c>
      <c r="AA249">
        <v>0</v>
      </c>
    </row>
    <row r="250" spans="1:27" x14ac:dyDescent="0.2">
      <c r="A250" t="s">
        <v>324</v>
      </c>
      <c r="B250">
        <v>2020</v>
      </c>
      <c r="C250">
        <v>29224270</v>
      </c>
      <c r="D250" t="s">
        <v>386</v>
      </c>
      <c r="E250" t="s">
        <v>29</v>
      </c>
      <c r="F250" t="s">
        <v>30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82</v>
      </c>
      <c r="N250">
        <v>0</v>
      </c>
      <c r="O250">
        <v>35</v>
      </c>
      <c r="P250">
        <v>0</v>
      </c>
      <c r="Q250">
        <v>15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 t="s">
        <v>31</v>
      </c>
      <c r="Z250">
        <v>55</v>
      </c>
      <c r="AA250">
        <v>0</v>
      </c>
    </row>
    <row r="251" spans="1:27" x14ac:dyDescent="0.2">
      <c r="A251" t="s">
        <v>387</v>
      </c>
      <c r="B251">
        <v>2019</v>
      </c>
      <c r="C251" t="s">
        <v>388</v>
      </c>
      <c r="D251" t="s">
        <v>389</v>
      </c>
      <c r="E251" t="s">
        <v>29</v>
      </c>
      <c r="F251" t="s">
        <v>30</v>
      </c>
      <c r="G251">
        <v>0</v>
      </c>
      <c r="H251">
        <v>0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 t="s">
        <v>51</v>
      </c>
      <c r="Z251">
        <v>1000</v>
      </c>
      <c r="AA251">
        <v>0</v>
      </c>
    </row>
    <row r="252" spans="1:27" x14ac:dyDescent="0.2">
      <c r="A252" t="s">
        <v>387</v>
      </c>
      <c r="B252">
        <v>2019</v>
      </c>
      <c r="C252" t="s">
        <v>390</v>
      </c>
      <c r="D252" t="s">
        <v>391</v>
      </c>
      <c r="E252" t="s">
        <v>29</v>
      </c>
      <c r="F252" t="s">
        <v>41</v>
      </c>
      <c r="G252">
        <v>8</v>
      </c>
      <c r="H252">
        <v>0</v>
      </c>
      <c r="I252">
        <v>2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 t="s">
        <v>51</v>
      </c>
      <c r="Z252">
        <v>1000</v>
      </c>
      <c r="AA252">
        <v>0</v>
      </c>
    </row>
    <row r="253" spans="1:27" x14ac:dyDescent="0.2">
      <c r="A253" t="s">
        <v>38</v>
      </c>
      <c r="B253">
        <v>2023</v>
      </c>
      <c r="C253">
        <v>5637003054</v>
      </c>
      <c r="D253" t="s">
        <v>392</v>
      </c>
      <c r="E253" t="s">
        <v>29</v>
      </c>
      <c r="F253" t="s">
        <v>30</v>
      </c>
      <c r="G253">
        <v>0</v>
      </c>
      <c r="H253">
        <v>0</v>
      </c>
      <c r="I253">
        <v>3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3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 t="s">
        <v>31</v>
      </c>
      <c r="AA253">
        <v>35</v>
      </c>
    </row>
    <row r="254" spans="1:27" x14ac:dyDescent="0.2">
      <c r="A254" t="s">
        <v>163</v>
      </c>
      <c r="B254">
        <v>2023</v>
      </c>
      <c r="C254">
        <v>4948402500</v>
      </c>
      <c r="D254" t="s">
        <v>259</v>
      </c>
      <c r="E254" t="s">
        <v>29</v>
      </c>
      <c r="F254" t="s">
        <v>30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 t="s">
        <v>31</v>
      </c>
      <c r="Z254">
        <v>55</v>
      </c>
      <c r="AA254">
        <v>0</v>
      </c>
    </row>
    <row r="255" spans="1:27" x14ac:dyDescent="0.2">
      <c r="A255" t="s">
        <v>163</v>
      </c>
      <c r="B255">
        <v>2023</v>
      </c>
      <c r="C255">
        <v>4948402500</v>
      </c>
      <c r="D255" t="s">
        <v>259</v>
      </c>
      <c r="E255" t="s">
        <v>29</v>
      </c>
      <c r="F255" t="s">
        <v>30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 t="s">
        <v>31</v>
      </c>
      <c r="Z255">
        <v>55</v>
      </c>
      <c r="AA255">
        <v>0</v>
      </c>
    </row>
    <row r="256" spans="1:27" x14ac:dyDescent="0.2">
      <c r="A256" t="s">
        <v>271</v>
      </c>
      <c r="B256">
        <v>2021</v>
      </c>
      <c r="C256">
        <v>8636036</v>
      </c>
      <c r="D256" t="s">
        <v>393</v>
      </c>
      <c r="E256" t="s">
        <v>29</v>
      </c>
      <c r="F256" t="s">
        <v>30</v>
      </c>
      <c r="G256">
        <v>0</v>
      </c>
      <c r="H256">
        <v>0</v>
      </c>
      <c r="I256">
        <v>51</v>
      </c>
      <c r="J256">
        <v>0</v>
      </c>
      <c r="K256">
        <v>34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 t="s">
        <v>31</v>
      </c>
      <c r="Z256">
        <v>55</v>
      </c>
      <c r="AA256">
        <v>27</v>
      </c>
    </row>
    <row r="257" spans="1:27" x14ac:dyDescent="0.2">
      <c r="A257" t="s">
        <v>172</v>
      </c>
      <c r="B257">
        <v>2023</v>
      </c>
      <c r="C257" t="s">
        <v>394</v>
      </c>
      <c r="D257" t="s">
        <v>395</v>
      </c>
      <c r="E257" t="s">
        <v>29</v>
      </c>
      <c r="F257" t="s">
        <v>30</v>
      </c>
      <c r="G257">
        <v>39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 t="s">
        <v>31</v>
      </c>
      <c r="Z257">
        <v>55</v>
      </c>
      <c r="AA257">
        <v>110.5</v>
      </c>
    </row>
    <row r="258" spans="1:27" x14ac:dyDescent="0.2">
      <c r="A258" t="s">
        <v>172</v>
      </c>
      <c r="B258">
        <v>2023</v>
      </c>
      <c r="C258" t="s">
        <v>396</v>
      </c>
      <c r="D258" t="s">
        <v>397</v>
      </c>
      <c r="E258" t="s">
        <v>29</v>
      </c>
      <c r="F258" t="s">
        <v>30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27</v>
      </c>
      <c r="T258">
        <v>0</v>
      </c>
      <c r="U258">
        <v>0</v>
      </c>
      <c r="V258">
        <v>0</v>
      </c>
      <c r="W258">
        <v>0</v>
      </c>
      <c r="X258">
        <v>0</v>
      </c>
      <c r="Y258" t="s">
        <v>31</v>
      </c>
      <c r="Z258">
        <v>55</v>
      </c>
      <c r="AA258">
        <v>20</v>
      </c>
    </row>
    <row r="259" spans="1:27" x14ac:dyDescent="0.2">
      <c r="A259" t="s">
        <v>278</v>
      </c>
      <c r="B259">
        <v>2021</v>
      </c>
      <c r="C259" t="s">
        <v>398</v>
      </c>
      <c r="D259" t="s">
        <v>399</v>
      </c>
      <c r="E259" t="s">
        <v>29</v>
      </c>
      <c r="F259" t="s">
        <v>30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11</v>
      </c>
      <c r="T259">
        <v>0</v>
      </c>
      <c r="U259">
        <v>0</v>
      </c>
      <c r="V259">
        <v>0</v>
      </c>
      <c r="W259">
        <v>0</v>
      </c>
      <c r="X259">
        <v>0</v>
      </c>
      <c r="Y259" t="s">
        <v>31</v>
      </c>
      <c r="Z259">
        <v>55</v>
      </c>
      <c r="AA259">
        <v>22.5</v>
      </c>
    </row>
    <row r="260" spans="1:27" x14ac:dyDescent="0.2">
      <c r="A260" t="s">
        <v>278</v>
      </c>
      <c r="B260">
        <v>2021</v>
      </c>
      <c r="C260" t="s">
        <v>400</v>
      </c>
      <c r="D260" t="s">
        <v>401</v>
      </c>
      <c r="E260" t="s">
        <v>29</v>
      </c>
      <c r="F260" t="s">
        <v>41</v>
      </c>
      <c r="G260">
        <v>9</v>
      </c>
      <c r="H260">
        <v>0</v>
      </c>
      <c r="I260">
        <v>20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 t="s">
        <v>31</v>
      </c>
      <c r="Z260">
        <v>1000</v>
      </c>
      <c r="AA260">
        <v>50</v>
      </c>
    </row>
    <row r="261" spans="1:27" x14ac:dyDescent="0.2">
      <c r="A261" t="s">
        <v>402</v>
      </c>
      <c r="B261">
        <v>2021</v>
      </c>
      <c r="C261" t="s">
        <v>403</v>
      </c>
      <c r="D261" t="s">
        <v>404</v>
      </c>
      <c r="E261" t="s">
        <v>29</v>
      </c>
      <c r="F261" t="s">
        <v>30</v>
      </c>
      <c r="G261">
        <v>0</v>
      </c>
      <c r="H261">
        <v>6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 t="s">
        <v>31</v>
      </c>
      <c r="AA261">
        <v>20</v>
      </c>
    </row>
    <row r="262" spans="1:27" x14ac:dyDescent="0.2">
      <c r="A262" t="s">
        <v>278</v>
      </c>
      <c r="B262">
        <v>2023</v>
      </c>
      <c r="C262" t="s">
        <v>279</v>
      </c>
      <c r="D262" t="s">
        <v>405</v>
      </c>
      <c r="E262" t="s">
        <v>29</v>
      </c>
      <c r="F262" t="s">
        <v>30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14</v>
      </c>
      <c r="P262">
        <v>0</v>
      </c>
      <c r="Q262">
        <v>18</v>
      </c>
      <c r="R262">
        <v>0</v>
      </c>
      <c r="S262">
        <v>0</v>
      </c>
      <c r="T262">
        <v>0</v>
      </c>
      <c r="U262">
        <v>14</v>
      </c>
      <c r="V262">
        <v>0</v>
      </c>
      <c r="W262">
        <v>18</v>
      </c>
      <c r="X262">
        <v>0</v>
      </c>
      <c r="Y262" t="s">
        <v>51</v>
      </c>
      <c r="Z262">
        <v>1000</v>
      </c>
      <c r="AA262">
        <v>0</v>
      </c>
    </row>
    <row r="263" spans="1:27" x14ac:dyDescent="0.2">
      <c r="A263" t="s">
        <v>406</v>
      </c>
      <c r="B263">
        <v>2021</v>
      </c>
      <c r="C263" t="s">
        <v>407</v>
      </c>
      <c r="D263" t="s">
        <v>408</v>
      </c>
      <c r="E263" t="s">
        <v>29</v>
      </c>
      <c r="F263" t="s">
        <v>41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1</v>
      </c>
      <c r="V263">
        <v>0</v>
      </c>
      <c r="W263">
        <v>0</v>
      </c>
      <c r="X263">
        <v>0</v>
      </c>
      <c r="Y263" t="s">
        <v>51</v>
      </c>
      <c r="AA263">
        <v>0</v>
      </c>
    </row>
    <row r="264" spans="1:27" x14ac:dyDescent="0.2">
      <c r="A264" t="s">
        <v>409</v>
      </c>
      <c r="B264">
        <v>2021</v>
      </c>
      <c r="C264" s="2" t="s">
        <v>410</v>
      </c>
      <c r="D264" t="s">
        <v>411</v>
      </c>
      <c r="E264" t="s">
        <v>29</v>
      </c>
      <c r="F264" t="s">
        <v>30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78</v>
      </c>
      <c r="N264">
        <v>0</v>
      </c>
      <c r="O264">
        <v>1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 t="s">
        <v>31</v>
      </c>
      <c r="Z264">
        <v>55</v>
      </c>
      <c r="AA264">
        <v>65</v>
      </c>
    </row>
    <row r="265" spans="1:27" x14ac:dyDescent="0.2">
      <c r="A265" t="s">
        <v>412</v>
      </c>
      <c r="B265">
        <v>2021</v>
      </c>
      <c r="C265" t="s">
        <v>413</v>
      </c>
      <c r="D265" t="s">
        <v>414</v>
      </c>
      <c r="E265" t="s">
        <v>29</v>
      </c>
      <c r="F265" t="s">
        <v>30</v>
      </c>
      <c r="G265">
        <v>7</v>
      </c>
      <c r="H265">
        <v>0</v>
      </c>
      <c r="I265">
        <v>1</v>
      </c>
      <c r="J265">
        <v>0</v>
      </c>
      <c r="K265">
        <v>0</v>
      </c>
      <c r="L265">
        <v>0</v>
      </c>
      <c r="M265">
        <v>7</v>
      </c>
      <c r="N265">
        <v>0</v>
      </c>
      <c r="O265">
        <v>1</v>
      </c>
      <c r="P265">
        <v>0</v>
      </c>
      <c r="Q265">
        <v>0</v>
      </c>
      <c r="R265">
        <v>0</v>
      </c>
      <c r="S265">
        <v>7</v>
      </c>
      <c r="T265">
        <v>0</v>
      </c>
      <c r="U265">
        <v>1</v>
      </c>
      <c r="V265">
        <v>0</v>
      </c>
      <c r="W265">
        <v>0</v>
      </c>
      <c r="X265">
        <v>0</v>
      </c>
      <c r="Y265" t="s">
        <v>31</v>
      </c>
      <c r="AA265">
        <v>120</v>
      </c>
    </row>
    <row r="266" spans="1:27" x14ac:dyDescent="0.2">
      <c r="A266" t="s">
        <v>412</v>
      </c>
      <c r="B266">
        <v>2021</v>
      </c>
      <c r="C266" t="s">
        <v>413</v>
      </c>
      <c r="D266" t="s">
        <v>414</v>
      </c>
      <c r="E266" t="s">
        <v>29</v>
      </c>
      <c r="F266" t="s">
        <v>30</v>
      </c>
      <c r="G266">
        <v>7</v>
      </c>
      <c r="H266">
        <v>0</v>
      </c>
      <c r="I266">
        <v>1</v>
      </c>
      <c r="J266">
        <v>0</v>
      </c>
      <c r="K266">
        <v>0</v>
      </c>
      <c r="L266">
        <v>0</v>
      </c>
      <c r="M266">
        <v>7</v>
      </c>
      <c r="N266">
        <v>0</v>
      </c>
      <c r="O266">
        <v>1</v>
      </c>
      <c r="P266">
        <v>0</v>
      </c>
      <c r="Q266">
        <v>0</v>
      </c>
      <c r="R266">
        <v>0</v>
      </c>
      <c r="S266">
        <v>7</v>
      </c>
      <c r="T266">
        <v>0</v>
      </c>
      <c r="U266">
        <v>1</v>
      </c>
      <c r="V266">
        <v>0</v>
      </c>
      <c r="W266">
        <v>0</v>
      </c>
      <c r="X266">
        <v>0</v>
      </c>
      <c r="Y266" t="s">
        <v>31</v>
      </c>
      <c r="AA266">
        <v>120</v>
      </c>
    </row>
    <row r="267" spans="1:27" x14ac:dyDescent="0.2">
      <c r="A267" t="s">
        <v>415</v>
      </c>
      <c r="B267">
        <v>2021</v>
      </c>
      <c r="C267" t="s">
        <v>416</v>
      </c>
      <c r="D267" t="s">
        <v>417</v>
      </c>
      <c r="E267" t="s">
        <v>29</v>
      </c>
      <c r="F267" t="s">
        <v>30</v>
      </c>
      <c r="G267">
        <v>32</v>
      </c>
      <c r="H267">
        <v>0</v>
      </c>
      <c r="I267">
        <v>37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 t="s">
        <v>31</v>
      </c>
      <c r="Z267">
        <v>55</v>
      </c>
      <c r="AA267">
        <v>35</v>
      </c>
    </row>
    <row r="268" spans="1:27" x14ac:dyDescent="0.2">
      <c r="A268" t="s">
        <v>418</v>
      </c>
      <c r="B268">
        <v>2021</v>
      </c>
      <c r="C268" t="s">
        <v>419</v>
      </c>
      <c r="D268" t="s">
        <v>420</v>
      </c>
      <c r="E268" t="s">
        <v>29</v>
      </c>
      <c r="F268" t="s">
        <v>30</v>
      </c>
      <c r="G268">
        <v>0</v>
      </c>
      <c r="H268">
        <v>0</v>
      </c>
      <c r="I268">
        <v>14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 t="s">
        <v>31</v>
      </c>
      <c r="AA268">
        <v>50</v>
      </c>
    </row>
    <row r="269" spans="1:27" x14ac:dyDescent="0.2">
      <c r="A269" t="s">
        <v>418</v>
      </c>
      <c r="B269">
        <v>2021</v>
      </c>
      <c r="C269" t="s">
        <v>421</v>
      </c>
      <c r="D269" t="s">
        <v>422</v>
      </c>
      <c r="E269" t="s">
        <v>29</v>
      </c>
      <c r="F269" t="s">
        <v>30</v>
      </c>
      <c r="G269">
        <v>9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 t="s">
        <v>31</v>
      </c>
      <c r="AA269">
        <v>0</v>
      </c>
    </row>
    <row r="270" spans="1:27" x14ac:dyDescent="0.2">
      <c r="A270" t="s">
        <v>418</v>
      </c>
      <c r="B270">
        <v>2021</v>
      </c>
      <c r="C270">
        <v>47212086</v>
      </c>
      <c r="D270" t="s">
        <v>423</v>
      </c>
      <c r="E270" t="s">
        <v>29</v>
      </c>
      <c r="F270" t="s">
        <v>30</v>
      </c>
      <c r="G270">
        <v>0</v>
      </c>
      <c r="H270">
        <v>0</v>
      </c>
      <c r="I270">
        <v>21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 t="s">
        <v>31</v>
      </c>
      <c r="Z270">
        <v>55</v>
      </c>
      <c r="AA270">
        <v>80</v>
      </c>
    </row>
    <row r="271" spans="1:27" x14ac:dyDescent="0.2">
      <c r="A271" t="s">
        <v>424</v>
      </c>
      <c r="B271">
        <v>2022</v>
      </c>
      <c r="C271">
        <v>148170001</v>
      </c>
      <c r="D271" t="s">
        <v>425</v>
      </c>
      <c r="E271" t="s">
        <v>29</v>
      </c>
      <c r="F271" t="s">
        <v>30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12</v>
      </c>
      <c r="N271">
        <v>0</v>
      </c>
      <c r="O271">
        <v>0</v>
      </c>
      <c r="P271">
        <v>0</v>
      </c>
      <c r="Q271">
        <v>24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 t="s">
        <v>31</v>
      </c>
      <c r="Z271">
        <v>55</v>
      </c>
      <c r="AA271">
        <v>20</v>
      </c>
    </row>
    <row r="272" spans="1:27" x14ac:dyDescent="0.2">
      <c r="A272" t="s">
        <v>254</v>
      </c>
      <c r="B272">
        <v>2023</v>
      </c>
      <c r="C272" t="s">
        <v>426</v>
      </c>
      <c r="D272" t="s">
        <v>427</v>
      </c>
      <c r="E272" t="s">
        <v>29</v>
      </c>
      <c r="F272" t="s">
        <v>30</v>
      </c>
      <c r="G272">
        <v>188</v>
      </c>
      <c r="H272">
        <v>0</v>
      </c>
      <c r="I272">
        <v>148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 t="s">
        <v>51</v>
      </c>
      <c r="AA272">
        <v>0</v>
      </c>
    </row>
    <row r="273" spans="1:27" x14ac:dyDescent="0.2">
      <c r="A273" t="s">
        <v>227</v>
      </c>
      <c r="B273">
        <v>2023</v>
      </c>
      <c r="C273" t="s">
        <v>428</v>
      </c>
      <c r="D273" t="s">
        <v>429</v>
      </c>
      <c r="E273" t="s">
        <v>29</v>
      </c>
      <c r="F273" t="s">
        <v>41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 t="s">
        <v>51</v>
      </c>
      <c r="AA273">
        <v>0</v>
      </c>
    </row>
    <row r="274" spans="1:27" x14ac:dyDescent="0.2">
      <c r="A274" t="s">
        <v>75</v>
      </c>
      <c r="B274">
        <v>2021</v>
      </c>
      <c r="D274" t="s">
        <v>430</v>
      </c>
      <c r="E274" t="s">
        <v>29</v>
      </c>
      <c r="F274" t="s">
        <v>30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1</v>
      </c>
      <c r="T274">
        <v>0</v>
      </c>
      <c r="U274">
        <v>0</v>
      </c>
      <c r="V274">
        <v>0</v>
      </c>
      <c r="W274">
        <v>0</v>
      </c>
      <c r="X274">
        <v>0</v>
      </c>
      <c r="Y274" t="s">
        <v>31</v>
      </c>
      <c r="Z274">
        <v>55</v>
      </c>
      <c r="AA274">
        <v>0</v>
      </c>
    </row>
    <row r="275" spans="1:27" x14ac:dyDescent="0.2">
      <c r="A275" t="s">
        <v>254</v>
      </c>
      <c r="B275">
        <v>2023</v>
      </c>
      <c r="C275" s="3">
        <v>24760</v>
      </c>
      <c r="D275" t="s">
        <v>256</v>
      </c>
      <c r="E275" t="s">
        <v>29</v>
      </c>
      <c r="F275" t="s">
        <v>30</v>
      </c>
      <c r="G275">
        <v>38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 t="s">
        <v>31</v>
      </c>
      <c r="AA275">
        <v>144</v>
      </c>
    </row>
    <row r="276" spans="1:27" ht="85" x14ac:dyDescent="0.2">
      <c r="A276" t="s">
        <v>38</v>
      </c>
      <c r="B276">
        <v>2022</v>
      </c>
      <c r="C276">
        <v>5637023806</v>
      </c>
      <c r="D276" s="1" t="s">
        <v>431</v>
      </c>
      <c r="E276" t="s">
        <v>29</v>
      </c>
      <c r="F276" t="s">
        <v>30</v>
      </c>
      <c r="G276">
        <v>138</v>
      </c>
      <c r="H276">
        <v>0</v>
      </c>
      <c r="I276">
        <v>199</v>
      </c>
      <c r="J276">
        <v>0</v>
      </c>
      <c r="K276">
        <v>0</v>
      </c>
      <c r="L276">
        <v>0</v>
      </c>
      <c r="M276">
        <v>138</v>
      </c>
      <c r="N276">
        <v>0</v>
      </c>
      <c r="O276">
        <v>199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 t="s">
        <v>31</v>
      </c>
      <c r="Z276">
        <v>78</v>
      </c>
      <c r="AA276">
        <v>750</v>
      </c>
    </row>
    <row r="277" spans="1:27" x14ac:dyDescent="0.2">
      <c r="A277" t="s">
        <v>318</v>
      </c>
      <c r="B277">
        <v>2023</v>
      </c>
      <c r="C277">
        <v>20550016</v>
      </c>
      <c r="D277" t="s">
        <v>432</v>
      </c>
      <c r="E277" t="s">
        <v>29</v>
      </c>
      <c r="F277" t="s">
        <v>30</v>
      </c>
      <c r="G277">
        <v>6</v>
      </c>
      <c r="H277">
        <v>0</v>
      </c>
      <c r="I277">
        <v>22</v>
      </c>
      <c r="J277">
        <v>0</v>
      </c>
      <c r="K277">
        <v>0</v>
      </c>
      <c r="L277">
        <v>72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 t="s">
        <v>31</v>
      </c>
      <c r="Z277">
        <v>55</v>
      </c>
      <c r="AA277">
        <v>50</v>
      </c>
    </row>
    <row r="278" spans="1:27" x14ac:dyDescent="0.2">
      <c r="A278" t="s">
        <v>433</v>
      </c>
      <c r="B278">
        <v>2022</v>
      </c>
      <c r="C278">
        <v>16741052</v>
      </c>
      <c r="D278" t="s">
        <v>434</v>
      </c>
      <c r="E278" t="s">
        <v>29</v>
      </c>
      <c r="F278" t="s">
        <v>41</v>
      </c>
      <c r="G278">
        <v>0</v>
      </c>
      <c r="H278">
        <v>0</v>
      </c>
      <c r="I278">
        <v>0</v>
      </c>
      <c r="J278">
        <v>0</v>
      </c>
      <c r="K278">
        <v>3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 t="s">
        <v>31</v>
      </c>
      <c r="Z278">
        <v>55</v>
      </c>
      <c r="AA278">
        <v>20</v>
      </c>
    </row>
    <row r="279" spans="1:27" x14ac:dyDescent="0.2">
      <c r="A279" t="s">
        <v>433</v>
      </c>
      <c r="B279">
        <v>2022</v>
      </c>
      <c r="C279">
        <v>17004066</v>
      </c>
      <c r="D279" t="s">
        <v>435</v>
      </c>
      <c r="E279" t="s">
        <v>29</v>
      </c>
      <c r="F279" t="s">
        <v>30</v>
      </c>
      <c r="G279">
        <v>0</v>
      </c>
      <c r="H279">
        <v>0</v>
      </c>
      <c r="I279">
        <v>29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 t="s">
        <v>31</v>
      </c>
      <c r="Z279">
        <v>99</v>
      </c>
      <c r="AA279">
        <v>35</v>
      </c>
    </row>
    <row r="280" spans="1:27" x14ac:dyDescent="0.2">
      <c r="A280" t="s">
        <v>436</v>
      </c>
      <c r="B280">
        <v>2022</v>
      </c>
      <c r="C280" t="s">
        <v>437</v>
      </c>
      <c r="D280" t="s">
        <v>438</v>
      </c>
      <c r="E280" t="s">
        <v>29</v>
      </c>
      <c r="F280" t="s">
        <v>30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13</v>
      </c>
      <c r="N280">
        <v>0</v>
      </c>
      <c r="O280">
        <v>11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 t="s">
        <v>31</v>
      </c>
      <c r="Z280">
        <v>55</v>
      </c>
      <c r="AA280">
        <v>23</v>
      </c>
    </row>
    <row r="281" spans="1:27" x14ac:dyDescent="0.2">
      <c r="A281" t="s">
        <v>436</v>
      </c>
      <c r="B281">
        <v>2022</v>
      </c>
      <c r="C281" t="s">
        <v>437</v>
      </c>
      <c r="D281" t="s">
        <v>439</v>
      </c>
      <c r="E281" t="s">
        <v>29</v>
      </c>
      <c r="F281" t="s">
        <v>30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6</v>
      </c>
      <c r="N281">
        <v>0</v>
      </c>
      <c r="O281">
        <v>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 t="s">
        <v>31</v>
      </c>
      <c r="Z281">
        <v>55</v>
      </c>
      <c r="AA281">
        <v>23</v>
      </c>
    </row>
    <row r="282" spans="1:27" x14ac:dyDescent="0.2">
      <c r="A282" t="s">
        <v>318</v>
      </c>
      <c r="B282">
        <v>2023</v>
      </c>
      <c r="C282">
        <v>20550014</v>
      </c>
      <c r="D282" t="s">
        <v>440</v>
      </c>
      <c r="E282" t="s">
        <v>29</v>
      </c>
      <c r="F282" t="s">
        <v>30</v>
      </c>
      <c r="G282">
        <v>4</v>
      </c>
      <c r="H282">
        <v>0</v>
      </c>
      <c r="I282">
        <v>14</v>
      </c>
      <c r="J282">
        <v>0</v>
      </c>
      <c r="K282">
        <v>0</v>
      </c>
      <c r="L282">
        <v>44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 t="s">
        <v>31</v>
      </c>
      <c r="Z282">
        <v>55</v>
      </c>
      <c r="AA282">
        <v>51</v>
      </c>
    </row>
    <row r="283" spans="1:27" x14ac:dyDescent="0.2">
      <c r="A283" t="s">
        <v>321</v>
      </c>
      <c r="B283">
        <v>2020</v>
      </c>
      <c r="C283">
        <v>4291011019</v>
      </c>
      <c r="D283" t="s">
        <v>441</v>
      </c>
      <c r="E283" t="s">
        <v>29</v>
      </c>
      <c r="F283" t="s">
        <v>30</v>
      </c>
      <c r="G283">
        <v>2</v>
      </c>
      <c r="H283">
        <v>0</v>
      </c>
      <c r="I283">
        <v>15</v>
      </c>
      <c r="J283">
        <v>0</v>
      </c>
      <c r="K283">
        <v>3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 t="s">
        <v>51</v>
      </c>
      <c r="AA283">
        <v>0</v>
      </c>
    </row>
    <row r="284" spans="1:27" x14ac:dyDescent="0.2">
      <c r="A284" t="s">
        <v>324</v>
      </c>
      <c r="B284">
        <v>2020</v>
      </c>
      <c r="C284" t="s">
        <v>442</v>
      </c>
      <c r="D284" t="s">
        <v>443</v>
      </c>
      <c r="E284" t="s">
        <v>29</v>
      </c>
      <c r="F284" t="s">
        <v>30</v>
      </c>
      <c r="G284">
        <v>0</v>
      </c>
      <c r="H284">
        <v>0</v>
      </c>
      <c r="I284">
        <v>0</v>
      </c>
      <c r="J284">
        <v>0</v>
      </c>
      <c r="K284">
        <v>15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 t="s">
        <v>31</v>
      </c>
      <c r="Z284">
        <v>55</v>
      </c>
      <c r="AA284">
        <v>0</v>
      </c>
    </row>
    <row r="285" spans="1:27" x14ac:dyDescent="0.2">
      <c r="A285" t="s">
        <v>271</v>
      </c>
      <c r="B285">
        <v>2023</v>
      </c>
      <c r="C285">
        <v>2238007</v>
      </c>
      <c r="D285" t="s">
        <v>444</v>
      </c>
      <c r="E285" t="s">
        <v>29</v>
      </c>
      <c r="F285" t="s">
        <v>41</v>
      </c>
      <c r="G285">
        <v>0</v>
      </c>
      <c r="H285">
        <v>0</v>
      </c>
      <c r="I285">
        <v>31</v>
      </c>
      <c r="J285">
        <v>0</v>
      </c>
      <c r="K285">
        <v>44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 t="s">
        <v>51</v>
      </c>
      <c r="AA285">
        <v>0</v>
      </c>
    </row>
    <row r="286" spans="1:27" x14ac:dyDescent="0.2">
      <c r="A286" t="s">
        <v>278</v>
      </c>
      <c r="B286">
        <v>2023</v>
      </c>
      <c r="C286" t="s">
        <v>445</v>
      </c>
      <c r="D286" t="s">
        <v>446</v>
      </c>
      <c r="E286" t="s">
        <v>29</v>
      </c>
      <c r="F286" t="s">
        <v>30</v>
      </c>
      <c r="G286">
        <v>75</v>
      </c>
      <c r="H286">
        <v>0</v>
      </c>
      <c r="I286">
        <v>23</v>
      </c>
      <c r="J286">
        <v>0</v>
      </c>
      <c r="K286">
        <v>2</v>
      </c>
      <c r="L286">
        <v>0</v>
      </c>
      <c r="M286">
        <v>75</v>
      </c>
      <c r="N286">
        <v>0</v>
      </c>
      <c r="O286">
        <v>23</v>
      </c>
      <c r="P286">
        <v>0</v>
      </c>
      <c r="Q286">
        <v>2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 t="s">
        <v>31</v>
      </c>
      <c r="Z286">
        <v>1000</v>
      </c>
      <c r="AA286">
        <v>96</v>
      </c>
    </row>
    <row r="287" spans="1:27" x14ac:dyDescent="0.2">
      <c r="A287" t="s">
        <v>353</v>
      </c>
      <c r="B287">
        <v>2020</v>
      </c>
      <c r="C287">
        <v>2163001300</v>
      </c>
      <c r="D287" t="s">
        <v>447</v>
      </c>
      <c r="E287" t="s">
        <v>29</v>
      </c>
      <c r="F287" t="s">
        <v>30</v>
      </c>
      <c r="G287">
        <v>0</v>
      </c>
      <c r="H287">
        <v>0</v>
      </c>
      <c r="I287">
        <v>3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 t="s">
        <v>31</v>
      </c>
      <c r="AA287">
        <v>0</v>
      </c>
    </row>
    <row r="288" spans="1:27" x14ac:dyDescent="0.2">
      <c r="A288" t="s">
        <v>75</v>
      </c>
      <c r="B288">
        <v>2021</v>
      </c>
      <c r="C288">
        <v>3130601000</v>
      </c>
      <c r="D288" t="s">
        <v>448</v>
      </c>
      <c r="E288" t="s">
        <v>29</v>
      </c>
      <c r="F288" t="s">
        <v>30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 t="s">
        <v>31</v>
      </c>
      <c r="Z288">
        <v>55</v>
      </c>
      <c r="AA288">
        <v>0</v>
      </c>
    </row>
    <row r="289" spans="1:27" x14ac:dyDescent="0.2">
      <c r="A289" t="s">
        <v>75</v>
      </c>
      <c r="B289">
        <v>2021</v>
      </c>
      <c r="C289">
        <v>5382901800</v>
      </c>
      <c r="D289" t="s">
        <v>449</v>
      </c>
      <c r="E289" t="s">
        <v>29</v>
      </c>
      <c r="F289" t="s">
        <v>30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 t="s">
        <v>31</v>
      </c>
      <c r="Z289">
        <v>55</v>
      </c>
      <c r="AA289">
        <v>0</v>
      </c>
    </row>
    <row r="290" spans="1:27" x14ac:dyDescent="0.2">
      <c r="A290" t="s">
        <v>75</v>
      </c>
      <c r="B290">
        <v>2021</v>
      </c>
      <c r="C290">
        <v>4463631200</v>
      </c>
      <c r="D290" t="s">
        <v>450</v>
      </c>
      <c r="E290" t="s">
        <v>29</v>
      </c>
      <c r="F290" t="s">
        <v>30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 t="s">
        <v>31</v>
      </c>
      <c r="Z290">
        <v>55</v>
      </c>
      <c r="AA290">
        <v>0</v>
      </c>
    </row>
    <row r="291" spans="1:27" x14ac:dyDescent="0.2">
      <c r="A291" t="s">
        <v>75</v>
      </c>
      <c r="B291">
        <v>2021</v>
      </c>
      <c r="C291">
        <v>4531521000</v>
      </c>
      <c r="D291" t="s">
        <v>451</v>
      </c>
      <c r="E291" t="s">
        <v>29</v>
      </c>
      <c r="F291" t="s">
        <v>30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5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 t="s">
        <v>31</v>
      </c>
      <c r="Z291">
        <v>55</v>
      </c>
      <c r="AA291">
        <v>0</v>
      </c>
    </row>
    <row r="292" spans="1:27" x14ac:dyDescent="0.2">
      <c r="A292" t="s">
        <v>75</v>
      </c>
      <c r="B292">
        <v>2021</v>
      </c>
      <c r="C292">
        <v>3130601000</v>
      </c>
      <c r="D292" t="s">
        <v>452</v>
      </c>
      <c r="E292" t="s">
        <v>29</v>
      </c>
      <c r="F292" t="s">
        <v>30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5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 t="s">
        <v>31</v>
      </c>
      <c r="Z292">
        <v>55</v>
      </c>
      <c r="AA292">
        <v>0</v>
      </c>
    </row>
    <row r="293" spans="1:27" x14ac:dyDescent="0.2">
      <c r="A293" t="s">
        <v>251</v>
      </c>
      <c r="B293">
        <v>2023</v>
      </c>
      <c r="C293" t="s">
        <v>252</v>
      </c>
      <c r="D293" t="s">
        <v>453</v>
      </c>
      <c r="E293" t="s">
        <v>29</v>
      </c>
      <c r="F293" t="s">
        <v>30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16</v>
      </c>
      <c r="V293">
        <v>0</v>
      </c>
      <c r="W293">
        <v>0</v>
      </c>
      <c r="X293">
        <v>0</v>
      </c>
      <c r="Y293" t="s">
        <v>31</v>
      </c>
      <c r="Z293">
        <v>55</v>
      </c>
      <c r="AA293">
        <v>20</v>
      </c>
    </row>
    <row r="294" spans="1:27" x14ac:dyDescent="0.2">
      <c r="A294" t="s">
        <v>75</v>
      </c>
      <c r="B294">
        <v>2021</v>
      </c>
      <c r="C294">
        <v>4152411000</v>
      </c>
      <c r="D294" t="s">
        <v>135</v>
      </c>
      <c r="E294" t="s">
        <v>29</v>
      </c>
      <c r="F294" t="s">
        <v>30</v>
      </c>
      <c r="G294">
        <v>2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2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 t="s">
        <v>31</v>
      </c>
      <c r="Z294">
        <v>55</v>
      </c>
      <c r="AA294">
        <v>0</v>
      </c>
    </row>
    <row r="295" spans="1:27" ht="85" x14ac:dyDescent="0.2">
      <c r="A295" t="s">
        <v>38</v>
      </c>
      <c r="B295">
        <v>2022</v>
      </c>
      <c r="C295">
        <v>5674010023</v>
      </c>
      <c r="D295" s="1" t="s">
        <v>454</v>
      </c>
      <c r="E295" t="s">
        <v>29</v>
      </c>
      <c r="F295" t="s">
        <v>30</v>
      </c>
      <c r="G295">
        <v>26</v>
      </c>
      <c r="H295">
        <v>0</v>
      </c>
      <c r="I295">
        <v>100</v>
      </c>
      <c r="J295">
        <v>0</v>
      </c>
      <c r="K295">
        <v>0</v>
      </c>
      <c r="L295">
        <v>0</v>
      </c>
      <c r="M295">
        <v>26</v>
      </c>
      <c r="N295">
        <v>0</v>
      </c>
      <c r="O295">
        <v>100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 t="s">
        <v>31</v>
      </c>
      <c r="Z295">
        <v>72</v>
      </c>
      <c r="AA295">
        <v>324</v>
      </c>
    </row>
    <row r="296" spans="1:27" ht="85" x14ac:dyDescent="0.2">
      <c r="A296" t="s">
        <v>38</v>
      </c>
      <c r="B296">
        <v>2022</v>
      </c>
      <c r="C296">
        <v>5643006012</v>
      </c>
      <c r="D296" s="1" t="s">
        <v>455</v>
      </c>
      <c r="E296" t="s">
        <v>29</v>
      </c>
      <c r="F296" t="s">
        <v>30</v>
      </c>
      <c r="G296">
        <v>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3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 t="s">
        <v>31</v>
      </c>
      <c r="AA296">
        <v>35</v>
      </c>
    </row>
    <row r="297" spans="1:27" x14ac:dyDescent="0.2">
      <c r="A297" t="s">
        <v>75</v>
      </c>
      <c r="B297">
        <v>2021</v>
      </c>
      <c r="C297">
        <v>5381902200</v>
      </c>
      <c r="D297" t="s">
        <v>456</v>
      </c>
      <c r="E297" t="s">
        <v>29</v>
      </c>
      <c r="F297" t="s">
        <v>30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1</v>
      </c>
      <c r="V297">
        <v>0</v>
      </c>
      <c r="W297">
        <v>0</v>
      </c>
      <c r="X297">
        <v>0</v>
      </c>
      <c r="Y297" t="s">
        <v>31</v>
      </c>
      <c r="Z297">
        <v>55</v>
      </c>
      <c r="AA297">
        <v>0</v>
      </c>
    </row>
    <row r="298" spans="1:27" x14ac:dyDescent="0.2">
      <c r="A298" t="s">
        <v>457</v>
      </c>
      <c r="B298">
        <v>2022</v>
      </c>
      <c r="C298" t="s">
        <v>458</v>
      </c>
      <c r="D298" t="s">
        <v>459</v>
      </c>
      <c r="E298" t="s">
        <v>29</v>
      </c>
      <c r="F298" t="s">
        <v>30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12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12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 t="s">
        <v>31</v>
      </c>
      <c r="Z298">
        <v>55</v>
      </c>
      <c r="AA298">
        <v>100</v>
      </c>
    </row>
    <row r="299" spans="1:27" x14ac:dyDescent="0.2">
      <c r="A299" t="s">
        <v>460</v>
      </c>
      <c r="B299">
        <v>2022</v>
      </c>
      <c r="C299" t="s">
        <v>461</v>
      </c>
      <c r="D299" t="s">
        <v>462</v>
      </c>
      <c r="E299" t="s">
        <v>29</v>
      </c>
      <c r="F299" t="s">
        <v>30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5</v>
      </c>
      <c r="N299">
        <v>0</v>
      </c>
      <c r="O299">
        <v>19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 t="s">
        <v>31</v>
      </c>
      <c r="Z299">
        <v>55</v>
      </c>
      <c r="AA299">
        <v>21</v>
      </c>
    </row>
    <row r="300" spans="1:27" x14ac:dyDescent="0.2">
      <c r="A300" t="s">
        <v>460</v>
      </c>
      <c r="B300">
        <v>2022</v>
      </c>
      <c r="C300" t="s">
        <v>463</v>
      </c>
      <c r="D300" t="s">
        <v>464</v>
      </c>
      <c r="E300" t="s">
        <v>29</v>
      </c>
      <c r="F300" t="s">
        <v>30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104</v>
      </c>
      <c r="N300">
        <v>0</v>
      </c>
      <c r="O300">
        <v>55</v>
      </c>
      <c r="P300">
        <v>0</v>
      </c>
      <c r="Q300">
        <v>1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 t="s">
        <v>31</v>
      </c>
      <c r="Z300">
        <v>55</v>
      </c>
      <c r="AA300">
        <v>50</v>
      </c>
    </row>
    <row r="301" spans="1:27" x14ac:dyDescent="0.2">
      <c r="A301" t="s">
        <v>460</v>
      </c>
      <c r="B301">
        <v>2022</v>
      </c>
      <c r="C301" t="s">
        <v>465</v>
      </c>
      <c r="D301" t="s">
        <v>466</v>
      </c>
      <c r="E301" t="s">
        <v>29</v>
      </c>
      <c r="F301" t="s">
        <v>30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24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 t="s">
        <v>31</v>
      </c>
      <c r="Z301">
        <v>55</v>
      </c>
      <c r="AA301">
        <v>33</v>
      </c>
    </row>
    <row r="302" spans="1:27" x14ac:dyDescent="0.2">
      <c r="A302" t="s">
        <v>467</v>
      </c>
      <c r="B302">
        <v>2021</v>
      </c>
      <c r="C302" t="s">
        <v>468</v>
      </c>
      <c r="D302" t="s">
        <v>469</v>
      </c>
      <c r="E302" t="s">
        <v>29</v>
      </c>
      <c r="F302" t="s">
        <v>30</v>
      </c>
      <c r="G302">
        <v>0</v>
      </c>
      <c r="H302">
        <v>0</v>
      </c>
      <c r="I302">
        <v>7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 t="s">
        <v>31</v>
      </c>
      <c r="Z302">
        <v>50</v>
      </c>
      <c r="AA302">
        <v>35</v>
      </c>
    </row>
    <row r="303" spans="1:27" x14ac:dyDescent="0.2">
      <c r="A303" t="s">
        <v>172</v>
      </c>
      <c r="B303">
        <v>2023</v>
      </c>
      <c r="C303" t="s">
        <v>470</v>
      </c>
      <c r="D303" t="s">
        <v>471</v>
      </c>
      <c r="E303" t="s">
        <v>29</v>
      </c>
      <c r="F303" t="s">
        <v>30</v>
      </c>
      <c r="G303">
        <v>3</v>
      </c>
      <c r="H303">
        <v>0</v>
      </c>
      <c r="I303">
        <v>0</v>
      </c>
      <c r="J303">
        <v>0</v>
      </c>
      <c r="K303">
        <v>21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 t="s">
        <v>31</v>
      </c>
      <c r="Z303">
        <v>55</v>
      </c>
      <c r="AA303">
        <v>48</v>
      </c>
    </row>
    <row r="304" spans="1:27" x14ac:dyDescent="0.2">
      <c r="A304" t="s">
        <v>172</v>
      </c>
      <c r="B304">
        <v>2023</v>
      </c>
      <c r="C304" t="s">
        <v>472</v>
      </c>
      <c r="D304" t="s">
        <v>473</v>
      </c>
      <c r="E304" t="s">
        <v>29</v>
      </c>
      <c r="F304" t="s">
        <v>30</v>
      </c>
      <c r="G304">
        <v>13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 t="s">
        <v>31</v>
      </c>
      <c r="Z304">
        <v>55</v>
      </c>
      <c r="AA304" s="2" t="s">
        <v>474</v>
      </c>
    </row>
    <row r="305" spans="1:27" x14ac:dyDescent="0.2">
      <c r="A305" t="s">
        <v>172</v>
      </c>
      <c r="B305">
        <v>2023</v>
      </c>
      <c r="C305" t="s">
        <v>475</v>
      </c>
      <c r="D305" t="s">
        <v>476</v>
      </c>
      <c r="E305" t="s">
        <v>29</v>
      </c>
      <c r="F305" t="s">
        <v>30</v>
      </c>
      <c r="G305">
        <v>48</v>
      </c>
      <c r="H305">
        <v>0</v>
      </c>
      <c r="I305">
        <v>1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 t="s">
        <v>31</v>
      </c>
      <c r="Z305">
        <v>55</v>
      </c>
      <c r="AA305">
        <v>80</v>
      </c>
    </row>
    <row r="306" spans="1:27" x14ac:dyDescent="0.2">
      <c r="A306" t="s">
        <v>172</v>
      </c>
      <c r="B306">
        <v>2023</v>
      </c>
      <c r="C306" t="s">
        <v>477</v>
      </c>
      <c r="D306" t="s">
        <v>478</v>
      </c>
      <c r="E306" t="s">
        <v>29</v>
      </c>
      <c r="F306" t="s">
        <v>30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35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 t="s">
        <v>31</v>
      </c>
      <c r="Z306">
        <v>55</v>
      </c>
      <c r="AA306">
        <v>50</v>
      </c>
    </row>
    <row r="307" spans="1:27" x14ac:dyDescent="0.2">
      <c r="A307" t="s">
        <v>321</v>
      </c>
      <c r="B307">
        <v>2020</v>
      </c>
      <c r="C307">
        <v>4291020016</v>
      </c>
      <c r="D307" t="s">
        <v>479</v>
      </c>
      <c r="E307" t="s">
        <v>29</v>
      </c>
      <c r="F307" t="s">
        <v>30</v>
      </c>
      <c r="G307">
        <v>0</v>
      </c>
      <c r="H307">
        <v>0</v>
      </c>
      <c r="I307">
        <v>6</v>
      </c>
      <c r="J307">
        <v>0</v>
      </c>
      <c r="K307">
        <v>3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 t="s">
        <v>51</v>
      </c>
      <c r="AA307">
        <v>0</v>
      </c>
    </row>
    <row r="308" spans="1:27" x14ac:dyDescent="0.2">
      <c r="A308" t="s">
        <v>321</v>
      </c>
      <c r="B308">
        <v>2020</v>
      </c>
      <c r="C308">
        <v>4291019018</v>
      </c>
      <c r="D308" t="s">
        <v>480</v>
      </c>
      <c r="E308" t="s">
        <v>29</v>
      </c>
      <c r="F308" t="s">
        <v>30</v>
      </c>
      <c r="G308">
        <v>0</v>
      </c>
      <c r="H308">
        <v>0</v>
      </c>
      <c r="I308">
        <v>8</v>
      </c>
      <c r="J308">
        <v>0</v>
      </c>
      <c r="K308">
        <v>3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 t="s">
        <v>51</v>
      </c>
      <c r="AA308">
        <v>0</v>
      </c>
    </row>
    <row r="309" spans="1:27" x14ac:dyDescent="0.2">
      <c r="A309" t="s">
        <v>321</v>
      </c>
      <c r="B309">
        <v>2020</v>
      </c>
      <c r="C309">
        <v>4292028001</v>
      </c>
      <c r="D309" t="s">
        <v>481</v>
      </c>
      <c r="E309" t="s">
        <v>29</v>
      </c>
      <c r="F309" t="s">
        <v>41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 t="s">
        <v>51</v>
      </c>
      <c r="AA309">
        <v>0</v>
      </c>
    </row>
    <row r="310" spans="1:27" x14ac:dyDescent="0.2">
      <c r="A310" t="s">
        <v>379</v>
      </c>
      <c r="B310">
        <v>2021</v>
      </c>
      <c r="C310" t="s">
        <v>482</v>
      </c>
      <c r="D310" t="s">
        <v>483</v>
      </c>
      <c r="E310" t="s">
        <v>29</v>
      </c>
      <c r="F310" t="s">
        <v>30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30</v>
      </c>
      <c r="T310">
        <v>0</v>
      </c>
      <c r="U310">
        <v>29</v>
      </c>
      <c r="V310">
        <v>0</v>
      </c>
      <c r="W310">
        <v>1</v>
      </c>
      <c r="X310">
        <v>0</v>
      </c>
      <c r="Y310" t="s">
        <v>51</v>
      </c>
      <c r="Z310">
        <v>55</v>
      </c>
      <c r="AA310">
        <v>0</v>
      </c>
    </row>
    <row r="311" spans="1:27" x14ac:dyDescent="0.2">
      <c r="A311" t="s">
        <v>75</v>
      </c>
      <c r="B311">
        <v>2021</v>
      </c>
      <c r="C311">
        <v>4521035600</v>
      </c>
      <c r="D311" t="s">
        <v>484</v>
      </c>
      <c r="E311" t="s">
        <v>29</v>
      </c>
      <c r="F311" t="s">
        <v>30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2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 t="s">
        <v>31</v>
      </c>
      <c r="Z311">
        <v>55</v>
      </c>
      <c r="AA311">
        <v>0</v>
      </c>
    </row>
    <row r="312" spans="1:27" x14ac:dyDescent="0.2">
      <c r="A312" t="s">
        <v>75</v>
      </c>
      <c r="B312">
        <v>2021</v>
      </c>
      <c r="C312">
        <v>3130600700</v>
      </c>
      <c r="D312" t="s">
        <v>485</v>
      </c>
      <c r="E312" t="s">
        <v>29</v>
      </c>
      <c r="F312" t="s">
        <v>30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4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 t="s">
        <v>31</v>
      </c>
      <c r="Z312">
        <v>55</v>
      </c>
      <c r="AA312">
        <v>0</v>
      </c>
    </row>
    <row r="313" spans="1:27" x14ac:dyDescent="0.2">
      <c r="A313" t="s">
        <v>75</v>
      </c>
      <c r="B313">
        <v>2021</v>
      </c>
      <c r="C313">
        <v>4453611500</v>
      </c>
      <c r="D313" t="s">
        <v>486</v>
      </c>
      <c r="E313" t="s">
        <v>29</v>
      </c>
      <c r="F313" t="s">
        <v>30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5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 t="s">
        <v>31</v>
      </c>
      <c r="Z313">
        <v>55</v>
      </c>
      <c r="AA313">
        <v>0</v>
      </c>
    </row>
    <row r="314" spans="1:27" x14ac:dyDescent="0.2">
      <c r="A314" t="s">
        <v>75</v>
      </c>
      <c r="B314">
        <v>2021</v>
      </c>
      <c r="C314">
        <v>4413700100</v>
      </c>
      <c r="D314" t="s">
        <v>487</v>
      </c>
      <c r="E314" t="s">
        <v>29</v>
      </c>
      <c r="F314" t="s">
        <v>30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2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 t="s">
        <v>31</v>
      </c>
      <c r="Z314">
        <v>55</v>
      </c>
      <c r="AA314">
        <v>0</v>
      </c>
    </row>
    <row r="315" spans="1:27" x14ac:dyDescent="0.2">
      <c r="A315" t="s">
        <v>75</v>
      </c>
      <c r="B315">
        <v>2021</v>
      </c>
      <c r="C315">
        <v>4714612400</v>
      </c>
      <c r="D315" t="s">
        <v>488</v>
      </c>
      <c r="E315" t="s">
        <v>29</v>
      </c>
      <c r="F315" t="s">
        <v>30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47</v>
      </c>
      <c r="P315">
        <v>0</v>
      </c>
      <c r="Q315">
        <v>12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 t="s">
        <v>31</v>
      </c>
      <c r="Z315">
        <v>55</v>
      </c>
      <c r="AA315">
        <v>0</v>
      </c>
    </row>
    <row r="316" spans="1:27" x14ac:dyDescent="0.2">
      <c r="A316" t="s">
        <v>75</v>
      </c>
      <c r="B316">
        <v>2021</v>
      </c>
      <c r="C316">
        <v>4456421200</v>
      </c>
      <c r="D316" t="s">
        <v>489</v>
      </c>
      <c r="E316" t="s">
        <v>29</v>
      </c>
      <c r="F316" t="s">
        <v>30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6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 t="s">
        <v>31</v>
      </c>
      <c r="Z316">
        <v>55</v>
      </c>
      <c r="AA316">
        <v>0</v>
      </c>
    </row>
    <row r="317" spans="1:27" x14ac:dyDescent="0.2">
      <c r="A317" t="s">
        <v>75</v>
      </c>
      <c r="B317">
        <v>2021</v>
      </c>
      <c r="C317">
        <v>4454220300</v>
      </c>
      <c r="D317" t="s">
        <v>490</v>
      </c>
      <c r="E317" t="s">
        <v>29</v>
      </c>
      <c r="F317" t="s">
        <v>30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5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 t="s">
        <v>31</v>
      </c>
      <c r="Z317">
        <v>55</v>
      </c>
      <c r="AA317">
        <v>0</v>
      </c>
    </row>
    <row r="318" spans="1:27" x14ac:dyDescent="0.2">
      <c r="A318" t="s">
        <v>251</v>
      </c>
      <c r="B318">
        <v>2022</v>
      </c>
      <c r="C318" t="s">
        <v>252</v>
      </c>
      <c r="D318" t="s">
        <v>370</v>
      </c>
      <c r="E318" t="s">
        <v>29</v>
      </c>
      <c r="F318" t="s">
        <v>30</v>
      </c>
      <c r="G318">
        <v>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8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 t="s">
        <v>31</v>
      </c>
      <c r="Z318">
        <v>55</v>
      </c>
      <c r="AA318">
        <v>20</v>
      </c>
    </row>
    <row r="319" spans="1:27" x14ac:dyDescent="0.2">
      <c r="A319" t="s">
        <v>278</v>
      </c>
      <c r="B319">
        <v>2023</v>
      </c>
      <c r="C319" t="s">
        <v>491</v>
      </c>
      <c r="D319" t="s">
        <v>492</v>
      </c>
      <c r="E319" t="s">
        <v>29</v>
      </c>
      <c r="F319" t="s">
        <v>30</v>
      </c>
      <c r="G319">
        <v>40</v>
      </c>
      <c r="H319">
        <v>0</v>
      </c>
      <c r="I319">
        <v>66</v>
      </c>
      <c r="J319">
        <v>0</v>
      </c>
      <c r="K319">
        <v>2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 t="s">
        <v>31</v>
      </c>
      <c r="Z319">
        <v>55</v>
      </c>
      <c r="AA319">
        <v>80</v>
      </c>
    </row>
    <row r="320" spans="1:27" x14ac:dyDescent="0.2">
      <c r="A320" t="s">
        <v>278</v>
      </c>
      <c r="B320">
        <v>2023</v>
      </c>
      <c r="C320" t="s">
        <v>493</v>
      </c>
      <c r="D320" t="s">
        <v>494</v>
      </c>
      <c r="E320" t="s">
        <v>29</v>
      </c>
      <c r="F320" t="s">
        <v>30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3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3</v>
      </c>
      <c r="V320">
        <v>0</v>
      </c>
      <c r="W320">
        <v>0</v>
      </c>
      <c r="X320">
        <v>0</v>
      </c>
      <c r="Y320" t="s">
        <v>51</v>
      </c>
      <c r="Z320">
        <v>1000</v>
      </c>
      <c r="AA320">
        <v>0</v>
      </c>
    </row>
    <row r="321" spans="1:27" x14ac:dyDescent="0.2">
      <c r="A321" t="s">
        <v>278</v>
      </c>
      <c r="B321">
        <v>2023</v>
      </c>
      <c r="C321" t="s">
        <v>495</v>
      </c>
      <c r="D321" t="s">
        <v>496</v>
      </c>
      <c r="E321" t="s">
        <v>29</v>
      </c>
      <c r="F321" t="s">
        <v>30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4</v>
      </c>
      <c r="V321">
        <v>0</v>
      </c>
      <c r="W321">
        <v>6</v>
      </c>
      <c r="X321">
        <v>0</v>
      </c>
      <c r="Y321" t="s">
        <v>51</v>
      </c>
      <c r="AA321">
        <v>0</v>
      </c>
    </row>
    <row r="322" spans="1:27" x14ac:dyDescent="0.2">
      <c r="A322" t="s">
        <v>278</v>
      </c>
      <c r="B322">
        <v>2023</v>
      </c>
      <c r="C322" t="s">
        <v>497</v>
      </c>
      <c r="D322" t="s">
        <v>498</v>
      </c>
      <c r="E322" t="s">
        <v>29</v>
      </c>
      <c r="F322" t="s">
        <v>30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36</v>
      </c>
      <c r="P322">
        <v>0</v>
      </c>
      <c r="Q322">
        <v>108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 t="s">
        <v>51</v>
      </c>
      <c r="Z322">
        <v>1000</v>
      </c>
      <c r="AA322">
        <v>0</v>
      </c>
    </row>
    <row r="323" spans="1:27" x14ac:dyDescent="0.2">
      <c r="A323" t="s">
        <v>38</v>
      </c>
      <c r="B323">
        <v>2022</v>
      </c>
      <c r="C323" s="3">
        <v>50160</v>
      </c>
      <c r="D323" t="s">
        <v>57</v>
      </c>
      <c r="E323" t="s">
        <v>29</v>
      </c>
      <c r="F323" t="s">
        <v>30</v>
      </c>
      <c r="G323">
        <v>4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4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 t="s">
        <v>31</v>
      </c>
      <c r="Z323">
        <v>55</v>
      </c>
      <c r="AA323" s="2" t="s">
        <v>58</v>
      </c>
    </row>
    <row r="324" spans="1:27" x14ac:dyDescent="0.2">
      <c r="A324" t="s">
        <v>318</v>
      </c>
      <c r="B324">
        <v>2023</v>
      </c>
      <c r="C324">
        <v>21627018</v>
      </c>
      <c r="D324" t="s">
        <v>499</v>
      </c>
      <c r="E324" t="s">
        <v>29</v>
      </c>
      <c r="F324" t="s">
        <v>30</v>
      </c>
      <c r="G324">
        <v>1</v>
      </c>
      <c r="H324">
        <v>0</v>
      </c>
      <c r="I324">
        <v>3</v>
      </c>
      <c r="J324">
        <v>0</v>
      </c>
      <c r="K324">
        <v>0</v>
      </c>
      <c r="L324">
        <v>12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 t="s">
        <v>31</v>
      </c>
      <c r="Z324">
        <v>55</v>
      </c>
      <c r="AA324">
        <v>12</v>
      </c>
    </row>
    <row r="325" spans="1:27" x14ac:dyDescent="0.2">
      <c r="A325" t="s">
        <v>353</v>
      </c>
      <c r="B325">
        <v>2020</v>
      </c>
      <c r="C325">
        <v>2032970600</v>
      </c>
      <c r="D325" t="s">
        <v>500</v>
      </c>
      <c r="E325" t="s">
        <v>29</v>
      </c>
      <c r="F325" t="s">
        <v>41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2</v>
      </c>
      <c r="V325">
        <v>0</v>
      </c>
      <c r="W325">
        <v>0</v>
      </c>
      <c r="X325">
        <v>0</v>
      </c>
      <c r="Y325" t="s">
        <v>51</v>
      </c>
      <c r="AA325">
        <v>0</v>
      </c>
    </row>
    <row r="326" spans="1:27" x14ac:dyDescent="0.2">
      <c r="A326" t="s">
        <v>406</v>
      </c>
      <c r="B326">
        <v>2021</v>
      </c>
      <c r="C326" t="s">
        <v>501</v>
      </c>
      <c r="D326" t="s">
        <v>502</v>
      </c>
      <c r="E326" t="s">
        <v>29</v>
      </c>
      <c r="F326" t="s">
        <v>41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1</v>
      </c>
      <c r="V326">
        <v>0</v>
      </c>
      <c r="W326">
        <v>0</v>
      </c>
      <c r="X326">
        <v>0</v>
      </c>
      <c r="Y326" t="s">
        <v>51</v>
      </c>
      <c r="AA326">
        <v>0</v>
      </c>
    </row>
    <row r="327" spans="1:27" x14ac:dyDescent="0.2">
      <c r="A327" t="s">
        <v>503</v>
      </c>
      <c r="B327">
        <v>2022</v>
      </c>
      <c r="C327" t="s">
        <v>504</v>
      </c>
      <c r="D327" t="s">
        <v>505</v>
      </c>
      <c r="E327" t="s">
        <v>29</v>
      </c>
      <c r="F327" t="s">
        <v>30</v>
      </c>
      <c r="G327">
        <v>26</v>
      </c>
      <c r="H327">
        <v>0</v>
      </c>
      <c r="I327">
        <v>8</v>
      </c>
      <c r="J327">
        <v>0</v>
      </c>
      <c r="K327">
        <v>1</v>
      </c>
      <c r="L327">
        <v>0</v>
      </c>
      <c r="M327">
        <v>26</v>
      </c>
      <c r="N327">
        <v>0</v>
      </c>
      <c r="O327">
        <v>8</v>
      </c>
      <c r="P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 t="s">
        <v>31</v>
      </c>
      <c r="Z327">
        <v>55</v>
      </c>
      <c r="AA327">
        <v>60</v>
      </c>
    </row>
    <row r="328" spans="1:27" x14ac:dyDescent="0.2">
      <c r="A328" t="s">
        <v>503</v>
      </c>
      <c r="B328">
        <v>2022</v>
      </c>
      <c r="C328" t="s">
        <v>506</v>
      </c>
      <c r="D328" t="s">
        <v>507</v>
      </c>
      <c r="E328" t="s">
        <v>29</v>
      </c>
      <c r="F328" t="s">
        <v>41</v>
      </c>
      <c r="G328">
        <v>0</v>
      </c>
      <c r="H328">
        <v>0</v>
      </c>
      <c r="I328">
        <v>0</v>
      </c>
      <c r="J328">
        <v>0</v>
      </c>
      <c r="K328">
        <v>1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 t="s">
        <v>31</v>
      </c>
      <c r="AA328">
        <v>0</v>
      </c>
    </row>
    <row r="329" spans="1:27" x14ac:dyDescent="0.2">
      <c r="A329" t="s">
        <v>163</v>
      </c>
      <c r="B329">
        <v>2020</v>
      </c>
      <c r="C329">
        <v>4990306700</v>
      </c>
      <c r="D329" t="s">
        <v>508</v>
      </c>
      <c r="E329" t="s">
        <v>29</v>
      </c>
      <c r="F329" t="s">
        <v>30</v>
      </c>
      <c r="G329">
        <v>4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 t="s">
        <v>31</v>
      </c>
      <c r="Z329">
        <v>55</v>
      </c>
      <c r="AA329">
        <v>35</v>
      </c>
    </row>
    <row r="330" spans="1:27" x14ac:dyDescent="0.2">
      <c r="A330" t="s">
        <v>48</v>
      </c>
      <c r="B330">
        <v>2020</v>
      </c>
      <c r="C330" t="s">
        <v>338</v>
      </c>
      <c r="D330" t="s">
        <v>509</v>
      </c>
      <c r="E330" t="s">
        <v>29</v>
      </c>
      <c r="F330" t="s">
        <v>30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1</v>
      </c>
      <c r="V330">
        <v>0</v>
      </c>
      <c r="W330">
        <v>1</v>
      </c>
      <c r="X330">
        <v>0</v>
      </c>
      <c r="Y330" t="s">
        <v>51</v>
      </c>
      <c r="Z330">
        <v>55</v>
      </c>
      <c r="AA330">
        <v>0</v>
      </c>
    </row>
    <row r="331" spans="1:27" x14ac:dyDescent="0.2">
      <c r="A331" t="s">
        <v>321</v>
      </c>
      <c r="B331">
        <v>2020</v>
      </c>
      <c r="C331">
        <v>4289002006</v>
      </c>
      <c r="D331" t="s">
        <v>510</v>
      </c>
      <c r="E331" t="s">
        <v>29</v>
      </c>
      <c r="F331" t="s">
        <v>30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25</v>
      </c>
      <c r="N331">
        <v>0</v>
      </c>
      <c r="O331">
        <v>12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 t="s">
        <v>51</v>
      </c>
      <c r="Z331">
        <v>55</v>
      </c>
      <c r="AA331">
        <v>0</v>
      </c>
    </row>
    <row r="332" spans="1:27" x14ac:dyDescent="0.2">
      <c r="A332" t="s">
        <v>321</v>
      </c>
      <c r="B332">
        <v>2020</v>
      </c>
      <c r="C332">
        <v>4283001001</v>
      </c>
      <c r="D332" t="s">
        <v>511</v>
      </c>
      <c r="E332" t="s">
        <v>29</v>
      </c>
      <c r="F332" t="s">
        <v>41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14</v>
      </c>
      <c r="T332">
        <v>0</v>
      </c>
      <c r="U332">
        <v>5</v>
      </c>
      <c r="V332">
        <v>0</v>
      </c>
      <c r="W332">
        <v>0</v>
      </c>
      <c r="X332">
        <v>0</v>
      </c>
      <c r="Y332" t="s">
        <v>51</v>
      </c>
      <c r="Z332">
        <v>55</v>
      </c>
      <c r="AA332">
        <v>0</v>
      </c>
    </row>
    <row r="333" spans="1:27" x14ac:dyDescent="0.2">
      <c r="A333" t="s">
        <v>379</v>
      </c>
      <c r="B333">
        <v>2021</v>
      </c>
      <c r="C333" t="s">
        <v>512</v>
      </c>
      <c r="D333" t="s">
        <v>513</v>
      </c>
      <c r="E333" t="s">
        <v>29</v>
      </c>
      <c r="F333" t="s">
        <v>30</v>
      </c>
      <c r="G333">
        <v>48</v>
      </c>
      <c r="H333">
        <v>0</v>
      </c>
      <c r="I333">
        <v>5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 t="s">
        <v>51</v>
      </c>
      <c r="Z333">
        <v>55</v>
      </c>
      <c r="AA333">
        <v>0</v>
      </c>
    </row>
    <row r="334" spans="1:27" x14ac:dyDescent="0.2">
      <c r="A334" t="s">
        <v>514</v>
      </c>
      <c r="B334">
        <v>2021</v>
      </c>
      <c r="C334" s="2" t="s">
        <v>515</v>
      </c>
      <c r="D334" t="s">
        <v>516</v>
      </c>
      <c r="E334" t="s">
        <v>29</v>
      </c>
      <c r="F334" t="s">
        <v>41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25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 t="s">
        <v>31</v>
      </c>
      <c r="Z334">
        <v>55</v>
      </c>
      <c r="AA334">
        <v>19</v>
      </c>
    </row>
    <row r="335" spans="1:27" x14ac:dyDescent="0.2">
      <c r="A335" t="s">
        <v>514</v>
      </c>
      <c r="B335">
        <v>2021</v>
      </c>
      <c r="C335" s="2" t="s">
        <v>515</v>
      </c>
      <c r="D335" t="s">
        <v>516</v>
      </c>
      <c r="E335" t="s">
        <v>29</v>
      </c>
      <c r="F335" t="s">
        <v>41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23</v>
      </c>
      <c r="N335">
        <v>0</v>
      </c>
      <c r="O335">
        <v>1</v>
      </c>
      <c r="P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 t="s">
        <v>31</v>
      </c>
      <c r="Z335">
        <v>55</v>
      </c>
      <c r="AA335">
        <v>19</v>
      </c>
    </row>
    <row r="336" spans="1:27" x14ac:dyDescent="0.2">
      <c r="A336" t="s">
        <v>278</v>
      </c>
      <c r="B336">
        <v>2022</v>
      </c>
      <c r="C336" t="s">
        <v>363</v>
      </c>
      <c r="D336" t="s">
        <v>364</v>
      </c>
      <c r="E336" t="s">
        <v>29</v>
      </c>
      <c r="F336" t="s">
        <v>30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42</v>
      </c>
      <c r="T336">
        <v>0</v>
      </c>
      <c r="U336">
        <v>28</v>
      </c>
      <c r="V336">
        <v>0</v>
      </c>
      <c r="W336">
        <v>0</v>
      </c>
      <c r="X336">
        <v>0</v>
      </c>
      <c r="Y336" t="s">
        <v>31</v>
      </c>
      <c r="Z336">
        <v>55</v>
      </c>
      <c r="AA336">
        <v>5</v>
      </c>
    </row>
    <row r="337" spans="1:27" x14ac:dyDescent="0.2">
      <c r="A337" t="s">
        <v>517</v>
      </c>
      <c r="B337">
        <v>2021</v>
      </c>
      <c r="C337" t="s">
        <v>518</v>
      </c>
      <c r="D337" t="s">
        <v>519</v>
      </c>
      <c r="E337" t="s">
        <v>29</v>
      </c>
      <c r="F337" t="s">
        <v>30</v>
      </c>
      <c r="G337">
        <v>32</v>
      </c>
      <c r="H337">
        <v>0</v>
      </c>
      <c r="I337">
        <v>33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 t="s">
        <v>31</v>
      </c>
      <c r="Z337">
        <v>50</v>
      </c>
      <c r="AA337">
        <v>100</v>
      </c>
    </row>
    <row r="338" spans="1:27" x14ac:dyDescent="0.2">
      <c r="A338" t="s">
        <v>318</v>
      </c>
      <c r="B338">
        <v>2019</v>
      </c>
      <c r="C338" t="s">
        <v>520</v>
      </c>
      <c r="D338" t="s">
        <v>521</v>
      </c>
      <c r="E338" t="s">
        <v>29</v>
      </c>
      <c r="F338" t="s">
        <v>30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 t="s">
        <v>31</v>
      </c>
      <c r="Z338">
        <v>55</v>
      </c>
      <c r="AA338">
        <v>0</v>
      </c>
    </row>
    <row r="339" spans="1:27" x14ac:dyDescent="0.2">
      <c r="A339" t="s">
        <v>318</v>
      </c>
      <c r="B339">
        <v>2019</v>
      </c>
      <c r="C339" t="s">
        <v>522</v>
      </c>
      <c r="D339" t="s">
        <v>523</v>
      </c>
      <c r="E339" t="s">
        <v>29</v>
      </c>
      <c r="F339" t="s">
        <v>30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9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 t="s">
        <v>31</v>
      </c>
      <c r="Z339">
        <v>55</v>
      </c>
      <c r="AA339">
        <v>0</v>
      </c>
    </row>
    <row r="340" spans="1:27" x14ac:dyDescent="0.2">
      <c r="A340" t="s">
        <v>524</v>
      </c>
      <c r="B340">
        <v>2022</v>
      </c>
      <c r="C340" t="s">
        <v>525</v>
      </c>
      <c r="D340" t="s">
        <v>526</v>
      </c>
      <c r="E340" t="s">
        <v>29</v>
      </c>
      <c r="F340" t="s">
        <v>41</v>
      </c>
      <c r="G340">
        <v>4</v>
      </c>
      <c r="H340">
        <v>0</v>
      </c>
      <c r="I340">
        <v>12</v>
      </c>
      <c r="J340">
        <v>0</v>
      </c>
      <c r="K340">
        <v>5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 t="s">
        <v>51</v>
      </c>
      <c r="Z340">
        <v>55</v>
      </c>
      <c r="AA340">
        <v>0</v>
      </c>
    </row>
    <row r="341" spans="1:27" x14ac:dyDescent="0.2">
      <c r="A341" t="s">
        <v>321</v>
      </c>
      <c r="B341">
        <v>2020</v>
      </c>
      <c r="C341">
        <v>4291023002</v>
      </c>
      <c r="D341" t="s">
        <v>527</v>
      </c>
      <c r="E341" t="s">
        <v>29</v>
      </c>
      <c r="F341" t="s">
        <v>30</v>
      </c>
      <c r="G341">
        <v>20</v>
      </c>
      <c r="H341">
        <v>0</v>
      </c>
      <c r="I341">
        <v>14</v>
      </c>
      <c r="J341">
        <v>0</v>
      </c>
      <c r="K341">
        <v>14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 t="s">
        <v>51</v>
      </c>
      <c r="AA341">
        <v>0</v>
      </c>
    </row>
    <row r="342" spans="1:27" x14ac:dyDescent="0.2">
      <c r="A342" t="s">
        <v>321</v>
      </c>
      <c r="B342">
        <v>2020</v>
      </c>
      <c r="C342">
        <v>4291010029</v>
      </c>
      <c r="D342" t="s">
        <v>528</v>
      </c>
      <c r="E342" t="s">
        <v>29</v>
      </c>
      <c r="F342" t="s">
        <v>30</v>
      </c>
      <c r="G342">
        <v>0</v>
      </c>
      <c r="H342">
        <v>0</v>
      </c>
      <c r="I342">
        <v>6</v>
      </c>
      <c r="J342">
        <v>0</v>
      </c>
      <c r="K342">
        <v>3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 t="s">
        <v>51</v>
      </c>
      <c r="AA342">
        <v>0</v>
      </c>
    </row>
    <row r="343" spans="1:27" x14ac:dyDescent="0.2">
      <c r="A343" t="s">
        <v>324</v>
      </c>
      <c r="B343">
        <v>2020</v>
      </c>
      <c r="C343">
        <v>29235290</v>
      </c>
      <c r="D343" t="s">
        <v>529</v>
      </c>
      <c r="E343" t="s">
        <v>29</v>
      </c>
      <c r="F343" t="s">
        <v>30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13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 t="s">
        <v>31</v>
      </c>
      <c r="Z343">
        <v>30</v>
      </c>
      <c r="AA343">
        <v>0</v>
      </c>
    </row>
    <row r="344" spans="1:27" x14ac:dyDescent="0.2">
      <c r="A344" t="s">
        <v>75</v>
      </c>
      <c r="B344">
        <v>2021</v>
      </c>
      <c r="C344">
        <v>5332050300</v>
      </c>
      <c r="D344" t="s">
        <v>247</v>
      </c>
      <c r="E344" t="s">
        <v>29</v>
      </c>
      <c r="F344" t="s">
        <v>30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3</v>
      </c>
      <c r="T344">
        <v>0</v>
      </c>
      <c r="U344">
        <v>0</v>
      </c>
      <c r="V344">
        <v>0</v>
      </c>
      <c r="W344">
        <v>0</v>
      </c>
      <c r="X344">
        <v>0</v>
      </c>
      <c r="Y344" t="s">
        <v>31</v>
      </c>
      <c r="Z344">
        <v>55</v>
      </c>
      <c r="AA344">
        <v>0</v>
      </c>
    </row>
    <row r="345" spans="1:27" x14ac:dyDescent="0.2">
      <c r="A345" t="s">
        <v>530</v>
      </c>
      <c r="B345">
        <v>2023</v>
      </c>
      <c r="C345" t="s">
        <v>531</v>
      </c>
      <c r="D345" t="s">
        <v>532</v>
      </c>
      <c r="E345" t="s">
        <v>29</v>
      </c>
      <c r="F345" t="s">
        <v>30</v>
      </c>
      <c r="G345">
        <v>0</v>
      </c>
      <c r="H345">
        <v>24</v>
      </c>
      <c r="I345">
        <v>0</v>
      </c>
      <c r="J345">
        <v>49</v>
      </c>
      <c r="K345">
        <v>0</v>
      </c>
      <c r="L345">
        <v>0</v>
      </c>
      <c r="M345">
        <v>0</v>
      </c>
      <c r="N345">
        <v>24</v>
      </c>
      <c r="O345">
        <v>0</v>
      </c>
      <c r="P345">
        <v>49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 t="s">
        <v>31</v>
      </c>
      <c r="Z345">
        <v>99</v>
      </c>
      <c r="AA345">
        <v>90</v>
      </c>
    </row>
    <row r="346" spans="1:27" x14ac:dyDescent="0.2">
      <c r="A346" t="s">
        <v>38</v>
      </c>
      <c r="B346">
        <v>2022</v>
      </c>
      <c r="C346">
        <v>5675030006</v>
      </c>
      <c r="D346" t="s">
        <v>134</v>
      </c>
      <c r="E346" t="s">
        <v>29</v>
      </c>
      <c r="F346" t="s">
        <v>30</v>
      </c>
      <c r="G346">
        <v>2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2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 t="s">
        <v>31</v>
      </c>
      <c r="Z346">
        <v>55</v>
      </c>
      <c r="AA346">
        <v>35</v>
      </c>
    </row>
    <row r="347" spans="1:27" x14ac:dyDescent="0.2">
      <c r="A347" t="s">
        <v>533</v>
      </c>
      <c r="B347">
        <v>2021</v>
      </c>
      <c r="C347" t="s">
        <v>534</v>
      </c>
      <c r="D347" t="s">
        <v>535</v>
      </c>
      <c r="E347" t="s">
        <v>29</v>
      </c>
      <c r="F347" t="s">
        <v>41</v>
      </c>
      <c r="G347">
        <v>1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1</v>
      </c>
      <c r="N347">
        <v>0</v>
      </c>
      <c r="O347">
        <v>0</v>
      </c>
      <c r="P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 t="s">
        <v>31</v>
      </c>
      <c r="Z347">
        <v>59</v>
      </c>
      <c r="AA347">
        <v>20</v>
      </c>
    </row>
    <row r="348" spans="1:27" x14ac:dyDescent="0.2">
      <c r="A348" t="s">
        <v>533</v>
      </c>
      <c r="B348">
        <v>2021</v>
      </c>
      <c r="C348" t="s">
        <v>536</v>
      </c>
      <c r="D348" t="s">
        <v>537</v>
      </c>
      <c r="E348" t="s">
        <v>29</v>
      </c>
      <c r="F348" t="s">
        <v>41</v>
      </c>
      <c r="G348">
        <v>1</v>
      </c>
      <c r="H348">
        <v>0</v>
      </c>
      <c r="I348">
        <v>1</v>
      </c>
      <c r="J348">
        <v>0</v>
      </c>
      <c r="K348">
        <v>0</v>
      </c>
      <c r="L348">
        <v>0</v>
      </c>
      <c r="M348">
        <v>1</v>
      </c>
      <c r="N348">
        <v>0</v>
      </c>
      <c r="O348">
        <v>1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 t="s">
        <v>31</v>
      </c>
      <c r="Z348">
        <v>59</v>
      </c>
      <c r="AA348">
        <v>20</v>
      </c>
    </row>
    <row r="349" spans="1:27" x14ac:dyDescent="0.2">
      <c r="A349" t="s">
        <v>533</v>
      </c>
      <c r="B349">
        <v>2021</v>
      </c>
      <c r="C349" t="s">
        <v>538</v>
      </c>
      <c r="D349" t="s">
        <v>539</v>
      </c>
      <c r="E349" t="s">
        <v>29</v>
      </c>
      <c r="F349" t="s">
        <v>41</v>
      </c>
      <c r="G349">
        <v>1</v>
      </c>
      <c r="H349">
        <v>0</v>
      </c>
      <c r="I349">
        <v>0</v>
      </c>
      <c r="J349">
        <v>0</v>
      </c>
      <c r="K349">
        <v>1</v>
      </c>
      <c r="L349">
        <v>0</v>
      </c>
      <c r="M349">
        <v>1</v>
      </c>
      <c r="N349">
        <v>0</v>
      </c>
      <c r="O349">
        <v>0</v>
      </c>
      <c r="P349">
        <v>0</v>
      </c>
      <c r="Q349">
        <v>1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 t="s">
        <v>31</v>
      </c>
      <c r="Z349">
        <v>59</v>
      </c>
      <c r="AA349">
        <v>20</v>
      </c>
    </row>
    <row r="350" spans="1:27" x14ac:dyDescent="0.2">
      <c r="A350" t="s">
        <v>353</v>
      </c>
      <c r="B350">
        <v>2020</v>
      </c>
      <c r="C350">
        <v>2031011200</v>
      </c>
      <c r="D350" t="s">
        <v>540</v>
      </c>
      <c r="E350" t="s">
        <v>29</v>
      </c>
      <c r="F350" t="s">
        <v>41</v>
      </c>
      <c r="G350">
        <v>0</v>
      </c>
      <c r="H350">
        <v>0</v>
      </c>
      <c r="I350">
        <v>12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 t="s">
        <v>31</v>
      </c>
      <c r="AA350">
        <v>0</v>
      </c>
    </row>
    <row r="351" spans="1:27" x14ac:dyDescent="0.2">
      <c r="A351" t="s">
        <v>353</v>
      </c>
      <c r="B351">
        <v>2020</v>
      </c>
      <c r="C351">
        <v>2033204900</v>
      </c>
      <c r="D351" t="s">
        <v>541</v>
      </c>
      <c r="E351" t="s">
        <v>29</v>
      </c>
      <c r="F351" t="s">
        <v>30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16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 t="s">
        <v>51</v>
      </c>
      <c r="AA351">
        <v>0</v>
      </c>
    </row>
    <row r="352" spans="1:27" x14ac:dyDescent="0.2">
      <c r="A352" t="s">
        <v>514</v>
      </c>
      <c r="B352">
        <v>2021</v>
      </c>
      <c r="C352" s="2" t="s">
        <v>515</v>
      </c>
      <c r="D352" t="s">
        <v>516</v>
      </c>
      <c r="E352" t="s">
        <v>29</v>
      </c>
      <c r="F352" t="s">
        <v>41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25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 t="s">
        <v>31</v>
      </c>
      <c r="Z352">
        <v>55</v>
      </c>
      <c r="AA352">
        <v>19</v>
      </c>
    </row>
    <row r="353" spans="1:27" x14ac:dyDescent="0.2">
      <c r="A353" t="s">
        <v>48</v>
      </c>
      <c r="B353">
        <v>2020</v>
      </c>
      <c r="C353" t="s">
        <v>542</v>
      </c>
      <c r="D353" t="s">
        <v>543</v>
      </c>
      <c r="E353" t="s">
        <v>29</v>
      </c>
      <c r="F353" t="s">
        <v>30</v>
      </c>
      <c r="G353">
        <v>0</v>
      </c>
      <c r="H353">
        <v>0</v>
      </c>
      <c r="I353">
        <v>0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 t="s">
        <v>51</v>
      </c>
      <c r="Z353">
        <v>55</v>
      </c>
      <c r="AA353">
        <v>0</v>
      </c>
    </row>
    <row r="354" spans="1:27" x14ac:dyDescent="0.2">
      <c r="A354" t="s">
        <v>75</v>
      </c>
      <c r="B354">
        <v>2021</v>
      </c>
      <c r="C354">
        <v>4446040400</v>
      </c>
      <c r="D354" t="s">
        <v>544</v>
      </c>
      <c r="E354" t="s">
        <v>29</v>
      </c>
      <c r="F354" t="s">
        <v>30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 t="s">
        <v>31</v>
      </c>
      <c r="Z354">
        <v>55</v>
      </c>
      <c r="AA354">
        <v>0</v>
      </c>
    </row>
    <row r="355" spans="1:27" x14ac:dyDescent="0.2">
      <c r="A355" t="s">
        <v>75</v>
      </c>
      <c r="B355">
        <v>2021</v>
      </c>
      <c r="C355">
        <v>5313051000</v>
      </c>
      <c r="D355" t="s">
        <v>545</v>
      </c>
      <c r="E355" t="s">
        <v>29</v>
      </c>
      <c r="F355" t="s">
        <v>30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3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 t="s">
        <v>31</v>
      </c>
      <c r="Z355">
        <v>55</v>
      </c>
      <c r="AA355">
        <v>0</v>
      </c>
    </row>
    <row r="356" spans="1:27" x14ac:dyDescent="0.2">
      <c r="A356" t="s">
        <v>75</v>
      </c>
      <c r="B356">
        <v>2021</v>
      </c>
      <c r="C356">
        <v>4666920300</v>
      </c>
      <c r="D356" t="s">
        <v>546</v>
      </c>
      <c r="E356" t="s">
        <v>29</v>
      </c>
      <c r="F356" t="s">
        <v>30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144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 t="s">
        <v>31</v>
      </c>
      <c r="Z356">
        <v>55</v>
      </c>
      <c r="AA356">
        <v>0</v>
      </c>
    </row>
    <row r="357" spans="1:27" x14ac:dyDescent="0.2">
      <c r="A357" t="s">
        <v>547</v>
      </c>
      <c r="B357">
        <v>2022</v>
      </c>
      <c r="C357">
        <v>5548023105</v>
      </c>
      <c r="D357" t="s">
        <v>548</v>
      </c>
      <c r="E357" t="s">
        <v>29</v>
      </c>
      <c r="F357" t="s">
        <v>30</v>
      </c>
      <c r="G357">
        <v>3</v>
      </c>
      <c r="H357">
        <v>0</v>
      </c>
      <c r="I357">
        <v>93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 t="s">
        <v>31</v>
      </c>
      <c r="Z357">
        <v>55</v>
      </c>
      <c r="AA357">
        <v>790</v>
      </c>
    </row>
    <row r="358" spans="1:27" x14ac:dyDescent="0.2">
      <c r="A358" t="s">
        <v>547</v>
      </c>
      <c r="B358">
        <v>2022</v>
      </c>
      <c r="C358">
        <v>2239006044</v>
      </c>
      <c r="D358" t="s">
        <v>549</v>
      </c>
      <c r="E358" t="s">
        <v>29</v>
      </c>
      <c r="F358" t="s">
        <v>30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4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 t="s">
        <v>31</v>
      </c>
      <c r="Z358">
        <v>55</v>
      </c>
      <c r="AA358">
        <v>35</v>
      </c>
    </row>
    <row r="359" spans="1:27" x14ac:dyDescent="0.2">
      <c r="A359" t="s">
        <v>547</v>
      </c>
      <c r="B359">
        <v>2022</v>
      </c>
      <c r="C359">
        <v>2241007006</v>
      </c>
      <c r="D359" t="s">
        <v>550</v>
      </c>
      <c r="E359" t="s">
        <v>29</v>
      </c>
      <c r="F359" t="s">
        <v>30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2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 t="s">
        <v>31</v>
      </c>
      <c r="Z359">
        <v>55</v>
      </c>
      <c r="AA359">
        <v>70</v>
      </c>
    </row>
    <row r="360" spans="1:27" x14ac:dyDescent="0.2">
      <c r="A360" t="s">
        <v>547</v>
      </c>
      <c r="B360">
        <v>2022</v>
      </c>
      <c r="C360">
        <v>4217007003</v>
      </c>
      <c r="D360" t="s">
        <v>551</v>
      </c>
      <c r="E360" t="s">
        <v>29</v>
      </c>
      <c r="F360" t="s">
        <v>30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3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 t="s">
        <v>31</v>
      </c>
      <c r="Z360">
        <v>55</v>
      </c>
      <c r="AA360">
        <v>35</v>
      </c>
    </row>
    <row r="361" spans="1:27" x14ac:dyDescent="0.2">
      <c r="A361" t="s">
        <v>547</v>
      </c>
      <c r="B361">
        <v>2022</v>
      </c>
      <c r="C361">
        <v>2240013007</v>
      </c>
      <c r="D361" t="s">
        <v>552</v>
      </c>
      <c r="E361" t="s">
        <v>29</v>
      </c>
      <c r="F361" t="s">
        <v>30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2</v>
      </c>
      <c r="T361">
        <v>0</v>
      </c>
      <c r="U361">
        <v>1</v>
      </c>
      <c r="V361">
        <v>0</v>
      </c>
      <c r="W361">
        <v>0</v>
      </c>
      <c r="X361">
        <v>0</v>
      </c>
      <c r="Y361" t="s">
        <v>31</v>
      </c>
      <c r="Z361">
        <v>55</v>
      </c>
      <c r="AA361">
        <v>35</v>
      </c>
    </row>
    <row r="362" spans="1:27" x14ac:dyDescent="0.2">
      <c r="A362" t="s">
        <v>547</v>
      </c>
      <c r="B362">
        <v>2022</v>
      </c>
      <c r="C362">
        <v>5094017005</v>
      </c>
      <c r="D362" t="s">
        <v>553</v>
      </c>
      <c r="E362" t="s">
        <v>29</v>
      </c>
      <c r="F362" t="s">
        <v>30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13</v>
      </c>
      <c r="T362">
        <v>0</v>
      </c>
      <c r="U362">
        <v>0</v>
      </c>
      <c r="V362">
        <v>0</v>
      </c>
      <c r="W362">
        <v>0</v>
      </c>
      <c r="X362">
        <v>0</v>
      </c>
      <c r="Y362" t="s">
        <v>31</v>
      </c>
      <c r="Z362">
        <v>55</v>
      </c>
      <c r="AA362">
        <v>35</v>
      </c>
    </row>
    <row r="363" spans="1:27" x14ac:dyDescent="0.2">
      <c r="A363" t="s">
        <v>547</v>
      </c>
      <c r="B363">
        <v>2022</v>
      </c>
      <c r="C363">
        <v>5123020011</v>
      </c>
      <c r="D363" t="s">
        <v>554</v>
      </c>
      <c r="E363" t="s">
        <v>29</v>
      </c>
      <c r="F363" t="s">
        <v>30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6</v>
      </c>
      <c r="T363">
        <v>0</v>
      </c>
      <c r="U363">
        <v>0</v>
      </c>
      <c r="V363">
        <v>0</v>
      </c>
      <c r="W363">
        <v>2</v>
      </c>
      <c r="X363">
        <v>0</v>
      </c>
      <c r="Y363" t="s">
        <v>31</v>
      </c>
      <c r="Z363">
        <v>55</v>
      </c>
      <c r="AA363">
        <v>35</v>
      </c>
    </row>
    <row r="364" spans="1:27" x14ac:dyDescent="0.2">
      <c r="A364" t="s">
        <v>547</v>
      </c>
      <c r="B364">
        <v>2022</v>
      </c>
      <c r="C364" t="s">
        <v>555</v>
      </c>
      <c r="D364" t="s">
        <v>556</v>
      </c>
      <c r="E364" t="s">
        <v>29</v>
      </c>
      <c r="F364" t="s">
        <v>30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42</v>
      </c>
      <c r="V364">
        <v>0</v>
      </c>
      <c r="W364">
        <v>0</v>
      </c>
      <c r="X364">
        <v>0</v>
      </c>
      <c r="Y364" t="s">
        <v>31</v>
      </c>
      <c r="Z364">
        <v>55</v>
      </c>
      <c r="AA364">
        <v>35</v>
      </c>
    </row>
    <row r="365" spans="1:27" x14ac:dyDescent="0.2">
      <c r="A365" t="s">
        <v>547</v>
      </c>
      <c r="B365">
        <v>2022</v>
      </c>
      <c r="C365">
        <v>5459009017</v>
      </c>
      <c r="D365" t="s">
        <v>557</v>
      </c>
      <c r="E365" t="s">
        <v>29</v>
      </c>
      <c r="F365" t="s">
        <v>30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1</v>
      </c>
      <c r="V365">
        <v>0</v>
      </c>
      <c r="W365">
        <v>0</v>
      </c>
      <c r="X365">
        <v>0</v>
      </c>
      <c r="Y365" t="s">
        <v>31</v>
      </c>
      <c r="Z365">
        <v>55</v>
      </c>
      <c r="AA365">
        <v>35</v>
      </c>
    </row>
    <row r="366" spans="1:27" x14ac:dyDescent="0.2">
      <c r="A366" t="s">
        <v>376</v>
      </c>
      <c r="B366">
        <v>2021</v>
      </c>
      <c r="C366" t="s">
        <v>558</v>
      </c>
      <c r="D366" t="s">
        <v>559</v>
      </c>
      <c r="E366" t="s">
        <v>29</v>
      </c>
      <c r="F366" t="s">
        <v>30</v>
      </c>
      <c r="G366">
        <v>0</v>
      </c>
      <c r="H366">
        <v>0</v>
      </c>
      <c r="I366">
        <v>0</v>
      </c>
      <c r="J366">
        <v>0</v>
      </c>
      <c r="K366">
        <v>79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 t="s">
        <v>31</v>
      </c>
      <c r="AA366">
        <v>34</v>
      </c>
    </row>
    <row r="367" spans="1:27" x14ac:dyDescent="0.2">
      <c r="A367" t="s">
        <v>560</v>
      </c>
      <c r="B367">
        <v>2018</v>
      </c>
      <c r="C367" t="s">
        <v>561</v>
      </c>
      <c r="D367" t="s">
        <v>562</v>
      </c>
      <c r="E367" t="s">
        <v>29</v>
      </c>
      <c r="F367" t="s">
        <v>30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39</v>
      </c>
      <c r="T367">
        <v>0</v>
      </c>
      <c r="U367">
        <v>15</v>
      </c>
      <c r="V367">
        <v>0</v>
      </c>
      <c r="W367">
        <v>0</v>
      </c>
      <c r="X367">
        <v>0</v>
      </c>
      <c r="Y367" t="s">
        <v>31</v>
      </c>
      <c r="Z367">
        <v>55</v>
      </c>
      <c r="AA367">
        <v>0</v>
      </c>
    </row>
    <row r="368" spans="1:27" x14ac:dyDescent="0.2">
      <c r="A368" t="s">
        <v>533</v>
      </c>
      <c r="B368">
        <v>2021</v>
      </c>
      <c r="C368" t="s">
        <v>563</v>
      </c>
      <c r="D368" t="s">
        <v>564</v>
      </c>
      <c r="E368" t="s">
        <v>29</v>
      </c>
      <c r="F368" t="s">
        <v>41</v>
      </c>
      <c r="G368">
        <v>1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1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 t="s">
        <v>31</v>
      </c>
      <c r="Z368">
        <v>59</v>
      </c>
      <c r="AA368">
        <v>20</v>
      </c>
    </row>
    <row r="369" spans="1:27" x14ac:dyDescent="0.2">
      <c r="A369" t="s">
        <v>278</v>
      </c>
      <c r="B369">
        <v>2021</v>
      </c>
      <c r="C369" t="s">
        <v>565</v>
      </c>
      <c r="D369" t="s">
        <v>566</v>
      </c>
      <c r="E369" t="s">
        <v>29</v>
      </c>
      <c r="F369" t="s">
        <v>30</v>
      </c>
      <c r="G369">
        <v>8</v>
      </c>
      <c r="H369">
        <v>0</v>
      </c>
      <c r="I369">
        <v>16</v>
      </c>
      <c r="J369">
        <v>0</v>
      </c>
      <c r="K369">
        <v>38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 t="s">
        <v>51</v>
      </c>
      <c r="Z369">
        <v>1000</v>
      </c>
      <c r="AA369">
        <v>0</v>
      </c>
    </row>
    <row r="370" spans="1:27" ht="68" x14ac:dyDescent="0.2">
      <c r="A370" t="s">
        <v>424</v>
      </c>
      <c r="B370">
        <v>2022</v>
      </c>
      <c r="C370" t="s">
        <v>567</v>
      </c>
      <c r="D370" s="1" t="s">
        <v>568</v>
      </c>
      <c r="E370" t="s">
        <v>29</v>
      </c>
      <c r="F370" t="s">
        <v>30</v>
      </c>
      <c r="G370">
        <v>3</v>
      </c>
      <c r="H370">
        <v>0</v>
      </c>
      <c r="I370">
        <v>96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 t="s">
        <v>31</v>
      </c>
      <c r="AA370">
        <v>20</v>
      </c>
    </row>
    <row r="371" spans="1:27" x14ac:dyDescent="0.2">
      <c r="A371" t="s">
        <v>533</v>
      </c>
      <c r="B371">
        <v>2021</v>
      </c>
      <c r="C371" t="s">
        <v>569</v>
      </c>
      <c r="D371" t="s">
        <v>570</v>
      </c>
      <c r="E371" t="s">
        <v>29</v>
      </c>
      <c r="F371" t="s">
        <v>41</v>
      </c>
      <c r="G371">
        <v>0</v>
      </c>
      <c r="H371">
        <v>0</v>
      </c>
      <c r="I371">
        <v>0</v>
      </c>
      <c r="J371">
        <v>0</v>
      </c>
      <c r="K371">
        <v>2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2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 t="s">
        <v>31</v>
      </c>
      <c r="Z371">
        <v>59</v>
      </c>
      <c r="AA371">
        <v>20</v>
      </c>
    </row>
    <row r="372" spans="1:27" x14ac:dyDescent="0.2">
      <c r="A372" t="s">
        <v>433</v>
      </c>
      <c r="B372">
        <v>2018</v>
      </c>
      <c r="C372" t="s">
        <v>571</v>
      </c>
      <c r="D372" t="s">
        <v>572</v>
      </c>
      <c r="E372" t="s">
        <v>29</v>
      </c>
      <c r="F372" t="s">
        <v>30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2</v>
      </c>
      <c r="P372">
        <v>0</v>
      </c>
      <c r="Q372">
        <v>1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 t="s">
        <v>31</v>
      </c>
      <c r="Z372">
        <v>55</v>
      </c>
      <c r="AA372">
        <v>0</v>
      </c>
    </row>
    <row r="373" spans="1:27" x14ac:dyDescent="0.2">
      <c r="A373" t="s">
        <v>573</v>
      </c>
      <c r="B373">
        <v>2021</v>
      </c>
      <c r="C373" t="s">
        <v>574</v>
      </c>
      <c r="D373" t="s">
        <v>575</v>
      </c>
      <c r="E373" t="s">
        <v>29</v>
      </c>
      <c r="F373" t="s">
        <v>30</v>
      </c>
      <c r="G373">
        <v>40</v>
      </c>
      <c r="H373">
        <v>0</v>
      </c>
      <c r="I373">
        <v>82</v>
      </c>
      <c r="J373">
        <v>0</v>
      </c>
      <c r="K373">
        <v>24</v>
      </c>
      <c r="L373">
        <v>229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 t="s">
        <v>51</v>
      </c>
      <c r="Z373">
        <v>55</v>
      </c>
      <c r="AA373">
        <v>0</v>
      </c>
    </row>
    <row r="374" spans="1:27" x14ac:dyDescent="0.2">
      <c r="A374" t="s">
        <v>457</v>
      </c>
      <c r="B374">
        <v>2021</v>
      </c>
      <c r="C374" t="s">
        <v>576</v>
      </c>
      <c r="D374" t="s">
        <v>577</v>
      </c>
      <c r="E374" t="s">
        <v>29</v>
      </c>
      <c r="F374" t="s">
        <v>30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18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 t="s">
        <v>31</v>
      </c>
      <c r="AA374">
        <v>100</v>
      </c>
    </row>
    <row r="375" spans="1:27" x14ac:dyDescent="0.2">
      <c r="A375" t="s">
        <v>457</v>
      </c>
      <c r="B375">
        <v>2021</v>
      </c>
      <c r="C375" t="s">
        <v>578</v>
      </c>
      <c r="D375" t="s">
        <v>579</v>
      </c>
      <c r="E375" t="s">
        <v>29</v>
      </c>
      <c r="F375" t="s">
        <v>30</v>
      </c>
      <c r="G375">
        <v>0</v>
      </c>
      <c r="H375">
        <v>0</v>
      </c>
      <c r="I375">
        <v>6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 t="s">
        <v>31</v>
      </c>
      <c r="AA375">
        <v>100</v>
      </c>
    </row>
    <row r="376" spans="1:27" x14ac:dyDescent="0.2">
      <c r="A376" t="s">
        <v>406</v>
      </c>
      <c r="B376">
        <v>2021</v>
      </c>
      <c r="C376" t="s">
        <v>580</v>
      </c>
      <c r="D376" t="s">
        <v>581</v>
      </c>
      <c r="E376" t="s">
        <v>29</v>
      </c>
      <c r="F376" t="s">
        <v>41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1</v>
      </c>
      <c r="V376">
        <v>0</v>
      </c>
      <c r="W376">
        <v>0</v>
      </c>
      <c r="X376">
        <v>0</v>
      </c>
      <c r="Y376" t="s">
        <v>51</v>
      </c>
      <c r="AA376">
        <v>0</v>
      </c>
    </row>
    <row r="377" spans="1:27" x14ac:dyDescent="0.2">
      <c r="A377" t="s">
        <v>219</v>
      </c>
      <c r="B377">
        <v>2018</v>
      </c>
      <c r="C377" t="s">
        <v>582</v>
      </c>
      <c r="D377" t="s">
        <v>583</v>
      </c>
      <c r="E377" t="s">
        <v>29</v>
      </c>
      <c r="F377" t="s">
        <v>30</v>
      </c>
      <c r="G377">
        <v>55</v>
      </c>
      <c r="H377">
        <v>0</v>
      </c>
      <c r="I377">
        <v>13</v>
      </c>
      <c r="J377">
        <v>0</v>
      </c>
      <c r="K377">
        <v>0</v>
      </c>
      <c r="L377">
        <v>0</v>
      </c>
      <c r="M377">
        <v>55</v>
      </c>
      <c r="N377">
        <v>0</v>
      </c>
      <c r="O377">
        <v>13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 t="s">
        <v>51</v>
      </c>
      <c r="Z377">
        <v>55</v>
      </c>
      <c r="AA377">
        <v>0</v>
      </c>
    </row>
    <row r="378" spans="1:27" x14ac:dyDescent="0.2">
      <c r="A378" t="s">
        <v>584</v>
      </c>
      <c r="B378">
        <v>2022</v>
      </c>
      <c r="C378" s="2" t="s">
        <v>585</v>
      </c>
      <c r="D378" t="s">
        <v>586</v>
      </c>
      <c r="E378" t="s">
        <v>29</v>
      </c>
      <c r="F378" t="s">
        <v>30</v>
      </c>
      <c r="G378">
        <v>0</v>
      </c>
      <c r="H378">
        <v>0</v>
      </c>
      <c r="I378">
        <v>1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1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 t="s">
        <v>51</v>
      </c>
      <c r="AA378">
        <v>0</v>
      </c>
    </row>
    <row r="379" spans="1:27" x14ac:dyDescent="0.2">
      <c r="A379" t="s">
        <v>587</v>
      </c>
      <c r="B379">
        <v>2022</v>
      </c>
      <c r="C379" t="s">
        <v>588</v>
      </c>
      <c r="D379" t="s">
        <v>589</v>
      </c>
      <c r="E379" t="s">
        <v>29</v>
      </c>
      <c r="F379" t="s">
        <v>41</v>
      </c>
      <c r="G379">
        <v>2</v>
      </c>
      <c r="H379">
        <v>0</v>
      </c>
      <c r="I379">
        <v>0</v>
      </c>
      <c r="J379">
        <v>0</v>
      </c>
      <c r="K379">
        <v>2</v>
      </c>
      <c r="L379">
        <v>0</v>
      </c>
      <c r="M379">
        <v>0</v>
      </c>
      <c r="N379">
        <v>0</v>
      </c>
      <c r="O379">
        <v>2</v>
      </c>
      <c r="P379">
        <v>0</v>
      </c>
      <c r="Q379">
        <v>2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 t="s">
        <v>51</v>
      </c>
      <c r="Z379">
        <v>45</v>
      </c>
      <c r="AA379">
        <v>0</v>
      </c>
    </row>
    <row r="380" spans="1:27" x14ac:dyDescent="0.2">
      <c r="A380" t="s">
        <v>457</v>
      </c>
      <c r="B380">
        <v>2021</v>
      </c>
      <c r="C380" t="s">
        <v>590</v>
      </c>
      <c r="D380" t="s">
        <v>591</v>
      </c>
      <c r="E380" t="s">
        <v>29</v>
      </c>
      <c r="F380" t="s">
        <v>30</v>
      </c>
      <c r="G380">
        <v>0</v>
      </c>
      <c r="H380">
        <v>0</v>
      </c>
      <c r="I380">
        <v>27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 t="s">
        <v>31</v>
      </c>
      <c r="AA380">
        <v>100</v>
      </c>
    </row>
    <row r="381" spans="1:27" x14ac:dyDescent="0.2">
      <c r="A381" t="s">
        <v>406</v>
      </c>
      <c r="B381">
        <v>2021</v>
      </c>
      <c r="C381" t="s">
        <v>592</v>
      </c>
      <c r="D381" t="s">
        <v>593</v>
      </c>
      <c r="E381" t="s">
        <v>29</v>
      </c>
      <c r="F381" t="s">
        <v>30</v>
      </c>
      <c r="G381">
        <v>130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 t="s">
        <v>31</v>
      </c>
      <c r="AA381">
        <v>0</v>
      </c>
    </row>
    <row r="382" spans="1:27" x14ac:dyDescent="0.2">
      <c r="A382" t="s">
        <v>412</v>
      </c>
      <c r="B382">
        <v>2021</v>
      </c>
      <c r="C382" t="s">
        <v>413</v>
      </c>
      <c r="D382" t="s">
        <v>414</v>
      </c>
      <c r="E382" t="s">
        <v>29</v>
      </c>
      <c r="F382" t="s">
        <v>30</v>
      </c>
      <c r="G382">
        <v>7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7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7</v>
      </c>
      <c r="T382">
        <v>0</v>
      </c>
      <c r="U382">
        <v>0</v>
      </c>
      <c r="V382">
        <v>0</v>
      </c>
      <c r="W382">
        <v>0</v>
      </c>
      <c r="X382">
        <v>0</v>
      </c>
      <c r="Y382" t="s">
        <v>31</v>
      </c>
      <c r="Z382">
        <v>55</v>
      </c>
      <c r="AA382">
        <v>120</v>
      </c>
    </row>
    <row r="383" spans="1:27" x14ac:dyDescent="0.2">
      <c r="A383" t="s">
        <v>412</v>
      </c>
      <c r="B383">
        <v>2021</v>
      </c>
      <c r="C383" t="s">
        <v>413</v>
      </c>
      <c r="D383" t="s">
        <v>414</v>
      </c>
      <c r="E383" t="s">
        <v>29</v>
      </c>
      <c r="F383" t="s">
        <v>30</v>
      </c>
      <c r="G383">
        <v>7</v>
      </c>
      <c r="H383">
        <v>0</v>
      </c>
      <c r="I383">
        <v>1</v>
      </c>
      <c r="J383">
        <v>0</v>
      </c>
      <c r="K383">
        <v>0</v>
      </c>
      <c r="L383">
        <v>0</v>
      </c>
      <c r="M383">
        <v>7</v>
      </c>
      <c r="N383">
        <v>0</v>
      </c>
      <c r="O383">
        <v>1</v>
      </c>
      <c r="P383">
        <v>0</v>
      </c>
      <c r="Q383">
        <v>0</v>
      </c>
      <c r="R383">
        <v>0</v>
      </c>
      <c r="S383">
        <v>7</v>
      </c>
      <c r="T383">
        <v>0</v>
      </c>
      <c r="U383">
        <v>1</v>
      </c>
      <c r="V383">
        <v>0</v>
      </c>
      <c r="W383">
        <v>0</v>
      </c>
      <c r="X383">
        <v>0</v>
      </c>
      <c r="Y383" t="s">
        <v>31</v>
      </c>
      <c r="AA383">
        <v>120</v>
      </c>
    </row>
    <row r="384" spans="1:27" x14ac:dyDescent="0.2">
      <c r="A384" t="s">
        <v>415</v>
      </c>
      <c r="B384">
        <v>2021</v>
      </c>
      <c r="C384" t="s">
        <v>594</v>
      </c>
      <c r="D384" t="s">
        <v>595</v>
      </c>
      <c r="E384" t="s">
        <v>29</v>
      </c>
      <c r="F384" t="s">
        <v>30</v>
      </c>
      <c r="G384">
        <v>24</v>
      </c>
      <c r="H384">
        <v>0</v>
      </c>
      <c r="I384">
        <v>35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 t="s">
        <v>31</v>
      </c>
      <c r="Z384">
        <v>55</v>
      </c>
      <c r="AA384">
        <v>0</v>
      </c>
    </row>
    <row r="385" spans="1:27" x14ac:dyDescent="0.2">
      <c r="A385" t="s">
        <v>418</v>
      </c>
      <c r="B385">
        <v>2021</v>
      </c>
      <c r="C385">
        <v>26139045</v>
      </c>
      <c r="D385" t="s">
        <v>596</v>
      </c>
      <c r="E385" t="s">
        <v>29</v>
      </c>
      <c r="F385" t="s">
        <v>30</v>
      </c>
      <c r="G385">
        <v>0</v>
      </c>
      <c r="H385">
        <v>0</v>
      </c>
      <c r="I385">
        <v>153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 t="s">
        <v>31</v>
      </c>
      <c r="Z385">
        <v>55</v>
      </c>
      <c r="AA385">
        <v>45</v>
      </c>
    </row>
    <row r="386" spans="1:27" x14ac:dyDescent="0.2">
      <c r="A386" t="s">
        <v>321</v>
      </c>
      <c r="B386">
        <v>2020</v>
      </c>
      <c r="C386">
        <v>4291006006</v>
      </c>
      <c r="D386" t="s">
        <v>597</v>
      </c>
      <c r="E386" t="s">
        <v>29</v>
      </c>
      <c r="F386" t="s">
        <v>30</v>
      </c>
      <c r="G386">
        <v>14</v>
      </c>
      <c r="H386">
        <v>0</v>
      </c>
      <c r="I386">
        <v>10</v>
      </c>
      <c r="J386">
        <v>0</v>
      </c>
      <c r="K386">
        <v>11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 t="s">
        <v>51</v>
      </c>
      <c r="AA386">
        <v>0</v>
      </c>
    </row>
    <row r="387" spans="1:27" x14ac:dyDescent="0.2">
      <c r="A387" t="s">
        <v>418</v>
      </c>
      <c r="B387">
        <v>2021</v>
      </c>
      <c r="C387">
        <v>48420040</v>
      </c>
      <c r="D387" t="s">
        <v>598</v>
      </c>
      <c r="E387" t="s">
        <v>29</v>
      </c>
      <c r="F387" t="s">
        <v>30</v>
      </c>
      <c r="G387">
        <v>32</v>
      </c>
      <c r="H387">
        <v>0</v>
      </c>
      <c r="I387">
        <v>33</v>
      </c>
      <c r="J387">
        <v>0</v>
      </c>
      <c r="K387">
        <v>97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 t="s">
        <v>31</v>
      </c>
      <c r="Z387">
        <v>55</v>
      </c>
      <c r="AA387">
        <v>0</v>
      </c>
    </row>
    <row r="388" spans="1:27" x14ac:dyDescent="0.2">
      <c r="A388" t="s">
        <v>433</v>
      </c>
      <c r="B388">
        <v>2022</v>
      </c>
      <c r="C388">
        <v>17004051</v>
      </c>
      <c r="D388" t="s">
        <v>599</v>
      </c>
      <c r="E388" t="s">
        <v>29</v>
      </c>
      <c r="F388" t="s">
        <v>30</v>
      </c>
      <c r="G388">
        <v>57</v>
      </c>
      <c r="H388">
        <v>0</v>
      </c>
      <c r="I388">
        <v>31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 t="s">
        <v>31</v>
      </c>
      <c r="Z388">
        <v>99</v>
      </c>
      <c r="AA388">
        <v>230</v>
      </c>
    </row>
    <row r="389" spans="1:27" x14ac:dyDescent="0.2">
      <c r="A389" t="s">
        <v>600</v>
      </c>
      <c r="B389">
        <v>2018</v>
      </c>
      <c r="C389" s="2" t="s">
        <v>601</v>
      </c>
      <c r="D389" t="s">
        <v>602</v>
      </c>
      <c r="E389" t="s">
        <v>29</v>
      </c>
      <c r="F389" t="s">
        <v>41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 t="s">
        <v>51</v>
      </c>
      <c r="AA389">
        <v>0</v>
      </c>
    </row>
    <row r="390" spans="1:27" x14ac:dyDescent="0.2">
      <c r="A390" t="s">
        <v>600</v>
      </c>
      <c r="B390">
        <v>2018</v>
      </c>
      <c r="C390">
        <v>3702390</v>
      </c>
      <c r="D390" t="s">
        <v>603</v>
      </c>
      <c r="E390" t="s">
        <v>29</v>
      </c>
      <c r="F390" t="s">
        <v>30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74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 t="s">
        <v>51</v>
      </c>
      <c r="AA390">
        <v>0</v>
      </c>
    </row>
    <row r="391" spans="1:27" x14ac:dyDescent="0.2">
      <c r="A391" t="s">
        <v>600</v>
      </c>
      <c r="B391">
        <v>2018</v>
      </c>
      <c r="C391">
        <v>4059009</v>
      </c>
      <c r="D391" t="s">
        <v>604</v>
      </c>
      <c r="E391" t="s">
        <v>29</v>
      </c>
      <c r="F391" t="s">
        <v>41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 t="s">
        <v>51</v>
      </c>
      <c r="AA391">
        <v>0</v>
      </c>
    </row>
    <row r="392" spans="1:27" x14ac:dyDescent="0.2">
      <c r="A392" t="s">
        <v>600</v>
      </c>
      <c r="B392">
        <v>2018</v>
      </c>
      <c r="C392">
        <v>6568032</v>
      </c>
      <c r="D392" t="s">
        <v>605</v>
      </c>
      <c r="E392" t="s">
        <v>29</v>
      </c>
      <c r="F392" t="s">
        <v>30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 t="s">
        <v>51</v>
      </c>
      <c r="AA392">
        <v>0</v>
      </c>
    </row>
    <row r="393" spans="1:27" x14ac:dyDescent="0.2">
      <c r="A393" t="s">
        <v>600</v>
      </c>
      <c r="B393">
        <v>2018</v>
      </c>
      <c r="C393">
        <v>3548039</v>
      </c>
      <c r="D393" t="s">
        <v>606</v>
      </c>
      <c r="E393" t="s">
        <v>29</v>
      </c>
      <c r="F393" t="s">
        <v>41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2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 t="s">
        <v>51</v>
      </c>
      <c r="AA393">
        <v>0</v>
      </c>
    </row>
    <row r="394" spans="1:27" x14ac:dyDescent="0.2">
      <c r="A394" t="s">
        <v>600</v>
      </c>
      <c r="B394">
        <v>2018</v>
      </c>
      <c r="C394" s="2" t="s">
        <v>607</v>
      </c>
      <c r="D394" t="s">
        <v>608</v>
      </c>
      <c r="E394" t="s">
        <v>29</v>
      </c>
      <c r="F394" t="s">
        <v>30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 t="s">
        <v>51</v>
      </c>
      <c r="AA394">
        <v>0</v>
      </c>
    </row>
    <row r="395" spans="1:27" x14ac:dyDescent="0.2">
      <c r="A395" t="s">
        <v>600</v>
      </c>
      <c r="B395">
        <v>2018</v>
      </c>
      <c r="C395">
        <v>4102026</v>
      </c>
      <c r="D395" t="s">
        <v>609</v>
      </c>
      <c r="E395" t="s">
        <v>29</v>
      </c>
      <c r="F395" t="s">
        <v>41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11</v>
      </c>
      <c r="X395">
        <v>0</v>
      </c>
      <c r="Y395" t="s">
        <v>51</v>
      </c>
      <c r="AA395">
        <v>0</v>
      </c>
    </row>
    <row r="396" spans="1:27" x14ac:dyDescent="0.2">
      <c r="A396" t="s">
        <v>600</v>
      </c>
      <c r="B396">
        <v>2018</v>
      </c>
      <c r="C396">
        <v>3719011</v>
      </c>
      <c r="D396" t="s">
        <v>610</v>
      </c>
      <c r="E396" t="s">
        <v>29</v>
      </c>
      <c r="F396" t="s">
        <v>30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 t="s">
        <v>51</v>
      </c>
      <c r="AA396">
        <v>0</v>
      </c>
    </row>
    <row r="397" spans="1:27" x14ac:dyDescent="0.2">
      <c r="A397" t="s">
        <v>600</v>
      </c>
      <c r="B397">
        <v>2018</v>
      </c>
      <c r="C397">
        <v>6969019</v>
      </c>
      <c r="D397" t="s">
        <v>611</v>
      </c>
      <c r="E397" t="s">
        <v>29</v>
      </c>
      <c r="F397" t="s">
        <v>30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9</v>
      </c>
      <c r="X397">
        <v>0</v>
      </c>
      <c r="Y397" t="s">
        <v>51</v>
      </c>
      <c r="AA397">
        <v>0</v>
      </c>
    </row>
    <row r="398" spans="1:27" x14ac:dyDescent="0.2">
      <c r="A398" t="s">
        <v>600</v>
      </c>
      <c r="B398">
        <v>2018</v>
      </c>
      <c r="C398" s="2" t="s">
        <v>612</v>
      </c>
      <c r="D398" t="s">
        <v>613</v>
      </c>
      <c r="E398" t="s">
        <v>29</v>
      </c>
      <c r="F398" t="s">
        <v>41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4</v>
      </c>
      <c r="X398">
        <v>0</v>
      </c>
      <c r="Y398" t="s">
        <v>51</v>
      </c>
      <c r="AA398">
        <v>0</v>
      </c>
    </row>
    <row r="399" spans="1:27" x14ac:dyDescent="0.2">
      <c r="A399" t="s">
        <v>600</v>
      </c>
      <c r="B399">
        <v>2018</v>
      </c>
      <c r="C399" s="2" t="s">
        <v>614</v>
      </c>
      <c r="D399" t="s">
        <v>615</v>
      </c>
      <c r="E399" t="s">
        <v>29</v>
      </c>
      <c r="F399" t="s">
        <v>30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 t="s">
        <v>51</v>
      </c>
      <c r="AA399">
        <v>0</v>
      </c>
    </row>
    <row r="400" spans="1:27" x14ac:dyDescent="0.2">
      <c r="A400" t="s">
        <v>418</v>
      </c>
      <c r="B400">
        <v>2021</v>
      </c>
      <c r="C400">
        <v>47212086</v>
      </c>
      <c r="D400" t="s">
        <v>423</v>
      </c>
      <c r="E400" t="s">
        <v>29</v>
      </c>
      <c r="F400" t="s">
        <v>30</v>
      </c>
      <c r="G400">
        <v>0</v>
      </c>
      <c r="H400">
        <v>0</v>
      </c>
      <c r="I400">
        <v>77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 t="s">
        <v>31</v>
      </c>
      <c r="Z400">
        <v>55</v>
      </c>
      <c r="AA400">
        <v>80</v>
      </c>
    </row>
    <row r="401" spans="1:27" x14ac:dyDescent="0.2">
      <c r="A401" t="s">
        <v>436</v>
      </c>
      <c r="B401">
        <v>2022</v>
      </c>
      <c r="C401" t="s">
        <v>437</v>
      </c>
      <c r="D401" t="s">
        <v>616</v>
      </c>
      <c r="E401" t="s">
        <v>29</v>
      </c>
      <c r="F401" t="s">
        <v>30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16</v>
      </c>
      <c r="N401">
        <v>0</v>
      </c>
      <c r="O401">
        <v>5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 t="s">
        <v>31</v>
      </c>
      <c r="Z401">
        <v>55</v>
      </c>
      <c r="AA401">
        <v>23</v>
      </c>
    </row>
    <row r="402" spans="1:27" x14ac:dyDescent="0.2">
      <c r="A402" t="s">
        <v>560</v>
      </c>
      <c r="B402">
        <v>2018</v>
      </c>
      <c r="C402" t="s">
        <v>617</v>
      </c>
      <c r="D402" t="s">
        <v>618</v>
      </c>
      <c r="E402" t="s">
        <v>29</v>
      </c>
      <c r="F402" t="s">
        <v>30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23</v>
      </c>
      <c r="T402">
        <v>0</v>
      </c>
      <c r="U402">
        <v>12</v>
      </c>
      <c r="V402">
        <v>0</v>
      </c>
      <c r="W402">
        <v>0</v>
      </c>
      <c r="X402">
        <v>0</v>
      </c>
      <c r="Y402" t="s">
        <v>31</v>
      </c>
      <c r="Z402">
        <v>55</v>
      </c>
      <c r="AA402">
        <v>0</v>
      </c>
    </row>
    <row r="403" spans="1:27" x14ac:dyDescent="0.2">
      <c r="A403" t="s">
        <v>619</v>
      </c>
      <c r="B403">
        <v>2020</v>
      </c>
      <c r="C403" t="s">
        <v>620</v>
      </c>
      <c r="D403" t="s">
        <v>621</v>
      </c>
      <c r="E403" t="s">
        <v>29</v>
      </c>
      <c r="F403" t="s">
        <v>30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12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 t="s">
        <v>51</v>
      </c>
      <c r="Z403">
        <v>50</v>
      </c>
      <c r="AA403">
        <v>0</v>
      </c>
    </row>
    <row r="404" spans="1:27" x14ac:dyDescent="0.2">
      <c r="A404" t="s">
        <v>622</v>
      </c>
      <c r="B404">
        <v>2021</v>
      </c>
      <c r="C404" t="s">
        <v>623</v>
      </c>
      <c r="D404" t="s">
        <v>624</v>
      </c>
      <c r="E404" t="s">
        <v>29</v>
      </c>
      <c r="F404" t="s">
        <v>30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1</v>
      </c>
      <c r="T404">
        <v>0</v>
      </c>
      <c r="U404">
        <v>0</v>
      </c>
      <c r="V404">
        <v>0</v>
      </c>
      <c r="W404">
        <v>0</v>
      </c>
      <c r="X404">
        <v>0</v>
      </c>
      <c r="Y404" t="s">
        <v>51</v>
      </c>
      <c r="AA404">
        <v>0</v>
      </c>
    </row>
    <row r="405" spans="1:27" x14ac:dyDescent="0.2">
      <c r="A405" t="s">
        <v>622</v>
      </c>
      <c r="B405">
        <v>2021</v>
      </c>
      <c r="C405" t="s">
        <v>623</v>
      </c>
      <c r="D405" t="s">
        <v>625</v>
      </c>
      <c r="E405" t="s">
        <v>29</v>
      </c>
      <c r="F405" t="s">
        <v>30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2</v>
      </c>
      <c r="T405">
        <v>0</v>
      </c>
      <c r="U405">
        <v>0</v>
      </c>
      <c r="V405">
        <v>0</v>
      </c>
      <c r="W405">
        <v>0</v>
      </c>
      <c r="X405">
        <v>0</v>
      </c>
      <c r="Y405" t="s">
        <v>51</v>
      </c>
      <c r="AA405">
        <v>0</v>
      </c>
    </row>
    <row r="406" spans="1:27" x14ac:dyDescent="0.2">
      <c r="A406" t="s">
        <v>622</v>
      </c>
      <c r="B406">
        <v>2021</v>
      </c>
      <c r="C406" t="s">
        <v>623</v>
      </c>
      <c r="D406" t="s">
        <v>626</v>
      </c>
      <c r="E406" t="s">
        <v>29</v>
      </c>
      <c r="F406" t="s">
        <v>30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10</v>
      </c>
      <c r="T406">
        <v>0</v>
      </c>
      <c r="U406">
        <v>0</v>
      </c>
      <c r="V406">
        <v>0</v>
      </c>
      <c r="W406">
        <v>0</v>
      </c>
      <c r="X406">
        <v>0</v>
      </c>
      <c r="Y406" t="s">
        <v>51</v>
      </c>
      <c r="AA406">
        <v>0</v>
      </c>
    </row>
    <row r="407" spans="1:27" x14ac:dyDescent="0.2">
      <c r="A407" t="s">
        <v>533</v>
      </c>
      <c r="B407">
        <v>2021</v>
      </c>
      <c r="C407" t="s">
        <v>627</v>
      </c>
      <c r="D407" t="s">
        <v>628</v>
      </c>
      <c r="E407" t="s">
        <v>29</v>
      </c>
      <c r="F407" t="s">
        <v>41</v>
      </c>
      <c r="G407">
        <v>1</v>
      </c>
      <c r="H407">
        <v>0</v>
      </c>
      <c r="I407">
        <v>1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1</v>
      </c>
      <c r="P407">
        <v>0</v>
      </c>
      <c r="Q407">
        <v>0</v>
      </c>
      <c r="R407">
        <v>0</v>
      </c>
      <c r="S407">
        <v>1</v>
      </c>
      <c r="T407">
        <v>0</v>
      </c>
      <c r="U407">
        <v>1</v>
      </c>
      <c r="V407">
        <v>0</v>
      </c>
      <c r="W407">
        <v>0</v>
      </c>
      <c r="X407">
        <v>0</v>
      </c>
      <c r="Y407" t="s">
        <v>31</v>
      </c>
      <c r="Z407">
        <v>59</v>
      </c>
      <c r="AA407">
        <v>20</v>
      </c>
    </row>
    <row r="408" spans="1:27" x14ac:dyDescent="0.2">
      <c r="A408" t="s">
        <v>533</v>
      </c>
      <c r="B408">
        <v>2021</v>
      </c>
      <c r="C408" t="s">
        <v>629</v>
      </c>
      <c r="D408" t="s">
        <v>630</v>
      </c>
      <c r="E408" t="s">
        <v>29</v>
      </c>
      <c r="F408" t="s">
        <v>41</v>
      </c>
      <c r="G408">
        <v>2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2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 t="s">
        <v>31</v>
      </c>
      <c r="Z408">
        <v>59</v>
      </c>
      <c r="AA408">
        <v>20</v>
      </c>
    </row>
    <row r="409" spans="1:27" x14ac:dyDescent="0.2">
      <c r="A409" t="s">
        <v>418</v>
      </c>
      <c r="B409">
        <v>2021</v>
      </c>
      <c r="C409">
        <v>47226070</v>
      </c>
      <c r="D409" t="s">
        <v>631</v>
      </c>
      <c r="E409" t="s">
        <v>29</v>
      </c>
      <c r="F409" t="s">
        <v>30</v>
      </c>
      <c r="G409">
        <v>0</v>
      </c>
      <c r="H409">
        <v>0</v>
      </c>
      <c r="I409">
        <v>341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 t="s">
        <v>31</v>
      </c>
      <c r="Z409">
        <v>55</v>
      </c>
      <c r="AA409">
        <v>44.5</v>
      </c>
    </row>
    <row r="410" spans="1:27" x14ac:dyDescent="0.2">
      <c r="A410" t="s">
        <v>457</v>
      </c>
      <c r="B410">
        <v>2021</v>
      </c>
      <c r="C410" t="s">
        <v>632</v>
      </c>
      <c r="D410" t="s">
        <v>633</v>
      </c>
      <c r="E410" t="s">
        <v>29</v>
      </c>
      <c r="F410" t="s">
        <v>30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32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 t="s">
        <v>31</v>
      </c>
      <c r="AA410">
        <v>100</v>
      </c>
    </row>
    <row r="411" spans="1:27" x14ac:dyDescent="0.2">
      <c r="A411" t="s">
        <v>584</v>
      </c>
      <c r="B411">
        <v>2022</v>
      </c>
      <c r="C411" t="s">
        <v>634</v>
      </c>
      <c r="D411" t="s">
        <v>635</v>
      </c>
      <c r="E411" t="s">
        <v>29</v>
      </c>
      <c r="F411" t="s">
        <v>30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30</v>
      </c>
      <c r="N411">
        <v>0</v>
      </c>
      <c r="O411">
        <v>36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 t="s">
        <v>31</v>
      </c>
      <c r="AA411">
        <v>35</v>
      </c>
    </row>
    <row r="412" spans="1:27" x14ac:dyDescent="0.2">
      <c r="A412" t="s">
        <v>584</v>
      </c>
      <c r="B412">
        <v>2022</v>
      </c>
      <c r="C412" t="s">
        <v>636</v>
      </c>
      <c r="D412" t="s">
        <v>637</v>
      </c>
      <c r="E412" t="s">
        <v>29</v>
      </c>
      <c r="F412" t="s">
        <v>30</v>
      </c>
      <c r="G412">
        <v>0</v>
      </c>
      <c r="H412">
        <v>0</v>
      </c>
      <c r="I412">
        <v>20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 t="s">
        <v>31</v>
      </c>
      <c r="AA412">
        <v>0</v>
      </c>
    </row>
    <row r="413" spans="1:27" x14ac:dyDescent="0.2">
      <c r="A413" t="s">
        <v>38</v>
      </c>
      <c r="B413">
        <v>2022</v>
      </c>
      <c r="C413">
        <v>5674010024</v>
      </c>
      <c r="D413" t="s">
        <v>638</v>
      </c>
      <c r="E413" t="s">
        <v>29</v>
      </c>
      <c r="F413" t="s">
        <v>30</v>
      </c>
      <c r="G413">
        <v>31</v>
      </c>
      <c r="H413">
        <v>0</v>
      </c>
      <c r="I413">
        <v>8</v>
      </c>
      <c r="J413">
        <v>0</v>
      </c>
      <c r="K413">
        <v>0</v>
      </c>
      <c r="L413">
        <v>0</v>
      </c>
      <c r="M413">
        <v>31</v>
      </c>
      <c r="N413">
        <v>0</v>
      </c>
      <c r="O413">
        <v>8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 t="s">
        <v>31</v>
      </c>
      <c r="Z413">
        <v>75</v>
      </c>
      <c r="AA413">
        <v>17</v>
      </c>
    </row>
    <row r="414" spans="1:27" x14ac:dyDescent="0.2">
      <c r="A414" t="s">
        <v>318</v>
      </c>
      <c r="B414">
        <v>2023</v>
      </c>
      <c r="C414">
        <v>20550034</v>
      </c>
      <c r="D414" t="s">
        <v>639</v>
      </c>
      <c r="E414" t="s">
        <v>29</v>
      </c>
      <c r="F414" t="s">
        <v>30</v>
      </c>
      <c r="G414">
        <v>8</v>
      </c>
      <c r="H414">
        <v>0</v>
      </c>
      <c r="I414">
        <v>36</v>
      </c>
      <c r="J414">
        <v>0</v>
      </c>
      <c r="K414">
        <v>0</v>
      </c>
      <c r="L414">
        <v>90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 t="s">
        <v>31</v>
      </c>
      <c r="Z414">
        <v>55</v>
      </c>
      <c r="AA414">
        <v>50</v>
      </c>
    </row>
    <row r="415" spans="1:27" x14ac:dyDescent="0.2">
      <c r="A415" t="s">
        <v>318</v>
      </c>
      <c r="B415">
        <v>2023</v>
      </c>
      <c r="C415">
        <v>20550013</v>
      </c>
      <c r="D415" t="s">
        <v>640</v>
      </c>
      <c r="E415" t="s">
        <v>29</v>
      </c>
      <c r="F415" t="s">
        <v>30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131</v>
      </c>
      <c r="N415">
        <v>0</v>
      </c>
      <c r="O415">
        <v>43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 t="s">
        <v>31</v>
      </c>
      <c r="Z415">
        <v>85</v>
      </c>
      <c r="AA415">
        <v>107</v>
      </c>
    </row>
    <row r="416" spans="1:27" x14ac:dyDescent="0.2">
      <c r="A416" t="s">
        <v>48</v>
      </c>
      <c r="B416">
        <v>2020</v>
      </c>
      <c r="C416" t="s">
        <v>338</v>
      </c>
      <c r="D416" t="s">
        <v>641</v>
      </c>
      <c r="E416" t="s">
        <v>29</v>
      </c>
      <c r="F416" t="s">
        <v>30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1</v>
      </c>
      <c r="X416">
        <v>0</v>
      </c>
      <c r="Y416" t="s">
        <v>51</v>
      </c>
      <c r="Z416">
        <v>55</v>
      </c>
      <c r="AA416">
        <v>0</v>
      </c>
    </row>
    <row r="417" spans="1:27" x14ac:dyDescent="0.2">
      <c r="A417" t="s">
        <v>48</v>
      </c>
      <c r="B417">
        <v>2020</v>
      </c>
      <c r="C417" t="s">
        <v>642</v>
      </c>
      <c r="D417" t="s">
        <v>643</v>
      </c>
      <c r="E417" t="s">
        <v>29</v>
      </c>
      <c r="F417" t="s">
        <v>30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1</v>
      </c>
      <c r="X417">
        <v>0</v>
      </c>
      <c r="Y417" t="s">
        <v>51</v>
      </c>
      <c r="Z417">
        <v>55</v>
      </c>
      <c r="AA417">
        <v>0</v>
      </c>
    </row>
    <row r="418" spans="1:27" x14ac:dyDescent="0.2">
      <c r="A418" t="s">
        <v>321</v>
      </c>
      <c r="B418">
        <v>2020</v>
      </c>
      <c r="C418">
        <v>4266016051</v>
      </c>
      <c r="D418" t="s">
        <v>644</v>
      </c>
      <c r="E418" t="s">
        <v>29</v>
      </c>
      <c r="F418" t="s">
        <v>30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1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 t="s">
        <v>51</v>
      </c>
      <c r="AA418">
        <v>0</v>
      </c>
    </row>
    <row r="419" spans="1:27" x14ac:dyDescent="0.2">
      <c r="A419" t="s">
        <v>321</v>
      </c>
      <c r="B419">
        <v>2020</v>
      </c>
      <c r="C419">
        <v>4283030016</v>
      </c>
      <c r="D419" t="s">
        <v>645</v>
      </c>
      <c r="E419" t="s">
        <v>29</v>
      </c>
      <c r="F419" t="s">
        <v>30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46</v>
      </c>
      <c r="N419">
        <v>0</v>
      </c>
      <c r="O419">
        <v>27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 t="s">
        <v>51</v>
      </c>
      <c r="Z419">
        <v>99</v>
      </c>
      <c r="AA419">
        <v>0</v>
      </c>
    </row>
    <row r="420" spans="1:27" x14ac:dyDescent="0.2">
      <c r="A420" t="s">
        <v>321</v>
      </c>
      <c r="B420">
        <v>2020</v>
      </c>
      <c r="C420">
        <v>4291019021</v>
      </c>
      <c r="D420" t="s">
        <v>646</v>
      </c>
      <c r="E420" t="s">
        <v>29</v>
      </c>
      <c r="F420" t="s">
        <v>30</v>
      </c>
      <c r="G420">
        <v>2</v>
      </c>
      <c r="H420">
        <v>0</v>
      </c>
      <c r="I420">
        <v>16</v>
      </c>
      <c r="J420">
        <v>0</v>
      </c>
      <c r="K420">
        <v>5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 t="s">
        <v>51</v>
      </c>
      <c r="AA420">
        <v>0</v>
      </c>
    </row>
    <row r="421" spans="1:27" x14ac:dyDescent="0.2">
      <c r="A421" t="s">
        <v>321</v>
      </c>
      <c r="B421">
        <v>2020</v>
      </c>
      <c r="C421">
        <v>4291022021</v>
      </c>
      <c r="D421" t="s">
        <v>647</v>
      </c>
      <c r="E421" t="s">
        <v>29</v>
      </c>
      <c r="F421" t="s">
        <v>30</v>
      </c>
      <c r="G421">
        <v>0</v>
      </c>
      <c r="H421">
        <v>0</v>
      </c>
      <c r="I421">
        <v>7</v>
      </c>
      <c r="J421">
        <v>0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 t="s">
        <v>51</v>
      </c>
      <c r="AA421">
        <v>0</v>
      </c>
    </row>
    <row r="422" spans="1:27" x14ac:dyDescent="0.2">
      <c r="A422" t="s">
        <v>324</v>
      </c>
      <c r="B422">
        <v>2020</v>
      </c>
      <c r="C422">
        <v>25280480</v>
      </c>
      <c r="D422" t="s">
        <v>648</v>
      </c>
      <c r="E422" t="s">
        <v>29</v>
      </c>
      <c r="F422" t="s">
        <v>30</v>
      </c>
      <c r="G422">
        <v>0</v>
      </c>
      <c r="H422">
        <v>0</v>
      </c>
      <c r="I422">
        <v>43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 t="s">
        <v>31</v>
      </c>
      <c r="Z422">
        <v>55</v>
      </c>
      <c r="AA422">
        <v>0</v>
      </c>
    </row>
    <row r="423" spans="1:27" x14ac:dyDescent="0.2">
      <c r="A423" t="s">
        <v>649</v>
      </c>
      <c r="B423">
        <v>2021</v>
      </c>
      <c r="C423" t="s">
        <v>650</v>
      </c>
      <c r="D423" t="s">
        <v>651</v>
      </c>
      <c r="E423" t="s">
        <v>29</v>
      </c>
      <c r="F423" t="s">
        <v>30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26</v>
      </c>
      <c r="N423">
        <v>0</v>
      </c>
      <c r="O423">
        <v>70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 t="s">
        <v>31</v>
      </c>
      <c r="Z423">
        <v>55</v>
      </c>
      <c r="AA423">
        <v>0</v>
      </c>
    </row>
    <row r="424" spans="1:27" x14ac:dyDescent="0.2">
      <c r="A424" t="s">
        <v>436</v>
      </c>
      <c r="B424">
        <v>2022</v>
      </c>
      <c r="C424" t="s">
        <v>437</v>
      </c>
      <c r="D424" t="s">
        <v>652</v>
      </c>
      <c r="E424" t="s">
        <v>29</v>
      </c>
      <c r="F424" t="s">
        <v>30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6</v>
      </c>
      <c r="N424">
        <v>0</v>
      </c>
      <c r="O424">
        <v>18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 t="s">
        <v>31</v>
      </c>
      <c r="Z424">
        <v>55</v>
      </c>
      <c r="AA424">
        <v>23</v>
      </c>
    </row>
    <row r="425" spans="1:27" x14ac:dyDescent="0.2">
      <c r="A425" t="s">
        <v>436</v>
      </c>
      <c r="B425">
        <v>2022</v>
      </c>
      <c r="C425" t="s">
        <v>437</v>
      </c>
      <c r="D425" t="s">
        <v>653</v>
      </c>
      <c r="E425" t="s">
        <v>29</v>
      </c>
      <c r="F425" t="s">
        <v>30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6</v>
      </c>
      <c r="N425">
        <v>0</v>
      </c>
      <c r="O425">
        <v>18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 t="s">
        <v>31</v>
      </c>
      <c r="Z425">
        <v>55</v>
      </c>
      <c r="AA425">
        <v>23</v>
      </c>
    </row>
    <row r="426" spans="1:27" x14ac:dyDescent="0.2">
      <c r="A426" t="s">
        <v>457</v>
      </c>
      <c r="B426">
        <v>2022</v>
      </c>
      <c r="C426" t="s">
        <v>458</v>
      </c>
      <c r="D426" t="s">
        <v>654</v>
      </c>
      <c r="E426" t="s">
        <v>29</v>
      </c>
      <c r="F426" t="s">
        <v>30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8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8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 t="s">
        <v>31</v>
      </c>
      <c r="Z426">
        <v>55</v>
      </c>
      <c r="AA426">
        <v>100</v>
      </c>
    </row>
    <row r="427" spans="1:27" x14ac:dyDescent="0.2">
      <c r="A427" t="s">
        <v>418</v>
      </c>
      <c r="B427">
        <v>2021</v>
      </c>
      <c r="C427">
        <v>48119003</v>
      </c>
      <c r="D427" t="s">
        <v>655</v>
      </c>
      <c r="E427" t="s">
        <v>29</v>
      </c>
      <c r="F427" t="s">
        <v>30</v>
      </c>
      <c r="G427">
        <v>38</v>
      </c>
      <c r="H427">
        <v>0</v>
      </c>
      <c r="I427">
        <v>38</v>
      </c>
      <c r="J427">
        <v>0</v>
      </c>
      <c r="K427">
        <v>0</v>
      </c>
      <c r="L427">
        <v>116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 t="s">
        <v>31</v>
      </c>
      <c r="AA427">
        <v>0</v>
      </c>
    </row>
    <row r="428" spans="1:27" x14ac:dyDescent="0.2">
      <c r="A428" t="s">
        <v>433</v>
      </c>
      <c r="B428">
        <v>2022</v>
      </c>
      <c r="C428">
        <v>16741029</v>
      </c>
      <c r="D428" t="s">
        <v>656</v>
      </c>
      <c r="E428" t="s">
        <v>29</v>
      </c>
      <c r="F428" t="s">
        <v>41</v>
      </c>
      <c r="G428">
        <v>3</v>
      </c>
      <c r="H428">
        <v>0</v>
      </c>
      <c r="I428">
        <v>0</v>
      </c>
      <c r="J428">
        <v>0</v>
      </c>
      <c r="K428">
        <v>4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 t="s">
        <v>31</v>
      </c>
      <c r="Z428">
        <v>55</v>
      </c>
      <c r="AA428">
        <v>35</v>
      </c>
    </row>
    <row r="429" spans="1:27" x14ac:dyDescent="0.2">
      <c r="A429" t="s">
        <v>436</v>
      </c>
      <c r="B429">
        <v>2022</v>
      </c>
      <c r="C429" t="s">
        <v>437</v>
      </c>
      <c r="D429" t="s">
        <v>657</v>
      </c>
      <c r="E429" t="s">
        <v>29</v>
      </c>
      <c r="F429" t="s">
        <v>30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6</v>
      </c>
      <c r="N429">
        <v>0</v>
      </c>
      <c r="O429">
        <v>18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 t="s">
        <v>31</v>
      </c>
      <c r="Z429">
        <v>55</v>
      </c>
      <c r="AA429">
        <v>23</v>
      </c>
    </row>
    <row r="430" spans="1:27" x14ac:dyDescent="0.2">
      <c r="A430" t="s">
        <v>436</v>
      </c>
      <c r="B430">
        <v>2022</v>
      </c>
      <c r="C430" t="s">
        <v>437</v>
      </c>
      <c r="D430" t="s">
        <v>658</v>
      </c>
      <c r="E430" t="s">
        <v>29</v>
      </c>
      <c r="F430" t="s">
        <v>30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6</v>
      </c>
      <c r="N430">
        <v>0</v>
      </c>
      <c r="O430">
        <v>18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 t="s">
        <v>31</v>
      </c>
      <c r="Z430">
        <v>55</v>
      </c>
      <c r="AA430">
        <v>23</v>
      </c>
    </row>
    <row r="431" spans="1:27" x14ac:dyDescent="0.2">
      <c r="A431" t="s">
        <v>460</v>
      </c>
      <c r="B431">
        <v>2022</v>
      </c>
      <c r="C431" t="s">
        <v>465</v>
      </c>
      <c r="D431" t="s">
        <v>659</v>
      </c>
      <c r="E431" t="s">
        <v>29</v>
      </c>
      <c r="F431" t="s">
        <v>30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24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 t="s">
        <v>31</v>
      </c>
      <c r="Z431">
        <v>55</v>
      </c>
      <c r="AA431">
        <v>33</v>
      </c>
    </row>
    <row r="432" spans="1:27" x14ac:dyDescent="0.2">
      <c r="A432" t="s">
        <v>460</v>
      </c>
      <c r="B432">
        <v>2022</v>
      </c>
      <c r="C432" t="s">
        <v>465</v>
      </c>
      <c r="D432" t="s">
        <v>660</v>
      </c>
      <c r="E432" t="s">
        <v>29</v>
      </c>
      <c r="F432" t="s">
        <v>30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24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 t="s">
        <v>31</v>
      </c>
      <c r="Z432">
        <v>55</v>
      </c>
      <c r="AA432">
        <v>33</v>
      </c>
    </row>
    <row r="433" spans="1:27" x14ac:dyDescent="0.2">
      <c r="A433" t="s">
        <v>67</v>
      </c>
      <c r="B433">
        <v>2022</v>
      </c>
      <c r="C433">
        <v>482161024</v>
      </c>
      <c r="D433" t="s">
        <v>661</v>
      </c>
      <c r="E433" t="s">
        <v>29</v>
      </c>
      <c r="F433" t="s">
        <v>30</v>
      </c>
      <c r="G433">
        <v>10</v>
      </c>
      <c r="H433">
        <v>0</v>
      </c>
      <c r="I433">
        <v>10</v>
      </c>
      <c r="J433">
        <v>0</v>
      </c>
      <c r="K433">
        <v>0</v>
      </c>
      <c r="L433">
        <v>0</v>
      </c>
      <c r="M433">
        <v>10</v>
      </c>
      <c r="N433">
        <v>0</v>
      </c>
      <c r="O433">
        <v>10</v>
      </c>
      <c r="P433">
        <v>0</v>
      </c>
      <c r="Q433">
        <v>0</v>
      </c>
      <c r="R433">
        <v>0</v>
      </c>
      <c r="S433">
        <v>10</v>
      </c>
      <c r="T433">
        <v>0</v>
      </c>
      <c r="U433">
        <v>10</v>
      </c>
      <c r="V433">
        <v>0</v>
      </c>
      <c r="W433">
        <v>0</v>
      </c>
      <c r="X433">
        <v>0</v>
      </c>
      <c r="Y433" t="s">
        <v>31</v>
      </c>
      <c r="Z433">
        <v>56</v>
      </c>
      <c r="AA433">
        <v>12</v>
      </c>
    </row>
    <row r="434" spans="1:27" x14ac:dyDescent="0.2">
      <c r="A434" t="s">
        <v>460</v>
      </c>
      <c r="B434">
        <v>2022</v>
      </c>
      <c r="C434" t="s">
        <v>461</v>
      </c>
      <c r="D434" t="s">
        <v>662</v>
      </c>
      <c r="E434" t="s">
        <v>29</v>
      </c>
      <c r="F434" t="s">
        <v>30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4</v>
      </c>
      <c r="N434">
        <v>0</v>
      </c>
      <c r="O434">
        <v>14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 t="s">
        <v>31</v>
      </c>
      <c r="Z434">
        <v>55</v>
      </c>
      <c r="AA434">
        <v>21</v>
      </c>
    </row>
    <row r="435" spans="1:27" x14ac:dyDescent="0.2">
      <c r="A435" t="s">
        <v>460</v>
      </c>
      <c r="B435">
        <v>2022</v>
      </c>
      <c r="C435" t="s">
        <v>465</v>
      </c>
      <c r="D435" t="s">
        <v>663</v>
      </c>
      <c r="E435" t="s">
        <v>29</v>
      </c>
      <c r="F435" t="s">
        <v>30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24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 t="s">
        <v>31</v>
      </c>
      <c r="Z435">
        <v>55</v>
      </c>
      <c r="AA435">
        <v>33</v>
      </c>
    </row>
    <row r="436" spans="1:27" x14ac:dyDescent="0.2">
      <c r="A436" t="s">
        <v>43</v>
      </c>
      <c r="B436">
        <v>2023</v>
      </c>
      <c r="C436">
        <v>5554008015</v>
      </c>
      <c r="D436" t="s">
        <v>664</v>
      </c>
      <c r="E436" t="s">
        <v>29</v>
      </c>
      <c r="F436" t="s">
        <v>30</v>
      </c>
      <c r="G436">
        <v>7</v>
      </c>
      <c r="H436">
        <v>0</v>
      </c>
      <c r="I436">
        <v>0</v>
      </c>
      <c r="J436">
        <v>0</v>
      </c>
      <c r="K436">
        <v>7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 t="s">
        <v>31</v>
      </c>
      <c r="Z436">
        <v>1000</v>
      </c>
      <c r="AA436">
        <v>35</v>
      </c>
    </row>
    <row r="437" spans="1:27" x14ac:dyDescent="0.2">
      <c r="A437" t="s">
        <v>278</v>
      </c>
      <c r="B437">
        <v>2022</v>
      </c>
      <c r="C437" t="s">
        <v>281</v>
      </c>
      <c r="D437" t="s">
        <v>282</v>
      </c>
      <c r="E437" t="s">
        <v>29</v>
      </c>
      <c r="F437" t="s">
        <v>30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10</v>
      </c>
      <c r="N437">
        <v>0</v>
      </c>
      <c r="O437">
        <v>10</v>
      </c>
      <c r="P437">
        <v>0</v>
      </c>
      <c r="Q437">
        <v>10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 t="s">
        <v>51</v>
      </c>
      <c r="Z437">
        <v>1000</v>
      </c>
      <c r="AA437">
        <v>0</v>
      </c>
    </row>
    <row r="438" spans="1:27" x14ac:dyDescent="0.2">
      <c r="A438" t="s">
        <v>278</v>
      </c>
      <c r="B438">
        <v>2022</v>
      </c>
      <c r="C438" t="s">
        <v>665</v>
      </c>
      <c r="D438" t="s">
        <v>666</v>
      </c>
      <c r="E438" t="s">
        <v>29</v>
      </c>
      <c r="F438" t="s">
        <v>30</v>
      </c>
      <c r="G438">
        <v>80</v>
      </c>
      <c r="H438">
        <v>0</v>
      </c>
      <c r="I438">
        <v>39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 t="s">
        <v>31</v>
      </c>
      <c r="Z438">
        <v>55</v>
      </c>
      <c r="AA438">
        <v>54</v>
      </c>
    </row>
    <row r="439" spans="1:27" x14ac:dyDescent="0.2">
      <c r="A439" t="s">
        <v>318</v>
      </c>
      <c r="B439">
        <v>2019</v>
      </c>
      <c r="C439">
        <v>21301032</v>
      </c>
      <c r="D439" t="s">
        <v>667</v>
      </c>
      <c r="E439" t="s">
        <v>29</v>
      </c>
      <c r="F439" t="s">
        <v>30</v>
      </c>
      <c r="G439">
        <v>0</v>
      </c>
      <c r="H439">
        <v>0</v>
      </c>
      <c r="I439">
        <v>0</v>
      </c>
      <c r="J439">
        <v>0</v>
      </c>
      <c r="K439">
        <v>45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 t="s">
        <v>51</v>
      </c>
      <c r="Z439">
        <v>55</v>
      </c>
      <c r="AA439">
        <v>0</v>
      </c>
    </row>
    <row r="440" spans="1:27" x14ac:dyDescent="0.2">
      <c r="A440" t="s">
        <v>318</v>
      </c>
      <c r="B440">
        <v>2019</v>
      </c>
      <c r="C440">
        <v>21114034</v>
      </c>
      <c r="D440" t="s">
        <v>668</v>
      </c>
      <c r="E440" t="s">
        <v>29</v>
      </c>
      <c r="F440" t="s">
        <v>41</v>
      </c>
      <c r="G440">
        <v>0</v>
      </c>
      <c r="H440">
        <v>0</v>
      </c>
      <c r="I440">
        <v>0</v>
      </c>
      <c r="J440">
        <v>0</v>
      </c>
      <c r="K440">
        <v>16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 t="s">
        <v>51</v>
      </c>
      <c r="Z440">
        <v>30</v>
      </c>
      <c r="AA440">
        <v>0</v>
      </c>
    </row>
    <row r="441" spans="1:27" x14ac:dyDescent="0.2">
      <c r="A441" t="s">
        <v>318</v>
      </c>
      <c r="B441">
        <v>2019</v>
      </c>
      <c r="C441" t="s">
        <v>520</v>
      </c>
      <c r="D441" t="s">
        <v>669</v>
      </c>
      <c r="E441" t="s">
        <v>29</v>
      </c>
      <c r="F441" t="s">
        <v>30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 t="s">
        <v>31</v>
      </c>
      <c r="Z441">
        <v>55</v>
      </c>
      <c r="AA441">
        <v>0</v>
      </c>
    </row>
    <row r="442" spans="1:27" x14ac:dyDescent="0.2">
      <c r="A442" t="s">
        <v>670</v>
      </c>
      <c r="B442">
        <v>2022</v>
      </c>
      <c r="C442" t="s">
        <v>671</v>
      </c>
      <c r="D442" t="s">
        <v>672</v>
      </c>
      <c r="E442" t="s">
        <v>29</v>
      </c>
      <c r="F442" t="s">
        <v>30</v>
      </c>
      <c r="G442">
        <v>7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 t="s">
        <v>31</v>
      </c>
      <c r="Z442">
        <v>55</v>
      </c>
      <c r="AA442">
        <v>20</v>
      </c>
    </row>
    <row r="443" spans="1:27" x14ac:dyDescent="0.2">
      <c r="A443" t="s">
        <v>670</v>
      </c>
      <c r="B443">
        <v>2022</v>
      </c>
      <c r="C443">
        <v>4016011020</v>
      </c>
      <c r="D443" t="s">
        <v>673</v>
      </c>
      <c r="E443" t="s">
        <v>29</v>
      </c>
      <c r="F443" t="s">
        <v>30</v>
      </c>
      <c r="G443">
        <v>0</v>
      </c>
      <c r="H443">
        <v>0</v>
      </c>
      <c r="I443">
        <v>1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 t="s">
        <v>31</v>
      </c>
      <c r="Z443">
        <v>55</v>
      </c>
      <c r="AA443">
        <v>20</v>
      </c>
    </row>
    <row r="444" spans="1:27" x14ac:dyDescent="0.2">
      <c r="A444" t="s">
        <v>584</v>
      </c>
      <c r="B444">
        <v>2022</v>
      </c>
      <c r="C444" s="2" t="s">
        <v>674</v>
      </c>
      <c r="D444" t="s">
        <v>675</v>
      </c>
      <c r="E444" t="s">
        <v>29</v>
      </c>
      <c r="F444" t="s">
        <v>41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1</v>
      </c>
      <c r="V444">
        <v>0</v>
      </c>
      <c r="W444">
        <v>0</v>
      </c>
      <c r="X444">
        <v>0</v>
      </c>
      <c r="Y444" t="s">
        <v>51</v>
      </c>
      <c r="AA444">
        <v>0</v>
      </c>
    </row>
    <row r="445" spans="1:27" x14ac:dyDescent="0.2">
      <c r="A445" t="s">
        <v>278</v>
      </c>
      <c r="B445">
        <v>2022</v>
      </c>
      <c r="C445" t="s">
        <v>676</v>
      </c>
      <c r="D445" t="s">
        <v>677</v>
      </c>
      <c r="E445" t="s">
        <v>29</v>
      </c>
      <c r="F445" t="s">
        <v>30</v>
      </c>
      <c r="G445">
        <v>0</v>
      </c>
      <c r="H445">
        <v>0</v>
      </c>
      <c r="I445">
        <v>2</v>
      </c>
      <c r="J445">
        <v>0</v>
      </c>
      <c r="K445">
        <v>2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 t="s">
        <v>51</v>
      </c>
      <c r="Z445">
        <v>1000</v>
      </c>
      <c r="AA445">
        <v>0</v>
      </c>
    </row>
    <row r="446" spans="1:27" x14ac:dyDescent="0.2">
      <c r="A446" t="s">
        <v>278</v>
      </c>
      <c r="B446">
        <v>2022</v>
      </c>
      <c r="C446" t="s">
        <v>495</v>
      </c>
      <c r="D446" t="s">
        <v>496</v>
      </c>
      <c r="E446" t="s">
        <v>29</v>
      </c>
      <c r="F446" t="s">
        <v>30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4</v>
      </c>
      <c r="V446">
        <v>0</v>
      </c>
      <c r="W446">
        <v>6</v>
      </c>
      <c r="X446">
        <v>0</v>
      </c>
      <c r="Y446" t="s">
        <v>51</v>
      </c>
      <c r="AA446">
        <v>0</v>
      </c>
    </row>
    <row r="447" spans="1:27" x14ac:dyDescent="0.2">
      <c r="A447" t="s">
        <v>318</v>
      </c>
      <c r="B447">
        <v>2019</v>
      </c>
      <c r="C447">
        <v>32336009</v>
      </c>
      <c r="D447" t="s">
        <v>678</v>
      </c>
      <c r="E447" t="s">
        <v>29</v>
      </c>
      <c r="F447" t="s">
        <v>41</v>
      </c>
      <c r="G447">
        <v>0</v>
      </c>
      <c r="H447">
        <v>0</v>
      </c>
      <c r="I447">
        <v>0</v>
      </c>
      <c r="J447">
        <v>0</v>
      </c>
      <c r="K447">
        <v>2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 t="s">
        <v>51</v>
      </c>
      <c r="Z447">
        <v>30</v>
      </c>
      <c r="AA447">
        <v>0</v>
      </c>
    </row>
    <row r="448" spans="1:27" x14ac:dyDescent="0.2">
      <c r="A448" t="s">
        <v>524</v>
      </c>
      <c r="B448">
        <v>2022</v>
      </c>
      <c r="C448" t="s">
        <v>679</v>
      </c>
      <c r="D448" t="s">
        <v>680</v>
      </c>
      <c r="E448" t="s">
        <v>29</v>
      </c>
      <c r="F448" t="s">
        <v>30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3</v>
      </c>
      <c r="N448">
        <v>0</v>
      </c>
      <c r="O448">
        <v>14</v>
      </c>
      <c r="P448">
        <v>0</v>
      </c>
      <c r="Q448">
        <v>31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 t="s">
        <v>31</v>
      </c>
      <c r="Z448">
        <v>55</v>
      </c>
      <c r="AA448" s="2" t="s">
        <v>681</v>
      </c>
    </row>
    <row r="449" spans="1:27" x14ac:dyDescent="0.2">
      <c r="A449" t="s">
        <v>67</v>
      </c>
      <c r="B449">
        <v>2022</v>
      </c>
      <c r="C449">
        <v>482161023</v>
      </c>
      <c r="D449" t="s">
        <v>682</v>
      </c>
      <c r="E449" t="s">
        <v>29</v>
      </c>
      <c r="F449" t="s">
        <v>30</v>
      </c>
      <c r="G449">
        <v>15</v>
      </c>
      <c r="H449">
        <v>0</v>
      </c>
      <c r="I449">
        <v>15</v>
      </c>
      <c r="J449">
        <v>0</v>
      </c>
      <c r="K449">
        <v>0</v>
      </c>
      <c r="L449">
        <v>0</v>
      </c>
      <c r="M449">
        <v>15</v>
      </c>
      <c r="N449">
        <v>0</v>
      </c>
      <c r="O449">
        <v>15</v>
      </c>
      <c r="P449">
        <v>0</v>
      </c>
      <c r="Q449">
        <v>0</v>
      </c>
      <c r="R449">
        <v>0</v>
      </c>
      <c r="S449">
        <v>15</v>
      </c>
      <c r="T449">
        <v>0</v>
      </c>
      <c r="U449">
        <v>15</v>
      </c>
      <c r="V449">
        <v>0</v>
      </c>
      <c r="W449">
        <v>0</v>
      </c>
      <c r="X449">
        <v>0</v>
      </c>
      <c r="Y449" t="s">
        <v>31</v>
      </c>
      <c r="Z449">
        <v>56</v>
      </c>
      <c r="AA449">
        <v>12</v>
      </c>
    </row>
    <row r="450" spans="1:27" x14ac:dyDescent="0.2">
      <c r="A450" t="s">
        <v>514</v>
      </c>
      <c r="B450">
        <v>2021</v>
      </c>
      <c r="C450" s="2" t="s">
        <v>683</v>
      </c>
      <c r="D450" t="s">
        <v>684</v>
      </c>
      <c r="E450" t="s">
        <v>29</v>
      </c>
      <c r="F450" t="s">
        <v>30</v>
      </c>
      <c r="G450">
        <v>45</v>
      </c>
      <c r="H450">
        <v>0</v>
      </c>
      <c r="I450">
        <v>105</v>
      </c>
      <c r="J450">
        <v>0</v>
      </c>
      <c r="K450">
        <v>2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 t="s">
        <v>31</v>
      </c>
      <c r="Z450">
        <v>55</v>
      </c>
      <c r="AA450">
        <v>1.3</v>
      </c>
    </row>
    <row r="451" spans="1:27" x14ac:dyDescent="0.2">
      <c r="A451" t="s">
        <v>467</v>
      </c>
      <c r="B451">
        <v>2022</v>
      </c>
      <c r="C451" t="s">
        <v>468</v>
      </c>
      <c r="D451" t="s">
        <v>685</v>
      </c>
      <c r="E451" t="s">
        <v>29</v>
      </c>
      <c r="F451" t="s">
        <v>30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7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 t="s">
        <v>31</v>
      </c>
      <c r="Z451">
        <v>50</v>
      </c>
      <c r="AA451">
        <v>35</v>
      </c>
    </row>
    <row r="452" spans="1:27" x14ac:dyDescent="0.2">
      <c r="A452" t="s">
        <v>406</v>
      </c>
      <c r="B452">
        <v>2022</v>
      </c>
      <c r="C452" t="s">
        <v>686</v>
      </c>
      <c r="D452" t="s">
        <v>687</v>
      </c>
      <c r="E452" t="s">
        <v>29</v>
      </c>
      <c r="F452" t="s">
        <v>30</v>
      </c>
      <c r="G452">
        <v>14</v>
      </c>
      <c r="H452">
        <v>0</v>
      </c>
      <c r="I452">
        <v>14</v>
      </c>
      <c r="J452">
        <v>0</v>
      </c>
      <c r="K452">
        <v>14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 t="s">
        <v>31</v>
      </c>
      <c r="AA452">
        <v>0</v>
      </c>
    </row>
    <row r="453" spans="1:27" x14ac:dyDescent="0.2">
      <c r="A453" t="s">
        <v>406</v>
      </c>
      <c r="B453">
        <v>2022</v>
      </c>
      <c r="C453" t="s">
        <v>686</v>
      </c>
      <c r="D453" t="s">
        <v>687</v>
      </c>
      <c r="E453" t="s">
        <v>29</v>
      </c>
      <c r="F453" t="s">
        <v>41</v>
      </c>
      <c r="G453">
        <v>0</v>
      </c>
      <c r="H453">
        <v>0</v>
      </c>
      <c r="I453">
        <v>0</v>
      </c>
      <c r="J453">
        <v>0</v>
      </c>
      <c r="K453">
        <v>18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 t="s">
        <v>31</v>
      </c>
      <c r="AA453">
        <v>0</v>
      </c>
    </row>
    <row r="454" spans="1:27" x14ac:dyDescent="0.2">
      <c r="A454" t="s">
        <v>688</v>
      </c>
      <c r="B454">
        <v>2023</v>
      </c>
      <c r="C454" t="s">
        <v>689</v>
      </c>
      <c r="D454" t="s">
        <v>690</v>
      </c>
      <c r="E454" t="s">
        <v>29</v>
      </c>
      <c r="F454" t="s">
        <v>30</v>
      </c>
      <c r="G454">
        <v>15</v>
      </c>
      <c r="H454">
        <v>0</v>
      </c>
      <c r="I454">
        <v>16</v>
      </c>
      <c r="J454">
        <v>0</v>
      </c>
      <c r="K454">
        <v>1</v>
      </c>
      <c r="L454">
        <v>0</v>
      </c>
      <c r="M454">
        <v>15</v>
      </c>
      <c r="N454">
        <v>0</v>
      </c>
      <c r="O454">
        <v>16</v>
      </c>
      <c r="P454">
        <v>0</v>
      </c>
      <c r="Q454">
        <v>1</v>
      </c>
      <c r="R454">
        <v>0</v>
      </c>
      <c r="S454">
        <v>15</v>
      </c>
      <c r="T454">
        <v>0</v>
      </c>
      <c r="U454">
        <v>16</v>
      </c>
      <c r="V454">
        <v>0</v>
      </c>
      <c r="W454">
        <v>1</v>
      </c>
      <c r="X454">
        <v>0</v>
      </c>
      <c r="Y454" t="s">
        <v>31</v>
      </c>
      <c r="Z454">
        <v>1000</v>
      </c>
      <c r="AA454">
        <v>10</v>
      </c>
    </row>
    <row r="455" spans="1:27" x14ac:dyDescent="0.2">
      <c r="A455" t="s">
        <v>533</v>
      </c>
      <c r="B455">
        <v>2021</v>
      </c>
      <c r="C455" t="s">
        <v>691</v>
      </c>
      <c r="D455" t="s">
        <v>692</v>
      </c>
      <c r="E455" t="s">
        <v>29</v>
      </c>
      <c r="F455" t="s">
        <v>41</v>
      </c>
      <c r="G455">
        <v>0</v>
      </c>
      <c r="H455">
        <v>0</v>
      </c>
      <c r="I455">
        <v>0</v>
      </c>
      <c r="J455">
        <v>0</v>
      </c>
      <c r="K455">
        <v>1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1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 t="s">
        <v>31</v>
      </c>
      <c r="Z455">
        <v>59</v>
      </c>
      <c r="AA455">
        <v>20</v>
      </c>
    </row>
    <row r="456" spans="1:27" x14ac:dyDescent="0.2">
      <c r="A456" t="s">
        <v>533</v>
      </c>
      <c r="B456">
        <v>2021</v>
      </c>
      <c r="C456" t="s">
        <v>693</v>
      </c>
      <c r="D456" t="s">
        <v>694</v>
      </c>
      <c r="E456" t="s">
        <v>29</v>
      </c>
      <c r="F456" t="s">
        <v>41</v>
      </c>
      <c r="G456">
        <v>0</v>
      </c>
      <c r="H456">
        <v>0</v>
      </c>
      <c r="I456">
        <v>0</v>
      </c>
      <c r="J456">
        <v>0</v>
      </c>
      <c r="K456">
        <v>1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1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 t="s">
        <v>31</v>
      </c>
      <c r="Z456">
        <v>59</v>
      </c>
      <c r="AA456">
        <v>20</v>
      </c>
    </row>
    <row r="457" spans="1:27" x14ac:dyDescent="0.2">
      <c r="A457" t="s">
        <v>533</v>
      </c>
      <c r="B457">
        <v>2021</v>
      </c>
      <c r="C457" t="s">
        <v>695</v>
      </c>
      <c r="D457" t="s">
        <v>696</v>
      </c>
      <c r="E457" t="s">
        <v>29</v>
      </c>
      <c r="F457" t="s">
        <v>41</v>
      </c>
      <c r="G457">
        <v>1</v>
      </c>
      <c r="H457">
        <v>0</v>
      </c>
      <c r="I457">
        <v>0</v>
      </c>
      <c r="J457">
        <v>0</v>
      </c>
      <c r="K457">
        <v>1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1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 t="s">
        <v>31</v>
      </c>
      <c r="Z457">
        <v>59</v>
      </c>
      <c r="AA457">
        <v>20</v>
      </c>
    </row>
    <row r="458" spans="1:27" x14ac:dyDescent="0.2">
      <c r="A458" t="s">
        <v>533</v>
      </c>
      <c r="B458">
        <v>2021</v>
      </c>
      <c r="C458" t="s">
        <v>697</v>
      </c>
      <c r="D458" t="s">
        <v>698</v>
      </c>
      <c r="E458" t="s">
        <v>29</v>
      </c>
      <c r="F458" t="s">
        <v>30</v>
      </c>
      <c r="G458">
        <v>16</v>
      </c>
      <c r="H458">
        <v>0</v>
      </c>
      <c r="I458">
        <v>12</v>
      </c>
      <c r="J458">
        <v>0</v>
      </c>
      <c r="K458">
        <v>21</v>
      </c>
      <c r="L458">
        <v>0</v>
      </c>
      <c r="M458">
        <v>16</v>
      </c>
      <c r="N458">
        <v>0</v>
      </c>
      <c r="O458">
        <v>12</v>
      </c>
      <c r="P458">
        <v>0</v>
      </c>
      <c r="Q458">
        <v>21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 t="s">
        <v>31</v>
      </c>
      <c r="Z458">
        <v>59</v>
      </c>
      <c r="AA458">
        <v>20</v>
      </c>
    </row>
    <row r="459" spans="1:27" x14ac:dyDescent="0.2">
      <c r="A459" t="s">
        <v>278</v>
      </c>
      <c r="B459">
        <v>2021</v>
      </c>
      <c r="C459" t="s">
        <v>699</v>
      </c>
      <c r="D459" t="s">
        <v>700</v>
      </c>
      <c r="E459" t="s">
        <v>29</v>
      </c>
      <c r="F459" t="s">
        <v>41</v>
      </c>
      <c r="G459">
        <v>0</v>
      </c>
      <c r="H459">
        <v>0</v>
      </c>
      <c r="I459">
        <v>98</v>
      </c>
      <c r="J459">
        <v>0</v>
      </c>
      <c r="K459">
        <v>2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 t="s">
        <v>31</v>
      </c>
      <c r="Z459">
        <v>1000</v>
      </c>
      <c r="AA459">
        <v>96</v>
      </c>
    </row>
    <row r="460" spans="1:27" x14ac:dyDescent="0.2">
      <c r="A460" t="s">
        <v>402</v>
      </c>
      <c r="B460">
        <v>2021</v>
      </c>
      <c r="C460" t="s">
        <v>701</v>
      </c>
      <c r="D460" t="s">
        <v>702</v>
      </c>
      <c r="E460" t="s">
        <v>29</v>
      </c>
      <c r="F460" t="s">
        <v>30</v>
      </c>
      <c r="G460">
        <v>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 t="s">
        <v>31</v>
      </c>
      <c r="AA460">
        <v>35</v>
      </c>
    </row>
    <row r="461" spans="1:27" x14ac:dyDescent="0.2">
      <c r="A461" t="s">
        <v>703</v>
      </c>
      <c r="B461">
        <v>2020</v>
      </c>
      <c r="C461" t="s">
        <v>704</v>
      </c>
      <c r="D461" t="s">
        <v>705</v>
      </c>
      <c r="E461" t="s">
        <v>29</v>
      </c>
      <c r="F461" t="s">
        <v>30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20</v>
      </c>
      <c r="V461">
        <v>0</v>
      </c>
      <c r="W461">
        <v>0</v>
      </c>
      <c r="X461">
        <v>0</v>
      </c>
      <c r="Y461" t="s">
        <v>31</v>
      </c>
      <c r="Z461">
        <v>55</v>
      </c>
      <c r="AA461">
        <v>0</v>
      </c>
    </row>
    <row r="462" spans="1:27" x14ac:dyDescent="0.2">
      <c r="A462" t="s">
        <v>433</v>
      </c>
      <c r="B462">
        <v>2018</v>
      </c>
      <c r="C462" t="s">
        <v>706</v>
      </c>
      <c r="D462" t="s">
        <v>707</v>
      </c>
      <c r="E462" t="s">
        <v>29</v>
      </c>
      <c r="F462" t="s">
        <v>41</v>
      </c>
      <c r="G462">
        <v>6</v>
      </c>
      <c r="H462">
        <v>0</v>
      </c>
      <c r="I462">
        <v>1</v>
      </c>
      <c r="J462">
        <v>0</v>
      </c>
      <c r="K462">
        <v>3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 t="s">
        <v>31</v>
      </c>
      <c r="Z462">
        <v>55</v>
      </c>
      <c r="AA462">
        <v>0</v>
      </c>
    </row>
    <row r="463" spans="1:27" ht="85" x14ac:dyDescent="0.2">
      <c r="A463" t="s">
        <v>708</v>
      </c>
      <c r="B463">
        <v>2022</v>
      </c>
      <c r="C463" t="s">
        <v>709</v>
      </c>
      <c r="D463" s="1" t="s">
        <v>710</v>
      </c>
      <c r="E463" t="s">
        <v>29</v>
      </c>
      <c r="F463" t="s">
        <v>30</v>
      </c>
      <c r="G463">
        <v>2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 t="s">
        <v>51</v>
      </c>
      <c r="AA463">
        <v>0</v>
      </c>
    </row>
    <row r="464" spans="1:27" x14ac:dyDescent="0.2">
      <c r="A464" t="s">
        <v>711</v>
      </c>
      <c r="B464">
        <v>2022</v>
      </c>
      <c r="C464" t="s">
        <v>712</v>
      </c>
      <c r="D464" t="s">
        <v>713</v>
      </c>
      <c r="E464" t="s">
        <v>29</v>
      </c>
      <c r="F464" t="s">
        <v>41</v>
      </c>
      <c r="G464">
        <v>0</v>
      </c>
      <c r="H464">
        <v>0</v>
      </c>
      <c r="I464">
        <v>50</v>
      </c>
      <c r="J464">
        <v>0</v>
      </c>
      <c r="K464">
        <v>50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 t="s">
        <v>51</v>
      </c>
      <c r="AA464">
        <v>0</v>
      </c>
    </row>
    <row r="465" spans="1:27" x14ac:dyDescent="0.2">
      <c r="A465" t="s">
        <v>460</v>
      </c>
      <c r="B465">
        <v>2022</v>
      </c>
      <c r="C465" t="s">
        <v>461</v>
      </c>
      <c r="D465" t="s">
        <v>714</v>
      </c>
      <c r="E465" t="s">
        <v>29</v>
      </c>
      <c r="F465" t="s">
        <v>30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4</v>
      </c>
      <c r="N465">
        <v>0</v>
      </c>
      <c r="O465">
        <v>14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 t="s">
        <v>31</v>
      </c>
      <c r="Z465">
        <v>55</v>
      </c>
      <c r="AA465">
        <v>21</v>
      </c>
    </row>
    <row r="466" spans="1:27" x14ac:dyDescent="0.2">
      <c r="A466" t="s">
        <v>460</v>
      </c>
      <c r="B466">
        <v>2022</v>
      </c>
      <c r="C466" t="s">
        <v>461</v>
      </c>
      <c r="D466" t="s">
        <v>715</v>
      </c>
      <c r="E466" t="s">
        <v>29</v>
      </c>
      <c r="F466" t="s">
        <v>30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2</v>
      </c>
      <c r="N466">
        <v>0</v>
      </c>
      <c r="O466">
        <v>10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 t="s">
        <v>31</v>
      </c>
      <c r="Z466">
        <v>55</v>
      </c>
      <c r="AA466">
        <v>21</v>
      </c>
    </row>
    <row r="467" spans="1:27" x14ac:dyDescent="0.2">
      <c r="A467" t="s">
        <v>460</v>
      </c>
      <c r="B467">
        <v>2022</v>
      </c>
      <c r="C467" t="s">
        <v>716</v>
      </c>
      <c r="D467" t="s">
        <v>717</v>
      </c>
      <c r="E467" t="s">
        <v>29</v>
      </c>
      <c r="F467" t="s">
        <v>30</v>
      </c>
      <c r="G467">
        <v>11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 t="s">
        <v>31</v>
      </c>
      <c r="Z467">
        <v>55</v>
      </c>
      <c r="AA467">
        <v>35</v>
      </c>
    </row>
    <row r="468" spans="1:27" x14ac:dyDescent="0.2">
      <c r="A468" t="s">
        <v>406</v>
      </c>
      <c r="B468">
        <v>2022</v>
      </c>
      <c r="C468" t="s">
        <v>718</v>
      </c>
      <c r="D468" t="s">
        <v>719</v>
      </c>
      <c r="E468" t="s">
        <v>29</v>
      </c>
      <c r="F468" t="s">
        <v>41</v>
      </c>
      <c r="G468">
        <v>0</v>
      </c>
      <c r="H468">
        <v>0</v>
      </c>
      <c r="I468">
        <v>0</v>
      </c>
      <c r="J468">
        <v>0</v>
      </c>
      <c r="K468">
        <v>22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 t="s">
        <v>31</v>
      </c>
      <c r="AA468">
        <v>0</v>
      </c>
    </row>
    <row r="469" spans="1:27" x14ac:dyDescent="0.2">
      <c r="A469" t="s">
        <v>457</v>
      </c>
      <c r="B469">
        <v>2022</v>
      </c>
      <c r="C469" t="s">
        <v>720</v>
      </c>
      <c r="D469" t="s">
        <v>721</v>
      </c>
      <c r="E469" t="s">
        <v>29</v>
      </c>
      <c r="F469" t="s">
        <v>30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24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 t="s">
        <v>31</v>
      </c>
      <c r="Z469">
        <v>55</v>
      </c>
      <c r="AA469">
        <v>100</v>
      </c>
    </row>
    <row r="470" spans="1:27" x14ac:dyDescent="0.2">
      <c r="A470" t="s">
        <v>547</v>
      </c>
      <c r="B470">
        <v>2022</v>
      </c>
      <c r="C470">
        <v>2425002026</v>
      </c>
      <c r="D470" t="s">
        <v>722</v>
      </c>
      <c r="E470" t="s">
        <v>29</v>
      </c>
      <c r="F470" t="s">
        <v>30</v>
      </c>
      <c r="G470">
        <v>2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 t="s">
        <v>31</v>
      </c>
      <c r="Z470">
        <v>55</v>
      </c>
      <c r="AA470">
        <v>35</v>
      </c>
    </row>
    <row r="471" spans="1:27" x14ac:dyDescent="0.2">
      <c r="A471" t="s">
        <v>547</v>
      </c>
      <c r="B471">
        <v>2022</v>
      </c>
      <c r="C471">
        <v>2264003039</v>
      </c>
      <c r="D471" t="s">
        <v>723</v>
      </c>
      <c r="E471" t="s">
        <v>29</v>
      </c>
      <c r="F471" t="s">
        <v>30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3</v>
      </c>
      <c r="N471">
        <v>0</v>
      </c>
      <c r="O471">
        <v>1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 t="s">
        <v>31</v>
      </c>
      <c r="Z471">
        <v>55</v>
      </c>
      <c r="AA471">
        <v>35</v>
      </c>
    </row>
    <row r="472" spans="1:27" x14ac:dyDescent="0.2">
      <c r="A472" t="s">
        <v>547</v>
      </c>
      <c r="B472">
        <v>2022</v>
      </c>
      <c r="C472">
        <v>4229002901</v>
      </c>
      <c r="D472" t="s">
        <v>724</v>
      </c>
      <c r="E472" t="s">
        <v>29</v>
      </c>
      <c r="F472" t="s">
        <v>30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7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 t="s">
        <v>31</v>
      </c>
      <c r="Z472">
        <v>55</v>
      </c>
      <c r="AA472">
        <v>35</v>
      </c>
    </row>
    <row r="473" spans="1:27" x14ac:dyDescent="0.2">
      <c r="A473" t="s">
        <v>547</v>
      </c>
      <c r="B473">
        <v>2022</v>
      </c>
      <c r="C473">
        <v>5078002020</v>
      </c>
      <c r="D473" t="s">
        <v>725</v>
      </c>
      <c r="E473" t="s">
        <v>29</v>
      </c>
      <c r="F473" t="s">
        <v>30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3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 t="s">
        <v>31</v>
      </c>
      <c r="Z473">
        <v>55</v>
      </c>
      <c r="AA473">
        <v>35</v>
      </c>
    </row>
    <row r="474" spans="1:27" x14ac:dyDescent="0.2">
      <c r="A474" t="s">
        <v>547</v>
      </c>
      <c r="B474">
        <v>2022</v>
      </c>
      <c r="C474">
        <v>5123003022</v>
      </c>
      <c r="D474" t="s">
        <v>726</v>
      </c>
      <c r="E474" t="s">
        <v>29</v>
      </c>
      <c r="F474" t="s">
        <v>30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6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 t="s">
        <v>31</v>
      </c>
      <c r="Z474">
        <v>55</v>
      </c>
      <c r="AA474">
        <v>35</v>
      </c>
    </row>
    <row r="475" spans="1:27" x14ac:dyDescent="0.2">
      <c r="A475" t="s">
        <v>547</v>
      </c>
      <c r="B475">
        <v>2022</v>
      </c>
      <c r="C475">
        <v>2565013041</v>
      </c>
      <c r="D475" t="s">
        <v>727</v>
      </c>
      <c r="E475" t="s">
        <v>29</v>
      </c>
      <c r="F475" t="s">
        <v>30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4</v>
      </c>
      <c r="T475">
        <v>0</v>
      </c>
      <c r="U475">
        <v>4</v>
      </c>
      <c r="V475">
        <v>0</v>
      </c>
      <c r="W475">
        <v>0</v>
      </c>
      <c r="X475">
        <v>0</v>
      </c>
      <c r="Y475" t="s">
        <v>31</v>
      </c>
      <c r="Z475">
        <v>55</v>
      </c>
      <c r="AA475">
        <v>35</v>
      </c>
    </row>
    <row r="476" spans="1:27" x14ac:dyDescent="0.2">
      <c r="A476" t="s">
        <v>547</v>
      </c>
      <c r="B476">
        <v>2022</v>
      </c>
      <c r="C476">
        <v>5043013009</v>
      </c>
      <c r="D476" t="s">
        <v>728</v>
      </c>
      <c r="E476" t="s">
        <v>29</v>
      </c>
      <c r="F476" t="s">
        <v>30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1</v>
      </c>
      <c r="T476">
        <v>0</v>
      </c>
      <c r="U476">
        <v>0</v>
      </c>
      <c r="V476">
        <v>0</v>
      </c>
      <c r="W476">
        <v>0</v>
      </c>
      <c r="X476">
        <v>0</v>
      </c>
      <c r="Y476" t="s">
        <v>31</v>
      </c>
      <c r="Z476">
        <v>55</v>
      </c>
      <c r="AA476">
        <v>35</v>
      </c>
    </row>
    <row r="477" spans="1:27" x14ac:dyDescent="0.2">
      <c r="A477" t="s">
        <v>547</v>
      </c>
      <c r="B477">
        <v>2022</v>
      </c>
      <c r="C477">
        <v>5532020013</v>
      </c>
      <c r="D477" t="s">
        <v>729</v>
      </c>
      <c r="E477" t="s">
        <v>29</v>
      </c>
      <c r="F477" t="s">
        <v>30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14</v>
      </c>
      <c r="T477">
        <v>0</v>
      </c>
      <c r="U477">
        <v>0</v>
      </c>
      <c r="V477">
        <v>0</v>
      </c>
      <c r="W477">
        <v>12</v>
      </c>
      <c r="X477">
        <v>0</v>
      </c>
      <c r="Y477" t="s">
        <v>31</v>
      </c>
      <c r="Z477">
        <v>55</v>
      </c>
      <c r="AA477">
        <v>35</v>
      </c>
    </row>
    <row r="478" spans="1:27" x14ac:dyDescent="0.2">
      <c r="A478" t="s">
        <v>547</v>
      </c>
      <c r="B478">
        <v>2022</v>
      </c>
      <c r="C478">
        <v>5540009010</v>
      </c>
      <c r="D478" t="s">
        <v>730</v>
      </c>
      <c r="E478" t="s">
        <v>29</v>
      </c>
      <c r="F478" t="s">
        <v>30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3</v>
      </c>
      <c r="T478">
        <v>0</v>
      </c>
      <c r="U478">
        <v>0</v>
      </c>
      <c r="V478">
        <v>0</v>
      </c>
      <c r="W478">
        <v>0</v>
      </c>
      <c r="X478">
        <v>0</v>
      </c>
      <c r="Y478" t="s">
        <v>31</v>
      </c>
      <c r="Z478">
        <v>55</v>
      </c>
      <c r="AA478">
        <v>35</v>
      </c>
    </row>
    <row r="479" spans="1:27" x14ac:dyDescent="0.2">
      <c r="A479" t="s">
        <v>547</v>
      </c>
      <c r="B479">
        <v>2022</v>
      </c>
      <c r="C479">
        <v>7418004008</v>
      </c>
      <c r="D479" t="s">
        <v>731</v>
      </c>
      <c r="E479" t="s">
        <v>29</v>
      </c>
      <c r="F479" t="s">
        <v>30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10</v>
      </c>
      <c r="V479">
        <v>0</v>
      </c>
      <c r="W479">
        <v>0</v>
      </c>
      <c r="X479">
        <v>0</v>
      </c>
      <c r="Y479" t="s">
        <v>31</v>
      </c>
      <c r="Z479">
        <v>55</v>
      </c>
      <c r="AA479">
        <v>35</v>
      </c>
    </row>
    <row r="480" spans="1:27" x14ac:dyDescent="0.2">
      <c r="A480" t="s">
        <v>251</v>
      </c>
      <c r="B480">
        <v>2022</v>
      </c>
      <c r="C480" t="s">
        <v>252</v>
      </c>
      <c r="D480" t="s">
        <v>266</v>
      </c>
      <c r="E480" t="s">
        <v>29</v>
      </c>
      <c r="F480" t="s">
        <v>30</v>
      </c>
      <c r="G480">
        <v>0</v>
      </c>
      <c r="H480">
        <v>0</v>
      </c>
      <c r="I480">
        <v>15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15</v>
      </c>
      <c r="P480">
        <v>0</v>
      </c>
      <c r="Q480">
        <v>0</v>
      </c>
      <c r="R480">
        <v>1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 t="s">
        <v>31</v>
      </c>
      <c r="Z480">
        <v>55</v>
      </c>
      <c r="AA480">
        <v>20</v>
      </c>
    </row>
    <row r="481" spans="1:27" x14ac:dyDescent="0.2">
      <c r="A481" t="s">
        <v>251</v>
      </c>
      <c r="B481">
        <v>2022</v>
      </c>
      <c r="C481" t="s">
        <v>252</v>
      </c>
      <c r="D481" t="s">
        <v>453</v>
      </c>
      <c r="E481" t="s">
        <v>29</v>
      </c>
      <c r="F481" t="s">
        <v>30</v>
      </c>
      <c r="G481">
        <v>0</v>
      </c>
      <c r="H481">
        <v>0</v>
      </c>
      <c r="I481">
        <v>16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16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 t="s">
        <v>31</v>
      </c>
      <c r="Z481">
        <v>55</v>
      </c>
      <c r="AA481">
        <v>20</v>
      </c>
    </row>
    <row r="482" spans="1:27" x14ac:dyDescent="0.2">
      <c r="A482" t="s">
        <v>251</v>
      </c>
      <c r="B482">
        <v>2022</v>
      </c>
      <c r="C482" t="s">
        <v>252</v>
      </c>
      <c r="D482" t="s">
        <v>277</v>
      </c>
      <c r="E482" t="s">
        <v>29</v>
      </c>
      <c r="F482" t="s">
        <v>30</v>
      </c>
      <c r="G482">
        <v>16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16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 t="s">
        <v>31</v>
      </c>
      <c r="Z482">
        <v>55</v>
      </c>
      <c r="AA482">
        <v>20</v>
      </c>
    </row>
    <row r="483" spans="1:27" x14ac:dyDescent="0.2">
      <c r="A483" t="s">
        <v>460</v>
      </c>
      <c r="B483">
        <v>2022</v>
      </c>
      <c r="C483" t="s">
        <v>465</v>
      </c>
      <c r="D483" t="s">
        <v>732</v>
      </c>
      <c r="E483" t="s">
        <v>29</v>
      </c>
      <c r="F483" t="s">
        <v>30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24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 t="s">
        <v>31</v>
      </c>
      <c r="Z483">
        <v>55</v>
      </c>
      <c r="AA483">
        <v>33</v>
      </c>
    </row>
    <row r="484" spans="1:27" x14ac:dyDescent="0.2">
      <c r="A484" t="s">
        <v>460</v>
      </c>
      <c r="B484">
        <v>2022</v>
      </c>
      <c r="C484" t="s">
        <v>465</v>
      </c>
      <c r="D484" t="s">
        <v>733</v>
      </c>
      <c r="E484" t="s">
        <v>29</v>
      </c>
      <c r="F484" t="s">
        <v>30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24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 t="s">
        <v>31</v>
      </c>
      <c r="Z484">
        <v>55</v>
      </c>
      <c r="AA484">
        <v>33</v>
      </c>
    </row>
    <row r="485" spans="1:27" x14ac:dyDescent="0.2">
      <c r="A485" t="s">
        <v>670</v>
      </c>
      <c r="B485">
        <v>2022</v>
      </c>
      <c r="C485" t="s">
        <v>734</v>
      </c>
      <c r="D485" t="s">
        <v>735</v>
      </c>
      <c r="E485" t="s">
        <v>29</v>
      </c>
      <c r="F485" t="s">
        <v>30</v>
      </c>
      <c r="G485">
        <v>0</v>
      </c>
      <c r="H485">
        <v>0</v>
      </c>
      <c r="I485">
        <v>4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 t="s">
        <v>31</v>
      </c>
      <c r="Z485">
        <v>55</v>
      </c>
      <c r="AA485">
        <v>20</v>
      </c>
    </row>
    <row r="486" spans="1:27" x14ac:dyDescent="0.2">
      <c r="A486" t="s">
        <v>670</v>
      </c>
      <c r="B486">
        <v>2022</v>
      </c>
      <c r="C486">
        <v>4017025007</v>
      </c>
      <c r="D486" t="s">
        <v>736</v>
      </c>
      <c r="E486" t="s">
        <v>29</v>
      </c>
      <c r="F486" t="s">
        <v>30</v>
      </c>
      <c r="G486">
        <v>41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41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41</v>
      </c>
      <c r="T486">
        <v>0</v>
      </c>
      <c r="U486">
        <v>0</v>
      </c>
      <c r="V486">
        <v>0</v>
      </c>
      <c r="W486">
        <v>0</v>
      </c>
      <c r="X486">
        <v>0</v>
      </c>
      <c r="Y486" t="s">
        <v>31</v>
      </c>
      <c r="Z486">
        <v>55</v>
      </c>
      <c r="AA486">
        <v>100</v>
      </c>
    </row>
    <row r="487" spans="1:27" x14ac:dyDescent="0.2">
      <c r="A487" t="s">
        <v>251</v>
      </c>
      <c r="B487">
        <v>2022</v>
      </c>
      <c r="C487" t="s">
        <v>252</v>
      </c>
      <c r="D487" t="s">
        <v>347</v>
      </c>
      <c r="E487" t="s">
        <v>29</v>
      </c>
      <c r="F487" t="s">
        <v>30</v>
      </c>
      <c r="G487">
        <v>16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16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 t="s">
        <v>31</v>
      </c>
      <c r="Z487">
        <v>55</v>
      </c>
      <c r="AA487">
        <v>20</v>
      </c>
    </row>
    <row r="488" spans="1:27" x14ac:dyDescent="0.2">
      <c r="A488" t="s">
        <v>737</v>
      </c>
      <c r="B488">
        <v>2023</v>
      </c>
      <c r="C488" t="s">
        <v>738</v>
      </c>
      <c r="D488" t="s">
        <v>739</v>
      </c>
      <c r="E488" t="s">
        <v>29</v>
      </c>
      <c r="F488" t="s">
        <v>30</v>
      </c>
      <c r="G488">
        <v>0</v>
      </c>
      <c r="H488">
        <v>0</v>
      </c>
      <c r="I488">
        <v>95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 t="s">
        <v>31</v>
      </c>
      <c r="AA488">
        <v>35</v>
      </c>
    </row>
    <row r="489" spans="1:27" x14ac:dyDescent="0.2">
      <c r="A489" t="s">
        <v>436</v>
      </c>
      <c r="B489">
        <v>2022</v>
      </c>
      <c r="C489" t="s">
        <v>437</v>
      </c>
      <c r="D489" t="s">
        <v>740</v>
      </c>
      <c r="E489" t="s">
        <v>29</v>
      </c>
      <c r="F489" t="s">
        <v>30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6</v>
      </c>
      <c r="N489">
        <v>0</v>
      </c>
      <c r="O489">
        <v>18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 t="s">
        <v>31</v>
      </c>
      <c r="Z489">
        <v>55</v>
      </c>
      <c r="AA489">
        <v>23</v>
      </c>
    </row>
    <row r="490" spans="1:27" x14ac:dyDescent="0.2">
      <c r="A490" t="s">
        <v>436</v>
      </c>
      <c r="B490">
        <v>2022</v>
      </c>
      <c r="C490" t="s">
        <v>437</v>
      </c>
      <c r="D490" t="s">
        <v>741</v>
      </c>
      <c r="E490" t="s">
        <v>29</v>
      </c>
      <c r="F490" t="s">
        <v>30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6</v>
      </c>
      <c r="N490">
        <v>0</v>
      </c>
      <c r="O490">
        <v>18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 t="s">
        <v>31</v>
      </c>
      <c r="Z490">
        <v>55</v>
      </c>
      <c r="AA490">
        <v>23</v>
      </c>
    </row>
    <row r="491" spans="1:27" x14ac:dyDescent="0.2">
      <c r="A491" t="s">
        <v>547</v>
      </c>
      <c r="B491">
        <v>2022</v>
      </c>
      <c r="C491">
        <v>5429007006</v>
      </c>
      <c r="D491" t="s">
        <v>742</v>
      </c>
      <c r="E491" t="s">
        <v>29</v>
      </c>
      <c r="F491" t="s">
        <v>30</v>
      </c>
      <c r="G491">
        <v>10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 t="s">
        <v>31</v>
      </c>
      <c r="Z491">
        <v>55</v>
      </c>
      <c r="AA491">
        <v>25</v>
      </c>
    </row>
    <row r="492" spans="1:27" x14ac:dyDescent="0.2">
      <c r="A492" t="s">
        <v>547</v>
      </c>
      <c r="B492">
        <v>2022</v>
      </c>
      <c r="C492">
        <v>5547004048</v>
      </c>
      <c r="D492" t="s">
        <v>743</v>
      </c>
      <c r="E492" t="s">
        <v>29</v>
      </c>
      <c r="F492" t="s">
        <v>30</v>
      </c>
      <c r="G492">
        <v>21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21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 t="s">
        <v>31</v>
      </c>
      <c r="Z492">
        <v>55</v>
      </c>
      <c r="AA492">
        <v>140</v>
      </c>
    </row>
    <row r="493" spans="1:27" x14ac:dyDescent="0.2">
      <c r="A493" t="s">
        <v>547</v>
      </c>
      <c r="B493">
        <v>2022</v>
      </c>
      <c r="C493">
        <v>5180008905</v>
      </c>
      <c r="D493" t="s">
        <v>744</v>
      </c>
      <c r="E493" t="s">
        <v>29</v>
      </c>
      <c r="F493" t="s">
        <v>30</v>
      </c>
      <c r="G493">
        <v>0</v>
      </c>
      <c r="H493">
        <v>0</v>
      </c>
      <c r="I493">
        <v>109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 t="s">
        <v>31</v>
      </c>
      <c r="Z493">
        <v>55</v>
      </c>
      <c r="AA493">
        <v>55</v>
      </c>
    </row>
    <row r="494" spans="1:27" x14ac:dyDescent="0.2">
      <c r="A494" t="s">
        <v>547</v>
      </c>
      <c r="B494">
        <v>2022</v>
      </c>
      <c r="C494">
        <v>2416024002</v>
      </c>
      <c r="D494" t="s">
        <v>745</v>
      </c>
      <c r="E494" t="s">
        <v>29</v>
      </c>
      <c r="F494" t="s">
        <v>30</v>
      </c>
      <c r="G494">
        <v>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 t="s">
        <v>31</v>
      </c>
      <c r="Z494">
        <v>55</v>
      </c>
      <c r="AA494">
        <v>35</v>
      </c>
    </row>
    <row r="495" spans="1:27" x14ac:dyDescent="0.2">
      <c r="A495" t="s">
        <v>547</v>
      </c>
      <c r="B495">
        <v>2022</v>
      </c>
      <c r="C495">
        <v>5507030015</v>
      </c>
      <c r="D495" t="s">
        <v>746</v>
      </c>
      <c r="E495" t="s">
        <v>29</v>
      </c>
      <c r="F495" t="s">
        <v>30</v>
      </c>
      <c r="G495">
        <v>6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 t="s">
        <v>31</v>
      </c>
      <c r="Z495">
        <v>55</v>
      </c>
      <c r="AA495">
        <v>35</v>
      </c>
    </row>
    <row r="496" spans="1:27" x14ac:dyDescent="0.2">
      <c r="A496" t="s">
        <v>547</v>
      </c>
      <c r="B496">
        <v>2022</v>
      </c>
      <c r="C496">
        <v>5108002035</v>
      </c>
      <c r="D496" t="s">
        <v>747</v>
      </c>
      <c r="E496" t="s">
        <v>29</v>
      </c>
      <c r="F496" t="s">
        <v>30</v>
      </c>
      <c r="G496">
        <v>13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 t="s">
        <v>31</v>
      </c>
      <c r="Z496">
        <v>55</v>
      </c>
      <c r="AA496">
        <v>237.5</v>
      </c>
    </row>
    <row r="497" spans="1:27" x14ac:dyDescent="0.2">
      <c r="A497" t="s">
        <v>547</v>
      </c>
      <c r="B497">
        <v>2022</v>
      </c>
      <c r="C497">
        <v>2233030001</v>
      </c>
      <c r="D497" t="s">
        <v>748</v>
      </c>
      <c r="E497" t="s">
        <v>29</v>
      </c>
      <c r="F497" t="s">
        <v>30</v>
      </c>
      <c r="G497">
        <v>1</v>
      </c>
      <c r="H497">
        <v>0</v>
      </c>
      <c r="I497">
        <v>77</v>
      </c>
      <c r="J497">
        <v>0</v>
      </c>
      <c r="K497">
        <v>20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 t="s">
        <v>31</v>
      </c>
      <c r="Z497">
        <v>55</v>
      </c>
      <c r="AA497">
        <v>725</v>
      </c>
    </row>
    <row r="498" spans="1:27" x14ac:dyDescent="0.2">
      <c r="A498" t="s">
        <v>547</v>
      </c>
      <c r="B498">
        <v>2022</v>
      </c>
      <c r="C498">
        <v>4303003017</v>
      </c>
      <c r="D498" t="s">
        <v>749</v>
      </c>
      <c r="E498" t="s">
        <v>29</v>
      </c>
      <c r="F498" t="s">
        <v>30</v>
      </c>
      <c r="G498">
        <v>2</v>
      </c>
      <c r="H498">
        <v>0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 t="s">
        <v>31</v>
      </c>
      <c r="Z498">
        <v>55</v>
      </c>
      <c r="AA498">
        <v>35</v>
      </c>
    </row>
    <row r="499" spans="1:27" x14ac:dyDescent="0.2">
      <c r="A499" t="s">
        <v>547</v>
      </c>
      <c r="B499">
        <v>2022</v>
      </c>
      <c r="C499">
        <v>2138018018</v>
      </c>
      <c r="D499" t="s">
        <v>750</v>
      </c>
      <c r="E499" t="s">
        <v>29</v>
      </c>
      <c r="F499" t="s">
        <v>30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2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 t="s">
        <v>31</v>
      </c>
      <c r="Z499">
        <v>55</v>
      </c>
      <c r="AA499">
        <v>35</v>
      </c>
    </row>
    <row r="500" spans="1:27" x14ac:dyDescent="0.2">
      <c r="A500" t="s">
        <v>547</v>
      </c>
      <c r="B500">
        <v>2022</v>
      </c>
      <c r="C500">
        <v>2322003024</v>
      </c>
      <c r="D500" t="s">
        <v>751</v>
      </c>
      <c r="E500" t="s">
        <v>29</v>
      </c>
      <c r="F500" t="s">
        <v>30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1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 t="s">
        <v>31</v>
      </c>
      <c r="Z500">
        <v>55</v>
      </c>
      <c r="AA500">
        <v>35</v>
      </c>
    </row>
    <row r="501" spans="1:27" x14ac:dyDescent="0.2">
      <c r="A501" t="s">
        <v>547</v>
      </c>
      <c r="B501">
        <v>2022</v>
      </c>
      <c r="C501">
        <v>2334014050</v>
      </c>
      <c r="D501" t="s">
        <v>752</v>
      </c>
      <c r="E501" t="s">
        <v>29</v>
      </c>
      <c r="F501" t="s">
        <v>30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 t="s">
        <v>31</v>
      </c>
      <c r="Z501">
        <v>55</v>
      </c>
      <c r="AA501">
        <v>35</v>
      </c>
    </row>
    <row r="502" spans="1:27" x14ac:dyDescent="0.2">
      <c r="A502" t="s">
        <v>753</v>
      </c>
      <c r="B502">
        <v>2022</v>
      </c>
      <c r="C502">
        <v>6440710300</v>
      </c>
      <c r="D502" t="s">
        <v>754</v>
      </c>
      <c r="E502" t="s">
        <v>29</v>
      </c>
      <c r="F502" t="s">
        <v>30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53</v>
      </c>
      <c r="N502">
        <v>0</v>
      </c>
      <c r="O502">
        <v>120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 t="s">
        <v>51</v>
      </c>
      <c r="Z502">
        <v>55</v>
      </c>
      <c r="AA502">
        <v>0</v>
      </c>
    </row>
    <row r="503" spans="1:27" x14ac:dyDescent="0.2">
      <c r="A503" t="s">
        <v>318</v>
      </c>
      <c r="B503">
        <v>2019</v>
      </c>
      <c r="C503" s="3">
        <v>41346</v>
      </c>
      <c r="D503" t="s">
        <v>755</v>
      </c>
      <c r="E503" t="s">
        <v>29</v>
      </c>
      <c r="F503" t="s">
        <v>30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22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 t="s">
        <v>31</v>
      </c>
      <c r="Z503">
        <v>55</v>
      </c>
      <c r="AA503">
        <v>0</v>
      </c>
    </row>
    <row r="504" spans="1:27" x14ac:dyDescent="0.2">
      <c r="A504" t="s">
        <v>547</v>
      </c>
      <c r="B504">
        <v>2022</v>
      </c>
      <c r="C504">
        <v>4107017040</v>
      </c>
      <c r="D504" t="s">
        <v>756</v>
      </c>
      <c r="E504" t="s">
        <v>29</v>
      </c>
      <c r="F504" t="s">
        <v>30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100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 t="s">
        <v>31</v>
      </c>
      <c r="Z504">
        <v>55</v>
      </c>
      <c r="AA504">
        <v>35</v>
      </c>
    </row>
    <row r="505" spans="1:27" x14ac:dyDescent="0.2">
      <c r="A505" t="s">
        <v>547</v>
      </c>
      <c r="B505">
        <v>2022</v>
      </c>
      <c r="C505">
        <v>4237023018</v>
      </c>
      <c r="D505" t="s">
        <v>757</v>
      </c>
      <c r="E505" t="s">
        <v>29</v>
      </c>
      <c r="F505" t="s">
        <v>30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39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 t="s">
        <v>31</v>
      </c>
      <c r="Z505">
        <v>55</v>
      </c>
      <c r="AA505">
        <v>35</v>
      </c>
    </row>
    <row r="506" spans="1:27" x14ac:dyDescent="0.2">
      <c r="A506" t="s">
        <v>547</v>
      </c>
      <c r="B506">
        <v>2022</v>
      </c>
      <c r="C506">
        <v>4250008010</v>
      </c>
      <c r="D506" t="s">
        <v>758</v>
      </c>
      <c r="E506" t="s">
        <v>29</v>
      </c>
      <c r="F506" t="s">
        <v>30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2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 t="s">
        <v>31</v>
      </c>
      <c r="Z506">
        <v>55</v>
      </c>
      <c r="AA506">
        <v>35</v>
      </c>
    </row>
    <row r="507" spans="1:27" x14ac:dyDescent="0.2">
      <c r="A507" t="s">
        <v>547</v>
      </c>
      <c r="B507">
        <v>2022</v>
      </c>
      <c r="C507">
        <v>2423004012</v>
      </c>
      <c r="D507" t="s">
        <v>759</v>
      </c>
      <c r="E507" t="s">
        <v>29</v>
      </c>
      <c r="F507" t="s">
        <v>30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 t="s">
        <v>31</v>
      </c>
      <c r="Z507">
        <v>55</v>
      </c>
      <c r="AA507">
        <v>35</v>
      </c>
    </row>
    <row r="508" spans="1:27" x14ac:dyDescent="0.2">
      <c r="A508" t="s">
        <v>547</v>
      </c>
      <c r="B508">
        <v>2022</v>
      </c>
      <c r="C508">
        <v>4313003029</v>
      </c>
      <c r="D508" t="s">
        <v>760</v>
      </c>
      <c r="E508" t="s">
        <v>29</v>
      </c>
      <c r="F508" t="s">
        <v>30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2</v>
      </c>
      <c r="T508">
        <v>0</v>
      </c>
      <c r="U508">
        <v>0</v>
      </c>
      <c r="V508">
        <v>0</v>
      </c>
      <c r="W508">
        <v>0</v>
      </c>
      <c r="X508">
        <v>0</v>
      </c>
      <c r="Y508" t="s">
        <v>31</v>
      </c>
      <c r="Z508">
        <v>55</v>
      </c>
      <c r="AA508">
        <v>35</v>
      </c>
    </row>
    <row r="509" spans="1:27" x14ac:dyDescent="0.2">
      <c r="A509" t="s">
        <v>547</v>
      </c>
      <c r="B509">
        <v>2022</v>
      </c>
      <c r="C509">
        <v>5019026009</v>
      </c>
      <c r="D509" t="s">
        <v>761</v>
      </c>
      <c r="E509" t="s">
        <v>29</v>
      </c>
      <c r="F509" t="s">
        <v>30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14</v>
      </c>
      <c r="T509">
        <v>0</v>
      </c>
      <c r="U509">
        <v>0</v>
      </c>
      <c r="V509">
        <v>0</v>
      </c>
      <c r="W509">
        <v>0</v>
      </c>
      <c r="X509">
        <v>0</v>
      </c>
      <c r="Y509" t="s">
        <v>31</v>
      </c>
      <c r="Z509">
        <v>55</v>
      </c>
      <c r="AA509">
        <v>35</v>
      </c>
    </row>
    <row r="510" spans="1:27" x14ac:dyDescent="0.2">
      <c r="A510" t="s">
        <v>547</v>
      </c>
      <c r="B510">
        <v>2022</v>
      </c>
      <c r="C510">
        <v>5094017019</v>
      </c>
      <c r="D510" t="s">
        <v>762</v>
      </c>
      <c r="E510" t="s">
        <v>29</v>
      </c>
      <c r="F510" t="s">
        <v>30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9</v>
      </c>
      <c r="T510">
        <v>0</v>
      </c>
      <c r="U510">
        <v>0</v>
      </c>
      <c r="V510">
        <v>0</v>
      </c>
      <c r="W510">
        <v>0</v>
      </c>
      <c r="X510">
        <v>0</v>
      </c>
      <c r="Y510" t="s">
        <v>31</v>
      </c>
      <c r="Z510">
        <v>55</v>
      </c>
      <c r="AA510">
        <v>35</v>
      </c>
    </row>
    <row r="511" spans="1:27" x14ac:dyDescent="0.2">
      <c r="A511" t="s">
        <v>387</v>
      </c>
      <c r="B511">
        <v>2022</v>
      </c>
      <c r="C511" t="s">
        <v>763</v>
      </c>
      <c r="D511" t="s">
        <v>764</v>
      </c>
      <c r="E511" t="s">
        <v>29</v>
      </c>
      <c r="F511" t="s">
        <v>30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1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 t="s">
        <v>51</v>
      </c>
      <c r="Z511">
        <v>1000</v>
      </c>
      <c r="AA511">
        <v>0</v>
      </c>
    </row>
    <row r="512" spans="1:27" x14ac:dyDescent="0.2">
      <c r="A512" t="s">
        <v>737</v>
      </c>
      <c r="B512">
        <v>2023</v>
      </c>
      <c r="C512" t="s">
        <v>765</v>
      </c>
      <c r="D512" t="s">
        <v>766</v>
      </c>
      <c r="E512" t="s">
        <v>29</v>
      </c>
      <c r="F512" t="s">
        <v>30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1</v>
      </c>
      <c r="P512">
        <v>0</v>
      </c>
      <c r="Q512">
        <v>2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 t="s">
        <v>31</v>
      </c>
      <c r="AA512">
        <v>20</v>
      </c>
    </row>
    <row r="513" spans="1:27" x14ac:dyDescent="0.2">
      <c r="A513" t="s">
        <v>278</v>
      </c>
      <c r="B513">
        <v>2022</v>
      </c>
      <c r="C513" t="s">
        <v>767</v>
      </c>
      <c r="D513" t="s">
        <v>768</v>
      </c>
      <c r="E513" t="s">
        <v>29</v>
      </c>
      <c r="F513" t="s">
        <v>30</v>
      </c>
      <c r="G513">
        <v>2</v>
      </c>
      <c r="H513">
        <v>0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 t="s">
        <v>31</v>
      </c>
      <c r="Z513">
        <v>1000</v>
      </c>
      <c r="AA513">
        <v>42.5</v>
      </c>
    </row>
    <row r="514" spans="1:27" x14ac:dyDescent="0.2">
      <c r="A514" t="s">
        <v>278</v>
      </c>
      <c r="B514">
        <v>2022</v>
      </c>
      <c r="C514" t="s">
        <v>769</v>
      </c>
      <c r="D514" t="s">
        <v>770</v>
      </c>
      <c r="E514" t="s">
        <v>29</v>
      </c>
      <c r="F514" t="s">
        <v>30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 t="s">
        <v>31</v>
      </c>
      <c r="AA514">
        <v>20</v>
      </c>
    </row>
    <row r="515" spans="1:27" ht="102" x14ac:dyDescent="0.2">
      <c r="A515" t="s">
        <v>48</v>
      </c>
      <c r="B515">
        <v>2022</v>
      </c>
      <c r="C515" t="s">
        <v>771</v>
      </c>
      <c r="D515" s="1" t="s">
        <v>772</v>
      </c>
      <c r="E515" t="s">
        <v>29</v>
      </c>
      <c r="F515" t="s">
        <v>30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1</v>
      </c>
      <c r="X515">
        <v>0</v>
      </c>
      <c r="Y515" t="s">
        <v>51</v>
      </c>
      <c r="Z515">
        <v>55</v>
      </c>
      <c r="AA515">
        <v>0</v>
      </c>
    </row>
    <row r="516" spans="1:27" ht="85" x14ac:dyDescent="0.2">
      <c r="A516" t="s">
        <v>48</v>
      </c>
      <c r="B516">
        <v>2022</v>
      </c>
      <c r="C516" t="s">
        <v>773</v>
      </c>
      <c r="D516" s="1" t="s">
        <v>774</v>
      </c>
      <c r="E516" t="s">
        <v>29</v>
      </c>
      <c r="F516" t="s">
        <v>30</v>
      </c>
      <c r="G516">
        <v>0</v>
      </c>
      <c r="H516">
        <v>0</v>
      </c>
      <c r="I516">
        <v>39</v>
      </c>
      <c r="J516">
        <v>1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 t="s">
        <v>31</v>
      </c>
      <c r="Z516">
        <v>55</v>
      </c>
      <c r="AA516">
        <v>80</v>
      </c>
    </row>
    <row r="517" spans="1:27" x14ac:dyDescent="0.2">
      <c r="A517" t="s">
        <v>547</v>
      </c>
      <c r="B517">
        <v>2022</v>
      </c>
      <c r="C517">
        <v>7418004009</v>
      </c>
      <c r="D517" t="s">
        <v>775</v>
      </c>
      <c r="E517" t="s">
        <v>29</v>
      </c>
      <c r="F517" t="s">
        <v>30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17</v>
      </c>
      <c r="V517">
        <v>0</v>
      </c>
      <c r="W517">
        <v>0</v>
      </c>
      <c r="X517">
        <v>0</v>
      </c>
      <c r="Y517" t="s">
        <v>31</v>
      </c>
      <c r="Z517">
        <v>55</v>
      </c>
      <c r="AA517">
        <v>35</v>
      </c>
    </row>
    <row r="518" spans="1:27" x14ac:dyDescent="0.2">
      <c r="A518" t="s">
        <v>318</v>
      </c>
      <c r="B518">
        <v>2019</v>
      </c>
      <c r="C518">
        <v>21101031</v>
      </c>
      <c r="D518" t="s">
        <v>776</v>
      </c>
      <c r="E518" t="s">
        <v>29</v>
      </c>
      <c r="F518" t="s">
        <v>30</v>
      </c>
      <c r="G518">
        <v>0</v>
      </c>
      <c r="H518">
        <v>0</v>
      </c>
      <c r="I518">
        <v>0</v>
      </c>
      <c r="J518">
        <v>0</v>
      </c>
      <c r="K518">
        <v>2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 t="s">
        <v>51</v>
      </c>
      <c r="Z518">
        <v>55</v>
      </c>
      <c r="AA518">
        <v>0</v>
      </c>
    </row>
    <row r="519" spans="1:27" x14ac:dyDescent="0.2">
      <c r="A519" t="s">
        <v>777</v>
      </c>
      <c r="B519">
        <v>2022</v>
      </c>
      <c r="C519" t="s">
        <v>778</v>
      </c>
      <c r="D519" t="s">
        <v>779</v>
      </c>
      <c r="E519" t="s">
        <v>29</v>
      </c>
      <c r="F519" t="s">
        <v>30</v>
      </c>
      <c r="G519">
        <v>20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 t="s">
        <v>31</v>
      </c>
      <c r="Z519">
        <v>55</v>
      </c>
      <c r="AA519">
        <v>78</v>
      </c>
    </row>
    <row r="520" spans="1:27" x14ac:dyDescent="0.2">
      <c r="A520" t="s">
        <v>457</v>
      </c>
      <c r="B520">
        <v>2022</v>
      </c>
      <c r="C520" t="s">
        <v>780</v>
      </c>
      <c r="D520" t="s">
        <v>781</v>
      </c>
      <c r="E520" t="s">
        <v>29</v>
      </c>
      <c r="F520" t="s">
        <v>30</v>
      </c>
      <c r="G520">
        <v>0</v>
      </c>
      <c r="H520">
        <v>0</v>
      </c>
      <c r="I520">
        <v>0</v>
      </c>
      <c r="J520">
        <v>52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 t="s">
        <v>31</v>
      </c>
      <c r="Z520">
        <v>55</v>
      </c>
      <c r="AA520">
        <v>100</v>
      </c>
    </row>
    <row r="521" spans="1:27" x14ac:dyDescent="0.2">
      <c r="A521" t="s">
        <v>457</v>
      </c>
      <c r="B521">
        <v>2022</v>
      </c>
      <c r="C521" t="s">
        <v>782</v>
      </c>
      <c r="D521" t="s">
        <v>783</v>
      </c>
      <c r="E521" t="s">
        <v>29</v>
      </c>
      <c r="F521" t="s">
        <v>30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32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 t="s">
        <v>31</v>
      </c>
      <c r="Z521">
        <v>55</v>
      </c>
      <c r="AA521">
        <v>100</v>
      </c>
    </row>
    <row r="522" spans="1:27" x14ac:dyDescent="0.2">
      <c r="A522" t="s">
        <v>457</v>
      </c>
      <c r="B522">
        <v>2022</v>
      </c>
      <c r="C522" t="s">
        <v>632</v>
      </c>
      <c r="D522" t="s">
        <v>784</v>
      </c>
      <c r="E522" t="s">
        <v>29</v>
      </c>
      <c r="F522" t="s">
        <v>30</v>
      </c>
      <c r="G522">
        <v>0</v>
      </c>
      <c r="H522">
        <v>0</v>
      </c>
      <c r="I522">
        <v>0</v>
      </c>
      <c r="J522">
        <v>12</v>
      </c>
      <c r="K522">
        <v>0</v>
      </c>
      <c r="L522">
        <v>4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16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 t="s">
        <v>31</v>
      </c>
      <c r="Z522">
        <v>55</v>
      </c>
      <c r="AA522">
        <v>100</v>
      </c>
    </row>
    <row r="523" spans="1:27" x14ac:dyDescent="0.2">
      <c r="A523" t="s">
        <v>533</v>
      </c>
      <c r="B523">
        <v>2021</v>
      </c>
      <c r="C523" t="s">
        <v>785</v>
      </c>
      <c r="D523" t="s">
        <v>786</v>
      </c>
      <c r="E523" t="s">
        <v>29</v>
      </c>
      <c r="F523" t="s">
        <v>41</v>
      </c>
      <c r="G523">
        <v>0</v>
      </c>
      <c r="H523">
        <v>0</v>
      </c>
      <c r="I523">
        <v>0</v>
      </c>
      <c r="J523">
        <v>0</v>
      </c>
      <c r="K523">
        <v>2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2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 t="s">
        <v>31</v>
      </c>
      <c r="Z523">
        <v>59</v>
      </c>
      <c r="AA523">
        <v>20</v>
      </c>
    </row>
    <row r="524" spans="1:27" x14ac:dyDescent="0.2">
      <c r="A524" t="s">
        <v>318</v>
      </c>
      <c r="B524">
        <v>2019</v>
      </c>
      <c r="C524" t="s">
        <v>520</v>
      </c>
      <c r="D524" t="s">
        <v>787</v>
      </c>
      <c r="E524" t="s">
        <v>29</v>
      </c>
      <c r="F524" t="s">
        <v>30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 t="s">
        <v>31</v>
      </c>
      <c r="Z524">
        <v>55</v>
      </c>
      <c r="AA524">
        <v>0</v>
      </c>
    </row>
    <row r="525" spans="1:27" x14ac:dyDescent="0.2">
      <c r="A525" t="s">
        <v>418</v>
      </c>
      <c r="B525">
        <v>2021</v>
      </c>
      <c r="C525">
        <v>45603003</v>
      </c>
      <c r="D525" t="s">
        <v>788</v>
      </c>
      <c r="E525" t="s">
        <v>29</v>
      </c>
      <c r="F525" t="s">
        <v>41</v>
      </c>
      <c r="G525">
        <v>0</v>
      </c>
      <c r="H525">
        <v>0</v>
      </c>
      <c r="I525">
        <v>0</v>
      </c>
      <c r="J525">
        <v>0</v>
      </c>
      <c r="K525">
        <v>11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 t="s">
        <v>31</v>
      </c>
      <c r="AA525">
        <v>15</v>
      </c>
    </row>
    <row r="526" spans="1:27" x14ac:dyDescent="0.2">
      <c r="A526" t="s">
        <v>406</v>
      </c>
      <c r="B526">
        <v>2021</v>
      </c>
      <c r="C526" t="s">
        <v>407</v>
      </c>
      <c r="D526" t="s">
        <v>789</v>
      </c>
      <c r="E526" t="s">
        <v>29</v>
      </c>
      <c r="F526" t="s">
        <v>41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1</v>
      </c>
      <c r="V526">
        <v>0</v>
      </c>
      <c r="W526">
        <v>0</v>
      </c>
      <c r="X526">
        <v>0</v>
      </c>
      <c r="Y526" t="s">
        <v>51</v>
      </c>
      <c r="AA526">
        <v>0</v>
      </c>
    </row>
    <row r="527" spans="1:27" x14ac:dyDescent="0.2">
      <c r="A527" t="s">
        <v>409</v>
      </c>
      <c r="B527">
        <v>2021</v>
      </c>
      <c r="C527" s="2" t="s">
        <v>790</v>
      </c>
      <c r="D527" t="s">
        <v>791</v>
      </c>
      <c r="E527" t="s">
        <v>29</v>
      </c>
      <c r="F527" t="s">
        <v>30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10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 t="s">
        <v>31</v>
      </c>
      <c r="Z527">
        <v>55</v>
      </c>
      <c r="AA527">
        <v>22</v>
      </c>
    </row>
    <row r="528" spans="1:27" x14ac:dyDescent="0.2">
      <c r="A528" t="s">
        <v>412</v>
      </c>
      <c r="B528">
        <v>2021</v>
      </c>
      <c r="C528" t="s">
        <v>413</v>
      </c>
      <c r="D528" t="s">
        <v>414</v>
      </c>
      <c r="E528" t="s">
        <v>29</v>
      </c>
      <c r="F528" t="s">
        <v>30</v>
      </c>
      <c r="G528">
        <v>6</v>
      </c>
      <c r="H528">
        <v>0</v>
      </c>
      <c r="I528">
        <v>2</v>
      </c>
      <c r="J528">
        <v>0</v>
      </c>
      <c r="K528">
        <v>0</v>
      </c>
      <c r="L528">
        <v>0</v>
      </c>
      <c r="M528">
        <v>6</v>
      </c>
      <c r="N528">
        <v>0</v>
      </c>
      <c r="O528">
        <v>2</v>
      </c>
      <c r="P528">
        <v>0</v>
      </c>
      <c r="Q528">
        <v>0</v>
      </c>
      <c r="R528">
        <v>0</v>
      </c>
      <c r="S528">
        <v>6</v>
      </c>
      <c r="T528">
        <v>0</v>
      </c>
      <c r="U528">
        <v>2</v>
      </c>
      <c r="V528">
        <v>0</v>
      </c>
      <c r="W528">
        <v>0</v>
      </c>
      <c r="X528">
        <v>0</v>
      </c>
      <c r="Y528" t="s">
        <v>31</v>
      </c>
      <c r="AA528">
        <v>120</v>
      </c>
    </row>
    <row r="529" spans="1:27" x14ac:dyDescent="0.2">
      <c r="A529" t="s">
        <v>792</v>
      </c>
      <c r="B529">
        <v>2023</v>
      </c>
      <c r="C529">
        <v>37546148</v>
      </c>
      <c r="D529" t="s">
        <v>793</v>
      </c>
      <c r="E529" t="s">
        <v>29</v>
      </c>
      <c r="F529" t="s">
        <v>30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50</v>
      </c>
      <c r="N529">
        <v>0</v>
      </c>
      <c r="O529">
        <v>24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 t="s">
        <v>31</v>
      </c>
      <c r="Z529">
        <v>55</v>
      </c>
      <c r="AA529">
        <v>54</v>
      </c>
    </row>
    <row r="530" spans="1:27" x14ac:dyDescent="0.2">
      <c r="A530" t="s">
        <v>547</v>
      </c>
      <c r="B530">
        <v>2022</v>
      </c>
      <c r="C530">
        <v>5548012029</v>
      </c>
      <c r="D530" t="s">
        <v>794</v>
      </c>
      <c r="E530" t="s">
        <v>29</v>
      </c>
      <c r="F530" t="s">
        <v>30</v>
      </c>
      <c r="G530">
        <v>7</v>
      </c>
      <c r="H530">
        <v>0</v>
      </c>
      <c r="I530">
        <v>3</v>
      </c>
      <c r="J530">
        <v>0</v>
      </c>
      <c r="K530">
        <v>2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 t="s">
        <v>31</v>
      </c>
      <c r="Z530">
        <v>55</v>
      </c>
      <c r="AA530">
        <v>35</v>
      </c>
    </row>
    <row r="531" spans="1:27" x14ac:dyDescent="0.2">
      <c r="A531" t="s">
        <v>547</v>
      </c>
      <c r="B531">
        <v>2022</v>
      </c>
      <c r="C531">
        <v>2421022004</v>
      </c>
      <c r="D531" t="s">
        <v>795</v>
      </c>
      <c r="E531" t="s">
        <v>29</v>
      </c>
      <c r="F531" t="s">
        <v>30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3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 t="s">
        <v>31</v>
      </c>
      <c r="Z531">
        <v>55</v>
      </c>
      <c r="AA531">
        <v>35</v>
      </c>
    </row>
    <row r="532" spans="1:27" x14ac:dyDescent="0.2">
      <c r="A532" t="s">
        <v>547</v>
      </c>
      <c r="B532">
        <v>2022</v>
      </c>
      <c r="C532">
        <v>5147011024</v>
      </c>
      <c r="D532" t="s">
        <v>796</v>
      </c>
      <c r="E532" t="s">
        <v>29</v>
      </c>
      <c r="F532" t="s">
        <v>30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94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 t="s">
        <v>31</v>
      </c>
      <c r="Z532">
        <v>55</v>
      </c>
      <c r="AA532">
        <v>35</v>
      </c>
    </row>
    <row r="533" spans="1:27" x14ac:dyDescent="0.2">
      <c r="A533" t="s">
        <v>547</v>
      </c>
      <c r="B533">
        <v>2022</v>
      </c>
      <c r="C533">
        <v>5155025012</v>
      </c>
      <c r="D533" t="s">
        <v>797</v>
      </c>
      <c r="E533" t="s">
        <v>29</v>
      </c>
      <c r="F533" t="s">
        <v>30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2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 t="s">
        <v>31</v>
      </c>
      <c r="Z533">
        <v>55</v>
      </c>
      <c r="AA533">
        <v>35</v>
      </c>
    </row>
    <row r="534" spans="1:27" x14ac:dyDescent="0.2">
      <c r="A534" t="s">
        <v>547</v>
      </c>
      <c r="B534">
        <v>2022</v>
      </c>
      <c r="C534">
        <v>6022022011</v>
      </c>
      <c r="D534" t="s">
        <v>798</v>
      </c>
      <c r="E534" t="s">
        <v>29</v>
      </c>
      <c r="F534" t="s">
        <v>30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50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50</v>
      </c>
      <c r="T534">
        <v>0</v>
      </c>
      <c r="U534">
        <v>0</v>
      </c>
      <c r="V534">
        <v>0</v>
      </c>
      <c r="W534">
        <v>0</v>
      </c>
      <c r="X534">
        <v>0</v>
      </c>
      <c r="Y534" t="s">
        <v>31</v>
      </c>
      <c r="Z534">
        <v>55</v>
      </c>
      <c r="AA534">
        <v>35</v>
      </c>
    </row>
    <row r="535" spans="1:27" x14ac:dyDescent="0.2">
      <c r="A535" t="s">
        <v>547</v>
      </c>
      <c r="B535">
        <v>2022</v>
      </c>
      <c r="C535">
        <v>7423016011</v>
      </c>
      <c r="D535" t="s">
        <v>799</v>
      </c>
      <c r="E535" t="s">
        <v>29</v>
      </c>
      <c r="F535" t="s">
        <v>30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63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 t="s">
        <v>31</v>
      </c>
      <c r="Z535">
        <v>55</v>
      </c>
      <c r="AA535">
        <v>35</v>
      </c>
    </row>
    <row r="536" spans="1:27" x14ac:dyDescent="0.2">
      <c r="A536" t="s">
        <v>547</v>
      </c>
      <c r="B536">
        <v>2022</v>
      </c>
      <c r="C536">
        <v>2350003059</v>
      </c>
      <c r="D536" t="s">
        <v>800</v>
      </c>
      <c r="E536" t="s">
        <v>29</v>
      </c>
      <c r="F536" t="s">
        <v>30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9</v>
      </c>
      <c r="T536">
        <v>0</v>
      </c>
      <c r="U536">
        <v>0</v>
      </c>
      <c r="V536">
        <v>0</v>
      </c>
      <c r="W536">
        <v>0</v>
      </c>
      <c r="X536">
        <v>0</v>
      </c>
      <c r="Y536" t="s">
        <v>31</v>
      </c>
      <c r="Z536">
        <v>55</v>
      </c>
      <c r="AA536">
        <v>35</v>
      </c>
    </row>
    <row r="537" spans="1:27" x14ac:dyDescent="0.2">
      <c r="A537" t="s">
        <v>547</v>
      </c>
      <c r="B537">
        <v>2022</v>
      </c>
      <c r="C537">
        <v>4261003009</v>
      </c>
      <c r="D537" t="s">
        <v>801</v>
      </c>
      <c r="E537" t="s">
        <v>29</v>
      </c>
      <c r="F537" t="s">
        <v>30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4</v>
      </c>
      <c r="T537">
        <v>0</v>
      </c>
      <c r="U537">
        <v>0</v>
      </c>
      <c r="V537">
        <v>0</v>
      </c>
      <c r="W537">
        <v>0</v>
      </c>
      <c r="X537">
        <v>0</v>
      </c>
      <c r="Y537" t="s">
        <v>31</v>
      </c>
      <c r="Z537">
        <v>55</v>
      </c>
      <c r="AA537">
        <v>32.5</v>
      </c>
    </row>
    <row r="538" spans="1:27" x14ac:dyDescent="0.2">
      <c r="A538" t="s">
        <v>547</v>
      </c>
      <c r="B538">
        <v>2022</v>
      </c>
      <c r="C538">
        <v>4263023020</v>
      </c>
      <c r="D538" t="s">
        <v>802</v>
      </c>
      <c r="E538" t="s">
        <v>29</v>
      </c>
      <c r="F538" t="s">
        <v>30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2</v>
      </c>
      <c r="T538">
        <v>0</v>
      </c>
      <c r="U538">
        <v>0</v>
      </c>
      <c r="V538">
        <v>0</v>
      </c>
      <c r="W538">
        <v>0</v>
      </c>
      <c r="X538">
        <v>0</v>
      </c>
      <c r="Y538" t="s">
        <v>31</v>
      </c>
      <c r="Z538">
        <v>55</v>
      </c>
      <c r="AA538">
        <v>35</v>
      </c>
    </row>
    <row r="539" spans="1:27" x14ac:dyDescent="0.2">
      <c r="A539" t="s">
        <v>547</v>
      </c>
      <c r="B539">
        <v>2022</v>
      </c>
      <c r="C539">
        <v>4327005019</v>
      </c>
      <c r="D539" t="s">
        <v>803</v>
      </c>
      <c r="E539" t="s">
        <v>29</v>
      </c>
      <c r="F539" t="s">
        <v>30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3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 t="s">
        <v>31</v>
      </c>
      <c r="Z539">
        <v>55</v>
      </c>
      <c r="AA539">
        <v>35</v>
      </c>
    </row>
    <row r="540" spans="1:27" x14ac:dyDescent="0.2">
      <c r="A540" t="s">
        <v>547</v>
      </c>
      <c r="B540">
        <v>2022</v>
      </c>
      <c r="C540">
        <v>5523022013</v>
      </c>
      <c r="D540" t="s">
        <v>804</v>
      </c>
      <c r="E540" t="s">
        <v>29</v>
      </c>
      <c r="F540" t="s">
        <v>30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5</v>
      </c>
      <c r="T540">
        <v>0</v>
      </c>
      <c r="U540">
        <v>0</v>
      </c>
      <c r="V540">
        <v>0</v>
      </c>
      <c r="W540">
        <v>0</v>
      </c>
      <c r="X540">
        <v>0</v>
      </c>
      <c r="Y540" t="s">
        <v>31</v>
      </c>
      <c r="Z540">
        <v>55</v>
      </c>
      <c r="AA540">
        <v>35</v>
      </c>
    </row>
    <row r="541" spans="1:27" x14ac:dyDescent="0.2">
      <c r="A541" t="s">
        <v>460</v>
      </c>
      <c r="B541">
        <v>2022</v>
      </c>
      <c r="C541" t="s">
        <v>461</v>
      </c>
      <c r="D541" t="s">
        <v>805</v>
      </c>
      <c r="E541" t="s">
        <v>29</v>
      </c>
      <c r="F541" t="s">
        <v>30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2</v>
      </c>
      <c r="N541">
        <v>0</v>
      </c>
      <c r="O541">
        <v>10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 t="s">
        <v>31</v>
      </c>
      <c r="Z541">
        <v>55</v>
      </c>
      <c r="AA541">
        <v>21</v>
      </c>
    </row>
    <row r="542" spans="1:27" x14ac:dyDescent="0.2">
      <c r="A542" t="s">
        <v>524</v>
      </c>
      <c r="B542">
        <v>2022</v>
      </c>
      <c r="C542" t="s">
        <v>806</v>
      </c>
      <c r="D542" t="s">
        <v>807</v>
      </c>
      <c r="E542" t="s">
        <v>29</v>
      </c>
      <c r="F542" t="s">
        <v>30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7</v>
      </c>
      <c r="N542">
        <v>0</v>
      </c>
      <c r="O542">
        <v>23</v>
      </c>
      <c r="P542">
        <v>0</v>
      </c>
      <c r="Q542">
        <v>31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 t="s">
        <v>51</v>
      </c>
      <c r="Z542">
        <v>55</v>
      </c>
      <c r="AA542">
        <v>0</v>
      </c>
    </row>
    <row r="543" spans="1:27" x14ac:dyDescent="0.2">
      <c r="A543" t="s">
        <v>251</v>
      </c>
      <c r="B543">
        <v>2022</v>
      </c>
      <c r="C543" t="s">
        <v>252</v>
      </c>
      <c r="D543" t="s">
        <v>253</v>
      </c>
      <c r="E543" t="s">
        <v>29</v>
      </c>
      <c r="F543" t="s">
        <v>30</v>
      </c>
      <c r="G543">
        <v>6</v>
      </c>
      <c r="H543">
        <v>0</v>
      </c>
      <c r="I543">
        <v>10</v>
      </c>
      <c r="J543">
        <v>0</v>
      </c>
      <c r="K543">
        <v>0</v>
      </c>
      <c r="L543">
        <v>0</v>
      </c>
      <c r="M543">
        <v>6</v>
      </c>
      <c r="N543">
        <v>0</v>
      </c>
      <c r="O543">
        <v>10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 t="s">
        <v>31</v>
      </c>
      <c r="Z543">
        <v>55</v>
      </c>
      <c r="AA543">
        <v>20</v>
      </c>
    </row>
    <row r="544" spans="1:27" x14ac:dyDescent="0.2">
      <c r="A544" t="s">
        <v>278</v>
      </c>
      <c r="B544">
        <v>2022</v>
      </c>
      <c r="C544" t="s">
        <v>808</v>
      </c>
      <c r="D544" t="s">
        <v>809</v>
      </c>
      <c r="E544" t="s">
        <v>29</v>
      </c>
      <c r="F544" t="s">
        <v>30</v>
      </c>
      <c r="G544">
        <v>33</v>
      </c>
      <c r="H544">
        <v>0</v>
      </c>
      <c r="I544">
        <v>0</v>
      </c>
      <c r="J544">
        <v>0</v>
      </c>
      <c r="K544">
        <v>9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 t="s">
        <v>31</v>
      </c>
      <c r="Z544">
        <v>1000</v>
      </c>
      <c r="AA544">
        <v>35</v>
      </c>
    </row>
    <row r="545" spans="1:27" x14ac:dyDescent="0.2">
      <c r="A545" t="s">
        <v>318</v>
      </c>
      <c r="B545">
        <v>2019</v>
      </c>
      <c r="C545">
        <v>11014197</v>
      </c>
      <c r="D545" t="s">
        <v>810</v>
      </c>
      <c r="E545" t="s">
        <v>29</v>
      </c>
      <c r="F545" t="s">
        <v>41</v>
      </c>
      <c r="G545">
        <v>0</v>
      </c>
      <c r="H545">
        <v>0</v>
      </c>
      <c r="I545">
        <v>0</v>
      </c>
      <c r="J545">
        <v>0</v>
      </c>
      <c r="K545">
        <v>16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 t="s">
        <v>51</v>
      </c>
      <c r="Z545">
        <v>30</v>
      </c>
      <c r="AA545">
        <v>0</v>
      </c>
    </row>
    <row r="546" spans="1:27" x14ac:dyDescent="0.2">
      <c r="A546" t="s">
        <v>524</v>
      </c>
      <c r="B546">
        <v>2022</v>
      </c>
      <c r="C546" t="s">
        <v>811</v>
      </c>
      <c r="D546" t="s">
        <v>812</v>
      </c>
      <c r="E546" t="s">
        <v>29</v>
      </c>
      <c r="F546" t="s">
        <v>30</v>
      </c>
      <c r="G546">
        <v>119</v>
      </c>
      <c r="H546">
        <v>0</v>
      </c>
      <c r="I546">
        <v>76</v>
      </c>
      <c r="J546">
        <v>0</v>
      </c>
      <c r="K546">
        <v>117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 t="s">
        <v>51</v>
      </c>
      <c r="Z546">
        <v>55</v>
      </c>
      <c r="AA546">
        <v>0</v>
      </c>
    </row>
    <row r="547" spans="1:27" x14ac:dyDescent="0.2">
      <c r="A547" t="s">
        <v>436</v>
      </c>
      <c r="B547">
        <v>2022</v>
      </c>
      <c r="C547" t="s">
        <v>437</v>
      </c>
      <c r="D547" t="s">
        <v>813</v>
      </c>
      <c r="E547" t="s">
        <v>29</v>
      </c>
      <c r="F547" t="s">
        <v>30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6</v>
      </c>
      <c r="N547">
        <v>0</v>
      </c>
      <c r="O547">
        <v>18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 t="s">
        <v>31</v>
      </c>
      <c r="Z547">
        <v>55</v>
      </c>
      <c r="AA547">
        <v>23</v>
      </c>
    </row>
    <row r="548" spans="1:27" x14ac:dyDescent="0.2">
      <c r="A548" t="s">
        <v>457</v>
      </c>
      <c r="B548">
        <v>2022</v>
      </c>
      <c r="C548" t="s">
        <v>590</v>
      </c>
      <c r="D548" t="s">
        <v>814</v>
      </c>
      <c r="E548" t="s">
        <v>29</v>
      </c>
      <c r="F548" t="s">
        <v>30</v>
      </c>
      <c r="G548">
        <v>0</v>
      </c>
      <c r="H548">
        <v>0</v>
      </c>
      <c r="I548">
        <v>0</v>
      </c>
      <c r="J548">
        <v>0</v>
      </c>
      <c r="K548">
        <v>13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13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 t="s">
        <v>31</v>
      </c>
      <c r="Z548">
        <v>55</v>
      </c>
      <c r="AA548">
        <v>100</v>
      </c>
    </row>
    <row r="549" spans="1:27" x14ac:dyDescent="0.2">
      <c r="A549" t="s">
        <v>584</v>
      </c>
      <c r="B549">
        <v>2022</v>
      </c>
      <c r="C549" s="2" t="s">
        <v>815</v>
      </c>
      <c r="D549" t="s">
        <v>816</v>
      </c>
      <c r="E549" t="s">
        <v>29</v>
      </c>
      <c r="F549" t="s">
        <v>41</v>
      </c>
      <c r="G549">
        <v>0</v>
      </c>
      <c r="H549">
        <v>0</v>
      </c>
      <c r="I549">
        <v>6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 t="s">
        <v>31</v>
      </c>
      <c r="AA549">
        <v>20</v>
      </c>
    </row>
    <row r="550" spans="1:27" x14ac:dyDescent="0.2">
      <c r="A550" t="s">
        <v>584</v>
      </c>
      <c r="B550">
        <v>2022</v>
      </c>
      <c r="C550" t="s">
        <v>817</v>
      </c>
      <c r="D550" t="s">
        <v>818</v>
      </c>
      <c r="E550" t="s">
        <v>29</v>
      </c>
      <c r="F550" t="s">
        <v>30</v>
      </c>
      <c r="G550">
        <v>1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 t="s">
        <v>31</v>
      </c>
      <c r="AA550">
        <v>0</v>
      </c>
    </row>
    <row r="551" spans="1:27" x14ac:dyDescent="0.2">
      <c r="A551" t="s">
        <v>547</v>
      </c>
      <c r="B551">
        <v>2022</v>
      </c>
      <c r="C551">
        <v>5429002004</v>
      </c>
      <c r="D551" t="s">
        <v>819</v>
      </c>
      <c r="E551" t="s">
        <v>29</v>
      </c>
      <c r="F551" t="s">
        <v>30</v>
      </c>
      <c r="G551">
        <v>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 t="s">
        <v>31</v>
      </c>
      <c r="Z551">
        <v>55</v>
      </c>
      <c r="AA551">
        <v>35</v>
      </c>
    </row>
    <row r="552" spans="1:27" x14ac:dyDescent="0.2">
      <c r="A552" t="s">
        <v>547</v>
      </c>
      <c r="B552">
        <v>2022</v>
      </c>
      <c r="C552">
        <v>5149007007</v>
      </c>
      <c r="D552" t="s">
        <v>820</v>
      </c>
      <c r="E552" t="s">
        <v>29</v>
      </c>
      <c r="F552" t="s">
        <v>30</v>
      </c>
      <c r="G552">
        <v>37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 t="s">
        <v>31</v>
      </c>
      <c r="Z552">
        <v>55</v>
      </c>
      <c r="AA552">
        <v>35</v>
      </c>
    </row>
    <row r="553" spans="1:27" x14ac:dyDescent="0.2">
      <c r="A553" t="s">
        <v>547</v>
      </c>
      <c r="B553">
        <v>2022</v>
      </c>
      <c r="C553">
        <v>5077002012</v>
      </c>
      <c r="D553" t="s">
        <v>821</v>
      </c>
      <c r="E553" t="s">
        <v>29</v>
      </c>
      <c r="F553" t="s">
        <v>30</v>
      </c>
      <c r="G553">
        <v>0</v>
      </c>
      <c r="H553">
        <v>0</v>
      </c>
      <c r="I553">
        <v>13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 t="s">
        <v>31</v>
      </c>
      <c r="Z553">
        <v>55</v>
      </c>
      <c r="AA553">
        <v>70</v>
      </c>
    </row>
    <row r="554" spans="1:27" x14ac:dyDescent="0.2">
      <c r="A554" t="s">
        <v>547</v>
      </c>
      <c r="B554">
        <v>2022</v>
      </c>
      <c r="C554">
        <v>5547031001</v>
      </c>
      <c r="D554" t="s">
        <v>822</v>
      </c>
      <c r="E554" t="s">
        <v>29</v>
      </c>
      <c r="F554" t="s">
        <v>30</v>
      </c>
      <c r="G554">
        <v>3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 t="s">
        <v>31</v>
      </c>
      <c r="Z554">
        <v>55</v>
      </c>
      <c r="AA554">
        <v>35</v>
      </c>
    </row>
    <row r="555" spans="1:27" x14ac:dyDescent="0.2">
      <c r="A555" t="s">
        <v>547</v>
      </c>
      <c r="B555">
        <v>2022</v>
      </c>
      <c r="C555">
        <v>6002026025</v>
      </c>
      <c r="D555" t="s">
        <v>823</v>
      </c>
      <c r="E555" t="s">
        <v>29</v>
      </c>
      <c r="F555" t="s">
        <v>30</v>
      </c>
      <c r="G555">
        <v>1</v>
      </c>
      <c r="H555">
        <v>0</v>
      </c>
      <c r="I555">
        <v>22</v>
      </c>
      <c r="J555">
        <v>0</v>
      </c>
      <c r="K555">
        <v>3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 t="s">
        <v>31</v>
      </c>
      <c r="Z555">
        <v>55</v>
      </c>
      <c r="AA555">
        <v>69</v>
      </c>
    </row>
    <row r="556" spans="1:27" x14ac:dyDescent="0.2">
      <c r="A556" t="s">
        <v>547</v>
      </c>
      <c r="B556">
        <v>2022</v>
      </c>
      <c r="C556">
        <v>5109003037</v>
      </c>
      <c r="D556" t="s">
        <v>824</v>
      </c>
      <c r="E556" t="s">
        <v>29</v>
      </c>
      <c r="F556" t="s">
        <v>30</v>
      </c>
      <c r="G556">
        <v>0</v>
      </c>
      <c r="H556">
        <v>0</v>
      </c>
      <c r="I556">
        <v>175</v>
      </c>
      <c r="J556">
        <v>0</v>
      </c>
      <c r="K556">
        <v>45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 t="s">
        <v>31</v>
      </c>
      <c r="Z556">
        <v>55</v>
      </c>
      <c r="AA556" s="2" t="s">
        <v>825</v>
      </c>
    </row>
    <row r="557" spans="1:27" x14ac:dyDescent="0.2">
      <c r="A557" t="s">
        <v>547</v>
      </c>
      <c r="B557">
        <v>2022</v>
      </c>
      <c r="C557">
        <v>4236019026</v>
      </c>
      <c r="D557" t="s">
        <v>826</v>
      </c>
      <c r="E557" t="s">
        <v>29</v>
      </c>
      <c r="F557" t="s">
        <v>30</v>
      </c>
      <c r="G557">
        <v>2</v>
      </c>
      <c r="H557">
        <v>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 t="s">
        <v>31</v>
      </c>
      <c r="Z557">
        <v>55</v>
      </c>
      <c r="AA557">
        <v>62.5</v>
      </c>
    </row>
    <row r="558" spans="1:27" x14ac:dyDescent="0.2">
      <c r="A558" t="s">
        <v>547</v>
      </c>
      <c r="B558">
        <v>2022</v>
      </c>
      <c r="C558">
        <v>4325019003</v>
      </c>
      <c r="D558" t="s">
        <v>827</v>
      </c>
      <c r="E558" t="s">
        <v>29</v>
      </c>
      <c r="F558" t="s">
        <v>30</v>
      </c>
      <c r="G558">
        <v>1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 t="s">
        <v>31</v>
      </c>
      <c r="Z558">
        <v>55</v>
      </c>
      <c r="AA558">
        <v>35</v>
      </c>
    </row>
    <row r="559" spans="1:27" x14ac:dyDescent="0.2">
      <c r="A559" t="s">
        <v>547</v>
      </c>
      <c r="B559">
        <v>2022</v>
      </c>
      <c r="C559">
        <v>2654012026</v>
      </c>
      <c r="D559" t="s">
        <v>828</v>
      </c>
      <c r="E559" t="s">
        <v>29</v>
      </c>
      <c r="F559" t="s">
        <v>30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71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 t="s">
        <v>31</v>
      </c>
      <c r="Z559">
        <v>55</v>
      </c>
      <c r="AA559">
        <v>35</v>
      </c>
    </row>
    <row r="560" spans="1:27" x14ac:dyDescent="0.2">
      <c r="A560" t="s">
        <v>547</v>
      </c>
      <c r="B560">
        <v>2022</v>
      </c>
      <c r="C560">
        <v>4261025027</v>
      </c>
      <c r="D560" t="s">
        <v>829</v>
      </c>
      <c r="E560" t="s">
        <v>29</v>
      </c>
      <c r="F560" t="s">
        <v>30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 t="s">
        <v>31</v>
      </c>
      <c r="Z560">
        <v>55</v>
      </c>
      <c r="AA560">
        <v>35</v>
      </c>
    </row>
    <row r="561" spans="1:27" x14ac:dyDescent="0.2">
      <c r="A561" t="s">
        <v>547</v>
      </c>
      <c r="B561">
        <v>2022</v>
      </c>
      <c r="C561">
        <v>2125015014</v>
      </c>
      <c r="D561" t="s">
        <v>830</v>
      </c>
      <c r="E561" t="s">
        <v>29</v>
      </c>
      <c r="F561" t="s">
        <v>30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18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 t="s">
        <v>31</v>
      </c>
      <c r="Z561">
        <v>55</v>
      </c>
      <c r="AA561">
        <v>35</v>
      </c>
    </row>
    <row r="562" spans="1:27" x14ac:dyDescent="0.2">
      <c r="A562" t="s">
        <v>547</v>
      </c>
      <c r="B562">
        <v>2022</v>
      </c>
      <c r="C562">
        <v>5407007007</v>
      </c>
      <c r="D562" t="s">
        <v>831</v>
      </c>
      <c r="E562" t="s">
        <v>29</v>
      </c>
      <c r="F562" t="s">
        <v>30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2</v>
      </c>
      <c r="T562">
        <v>0</v>
      </c>
      <c r="U562">
        <v>0</v>
      </c>
      <c r="V562">
        <v>0</v>
      </c>
      <c r="W562">
        <v>0</v>
      </c>
      <c r="X562">
        <v>0</v>
      </c>
      <c r="Y562" t="s">
        <v>31</v>
      </c>
      <c r="Z562">
        <v>55</v>
      </c>
      <c r="AA562">
        <v>35</v>
      </c>
    </row>
    <row r="563" spans="1:27" x14ac:dyDescent="0.2">
      <c r="A563" t="s">
        <v>547</v>
      </c>
      <c r="B563">
        <v>2022</v>
      </c>
      <c r="C563">
        <v>5442025022</v>
      </c>
      <c r="D563" t="s">
        <v>832</v>
      </c>
      <c r="E563" t="s">
        <v>29</v>
      </c>
      <c r="F563" t="s">
        <v>30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3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 t="s">
        <v>31</v>
      </c>
      <c r="Z563">
        <v>55</v>
      </c>
      <c r="AA563">
        <v>35</v>
      </c>
    </row>
    <row r="564" spans="1:27" x14ac:dyDescent="0.2">
      <c r="A564" t="s">
        <v>436</v>
      </c>
      <c r="B564">
        <v>2022</v>
      </c>
      <c r="C564" t="s">
        <v>437</v>
      </c>
      <c r="D564" t="s">
        <v>833</v>
      </c>
      <c r="E564" t="s">
        <v>29</v>
      </c>
      <c r="F564" t="s">
        <v>30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6</v>
      </c>
      <c r="N564">
        <v>0</v>
      </c>
      <c r="O564">
        <v>18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 t="s">
        <v>31</v>
      </c>
      <c r="Z564">
        <v>55</v>
      </c>
      <c r="AA564">
        <v>23</v>
      </c>
    </row>
    <row r="565" spans="1:27" x14ac:dyDescent="0.2">
      <c r="A565" t="s">
        <v>436</v>
      </c>
      <c r="B565">
        <v>2022</v>
      </c>
      <c r="C565" t="s">
        <v>437</v>
      </c>
      <c r="D565" t="s">
        <v>834</v>
      </c>
      <c r="E565" t="s">
        <v>29</v>
      </c>
      <c r="F565" t="s">
        <v>30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6</v>
      </c>
      <c r="N565">
        <v>0</v>
      </c>
      <c r="O565">
        <v>18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 t="s">
        <v>31</v>
      </c>
      <c r="Z565">
        <v>55</v>
      </c>
      <c r="AA565">
        <v>23</v>
      </c>
    </row>
    <row r="566" spans="1:27" x14ac:dyDescent="0.2">
      <c r="A566" t="s">
        <v>835</v>
      </c>
      <c r="B566">
        <v>2022</v>
      </c>
      <c r="C566" s="2" t="s">
        <v>836</v>
      </c>
      <c r="D566" t="s">
        <v>837</v>
      </c>
      <c r="E566" t="s">
        <v>29</v>
      </c>
      <c r="F566" t="s">
        <v>30</v>
      </c>
      <c r="G566">
        <v>15</v>
      </c>
      <c r="H566">
        <v>0</v>
      </c>
      <c r="I566">
        <v>29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 t="s">
        <v>51</v>
      </c>
      <c r="Z566">
        <v>55</v>
      </c>
      <c r="AA566">
        <v>0</v>
      </c>
    </row>
    <row r="567" spans="1:27" x14ac:dyDescent="0.2">
      <c r="A567" t="s">
        <v>835</v>
      </c>
      <c r="B567">
        <v>2022</v>
      </c>
      <c r="C567" t="s">
        <v>838</v>
      </c>
      <c r="D567" t="s">
        <v>839</v>
      </c>
      <c r="E567" t="s">
        <v>29</v>
      </c>
      <c r="F567" t="s">
        <v>30</v>
      </c>
      <c r="G567">
        <v>10</v>
      </c>
      <c r="H567">
        <v>0</v>
      </c>
      <c r="I567">
        <v>5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 t="s">
        <v>51</v>
      </c>
      <c r="Z567">
        <v>55</v>
      </c>
      <c r="AA567">
        <v>0</v>
      </c>
    </row>
    <row r="568" spans="1:27" x14ac:dyDescent="0.2">
      <c r="A568" t="s">
        <v>835</v>
      </c>
      <c r="B568">
        <v>2022</v>
      </c>
      <c r="C568" s="2" t="s">
        <v>840</v>
      </c>
      <c r="D568" t="s">
        <v>841</v>
      </c>
      <c r="E568" t="s">
        <v>29</v>
      </c>
      <c r="F568" t="s">
        <v>30</v>
      </c>
      <c r="G568">
        <v>9</v>
      </c>
      <c r="H568">
        <v>0</v>
      </c>
      <c r="I568">
        <v>18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 t="s">
        <v>51</v>
      </c>
      <c r="Z568">
        <v>55</v>
      </c>
      <c r="AA568">
        <v>0</v>
      </c>
    </row>
    <row r="569" spans="1:27" x14ac:dyDescent="0.2">
      <c r="A569" t="s">
        <v>88</v>
      </c>
      <c r="B569">
        <v>2021</v>
      </c>
      <c r="C569" t="s">
        <v>842</v>
      </c>
      <c r="D569" t="s">
        <v>843</v>
      </c>
      <c r="E569" t="s">
        <v>29</v>
      </c>
      <c r="F569" t="s">
        <v>41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1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 t="s">
        <v>51</v>
      </c>
      <c r="AA569">
        <v>0</v>
      </c>
    </row>
    <row r="570" spans="1:27" x14ac:dyDescent="0.2">
      <c r="A570" t="s">
        <v>547</v>
      </c>
      <c r="B570">
        <v>2022</v>
      </c>
      <c r="C570">
        <v>5124012030</v>
      </c>
      <c r="D570" t="s">
        <v>844</v>
      </c>
      <c r="E570" t="s">
        <v>29</v>
      </c>
      <c r="F570" t="s">
        <v>30</v>
      </c>
      <c r="G570">
        <v>1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 t="s">
        <v>31</v>
      </c>
      <c r="Z570">
        <v>55</v>
      </c>
      <c r="AA570">
        <v>35</v>
      </c>
    </row>
    <row r="571" spans="1:27" x14ac:dyDescent="0.2">
      <c r="A571" t="s">
        <v>547</v>
      </c>
      <c r="B571">
        <v>2022</v>
      </c>
      <c r="C571">
        <v>4110001024</v>
      </c>
      <c r="D571" t="s">
        <v>845</v>
      </c>
      <c r="E571" t="s">
        <v>29</v>
      </c>
      <c r="F571" t="s">
        <v>30</v>
      </c>
      <c r="G571">
        <v>41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 t="s">
        <v>31</v>
      </c>
      <c r="Z571">
        <v>55</v>
      </c>
      <c r="AA571">
        <v>50</v>
      </c>
    </row>
    <row r="572" spans="1:27" x14ac:dyDescent="0.2">
      <c r="A572" t="s">
        <v>547</v>
      </c>
      <c r="B572">
        <v>2022</v>
      </c>
      <c r="C572">
        <v>2224004006</v>
      </c>
      <c r="D572" t="s">
        <v>846</v>
      </c>
      <c r="E572" t="s">
        <v>29</v>
      </c>
      <c r="F572" t="s">
        <v>30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7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7</v>
      </c>
      <c r="T572">
        <v>0</v>
      </c>
      <c r="U572">
        <v>0</v>
      </c>
      <c r="V572">
        <v>0</v>
      </c>
      <c r="W572">
        <v>0</v>
      </c>
      <c r="X572">
        <v>0</v>
      </c>
      <c r="Y572" t="s">
        <v>31</v>
      </c>
      <c r="Z572">
        <v>55</v>
      </c>
      <c r="AA572">
        <v>35</v>
      </c>
    </row>
    <row r="573" spans="1:27" x14ac:dyDescent="0.2">
      <c r="A573" t="s">
        <v>547</v>
      </c>
      <c r="B573">
        <v>2022</v>
      </c>
      <c r="C573">
        <v>2421022002</v>
      </c>
      <c r="D573" t="s">
        <v>847</v>
      </c>
      <c r="E573" t="s">
        <v>29</v>
      </c>
      <c r="F573" t="s">
        <v>30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2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 t="s">
        <v>31</v>
      </c>
      <c r="Z573">
        <v>55</v>
      </c>
      <c r="AA573">
        <v>35</v>
      </c>
    </row>
    <row r="574" spans="1:27" x14ac:dyDescent="0.2">
      <c r="A574" t="s">
        <v>547</v>
      </c>
      <c r="B574">
        <v>2022</v>
      </c>
      <c r="C574">
        <v>5068021019</v>
      </c>
      <c r="D574" t="s">
        <v>848</v>
      </c>
      <c r="E574" t="s">
        <v>29</v>
      </c>
      <c r="F574" t="s">
        <v>30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 t="s">
        <v>31</v>
      </c>
      <c r="Z574">
        <v>55</v>
      </c>
      <c r="AA574">
        <v>35</v>
      </c>
    </row>
    <row r="575" spans="1:27" x14ac:dyDescent="0.2">
      <c r="A575" t="s">
        <v>547</v>
      </c>
      <c r="B575">
        <v>2022</v>
      </c>
      <c r="C575">
        <v>5442024043</v>
      </c>
      <c r="D575" t="s">
        <v>849</v>
      </c>
      <c r="E575" t="s">
        <v>29</v>
      </c>
      <c r="F575" t="s">
        <v>30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4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4</v>
      </c>
      <c r="T575">
        <v>0</v>
      </c>
      <c r="U575">
        <v>0</v>
      </c>
      <c r="V575">
        <v>0</v>
      </c>
      <c r="W575">
        <v>0</v>
      </c>
      <c r="X575">
        <v>0</v>
      </c>
      <c r="Y575" t="s">
        <v>31</v>
      </c>
      <c r="Z575">
        <v>55</v>
      </c>
      <c r="AA575">
        <v>35</v>
      </c>
    </row>
    <row r="576" spans="1:27" x14ac:dyDescent="0.2">
      <c r="A576" t="s">
        <v>547</v>
      </c>
      <c r="B576">
        <v>2022</v>
      </c>
      <c r="C576">
        <v>6120023033</v>
      </c>
      <c r="D576" t="s">
        <v>850</v>
      </c>
      <c r="E576" t="s">
        <v>29</v>
      </c>
      <c r="F576" t="s">
        <v>30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3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 t="s">
        <v>31</v>
      </c>
      <c r="Z576">
        <v>55</v>
      </c>
      <c r="AA576">
        <v>35</v>
      </c>
    </row>
    <row r="577" spans="1:27" x14ac:dyDescent="0.2">
      <c r="A577" t="s">
        <v>547</v>
      </c>
      <c r="B577">
        <v>2022</v>
      </c>
      <c r="C577">
        <v>2654012007</v>
      </c>
      <c r="D577" t="s">
        <v>851</v>
      </c>
      <c r="E577" t="s">
        <v>29</v>
      </c>
      <c r="F577" t="s">
        <v>30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5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 t="s">
        <v>31</v>
      </c>
      <c r="Z577">
        <v>55</v>
      </c>
      <c r="AA577">
        <v>35</v>
      </c>
    </row>
    <row r="578" spans="1:27" x14ac:dyDescent="0.2">
      <c r="A578" t="s">
        <v>547</v>
      </c>
      <c r="B578">
        <v>2022</v>
      </c>
      <c r="C578">
        <v>4217018032</v>
      </c>
      <c r="D578" t="s">
        <v>852</v>
      </c>
      <c r="E578" t="s">
        <v>29</v>
      </c>
      <c r="F578" t="s">
        <v>30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4</v>
      </c>
      <c r="T578">
        <v>0</v>
      </c>
      <c r="U578">
        <v>0</v>
      </c>
      <c r="V578">
        <v>0</v>
      </c>
      <c r="W578">
        <v>0</v>
      </c>
      <c r="X578">
        <v>0</v>
      </c>
      <c r="Y578" t="s">
        <v>31</v>
      </c>
      <c r="Z578">
        <v>55</v>
      </c>
      <c r="AA578">
        <v>35</v>
      </c>
    </row>
    <row r="579" spans="1:27" x14ac:dyDescent="0.2">
      <c r="A579" t="s">
        <v>547</v>
      </c>
      <c r="B579">
        <v>2022</v>
      </c>
      <c r="C579">
        <v>4233020016</v>
      </c>
      <c r="D579" t="s">
        <v>853</v>
      </c>
      <c r="E579" t="s">
        <v>29</v>
      </c>
      <c r="F579" t="s">
        <v>30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3</v>
      </c>
      <c r="T579">
        <v>0</v>
      </c>
      <c r="U579">
        <v>0</v>
      </c>
      <c r="V579">
        <v>0</v>
      </c>
      <c r="W579">
        <v>0</v>
      </c>
      <c r="X579">
        <v>0</v>
      </c>
      <c r="Y579" t="s">
        <v>31</v>
      </c>
      <c r="Z579">
        <v>55</v>
      </c>
      <c r="AA579">
        <v>35</v>
      </c>
    </row>
    <row r="580" spans="1:27" x14ac:dyDescent="0.2">
      <c r="A580" t="s">
        <v>547</v>
      </c>
      <c r="B580">
        <v>2022</v>
      </c>
      <c r="C580">
        <v>5051006016</v>
      </c>
      <c r="D580" t="s">
        <v>854</v>
      </c>
      <c r="E580" t="s">
        <v>29</v>
      </c>
      <c r="F580" t="s">
        <v>30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4</v>
      </c>
      <c r="T580">
        <v>0</v>
      </c>
      <c r="U580">
        <v>41</v>
      </c>
      <c r="V580">
        <v>0</v>
      </c>
      <c r="W580">
        <v>0</v>
      </c>
      <c r="X580">
        <v>0</v>
      </c>
      <c r="Y580" t="s">
        <v>31</v>
      </c>
      <c r="Z580">
        <v>55</v>
      </c>
      <c r="AA580">
        <v>35</v>
      </c>
    </row>
    <row r="581" spans="1:27" x14ac:dyDescent="0.2">
      <c r="A581" t="s">
        <v>547</v>
      </c>
      <c r="B581">
        <v>2022</v>
      </c>
      <c r="C581">
        <v>6070016015</v>
      </c>
      <c r="D581" t="s">
        <v>855</v>
      </c>
      <c r="E581" t="s">
        <v>29</v>
      </c>
      <c r="F581" t="s">
        <v>30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63</v>
      </c>
      <c r="V581">
        <v>0</v>
      </c>
      <c r="W581">
        <v>0</v>
      </c>
      <c r="X581">
        <v>0</v>
      </c>
      <c r="Y581" t="s">
        <v>31</v>
      </c>
      <c r="Z581">
        <v>55</v>
      </c>
      <c r="AA581">
        <v>35</v>
      </c>
    </row>
    <row r="582" spans="1:27" x14ac:dyDescent="0.2">
      <c r="A582" t="s">
        <v>67</v>
      </c>
      <c r="B582">
        <v>2022</v>
      </c>
      <c r="C582">
        <v>482161021</v>
      </c>
      <c r="D582" t="s">
        <v>856</v>
      </c>
      <c r="E582" t="s">
        <v>29</v>
      </c>
      <c r="F582" t="s">
        <v>30</v>
      </c>
      <c r="G582">
        <v>15</v>
      </c>
      <c r="H582">
        <v>0</v>
      </c>
      <c r="I582">
        <v>15</v>
      </c>
      <c r="J582">
        <v>0</v>
      </c>
      <c r="K582">
        <v>0</v>
      </c>
      <c r="L582">
        <v>0</v>
      </c>
      <c r="M582">
        <v>15</v>
      </c>
      <c r="N582">
        <v>0</v>
      </c>
      <c r="O582">
        <v>15</v>
      </c>
      <c r="P582">
        <v>0</v>
      </c>
      <c r="Q582">
        <v>0</v>
      </c>
      <c r="R582">
        <v>0</v>
      </c>
      <c r="S582">
        <v>15</v>
      </c>
      <c r="T582">
        <v>0</v>
      </c>
      <c r="U582">
        <v>15</v>
      </c>
      <c r="V582">
        <v>0</v>
      </c>
      <c r="W582">
        <v>0</v>
      </c>
      <c r="X582">
        <v>0</v>
      </c>
      <c r="Y582" t="s">
        <v>31</v>
      </c>
      <c r="Z582">
        <v>56</v>
      </c>
      <c r="AA582">
        <v>12</v>
      </c>
    </row>
    <row r="583" spans="1:27" x14ac:dyDescent="0.2">
      <c r="A583" t="s">
        <v>460</v>
      </c>
      <c r="B583">
        <v>2022</v>
      </c>
      <c r="C583" t="s">
        <v>461</v>
      </c>
      <c r="D583" t="s">
        <v>857</v>
      </c>
      <c r="E583" t="s">
        <v>29</v>
      </c>
      <c r="F583" t="s">
        <v>30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2</v>
      </c>
      <c r="N583">
        <v>0</v>
      </c>
      <c r="O583">
        <v>10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 t="s">
        <v>31</v>
      </c>
      <c r="Z583">
        <v>55</v>
      </c>
      <c r="AA583">
        <v>21</v>
      </c>
    </row>
    <row r="584" spans="1:27" x14ac:dyDescent="0.2">
      <c r="A584" t="s">
        <v>460</v>
      </c>
      <c r="B584">
        <v>2022</v>
      </c>
      <c r="C584" t="s">
        <v>461</v>
      </c>
      <c r="D584" t="s">
        <v>858</v>
      </c>
      <c r="E584" t="s">
        <v>29</v>
      </c>
      <c r="F584" t="s">
        <v>30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5</v>
      </c>
      <c r="N584">
        <v>0</v>
      </c>
      <c r="O584">
        <v>19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 t="s">
        <v>31</v>
      </c>
      <c r="Z584">
        <v>55</v>
      </c>
      <c r="AA584">
        <v>21</v>
      </c>
    </row>
    <row r="585" spans="1:27" x14ac:dyDescent="0.2">
      <c r="A585" t="s">
        <v>859</v>
      </c>
      <c r="B585">
        <v>2022</v>
      </c>
      <c r="C585" s="2" t="s">
        <v>860</v>
      </c>
      <c r="D585" t="s">
        <v>861</v>
      </c>
      <c r="E585" t="s">
        <v>29</v>
      </c>
      <c r="F585" t="s">
        <v>30</v>
      </c>
      <c r="G585">
        <v>58</v>
      </c>
      <c r="H585">
        <v>0</v>
      </c>
      <c r="I585">
        <v>9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 t="s">
        <v>31</v>
      </c>
      <c r="Z585">
        <v>55</v>
      </c>
      <c r="AA585">
        <v>31</v>
      </c>
    </row>
    <row r="586" spans="1:27" x14ac:dyDescent="0.2">
      <c r="A586" t="s">
        <v>600</v>
      </c>
      <c r="B586">
        <v>2018</v>
      </c>
      <c r="C586">
        <v>3505010</v>
      </c>
      <c r="D586" t="s">
        <v>862</v>
      </c>
      <c r="E586" t="s">
        <v>29</v>
      </c>
      <c r="F586" t="s">
        <v>30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 t="s">
        <v>51</v>
      </c>
      <c r="AA586">
        <v>0</v>
      </c>
    </row>
    <row r="587" spans="1:27" x14ac:dyDescent="0.2">
      <c r="A587" t="s">
        <v>600</v>
      </c>
      <c r="B587">
        <v>2018</v>
      </c>
      <c r="C587">
        <v>4058002</v>
      </c>
      <c r="D587" t="s">
        <v>863</v>
      </c>
      <c r="E587" t="s">
        <v>29</v>
      </c>
      <c r="F587" t="s">
        <v>41</v>
      </c>
      <c r="G587">
        <v>0</v>
      </c>
      <c r="H587">
        <v>0</v>
      </c>
      <c r="I587">
        <v>0</v>
      </c>
      <c r="J587">
        <v>0</v>
      </c>
      <c r="K587">
        <v>3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 t="s">
        <v>51</v>
      </c>
      <c r="AA587">
        <v>0</v>
      </c>
    </row>
    <row r="588" spans="1:27" x14ac:dyDescent="0.2">
      <c r="A588" t="s">
        <v>600</v>
      </c>
      <c r="B588">
        <v>2018</v>
      </c>
      <c r="C588">
        <v>3808004</v>
      </c>
      <c r="D588" t="s">
        <v>864</v>
      </c>
      <c r="E588" t="s">
        <v>29</v>
      </c>
      <c r="F588" t="s">
        <v>30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 t="s">
        <v>51</v>
      </c>
      <c r="AA588">
        <v>0</v>
      </c>
    </row>
    <row r="589" spans="1:27" x14ac:dyDescent="0.2">
      <c r="A589" t="s">
        <v>600</v>
      </c>
      <c r="B589">
        <v>2018</v>
      </c>
      <c r="C589">
        <v>3553008</v>
      </c>
      <c r="D589" t="s">
        <v>865</v>
      </c>
      <c r="E589" t="s">
        <v>29</v>
      </c>
      <c r="F589" t="s">
        <v>30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 t="s">
        <v>51</v>
      </c>
      <c r="AA589">
        <v>0</v>
      </c>
    </row>
    <row r="590" spans="1:27" x14ac:dyDescent="0.2">
      <c r="A590" t="s">
        <v>600</v>
      </c>
      <c r="B590">
        <v>2018</v>
      </c>
      <c r="C590">
        <v>3560006</v>
      </c>
      <c r="D590" t="s">
        <v>866</v>
      </c>
      <c r="E590" t="s">
        <v>29</v>
      </c>
      <c r="F590" t="s">
        <v>30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5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 t="s">
        <v>51</v>
      </c>
      <c r="AA590">
        <v>0</v>
      </c>
    </row>
    <row r="591" spans="1:27" x14ac:dyDescent="0.2">
      <c r="A591" t="s">
        <v>600</v>
      </c>
      <c r="B591">
        <v>2018</v>
      </c>
      <c r="C591">
        <v>1410021</v>
      </c>
      <c r="D591" t="s">
        <v>867</v>
      </c>
      <c r="E591" t="s">
        <v>29</v>
      </c>
      <c r="F591" t="s">
        <v>30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 t="s">
        <v>51</v>
      </c>
      <c r="AA591">
        <v>0</v>
      </c>
    </row>
    <row r="592" spans="1:27" x14ac:dyDescent="0.2">
      <c r="A592" t="s">
        <v>600</v>
      </c>
      <c r="B592">
        <v>2018</v>
      </c>
      <c r="C592">
        <v>3751029</v>
      </c>
      <c r="D592" t="s">
        <v>868</v>
      </c>
      <c r="E592" t="s">
        <v>29</v>
      </c>
      <c r="F592" t="s">
        <v>30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9</v>
      </c>
      <c r="V592">
        <v>0</v>
      </c>
      <c r="W592">
        <v>0</v>
      </c>
      <c r="X592">
        <v>0</v>
      </c>
      <c r="Y592" t="s">
        <v>51</v>
      </c>
      <c r="AA592">
        <v>0</v>
      </c>
    </row>
    <row r="593" spans="1:27" x14ac:dyDescent="0.2">
      <c r="A593" t="s">
        <v>600</v>
      </c>
      <c r="B593">
        <v>2018</v>
      </c>
      <c r="C593" t="s">
        <v>869</v>
      </c>
      <c r="D593" t="s">
        <v>870</v>
      </c>
      <c r="E593" t="s">
        <v>29</v>
      </c>
      <c r="F593" t="s">
        <v>30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7</v>
      </c>
      <c r="V593">
        <v>0</v>
      </c>
      <c r="W593">
        <v>0</v>
      </c>
      <c r="X593">
        <v>0</v>
      </c>
      <c r="Y593" t="s">
        <v>51</v>
      </c>
      <c r="AA593">
        <v>0</v>
      </c>
    </row>
    <row r="594" spans="1:27" x14ac:dyDescent="0.2">
      <c r="A594" t="s">
        <v>600</v>
      </c>
      <c r="B594">
        <v>2018</v>
      </c>
      <c r="C594">
        <v>8715004</v>
      </c>
      <c r="D594" t="s">
        <v>871</v>
      </c>
      <c r="E594" t="s">
        <v>29</v>
      </c>
      <c r="F594" t="s">
        <v>30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 t="s">
        <v>51</v>
      </c>
      <c r="AA594">
        <v>0</v>
      </c>
    </row>
    <row r="595" spans="1:27" x14ac:dyDescent="0.2">
      <c r="A595" t="s">
        <v>872</v>
      </c>
      <c r="B595">
        <v>2022</v>
      </c>
      <c r="C595" t="s">
        <v>873</v>
      </c>
      <c r="D595" t="s">
        <v>874</v>
      </c>
      <c r="E595" t="s">
        <v>29</v>
      </c>
      <c r="F595" t="s">
        <v>30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51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 t="s">
        <v>31</v>
      </c>
      <c r="AA595">
        <v>80</v>
      </c>
    </row>
    <row r="596" spans="1:27" x14ac:dyDescent="0.2">
      <c r="A596" t="s">
        <v>872</v>
      </c>
      <c r="B596">
        <v>2022</v>
      </c>
      <c r="C596" t="s">
        <v>873</v>
      </c>
      <c r="D596" t="s">
        <v>875</v>
      </c>
      <c r="E596" t="s">
        <v>29</v>
      </c>
      <c r="F596" t="s">
        <v>30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21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 t="s">
        <v>31</v>
      </c>
      <c r="AA596">
        <v>80</v>
      </c>
    </row>
    <row r="597" spans="1:27" x14ac:dyDescent="0.2">
      <c r="A597" t="s">
        <v>876</v>
      </c>
      <c r="B597">
        <v>2023</v>
      </c>
      <c r="C597">
        <v>41208065</v>
      </c>
      <c r="D597" t="s">
        <v>877</v>
      </c>
      <c r="E597" t="s">
        <v>29</v>
      </c>
      <c r="F597" t="s">
        <v>30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7</v>
      </c>
      <c r="T597">
        <v>0</v>
      </c>
      <c r="U597">
        <v>0</v>
      </c>
      <c r="V597">
        <v>0</v>
      </c>
      <c r="W597">
        <v>0</v>
      </c>
      <c r="X597">
        <v>0</v>
      </c>
      <c r="Y597" t="s">
        <v>31</v>
      </c>
      <c r="Z597">
        <v>55</v>
      </c>
      <c r="AA597">
        <v>25</v>
      </c>
    </row>
    <row r="598" spans="1:27" x14ac:dyDescent="0.2">
      <c r="A598" t="s">
        <v>876</v>
      </c>
      <c r="B598">
        <v>2023</v>
      </c>
      <c r="C598">
        <v>41208061</v>
      </c>
      <c r="D598" t="s">
        <v>878</v>
      </c>
      <c r="E598" t="s">
        <v>29</v>
      </c>
      <c r="F598" t="s">
        <v>41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0</v>
      </c>
      <c r="O598">
        <v>1</v>
      </c>
      <c r="P598">
        <v>0</v>
      </c>
      <c r="Q598">
        <v>0</v>
      </c>
      <c r="R598">
        <v>0</v>
      </c>
      <c r="S598">
        <v>1</v>
      </c>
      <c r="T598">
        <v>0</v>
      </c>
      <c r="U598">
        <v>1</v>
      </c>
      <c r="V598">
        <v>0</v>
      </c>
      <c r="W598">
        <v>0</v>
      </c>
      <c r="X598">
        <v>0</v>
      </c>
      <c r="Y598" t="s">
        <v>31</v>
      </c>
      <c r="Z598">
        <v>0</v>
      </c>
      <c r="AA598">
        <v>25</v>
      </c>
    </row>
    <row r="599" spans="1:27" x14ac:dyDescent="0.2">
      <c r="A599" t="s">
        <v>251</v>
      </c>
      <c r="B599">
        <v>2022</v>
      </c>
      <c r="C599" t="s">
        <v>252</v>
      </c>
      <c r="D599" t="s">
        <v>346</v>
      </c>
      <c r="E599" t="s">
        <v>29</v>
      </c>
      <c r="F599" t="s">
        <v>30</v>
      </c>
      <c r="G599">
        <v>16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16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 t="s">
        <v>31</v>
      </c>
      <c r="Z599">
        <v>55</v>
      </c>
      <c r="AA599">
        <v>20</v>
      </c>
    </row>
    <row r="600" spans="1:27" x14ac:dyDescent="0.2">
      <c r="A600" t="s">
        <v>876</v>
      </c>
      <c r="B600">
        <v>2023</v>
      </c>
      <c r="C600">
        <v>27930043</v>
      </c>
      <c r="D600" t="s">
        <v>879</v>
      </c>
      <c r="E600" t="s">
        <v>29</v>
      </c>
      <c r="F600" t="s">
        <v>30</v>
      </c>
      <c r="G600">
        <v>20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 t="s">
        <v>31</v>
      </c>
      <c r="Z600">
        <v>45</v>
      </c>
      <c r="AA600">
        <v>35</v>
      </c>
    </row>
    <row r="601" spans="1:27" x14ac:dyDescent="0.2">
      <c r="A601" t="s">
        <v>457</v>
      </c>
      <c r="B601">
        <v>2022</v>
      </c>
      <c r="C601" t="s">
        <v>880</v>
      </c>
      <c r="D601" t="s">
        <v>881</v>
      </c>
      <c r="E601" t="s">
        <v>29</v>
      </c>
      <c r="F601" t="s">
        <v>30</v>
      </c>
      <c r="G601">
        <v>0</v>
      </c>
      <c r="H601">
        <v>0</v>
      </c>
      <c r="I601">
        <v>15</v>
      </c>
      <c r="J601">
        <v>0</v>
      </c>
      <c r="K601">
        <v>0</v>
      </c>
      <c r="L601">
        <v>135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 t="s">
        <v>31</v>
      </c>
      <c r="Z601">
        <v>55</v>
      </c>
      <c r="AA601">
        <v>25</v>
      </c>
    </row>
    <row r="602" spans="1:27" x14ac:dyDescent="0.2">
      <c r="A602" t="s">
        <v>457</v>
      </c>
      <c r="B602">
        <v>2022</v>
      </c>
      <c r="C602" t="s">
        <v>632</v>
      </c>
      <c r="D602" t="s">
        <v>882</v>
      </c>
      <c r="E602" t="s">
        <v>29</v>
      </c>
      <c r="F602" t="s">
        <v>30</v>
      </c>
      <c r="G602">
        <v>0</v>
      </c>
      <c r="H602">
        <v>0</v>
      </c>
      <c r="I602">
        <v>0</v>
      </c>
      <c r="J602">
        <v>12</v>
      </c>
      <c r="K602">
        <v>0</v>
      </c>
      <c r="L602">
        <v>4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16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 t="s">
        <v>31</v>
      </c>
      <c r="Z602">
        <v>55</v>
      </c>
      <c r="AA602">
        <v>100</v>
      </c>
    </row>
    <row r="603" spans="1:27" x14ac:dyDescent="0.2">
      <c r="A603" t="s">
        <v>883</v>
      </c>
      <c r="B603">
        <v>2020</v>
      </c>
      <c r="C603" t="s">
        <v>884</v>
      </c>
      <c r="D603" t="s">
        <v>885</v>
      </c>
      <c r="E603" t="s">
        <v>29</v>
      </c>
      <c r="F603" t="s">
        <v>41</v>
      </c>
      <c r="G603">
        <v>0</v>
      </c>
      <c r="H603">
        <v>0</v>
      </c>
      <c r="I603">
        <v>29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 t="s">
        <v>51</v>
      </c>
      <c r="Z603">
        <v>45</v>
      </c>
      <c r="AA603">
        <v>0</v>
      </c>
    </row>
    <row r="604" spans="1:27" x14ac:dyDescent="0.2">
      <c r="A604" t="s">
        <v>886</v>
      </c>
      <c r="B604">
        <v>2021</v>
      </c>
      <c r="C604" t="s">
        <v>887</v>
      </c>
      <c r="D604" t="s">
        <v>888</v>
      </c>
      <c r="E604" t="s">
        <v>29</v>
      </c>
      <c r="F604" t="s">
        <v>30</v>
      </c>
      <c r="G604">
        <v>7</v>
      </c>
      <c r="H604">
        <v>0</v>
      </c>
      <c r="I604">
        <v>135</v>
      </c>
      <c r="J604">
        <v>0</v>
      </c>
      <c r="K604">
        <v>37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 t="s">
        <v>31</v>
      </c>
      <c r="Z604">
        <v>55</v>
      </c>
      <c r="AA604" s="2" t="s">
        <v>889</v>
      </c>
    </row>
    <row r="605" spans="1:27" x14ac:dyDescent="0.2">
      <c r="A605" t="s">
        <v>890</v>
      </c>
      <c r="B605">
        <v>2021</v>
      </c>
      <c r="C605">
        <v>63231240</v>
      </c>
      <c r="D605" t="s">
        <v>891</v>
      </c>
      <c r="E605" t="s">
        <v>29</v>
      </c>
      <c r="F605" t="s">
        <v>30</v>
      </c>
      <c r="G605">
        <v>10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 t="s">
        <v>31</v>
      </c>
      <c r="Z605">
        <v>1000</v>
      </c>
      <c r="AA605">
        <v>50</v>
      </c>
    </row>
    <row r="606" spans="1:27" x14ac:dyDescent="0.2">
      <c r="A606" t="s">
        <v>278</v>
      </c>
      <c r="B606">
        <v>2022</v>
      </c>
      <c r="C606" t="s">
        <v>892</v>
      </c>
      <c r="D606" t="s">
        <v>893</v>
      </c>
      <c r="E606" t="s">
        <v>29</v>
      </c>
      <c r="F606" t="s">
        <v>41</v>
      </c>
      <c r="G606">
        <v>0</v>
      </c>
      <c r="H606">
        <v>0</v>
      </c>
      <c r="I606">
        <v>10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 t="s">
        <v>31</v>
      </c>
      <c r="Z606">
        <v>1000</v>
      </c>
      <c r="AA606">
        <v>50</v>
      </c>
    </row>
    <row r="607" spans="1:27" x14ac:dyDescent="0.2">
      <c r="A607" t="s">
        <v>894</v>
      </c>
      <c r="B607">
        <v>2023</v>
      </c>
      <c r="C607" s="2" t="s">
        <v>895</v>
      </c>
      <c r="D607" t="s">
        <v>896</v>
      </c>
      <c r="E607" t="s">
        <v>29</v>
      </c>
      <c r="F607" t="s">
        <v>30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17</v>
      </c>
      <c r="T607">
        <v>0</v>
      </c>
      <c r="U607">
        <v>0</v>
      </c>
      <c r="V607">
        <v>0</v>
      </c>
      <c r="W607">
        <v>0</v>
      </c>
      <c r="X607">
        <v>0</v>
      </c>
      <c r="Y607" t="s">
        <v>31</v>
      </c>
      <c r="Z607">
        <v>1000</v>
      </c>
      <c r="AA607">
        <v>20</v>
      </c>
    </row>
    <row r="608" spans="1:27" x14ac:dyDescent="0.2">
      <c r="A608" t="s">
        <v>894</v>
      </c>
      <c r="B608">
        <v>2023</v>
      </c>
      <c r="C608" s="2" t="s">
        <v>895</v>
      </c>
      <c r="D608" t="s">
        <v>896</v>
      </c>
      <c r="E608" t="s">
        <v>29</v>
      </c>
      <c r="F608" t="s">
        <v>30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1</v>
      </c>
      <c r="T608">
        <v>0</v>
      </c>
      <c r="U608">
        <v>19</v>
      </c>
      <c r="V608">
        <v>0</v>
      </c>
      <c r="W608">
        <v>0</v>
      </c>
      <c r="X608">
        <v>0</v>
      </c>
      <c r="Y608" t="s">
        <v>31</v>
      </c>
      <c r="Z608">
        <v>1000</v>
      </c>
      <c r="AA608">
        <v>20</v>
      </c>
    </row>
    <row r="609" spans="1:27" x14ac:dyDescent="0.2">
      <c r="A609" t="s">
        <v>318</v>
      </c>
      <c r="B609">
        <v>2019</v>
      </c>
      <c r="C609">
        <v>20429035</v>
      </c>
      <c r="D609" t="s">
        <v>897</v>
      </c>
      <c r="E609" t="s">
        <v>29</v>
      </c>
      <c r="F609" t="s">
        <v>30</v>
      </c>
      <c r="G609">
        <v>0</v>
      </c>
      <c r="H609">
        <v>0</v>
      </c>
      <c r="I609">
        <v>0</v>
      </c>
      <c r="J609">
        <v>0</v>
      </c>
      <c r="K609">
        <v>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 t="s">
        <v>51</v>
      </c>
      <c r="Z609">
        <v>30</v>
      </c>
      <c r="AA609">
        <v>0</v>
      </c>
    </row>
    <row r="610" spans="1:27" x14ac:dyDescent="0.2">
      <c r="A610" t="s">
        <v>524</v>
      </c>
      <c r="B610">
        <v>2022</v>
      </c>
      <c r="C610" t="s">
        <v>898</v>
      </c>
      <c r="D610" t="s">
        <v>899</v>
      </c>
      <c r="E610" t="s">
        <v>29</v>
      </c>
      <c r="F610" t="s">
        <v>30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 t="s">
        <v>51</v>
      </c>
      <c r="Z610">
        <v>55</v>
      </c>
      <c r="AA610">
        <v>0</v>
      </c>
    </row>
    <row r="611" spans="1:27" x14ac:dyDescent="0.2">
      <c r="A611" t="s">
        <v>587</v>
      </c>
      <c r="B611">
        <v>2023</v>
      </c>
      <c r="C611" t="s">
        <v>588</v>
      </c>
      <c r="D611" t="s">
        <v>589</v>
      </c>
      <c r="E611" t="s">
        <v>29</v>
      </c>
      <c r="F611" t="s">
        <v>41</v>
      </c>
      <c r="G611">
        <v>2</v>
      </c>
      <c r="H611">
        <v>0</v>
      </c>
      <c r="I611">
        <v>0</v>
      </c>
      <c r="J611">
        <v>0</v>
      </c>
      <c r="K611">
        <v>2</v>
      </c>
      <c r="L611">
        <v>0</v>
      </c>
      <c r="M611">
        <v>2</v>
      </c>
      <c r="N611">
        <v>0</v>
      </c>
      <c r="O611">
        <v>0</v>
      </c>
      <c r="P611">
        <v>0</v>
      </c>
      <c r="Q611">
        <v>2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 t="s">
        <v>51</v>
      </c>
      <c r="Z611">
        <v>45</v>
      </c>
      <c r="AA611">
        <v>0</v>
      </c>
    </row>
    <row r="612" spans="1:27" x14ac:dyDescent="0.2">
      <c r="A612" t="s">
        <v>460</v>
      </c>
      <c r="B612">
        <v>2022</v>
      </c>
      <c r="C612" t="s">
        <v>461</v>
      </c>
      <c r="D612" t="s">
        <v>900</v>
      </c>
      <c r="E612" t="s">
        <v>29</v>
      </c>
      <c r="F612" t="s">
        <v>30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3</v>
      </c>
      <c r="N612">
        <v>0</v>
      </c>
      <c r="O612">
        <v>13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 t="s">
        <v>31</v>
      </c>
      <c r="Z612">
        <v>55</v>
      </c>
      <c r="AA612">
        <v>21</v>
      </c>
    </row>
    <row r="613" spans="1:27" x14ac:dyDescent="0.2">
      <c r="A613" t="s">
        <v>460</v>
      </c>
      <c r="B613">
        <v>2022</v>
      </c>
      <c r="C613" t="s">
        <v>461</v>
      </c>
      <c r="D613" t="s">
        <v>901</v>
      </c>
      <c r="E613" t="s">
        <v>29</v>
      </c>
      <c r="F613" t="s">
        <v>30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5</v>
      </c>
      <c r="N613">
        <v>0</v>
      </c>
      <c r="O613">
        <v>19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 t="s">
        <v>31</v>
      </c>
      <c r="Z613">
        <v>55</v>
      </c>
      <c r="AA613">
        <v>21</v>
      </c>
    </row>
    <row r="614" spans="1:27" x14ac:dyDescent="0.2">
      <c r="A614" t="s">
        <v>460</v>
      </c>
      <c r="B614">
        <v>2022</v>
      </c>
      <c r="C614" t="s">
        <v>465</v>
      </c>
      <c r="D614" t="s">
        <v>902</v>
      </c>
      <c r="E614" t="s">
        <v>29</v>
      </c>
      <c r="F614" t="s">
        <v>30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24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 t="s">
        <v>31</v>
      </c>
      <c r="Z614">
        <v>55</v>
      </c>
      <c r="AA614">
        <v>33</v>
      </c>
    </row>
    <row r="615" spans="1:27" x14ac:dyDescent="0.2">
      <c r="A615" t="s">
        <v>460</v>
      </c>
      <c r="B615">
        <v>2022</v>
      </c>
      <c r="C615" t="s">
        <v>465</v>
      </c>
      <c r="D615" t="s">
        <v>903</v>
      </c>
      <c r="E615" t="s">
        <v>29</v>
      </c>
      <c r="F615" t="s">
        <v>30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16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 t="s">
        <v>31</v>
      </c>
      <c r="Z615">
        <v>55</v>
      </c>
      <c r="AA615">
        <v>33</v>
      </c>
    </row>
    <row r="616" spans="1:27" x14ac:dyDescent="0.2">
      <c r="A616" t="s">
        <v>904</v>
      </c>
      <c r="B616">
        <v>2022</v>
      </c>
      <c r="C616" t="s">
        <v>905</v>
      </c>
      <c r="D616" t="s">
        <v>906</v>
      </c>
      <c r="E616" t="s">
        <v>29</v>
      </c>
      <c r="F616" t="s">
        <v>30</v>
      </c>
      <c r="G616">
        <v>0</v>
      </c>
      <c r="H616">
        <v>0</v>
      </c>
      <c r="I616">
        <v>1</v>
      </c>
      <c r="J616">
        <v>0</v>
      </c>
      <c r="K616">
        <v>0</v>
      </c>
      <c r="L616">
        <v>7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 t="s">
        <v>31</v>
      </c>
      <c r="Z616">
        <v>55</v>
      </c>
      <c r="AA616">
        <v>11</v>
      </c>
    </row>
    <row r="617" spans="1:27" x14ac:dyDescent="0.2">
      <c r="A617" t="s">
        <v>622</v>
      </c>
      <c r="B617">
        <v>2021</v>
      </c>
      <c r="C617" t="s">
        <v>623</v>
      </c>
      <c r="D617" t="s">
        <v>907</v>
      </c>
      <c r="E617" t="s">
        <v>29</v>
      </c>
      <c r="F617" t="s">
        <v>30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1</v>
      </c>
      <c r="T617">
        <v>0</v>
      </c>
      <c r="U617">
        <v>0</v>
      </c>
      <c r="V617">
        <v>0</v>
      </c>
      <c r="W617">
        <v>0</v>
      </c>
      <c r="X617">
        <v>0</v>
      </c>
      <c r="Y617" t="s">
        <v>51</v>
      </c>
      <c r="AA617">
        <v>0</v>
      </c>
    </row>
    <row r="618" spans="1:27" x14ac:dyDescent="0.2">
      <c r="A618" t="s">
        <v>622</v>
      </c>
      <c r="B618">
        <v>2021</v>
      </c>
      <c r="C618" t="s">
        <v>623</v>
      </c>
      <c r="D618" t="s">
        <v>908</v>
      </c>
      <c r="E618" t="s">
        <v>29</v>
      </c>
      <c r="F618" t="s">
        <v>30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10</v>
      </c>
      <c r="T618">
        <v>0</v>
      </c>
      <c r="U618">
        <v>0</v>
      </c>
      <c r="V618">
        <v>0</v>
      </c>
      <c r="W618">
        <v>0</v>
      </c>
      <c r="X618">
        <v>0</v>
      </c>
      <c r="Y618" t="s">
        <v>51</v>
      </c>
      <c r="AA618">
        <v>0</v>
      </c>
    </row>
    <row r="619" spans="1:27" x14ac:dyDescent="0.2">
      <c r="A619" t="s">
        <v>622</v>
      </c>
      <c r="B619">
        <v>2021</v>
      </c>
      <c r="C619" t="s">
        <v>909</v>
      </c>
      <c r="D619" t="s">
        <v>910</v>
      </c>
      <c r="E619" t="s">
        <v>29</v>
      </c>
      <c r="F619" t="s">
        <v>30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29</v>
      </c>
      <c r="T619">
        <v>0</v>
      </c>
      <c r="U619">
        <v>14</v>
      </c>
      <c r="V619">
        <v>0</v>
      </c>
      <c r="W619">
        <v>0</v>
      </c>
      <c r="X619">
        <v>0</v>
      </c>
      <c r="Y619" t="s">
        <v>51</v>
      </c>
      <c r="AA619">
        <v>0</v>
      </c>
    </row>
    <row r="620" spans="1:27" x14ac:dyDescent="0.2">
      <c r="A620" t="s">
        <v>524</v>
      </c>
      <c r="B620">
        <v>2020</v>
      </c>
      <c r="C620">
        <v>61422370</v>
      </c>
      <c r="D620" t="s">
        <v>911</v>
      </c>
      <c r="E620" t="s">
        <v>29</v>
      </c>
      <c r="F620" t="s">
        <v>30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5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 t="s">
        <v>51</v>
      </c>
      <c r="AA620">
        <v>0</v>
      </c>
    </row>
    <row r="621" spans="1:27" x14ac:dyDescent="0.2">
      <c r="A621" t="s">
        <v>912</v>
      </c>
      <c r="B621">
        <v>2019</v>
      </c>
      <c r="C621" t="s">
        <v>913</v>
      </c>
      <c r="D621" t="s">
        <v>914</v>
      </c>
      <c r="E621" t="s">
        <v>29</v>
      </c>
      <c r="F621" t="s">
        <v>30</v>
      </c>
      <c r="G621">
        <v>0</v>
      </c>
      <c r="H621">
        <v>0</v>
      </c>
      <c r="I621">
        <v>24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24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24</v>
      </c>
      <c r="V621">
        <v>0</v>
      </c>
      <c r="W621">
        <v>0</v>
      </c>
      <c r="X621">
        <v>0</v>
      </c>
      <c r="Y621" t="s">
        <v>31</v>
      </c>
      <c r="Z621">
        <v>30</v>
      </c>
      <c r="AA621">
        <v>0</v>
      </c>
    </row>
    <row r="622" spans="1:27" x14ac:dyDescent="0.2">
      <c r="A622" t="s">
        <v>600</v>
      </c>
      <c r="B622">
        <v>2018</v>
      </c>
      <c r="C622">
        <v>3767305</v>
      </c>
      <c r="D622" t="s">
        <v>915</v>
      </c>
      <c r="E622" t="s">
        <v>29</v>
      </c>
      <c r="F622" t="s">
        <v>30</v>
      </c>
      <c r="G622">
        <v>0</v>
      </c>
      <c r="H622">
        <v>0</v>
      </c>
      <c r="I622">
        <v>19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 t="s">
        <v>51</v>
      </c>
      <c r="AA622">
        <v>0</v>
      </c>
    </row>
    <row r="623" spans="1:27" x14ac:dyDescent="0.2">
      <c r="A623" t="s">
        <v>600</v>
      </c>
      <c r="B623">
        <v>2018</v>
      </c>
      <c r="C623">
        <v>3753070</v>
      </c>
      <c r="D623" t="s">
        <v>916</v>
      </c>
      <c r="E623" t="s">
        <v>29</v>
      </c>
      <c r="F623" t="s">
        <v>30</v>
      </c>
      <c r="G623">
        <v>0</v>
      </c>
      <c r="H623">
        <v>0</v>
      </c>
      <c r="I623">
        <v>3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 t="s">
        <v>51</v>
      </c>
      <c r="AA623">
        <v>0</v>
      </c>
    </row>
    <row r="624" spans="1:27" x14ac:dyDescent="0.2">
      <c r="A624" t="s">
        <v>600</v>
      </c>
      <c r="B624">
        <v>2018</v>
      </c>
      <c r="C624">
        <v>1018012</v>
      </c>
      <c r="D624" t="s">
        <v>917</v>
      </c>
      <c r="E624" t="s">
        <v>29</v>
      </c>
      <c r="F624" t="s">
        <v>30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 t="s">
        <v>51</v>
      </c>
      <c r="AA624">
        <v>0</v>
      </c>
    </row>
    <row r="625" spans="1:27" x14ac:dyDescent="0.2">
      <c r="A625" t="s">
        <v>600</v>
      </c>
      <c r="B625">
        <v>2018</v>
      </c>
      <c r="C625">
        <v>3521022</v>
      </c>
      <c r="D625" t="s">
        <v>918</v>
      </c>
      <c r="E625" t="s">
        <v>29</v>
      </c>
      <c r="F625" t="s">
        <v>30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27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 t="s">
        <v>31</v>
      </c>
      <c r="AA625">
        <v>0</v>
      </c>
    </row>
    <row r="626" spans="1:27" x14ac:dyDescent="0.2">
      <c r="A626" t="s">
        <v>600</v>
      </c>
      <c r="B626">
        <v>2018</v>
      </c>
      <c r="C626">
        <v>3953002</v>
      </c>
      <c r="D626" t="s">
        <v>919</v>
      </c>
      <c r="E626" t="s">
        <v>29</v>
      </c>
      <c r="F626" t="s">
        <v>30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25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 t="s">
        <v>51</v>
      </c>
      <c r="AA626">
        <v>0</v>
      </c>
    </row>
    <row r="627" spans="1:27" x14ac:dyDescent="0.2">
      <c r="A627" t="s">
        <v>600</v>
      </c>
      <c r="B627">
        <v>2018</v>
      </c>
      <c r="C627" t="s">
        <v>920</v>
      </c>
      <c r="D627" t="s">
        <v>921</v>
      </c>
      <c r="E627" t="s">
        <v>29</v>
      </c>
      <c r="F627" t="s">
        <v>30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 t="s">
        <v>51</v>
      </c>
      <c r="AA627">
        <v>0</v>
      </c>
    </row>
    <row r="628" spans="1:27" x14ac:dyDescent="0.2">
      <c r="A628" t="s">
        <v>600</v>
      </c>
      <c r="B628">
        <v>2018</v>
      </c>
      <c r="C628" s="2" t="s">
        <v>922</v>
      </c>
      <c r="D628" t="s">
        <v>923</v>
      </c>
      <c r="E628" t="s">
        <v>29</v>
      </c>
      <c r="F628" t="s">
        <v>30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 t="s">
        <v>51</v>
      </c>
      <c r="AA628">
        <v>0</v>
      </c>
    </row>
    <row r="629" spans="1:27" x14ac:dyDescent="0.2">
      <c r="A629" t="s">
        <v>600</v>
      </c>
      <c r="B629">
        <v>2018</v>
      </c>
      <c r="C629">
        <v>3615055</v>
      </c>
      <c r="D629" t="s">
        <v>924</v>
      </c>
      <c r="E629" t="s">
        <v>29</v>
      </c>
      <c r="F629" t="s">
        <v>30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 t="s">
        <v>51</v>
      </c>
      <c r="AA629">
        <v>0</v>
      </c>
    </row>
    <row r="630" spans="1:27" x14ac:dyDescent="0.2">
      <c r="A630" t="s">
        <v>600</v>
      </c>
      <c r="B630">
        <v>2018</v>
      </c>
      <c r="C630">
        <v>2081001</v>
      </c>
      <c r="D630" t="s">
        <v>925</v>
      </c>
      <c r="E630" t="s">
        <v>29</v>
      </c>
      <c r="F630" t="s">
        <v>30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 t="s">
        <v>51</v>
      </c>
      <c r="AA630">
        <v>0</v>
      </c>
    </row>
    <row r="631" spans="1:27" x14ac:dyDescent="0.2">
      <c r="A631" t="s">
        <v>600</v>
      </c>
      <c r="B631">
        <v>2018</v>
      </c>
      <c r="C631">
        <v>3509024</v>
      </c>
      <c r="D631" t="s">
        <v>926</v>
      </c>
      <c r="E631" t="s">
        <v>29</v>
      </c>
      <c r="F631" t="s">
        <v>30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 t="s">
        <v>51</v>
      </c>
      <c r="AA631">
        <v>0</v>
      </c>
    </row>
    <row r="632" spans="1:27" x14ac:dyDescent="0.2">
      <c r="A632" t="s">
        <v>670</v>
      </c>
      <c r="B632">
        <v>2022</v>
      </c>
      <c r="C632">
        <v>4015029004</v>
      </c>
      <c r="D632" t="s">
        <v>927</v>
      </c>
      <c r="E632" t="s">
        <v>29</v>
      </c>
      <c r="F632" t="s">
        <v>30</v>
      </c>
      <c r="G632">
        <v>7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7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 t="s">
        <v>31</v>
      </c>
      <c r="Z632">
        <v>55</v>
      </c>
      <c r="AA632">
        <v>20</v>
      </c>
    </row>
    <row r="633" spans="1:27" x14ac:dyDescent="0.2">
      <c r="A633" t="s">
        <v>928</v>
      </c>
      <c r="B633">
        <v>2021</v>
      </c>
      <c r="C633" t="s">
        <v>929</v>
      </c>
      <c r="D633" t="s">
        <v>930</v>
      </c>
      <c r="E633" t="s">
        <v>29</v>
      </c>
      <c r="F633" t="s">
        <v>41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1</v>
      </c>
      <c r="T633">
        <v>0</v>
      </c>
      <c r="U633">
        <v>0</v>
      </c>
      <c r="V633">
        <v>0</v>
      </c>
      <c r="W633">
        <v>0</v>
      </c>
      <c r="X633">
        <v>0</v>
      </c>
      <c r="Y633" t="s">
        <v>51</v>
      </c>
      <c r="Z633">
        <v>50</v>
      </c>
      <c r="AA633">
        <v>0</v>
      </c>
    </row>
    <row r="634" spans="1:27" x14ac:dyDescent="0.2">
      <c r="A634" t="s">
        <v>928</v>
      </c>
      <c r="B634">
        <v>2021</v>
      </c>
      <c r="C634" t="s">
        <v>931</v>
      </c>
      <c r="D634" t="s">
        <v>932</v>
      </c>
      <c r="E634" t="s">
        <v>29</v>
      </c>
      <c r="F634" t="s">
        <v>41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1</v>
      </c>
      <c r="T634">
        <v>0</v>
      </c>
      <c r="U634">
        <v>0</v>
      </c>
      <c r="V634">
        <v>0</v>
      </c>
      <c r="W634">
        <v>0</v>
      </c>
      <c r="X634">
        <v>0</v>
      </c>
      <c r="Y634" t="s">
        <v>51</v>
      </c>
      <c r="Z634">
        <v>50</v>
      </c>
      <c r="AA634">
        <v>0</v>
      </c>
    </row>
    <row r="635" spans="1:27" x14ac:dyDescent="0.2">
      <c r="A635" t="s">
        <v>928</v>
      </c>
      <c r="B635">
        <v>2021</v>
      </c>
      <c r="C635" t="s">
        <v>933</v>
      </c>
      <c r="D635" t="s">
        <v>934</v>
      </c>
      <c r="E635" t="s">
        <v>29</v>
      </c>
      <c r="F635" t="s">
        <v>41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1</v>
      </c>
      <c r="T635">
        <v>0</v>
      </c>
      <c r="U635">
        <v>0</v>
      </c>
      <c r="V635">
        <v>0</v>
      </c>
      <c r="W635">
        <v>0</v>
      </c>
      <c r="X635">
        <v>0</v>
      </c>
      <c r="Y635" t="s">
        <v>51</v>
      </c>
      <c r="Z635">
        <v>50</v>
      </c>
      <c r="AA635">
        <v>0</v>
      </c>
    </row>
    <row r="636" spans="1:27" x14ac:dyDescent="0.2">
      <c r="A636" t="s">
        <v>928</v>
      </c>
      <c r="B636">
        <v>2021</v>
      </c>
      <c r="C636" t="s">
        <v>935</v>
      </c>
      <c r="D636" t="s">
        <v>936</v>
      </c>
      <c r="E636" t="s">
        <v>29</v>
      </c>
      <c r="F636" t="s">
        <v>41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 t="s">
        <v>51</v>
      </c>
      <c r="Z636">
        <v>50</v>
      </c>
      <c r="AA636">
        <v>0</v>
      </c>
    </row>
    <row r="637" spans="1:27" x14ac:dyDescent="0.2">
      <c r="A637" t="s">
        <v>600</v>
      </c>
      <c r="B637">
        <v>2018</v>
      </c>
      <c r="C637">
        <v>1450008</v>
      </c>
      <c r="D637" t="s">
        <v>937</v>
      </c>
      <c r="E637" t="s">
        <v>29</v>
      </c>
      <c r="F637" t="s">
        <v>41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1</v>
      </c>
      <c r="V637">
        <v>0</v>
      </c>
      <c r="W637">
        <v>4</v>
      </c>
      <c r="X637">
        <v>0</v>
      </c>
      <c r="Y637" t="s">
        <v>51</v>
      </c>
      <c r="AA637">
        <v>0</v>
      </c>
    </row>
    <row r="638" spans="1:27" x14ac:dyDescent="0.2">
      <c r="A638" t="s">
        <v>600</v>
      </c>
      <c r="B638">
        <v>2018</v>
      </c>
      <c r="C638" t="s">
        <v>938</v>
      </c>
      <c r="D638" t="s">
        <v>939</v>
      </c>
      <c r="E638" t="s">
        <v>29</v>
      </c>
      <c r="F638" t="s">
        <v>30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1</v>
      </c>
      <c r="T638">
        <v>0</v>
      </c>
      <c r="U638">
        <v>2</v>
      </c>
      <c r="V638">
        <v>0</v>
      </c>
      <c r="W638">
        <v>1</v>
      </c>
      <c r="X638">
        <v>0</v>
      </c>
      <c r="Y638" t="s">
        <v>51</v>
      </c>
      <c r="AA638">
        <v>0</v>
      </c>
    </row>
    <row r="639" spans="1:27" x14ac:dyDescent="0.2">
      <c r="A639" t="s">
        <v>600</v>
      </c>
      <c r="B639">
        <v>2018</v>
      </c>
      <c r="C639" t="s">
        <v>940</v>
      </c>
      <c r="D639" t="s">
        <v>941</v>
      </c>
      <c r="E639" t="s">
        <v>29</v>
      </c>
      <c r="F639" t="s">
        <v>30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1</v>
      </c>
      <c r="T639">
        <v>0</v>
      </c>
      <c r="U639">
        <v>2</v>
      </c>
      <c r="V639">
        <v>0</v>
      </c>
      <c r="W639">
        <v>1</v>
      </c>
      <c r="X639">
        <v>0</v>
      </c>
      <c r="Y639" t="s">
        <v>51</v>
      </c>
      <c r="AA639">
        <v>0</v>
      </c>
    </row>
    <row r="640" spans="1:27" x14ac:dyDescent="0.2">
      <c r="A640" t="s">
        <v>670</v>
      </c>
      <c r="B640">
        <v>2022</v>
      </c>
      <c r="C640">
        <v>4013009902</v>
      </c>
      <c r="D640" t="s">
        <v>942</v>
      </c>
      <c r="E640" t="s">
        <v>29</v>
      </c>
      <c r="F640" t="s">
        <v>30</v>
      </c>
      <c r="G640">
        <v>100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100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100</v>
      </c>
      <c r="T640">
        <v>0</v>
      </c>
      <c r="U640">
        <v>0</v>
      </c>
      <c r="V640">
        <v>0</v>
      </c>
      <c r="W640">
        <v>0</v>
      </c>
      <c r="X640">
        <v>0</v>
      </c>
      <c r="Y640" t="s">
        <v>31</v>
      </c>
      <c r="Z640">
        <v>55</v>
      </c>
      <c r="AA640">
        <v>100</v>
      </c>
    </row>
    <row r="641" spans="1:27" x14ac:dyDescent="0.2">
      <c r="A641" t="s">
        <v>278</v>
      </c>
      <c r="B641">
        <v>2022</v>
      </c>
      <c r="C641" t="s">
        <v>497</v>
      </c>
      <c r="D641" t="s">
        <v>498</v>
      </c>
      <c r="E641" t="s">
        <v>29</v>
      </c>
      <c r="F641" t="s">
        <v>30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36</v>
      </c>
      <c r="P641">
        <v>0</v>
      </c>
      <c r="Q641">
        <v>108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 t="s">
        <v>51</v>
      </c>
      <c r="Z641">
        <v>1000</v>
      </c>
      <c r="AA641">
        <v>0</v>
      </c>
    </row>
    <row r="642" spans="1:27" x14ac:dyDescent="0.2">
      <c r="A642" t="s">
        <v>278</v>
      </c>
      <c r="B642">
        <v>2022</v>
      </c>
      <c r="C642" t="s">
        <v>279</v>
      </c>
      <c r="D642" t="s">
        <v>280</v>
      </c>
      <c r="E642" t="s">
        <v>29</v>
      </c>
      <c r="F642" t="s">
        <v>30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3</v>
      </c>
      <c r="V642">
        <v>0</v>
      </c>
      <c r="W642">
        <v>6</v>
      </c>
      <c r="X642">
        <v>0</v>
      </c>
      <c r="Y642" t="s">
        <v>51</v>
      </c>
      <c r="AA642">
        <v>0</v>
      </c>
    </row>
    <row r="643" spans="1:27" x14ac:dyDescent="0.2">
      <c r="A643" t="s">
        <v>278</v>
      </c>
      <c r="B643">
        <v>2022</v>
      </c>
      <c r="C643" t="s">
        <v>943</v>
      </c>
      <c r="D643" t="s">
        <v>944</v>
      </c>
      <c r="E643" t="s">
        <v>29</v>
      </c>
      <c r="F643" t="s">
        <v>30</v>
      </c>
      <c r="G643">
        <v>58</v>
      </c>
      <c r="H643">
        <v>0</v>
      </c>
      <c r="I643">
        <v>26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 t="s">
        <v>31</v>
      </c>
      <c r="Z643">
        <v>55</v>
      </c>
      <c r="AA643">
        <v>1.2</v>
      </c>
    </row>
    <row r="644" spans="1:27" x14ac:dyDescent="0.2">
      <c r="A644" t="s">
        <v>547</v>
      </c>
      <c r="B644">
        <v>2022</v>
      </c>
      <c r="C644">
        <v>4252025029</v>
      </c>
      <c r="D644" t="s">
        <v>945</v>
      </c>
      <c r="E644" t="s">
        <v>29</v>
      </c>
      <c r="F644" t="s">
        <v>30</v>
      </c>
      <c r="G644">
        <v>5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 t="s">
        <v>31</v>
      </c>
      <c r="Z644">
        <v>55</v>
      </c>
      <c r="AA644">
        <v>102.5</v>
      </c>
    </row>
    <row r="645" spans="1:27" x14ac:dyDescent="0.2">
      <c r="A645" t="s">
        <v>547</v>
      </c>
      <c r="B645">
        <v>2022</v>
      </c>
      <c r="C645">
        <v>5525017024</v>
      </c>
      <c r="D645" t="s">
        <v>946</v>
      </c>
      <c r="E645" t="s">
        <v>29</v>
      </c>
      <c r="F645" t="s">
        <v>30</v>
      </c>
      <c r="G645">
        <v>6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 t="s">
        <v>31</v>
      </c>
      <c r="Z645">
        <v>55</v>
      </c>
      <c r="AA645">
        <v>35</v>
      </c>
    </row>
    <row r="646" spans="1:27" x14ac:dyDescent="0.2">
      <c r="A646" t="s">
        <v>547</v>
      </c>
      <c r="B646">
        <v>2022</v>
      </c>
      <c r="C646">
        <v>5123015401</v>
      </c>
      <c r="D646" t="s">
        <v>947</v>
      </c>
      <c r="E646" t="s">
        <v>29</v>
      </c>
      <c r="F646" t="s">
        <v>30</v>
      </c>
      <c r="G646">
        <v>0</v>
      </c>
      <c r="H646">
        <v>0</v>
      </c>
      <c r="I646">
        <v>5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 t="s">
        <v>31</v>
      </c>
      <c r="Z646">
        <v>55</v>
      </c>
      <c r="AA646">
        <v>132.5</v>
      </c>
    </row>
    <row r="647" spans="1:27" x14ac:dyDescent="0.2">
      <c r="A647" t="s">
        <v>547</v>
      </c>
      <c r="B647">
        <v>2022</v>
      </c>
      <c r="C647">
        <v>5545007028</v>
      </c>
      <c r="D647" t="s">
        <v>948</v>
      </c>
      <c r="E647" t="s">
        <v>29</v>
      </c>
      <c r="F647" t="s">
        <v>30</v>
      </c>
      <c r="G647">
        <v>14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 t="s">
        <v>31</v>
      </c>
      <c r="Z647">
        <v>55</v>
      </c>
      <c r="AA647">
        <v>23</v>
      </c>
    </row>
    <row r="648" spans="1:27" x14ac:dyDescent="0.2">
      <c r="A648" t="s">
        <v>547</v>
      </c>
      <c r="B648">
        <v>2022</v>
      </c>
      <c r="C648">
        <v>4217027004</v>
      </c>
      <c r="D648" t="s">
        <v>949</v>
      </c>
      <c r="E648" t="s">
        <v>29</v>
      </c>
      <c r="F648" t="s">
        <v>30</v>
      </c>
      <c r="G648">
        <v>2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 t="s">
        <v>31</v>
      </c>
      <c r="Z648">
        <v>55</v>
      </c>
      <c r="AA648">
        <v>35</v>
      </c>
    </row>
    <row r="649" spans="1:27" x14ac:dyDescent="0.2">
      <c r="A649" t="s">
        <v>547</v>
      </c>
      <c r="B649">
        <v>2022</v>
      </c>
      <c r="C649">
        <v>5179004065</v>
      </c>
      <c r="D649" t="s">
        <v>950</v>
      </c>
      <c r="E649" t="s">
        <v>29</v>
      </c>
      <c r="F649" t="s">
        <v>30</v>
      </c>
      <c r="G649">
        <v>4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 t="s">
        <v>31</v>
      </c>
      <c r="Z649">
        <v>55</v>
      </c>
      <c r="AA649">
        <v>10.9</v>
      </c>
    </row>
    <row r="650" spans="1:27" x14ac:dyDescent="0.2">
      <c r="A650" t="s">
        <v>547</v>
      </c>
      <c r="B650">
        <v>2022</v>
      </c>
      <c r="C650">
        <v>5077027023</v>
      </c>
      <c r="D650" t="s">
        <v>951</v>
      </c>
      <c r="E650" t="s">
        <v>29</v>
      </c>
      <c r="F650" t="s">
        <v>30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2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 t="s">
        <v>31</v>
      </c>
      <c r="Z650">
        <v>55</v>
      </c>
      <c r="AA650">
        <v>35</v>
      </c>
    </row>
    <row r="651" spans="1:27" x14ac:dyDescent="0.2">
      <c r="A651" t="s">
        <v>547</v>
      </c>
      <c r="B651">
        <v>2022</v>
      </c>
      <c r="C651">
        <v>5503015024</v>
      </c>
      <c r="D651" t="s">
        <v>952</v>
      </c>
      <c r="E651" t="s">
        <v>29</v>
      </c>
      <c r="F651" t="s">
        <v>30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9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 t="s">
        <v>31</v>
      </c>
      <c r="Z651">
        <v>55</v>
      </c>
      <c r="AA651">
        <v>35</v>
      </c>
    </row>
    <row r="652" spans="1:27" x14ac:dyDescent="0.2">
      <c r="A652" t="s">
        <v>547</v>
      </c>
      <c r="B652">
        <v>2022</v>
      </c>
      <c r="C652">
        <v>5520002030</v>
      </c>
      <c r="D652" t="s">
        <v>953</v>
      </c>
      <c r="E652" t="s">
        <v>29</v>
      </c>
      <c r="F652" t="s">
        <v>30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2</v>
      </c>
      <c r="N652">
        <v>0</v>
      </c>
      <c r="O652">
        <v>0</v>
      </c>
      <c r="P652">
        <v>0</v>
      </c>
      <c r="Q652">
        <v>14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 t="s">
        <v>31</v>
      </c>
      <c r="Z652">
        <v>55</v>
      </c>
      <c r="AA652">
        <v>35</v>
      </c>
    </row>
    <row r="653" spans="1:27" x14ac:dyDescent="0.2">
      <c r="A653" t="s">
        <v>547</v>
      </c>
      <c r="B653">
        <v>2022</v>
      </c>
      <c r="C653">
        <v>2241013030</v>
      </c>
      <c r="D653" t="s">
        <v>954</v>
      </c>
      <c r="E653" t="s">
        <v>29</v>
      </c>
      <c r="F653" t="s">
        <v>30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6</v>
      </c>
      <c r="T653">
        <v>0</v>
      </c>
      <c r="U653">
        <v>0</v>
      </c>
      <c r="V653">
        <v>0</v>
      </c>
      <c r="W653">
        <v>0</v>
      </c>
      <c r="X653">
        <v>0</v>
      </c>
      <c r="Y653" t="s">
        <v>31</v>
      </c>
      <c r="Z653">
        <v>55</v>
      </c>
      <c r="AA653">
        <v>35</v>
      </c>
    </row>
    <row r="654" spans="1:27" x14ac:dyDescent="0.2">
      <c r="A654" t="s">
        <v>547</v>
      </c>
      <c r="B654">
        <v>2022</v>
      </c>
      <c r="C654">
        <v>2786006016</v>
      </c>
      <c r="D654" t="s">
        <v>955</v>
      </c>
      <c r="E654" t="s">
        <v>29</v>
      </c>
      <c r="F654" t="s">
        <v>30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5</v>
      </c>
      <c r="T654">
        <v>0</v>
      </c>
      <c r="U654">
        <v>0</v>
      </c>
      <c r="V654">
        <v>0</v>
      </c>
      <c r="W654">
        <v>0</v>
      </c>
      <c r="X654">
        <v>0</v>
      </c>
      <c r="Y654" t="s">
        <v>31</v>
      </c>
      <c r="Z654">
        <v>55</v>
      </c>
      <c r="AA654">
        <v>35</v>
      </c>
    </row>
    <row r="655" spans="1:27" x14ac:dyDescent="0.2">
      <c r="A655" t="s">
        <v>75</v>
      </c>
      <c r="B655">
        <v>2020</v>
      </c>
      <c r="C655" t="s">
        <v>956</v>
      </c>
      <c r="D655" t="s">
        <v>957</v>
      </c>
      <c r="E655" t="s">
        <v>29</v>
      </c>
      <c r="F655" t="s">
        <v>30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 t="s">
        <v>31</v>
      </c>
      <c r="Z655">
        <v>55</v>
      </c>
      <c r="AA655">
        <v>0</v>
      </c>
    </row>
    <row r="656" spans="1:27" x14ac:dyDescent="0.2">
      <c r="A656" t="s">
        <v>75</v>
      </c>
      <c r="B656">
        <v>2020</v>
      </c>
      <c r="C656" t="s">
        <v>956</v>
      </c>
      <c r="D656" t="s">
        <v>958</v>
      </c>
      <c r="E656" t="s">
        <v>29</v>
      </c>
      <c r="F656" t="s">
        <v>30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32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 t="s">
        <v>31</v>
      </c>
      <c r="Z656">
        <v>55</v>
      </c>
      <c r="AA656">
        <v>0</v>
      </c>
    </row>
    <row r="657" spans="1:27" x14ac:dyDescent="0.2">
      <c r="A657" t="s">
        <v>959</v>
      </c>
      <c r="B657">
        <v>2022</v>
      </c>
      <c r="C657">
        <v>6102006013</v>
      </c>
      <c r="D657" t="s">
        <v>960</v>
      </c>
      <c r="E657" t="s">
        <v>29</v>
      </c>
      <c r="F657" t="s">
        <v>30</v>
      </c>
      <c r="G657">
        <v>7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 t="s">
        <v>31</v>
      </c>
      <c r="AA657">
        <v>25</v>
      </c>
    </row>
    <row r="658" spans="1:27" x14ac:dyDescent="0.2">
      <c r="A658" t="s">
        <v>600</v>
      </c>
      <c r="B658">
        <v>2018</v>
      </c>
      <c r="C658">
        <v>3755023</v>
      </c>
      <c r="D658" t="s">
        <v>961</v>
      </c>
      <c r="E658" t="s">
        <v>29</v>
      </c>
      <c r="F658" t="s">
        <v>30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 t="s">
        <v>51</v>
      </c>
      <c r="AA658">
        <v>0</v>
      </c>
    </row>
    <row r="659" spans="1:27" x14ac:dyDescent="0.2">
      <c r="A659" t="s">
        <v>600</v>
      </c>
      <c r="B659">
        <v>2018</v>
      </c>
      <c r="C659" s="2" t="s">
        <v>962</v>
      </c>
      <c r="D659" t="s">
        <v>963</v>
      </c>
      <c r="E659" t="s">
        <v>29</v>
      </c>
      <c r="F659" t="s">
        <v>30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 t="s">
        <v>51</v>
      </c>
      <c r="AA659">
        <v>0</v>
      </c>
    </row>
    <row r="660" spans="1:27" x14ac:dyDescent="0.2">
      <c r="A660" t="s">
        <v>600</v>
      </c>
      <c r="B660">
        <v>2018</v>
      </c>
      <c r="C660" s="2" t="s">
        <v>964</v>
      </c>
      <c r="D660" t="s">
        <v>965</v>
      </c>
      <c r="E660" t="s">
        <v>29</v>
      </c>
      <c r="F660" t="s">
        <v>41</v>
      </c>
      <c r="G660">
        <v>0</v>
      </c>
      <c r="H660">
        <v>0</v>
      </c>
      <c r="I660">
        <v>0</v>
      </c>
      <c r="J660">
        <v>0</v>
      </c>
      <c r="K660">
        <v>7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 t="s">
        <v>51</v>
      </c>
      <c r="AA660">
        <v>0</v>
      </c>
    </row>
    <row r="661" spans="1:27" x14ac:dyDescent="0.2">
      <c r="A661" t="s">
        <v>600</v>
      </c>
      <c r="B661">
        <v>2018</v>
      </c>
      <c r="C661" s="2" t="s">
        <v>966</v>
      </c>
      <c r="D661" t="s">
        <v>967</v>
      </c>
      <c r="E661" t="s">
        <v>29</v>
      </c>
      <c r="F661" t="s">
        <v>41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 t="s">
        <v>51</v>
      </c>
      <c r="AA661">
        <v>0</v>
      </c>
    </row>
    <row r="662" spans="1:27" x14ac:dyDescent="0.2">
      <c r="A662" t="s">
        <v>600</v>
      </c>
      <c r="B662">
        <v>2018</v>
      </c>
      <c r="C662">
        <v>3730290</v>
      </c>
      <c r="D662" t="s">
        <v>968</v>
      </c>
      <c r="E662" t="s">
        <v>29</v>
      </c>
      <c r="F662" t="s">
        <v>41</v>
      </c>
      <c r="G662">
        <v>0</v>
      </c>
      <c r="H662">
        <v>0</v>
      </c>
      <c r="I662">
        <v>0</v>
      </c>
      <c r="J662">
        <v>0</v>
      </c>
      <c r="K662">
        <v>2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 t="s">
        <v>31</v>
      </c>
      <c r="AA662">
        <v>0</v>
      </c>
    </row>
    <row r="663" spans="1:27" x14ac:dyDescent="0.2">
      <c r="A663" t="s">
        <v>600</v>
      </c>
      <c r="B663">
        <v>2018</v>
      </c>
      <c r="C663">
        <v>3506008</v>
      </c>
      <c r="D663" t="s">
        <v>969</v>
      </c>
      <c r="E663" t="s">
        <v>29</v>
      </c>
      <c r="F663" t="s">
        <v>30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110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 t="s">
        <v>51</v>
      </c>
      <c r="AA663">
        <v>0</v>
      </c>
    </row>
    <row r="664" spans="1:27" x14ac:dyDescent="0.2">
      <c r="A664" t="s">
        <v>600</v>
      </c>
      <c r="B664">
        <v>2018</v>
      </c>
      <c r="C664">
        <v>3510058</v>
      </c>
      <c r="D664" t="s">
        <v>970</v>
      </c>
      <c r="E664" t="s">
        <v>29</v>
      </c>
      <c r="F664" t="s">
        <v>30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7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 t="s">
        <v>51</v>
      </c>
      <c r="AA664">
        <v>0</v>
      </c>
    </row>
    <row r="665" spans="1:27" x14ac:dyDescent="0.2">
      <c r="A665" t="s">
        <v>600</v>
      </c>
      <c r="B665">
        <v>2018</v>
      </c>
      <c r="C665">
        <v>3755054</v>
      </c>
      <c r="D665" t="s">
        <v>971</v>
      </c>
      <c r="E665" t="s">
        <v>29</v>
      </c>
      <c r="F665" t="s">
        <v>41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6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 t="s">
        <v>51</v>
      </c>
      <c r="AA665">
        <v>0</v>
      </c>
    </row>
    <row r="666" spans="1:27" x14ac:dyDescent="0.2">
      <c r="A666" t="s">
        <v>600</v>
      </c>
      <c r="B666">
        <v>2018</v>
      </c>
      <c r="C666">
        <v>4008002</v>
      </c>
      <c r="D666" t="s">
        <v>972</v>
      </c>
      <c r="E666" t="s">
        <v>29</v>
      </c>
      <c r="F666" t="s">
        <v>30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 t="s">
        <v>51</v>
      </c>
      <c r="AA666">
        <v>0</v>
      </c>
    </row>
    <row r="667" spans="1:27" x14ac:dyDescent="0.2">
      <c r="A667" t="s">
        <v>600</v>
      </c>
      <c r="B667">
        <v>2018</v>
      </c>
      <c r="C667">
        <v>3783001</v>
      </c>
      <c r="D667" t="s">
        <v>973</v>
      </c>
      <c r="E667" t="s">
        <v>29</v>
      </c>
      <c r="F667" t="s">
        <v>30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55</v>
      </c>
      <c r="V667">
        <v>0</v>
      </c>
      <c r="W667">
        <v>0</v>
      </c>
      <c r="X667">
        <v>0</v>
      </c>
      <c r="Y667" t="s">
        <v>51</v>
      </c>
      <c r="AA667">
        <v>0</v>
      </c>
    </row>
    <row r="668" spans="1:27" x14ac:dyDescent="0.2">
      <c r="A668" t="s">
        <v>600</v>
      </c>
      <c r="B668">
        <v>2018</v>
      </c>
      <c r="C668">
        <v>4105009</v>
      </c>
      <c r="D668" t="s">
        <v>974</v>
      </c>
      <c r="E668" t="s">
        <v>29</v>
      </c>
      <c r="F668" t="s">
        <v>30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 t="s">
        <v>51</v>
      </c>
      <c r="AA668">
        <v>0</v>
      </c>
    </row>
    <row r="669" spans="1:27" x14ac:dyDescent="0.2">
      <c r="A669" t="s">
        <v>600</v>
      </c>
      <c r="B669">
        <v>2018</v>
      </c>
      <c r="C669">
        <v>3635014</v>
      </c>
      <c r="D669" t="s">
        <v>975</v>
      </c>
      <c r="E669" t="s">
        <v>29</v>
      </c>
      <c r="F669" t="s">
        <v>41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6</v>
      </c>
      <c r="X669">
        <v>0</v>
      </c>
      <c r="Y669" t="s">
        <v>51</v>
      </c>
      <c r="AA669">
        <v>0</v>
      </c>
    </row>
    <row r="670" spans="1:27" x14ac:dyDescent="0.2">
      <c r="A670" t="s">
        <v>600</v>
      </c>
      <c r="B670">
        <v>2018</v>
      </c>
      <c r="C670" t="s">
        <v>976</v>
      </c>
      <c r="D670" t="s">
        <v>977</v>
      </c>
      <c r="E670" t="s">
        <v>29</v>
      </c>
      <c r="F670" t="s">
        <v>30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3</v>
      </c>
      <c r="X670">
        <v>0</v>
      </c>
      <c r="Y670" t="s">
        <v>51</v>
      </c>
      <c r="AA670">
        <v>0</v>
      </c>
    </row>
    <row r="671" spans="1:27" x14ac:dyDescent="0.2">
      <c r="A671" t="s">
        <v>600</v>
      </c>
      <c r="B671">
        <v>2018</v>
      </c>
      <c r="C671" t="s">
        <v>978</v>
      </c>
      <c r="D671" t="s">
        <v>979</v>
      </c>
      <c r="E671" t="s">
        <v>29</v>
      </c>
      <c r="F671" t="s">
        <v>30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8</v>
      </c>
      <c r="V671">
        <v>0</v>
      </c>
      <c r="W671">
        <v>0</v>
      </c>
      <c r="X671">
        <v>0</v>
      </c>
      <c r="Y671" t="s">
        <v>51</v>
      </c>
      <c r="AA671">
        <v>0</v>
      </c>
    </row>
    <row r="672" spans="1:27" x14ac:dyDescent="0.2">
      <c r="A672" t="s">
        <v>876</v>
      </c>
      <c r="B672">
        <v>2023</v>
      </c>
      <c r="C672">
        <v>30534061</v>
      </c>
      <c r="D672" t="s">
        <v>980</v>
      </c>
      <c r="E672" t="s">
        <v>29</v>
      </c>
      <c r="F672" t="s">
        <v>30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2</v>
      </c>
      <c r="T672">
        <v>0</v>
      </c>
      <c r="U672">
        <v>0</v>
      </c>
      <c r="V672">
        <v>0</v>
      </c>
      <c r="W672">
        <v>0</v>
      </c>
      <c r="X672">
        <v>0</v>
      </c>
      <c r="Y672" t="s">
        <v>31</v>
      </c>
      <c r="Z672">
        <v>55</v>
      </c>
      <c r="AA672">
        <v>0</v>
      </c>
    </row>
    <row r="673" spans="1:27" x14ac:dyDescent="0.2">
      <c r="A673" t="s">
        <v>75</v>
      </c>
      <c r="B673">
        <v>2020</v>
      </c>
      <c r="C673" t="s">
        <v>956</v>
      </c>
      <c r="D673" t="s">
        <v>981</v>
      </c>
      <c r="E673" t="s">
        <v>29</v>
      </c>
      <c r="F673" t="s">
        <v>30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9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 t="s">
        <v>31</v>
      </c>
      <c r="Z673">
        <v>55</v>
      </c>
      <c r="AA673">
        <v>0</v>
      </c>
    </row>
    <row r="674" spans="1:27" x14ac:dyDescent="0.2">
      <c r="A674" t="s">
        <v>75</v>
      </c>
      <c r="B674">
        <v>2020</v>
      </c>
      <c r="C674" t="s">
        <v>956</v>
      </c>
      <c r="D674" t="s">
        <v>982</v>
      </c>
      <c r="E674" t="s">
        <v>29</v>
      </c>
      <c r="F674" t="s">
        <v>30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142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 t="s">
        <v>31</v>
      </c>
      <c r="Z674">
        <v>55</v>
      </c>
      <c r="AA674">
        <v>0</v>
      </c>
    </row>
    <row r="675" spans="1:27" x14ac:dyDescent="0.2">
      <c r="A675" t="s">
        <v>254</v>
      </c>
      <c r="B675">
        <v>2018</v>
      </c>
      <c r="C675" t="s">
        <v>983</v>
      </c>
      <c r="D675" t="s">
        <v>984</v>
      </c>
      <c r="E675" t="s">
        <v>29</v>
      </c>
      <c r="F675" t="s">
        <v>30</v>
      </c>
      <c r="G675">
        <v>48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48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48</v>
      </c>
      <c r="T675">
        <v>0</v>
      </c>
      <c r="U675">
        <v>0</v>
      </c>
      <c r="V675">
        <v>0</v>
      </c>
      <c r="W675">
        <v>0</v>
      </c>
      <c r="X675">
        <v>0</v>
      </c>
      <c r="Y675" t="s">
        <v>31</v>
      </c>
      <c r="Z675">
        <v>57</v>
      </c>
      <c r="AA675">
        <v>0</v>
      </c>
    </row>
    <row r="676" spans="1:27" x14ac:dyDescent="0.2">
      <c r="A676" t="s">
        <v>600</v>
      </c>
      <c r="B676">
        <v>2018</v>
      </c>
      <c r="C676">
        <v>3534058</v>
      </c>
      <c r="D676" t="s">
        <v>985</v>
      </c>
      <c r="E676" t="s">
        <v>29</v>
      </c>
      <c r="F676" t="s">
        <v>30</v>
      </c>
      <c r="G676">
        <v>0</v>
      </c>
      <c r="H676">
        <v>0</v>
      </c>
      <c r="I676">
        <v>14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 t="s">
        <v>31</v>
      </c>
      <c r="AA676">
        <v>0</v>
      </c>
    </row>
    <row r="677" spans="1:27" x14ac:dyDescent="0.2">
      <c r="A677" t="s">
        <v>600</v>
      </c>
      <c r="B677">
        <v>2018</v>
      </c>
      <c r="C677" s="2" t="s">
        <v>986</v>
      </c>
      <c r="D677" t="s">
        <v>987</v>
      </c>
      <c r="E677" t="s">
        <v>29</v>
      </c>
      <c r="F677" t="s">
        <v>30</v>
      </c>
      <c r="G677">
        <v>0</v>
      </c>
      <c r="H677">
        <v>0</v>
      </c>
      <c r="I677">
        <v>10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 t="s">
        <v>51</v>
      </c>
      <c r="AA677">
        <v>0</v>
      </c>
    </row>
    <row r="678" spans="1:27" x14ac:dyDescent="0.2">
      <c r="A678" t="s">
        <v>600</v>
      </c>
      <c r="B678">
        <v>2018</v>
      </c>
      <c r="C678" t="s">
        <v>988</v>
      </c>
      <c r="D678" t="s">
        <v>989</v>
      </c>
      <c r="E678" t="s">
        <v>29</v>
      </c>
      <c r="F678" t="s">
        <v>41</v>
      </c>
      <c r="G678">
        <v>0</v>
      </c>
      <c r="H678">
        <v>0</v>
      </c>
      <c r="I678">
        <v>11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 t="s">
        <v>51</v>
      </c>
      <c r="AA678">
        <v>0</v>
      </c>
    </row>
    <row r="679" spans="1:27" x14ac:dyDescent="0.2">
      <c r="A679" t="s">
        <v>600</v>
      </c>
      <c r="B679">
        <v>2018</v>
      </c>
      <c r="C679">
        <v>3731021</v>
      </c>
      <c r="D679" t="s">
        <v>990</v>
      </c>
      <c r="E679" t="s">
        <v>29</v>
      </c>
      <c r="F679" t="s">
        <v>30</v>
      </c>
      <c r="G679">
        <v>0</v>
      </c>
      <c r="H679">
        <v>0</v>
      </c>
      <c r="I679">
        <v>12</v>
      </c>
      <c r="J679">
        <v>0</v>
      </c>
      <c r="K679">
        <v>2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 t="s">
        <v>51</v>
      </c>
      <c r="AA679">
        <v>0</v>
      </c>
    </row>
    <row r="680" spans="1:27" x14ac:dyDescent="0.2">
      <c r="A680" t="s">
        <v>600</v>
      </c>
      <c r="B680">
        <v>2018</v>
      </c>
      <c r="C680">
        <v>3749058</v>
      </c>
      <c r="D680" t="s">
        <v>991</v>
      </c>
      <c r="E680" t="s">
        <v>29</v>
      </c>
      <c r="F680" t="s">
        <v>30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30</v>
      </c>
      <c r="N680">
        <v>0</v>
      </c>
      <c r="O680">
        <v>70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 t="s">
        <v>51</v>
      </c>
      <c r="AA680">
        <v>0</v>
      </c>
    </row>
    <row r="681" spans="1:27" x14ac:dyDescent="0.2">
      <c r="A681" t="s">
        <v>600</v>
      </c>
      <c r="B681">
        <v>2018</v>
      </c>
      <c r="C681" s="2" t="s">
        <v>992</v>
      </c>
      <c r="D681" t="s">
        <v>993</v>
      </c>
      <c r="E681" t="s">
        <v>29</v>
      </c>
      <c r="F681" t="s">
        <v>41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6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 t="s">
        <v>51</v>
      </c>
      <c r="AA681">
        <v>0</v>
      </c>
    </row>
    <row r="682" spans="1:27" x14ac:dyDescent="0.2">
      <c r="A682" t="s">
        <v>890</v>
      </c>
      <c r="B682">
        <v>2021</v>
      </c>
      <c r="C682">
        <v>63252320</v>
      </c>
      <c r="D682" t="s">
        <v>994</v>
      </c>
      <c r="E682" t="s">
        <v>29</v>
      </c>
      <c r="F682" t="s">
        <v>41</v>
      </c>
      <c r="G682">
        <v>0</v>
      </c>
      <c r="H682">
        <v>0</v>
      </c>
      <c r="I682">
        <v>1</v>
      </c>
      <c r="J682">
        <v>0</v>
      </c>
      <c r="K682">
        <v>1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 t="s">
        <v>31</v>
      </c>
      <c r="Z682">
        <v>1000</v>
      </c>
      <c r="AA682">
        <v>0</v>
      </c>
    </row>
    <row r="683" spans="1:27" x14ac:dyDescent="0.2">
      <c r="A683" t="s">
        <v>622</v>
      </c>
      <c r="B683">
        <v>2021</v>
      </c>
      <c r="C683" t="s">
        <v>995</v>
      </c>
      <c r="D683" t="s">
        <v>996</v>
      </c>
      <c r="E683" t="s">
        <v>29</v>
      </c>
      <c r="F683" t="s">
        <v>30</v>
      </c>
      <c r="G683">
        <v>99</v>
      </c>
      <c r="H683">
        <v>0</v>
      </c>
      <c r="I683">
        <v>227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 t="s">
        <v>31</v>
      </c>
      <c r="AA683">
        <v>0</v>
      </c>
    </row>
    <row r="684" spans="1:27" x14ac:dyDescent="0.2">
      <c r="A684" t="s">
        <v>622</v>
      </c>
      <c r="B684">
        <v>2021</v>
      </c>
      <c r="C684" t="s">
        <v>623</v>
      </c>
      <c r="D684" t="s">
        <v>997</v>
      </c>
      <c r="E684" t="s">
        <v>29</v>
      </c>
      <c r="F684" t="s">
        <v>30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2</v>
      </c>
      <c r="T684">
        <v>0</v>
      </c>
      <c r="U684">
        <v>0</v>
      </c>
      <c r="V684">
        <v>0</v>
      </c>
      <c r="W684">
        <v>0</v>
      </c>
      <c r="X684">
        <v>0</v>
      </c>
      <c r="Y684" t="s">
        <v>51</v>
      </c>
      <c r="AA684">
        <v>0</v>
      </c>
    </row>
    <row r="685" spans="1:27" x14ac:dyDescent="0.2">
      <c r="A685" t="s">
        <v>600</v>
      </c>
      <c r="B685">
        <v>2018</v>
      </c>
      <c r="C685" s="2" t="s">
        <v>998</v>
      </c>
      <c r="D685" t="s">
        <v>999</v>
      </c>
      <c r="E685" t="s">
        <v>29</v>
      </c>
      <c r="F685" t="s">
        <v>41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 t="s">
        <v>51</v>
      </c>
      <c r="AA685">
        <v>0</v>
      </c>
    </row>
    <row r="686" spans="1:27" x14ac:dyDescent="0.2">
      <c r="A686" t="s">
        <v>600</v>
      </c>
      <c r="B686">
        <v>2018</v>
      </c>
      <c r="C686">
        <v>3509026</v>
      </c>
      <c r="D686" t="s">
        <v>1000</v>
      </c>
      <c r="E686" t="s">
        <v>29</v>
      </c>
      <c r="F686" t="s">
        <v>30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 t="s">
        <v>51</v>
      </c>
      <c r="AA686">
        <v>0</v>
      </c>
    </row>
    <row r="687" spans="1:27" x14ac:dyDescent="0.2">
      <c r="A687" t="s">
        <v>600</v>
      </c>
      <c r="B687">
        <v>2018</v>
      </c>
      <c r="C687" s="2" t="s">
        <v>1001</v>
      </c>
      <c r="D687" t="s">
        <v>1002</v>
      </c>
      <c r="E687" t="s">
        <v>29</v>
      </c>
      <c r="F687" t="s">
        <v>30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50</v>
      </c>
      <c r="V687">
        <v>0</v>
      </c>
      <c r="W687">
        <v>0</v>
      </c>
      <c r="X687">
        <v>0</v>
      </c>
      <c r="Y687" t="s">
        <v>51</v>
      </c>
      <c r="AA687">
        <v>0</v>
      </c>
    </row>
    <row r="688" spans="1:27" x14ac:dyDescent="0.2">
      <c r="A688" t="s">
        <v>600</v>
      </c>
      <c r="B688">
        <v>2018</v>
      </c>
      <c r="C688">
        <v>8715004</v>
      </c>
      <c r="D688" t="s">
        <v>1003</v>
      </c>
      <c r="E688" t="s">
        <v>29</v>
      </c>
      <c r="F688" t="s">
        <v>30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5</v>
      </c>
      <c r="T688">
        <v>0</v>
      </c>
      <c r="U688">
        <v>16</v>
      </c>
      <c r="V688">
        <v>0</v>
      </c>
      <c r="W688">
        <v>6</v>
      </c>
      <c r="X688">
        <v>0</v>
      </c>
      <c r="Y688" t="s">
        <v>51</v>
      </c>
      <c r="AA688">
        <v>0</v>
      </c>
    </row>
    <row r="689" spans="1:27" x14ac:dyDescent="0.2">
      <c r="A689" t="s">
        <v>600</v>
      </c>
      <c r="B689">
        <v>2018</v>
      </c>
      <c r="C689" s="2" t="s">
        <v>1004</v>
      </c>
      <c r="D689" t="s">
        <v>1005</v>
      </c>
      <c r="E689" t="s">
        <v>29</v>
      </c>
      <c r="F689" t="s">
        <v>30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50</v>
      </c>
      <c r="V689">
        <v>0</v>
      </c>
      <c r="W689">
        <v>0</v>
      </c>
      <c r="X689">
        <v>0</v>
      </c>
      <c r="Y689" t="s">
        <v>51</v>
      </c>
      <c r="AA689">
        <v>0</v>
      </c>
    </row>
    <row r="690" spans="1:27" x14ac:dyDescent="0.2">
      <c r="A690" t="s">
        <v>600</v>
      </c>
      <c r="B690">
        <v>2018</v>
      </c>
      <c r="C690" s="2" t="s">
        <v>1006</v>
      </c>
      <c r="D690" t="s">
        <v>1007</v>
      </c>
      <c r="E690" t="s">
        <v>29</v>
      </c>
      <c r="F690" t="s">
        <v>41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12</v>
      </c>
      <c r="X690">
        <v>0</v>
      </c>
      <c r="Y690" t="s">
        <v>51</v>
      </c>
      <c r="AA690">
        <v>0</v>
      </c>
    </row>
    <row r="691" spans="1:27" x14ac:dyDescent="0.2">
      <c r="A691" t="s">
        <v>600</v>
      </c>
      <c r="B691">
        <v>2018</v>
      </c>
      <c r="C691" s="2" t="s">
        <v>1008</v>
      </c>
      <c r="D691" t="s">
        <v>1009</v>
      </c>
      <c r="E691" t="s">
        <v>29</v>
      </c>
      <c r="F691" t="s">
        <v>30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 t="s">
        <v>51</v>
      </c>
      <c r="AA691">
        <v>0</v>
      </c>
    </row>
    <row r="692" spans="1:27" x14ac:dyDescent="0.2">
      <c r="A692" t="s">
        <v>600</v>
      </c>
      <c r="B692">
        <v>2018</v>
      </c>
      <c r="C692" t="s">
        <v>869</v>
      </c>
      <c r="D692" t="s">
        <v>870</v>
      </c>
      <c r="E692" t="s">
        <v>29</v>
      </c>
      <c r="F692" t="s">
        <v>30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7</v>
      </c>
      <c r="V692">
        <v>0</v>
      </c>
      <c r="W692">
        <v>0</v>
      </c>
      <c r="X692">
        <v>0</v>
      </c>
      <c r="Y692" t="s">
        <v>51</v>
      </c>
      <c r="AA692">
        <v>0</v>
      </c>
    </row>
    <row r="693" spans="1:27" x14ac:dyDescent="0.2">
      <c r="A693" t="s">
        <v>1010</v>
      </c>
      <c r="B693">
        <v>2021</v>
      </c>
      <c r="C693" t="s">
        <v>1011</v>
      </c>
      <c r="D693" t="s">
        <v>1012</v>
      </c>
      <c r="E693" t="s">
        <v>29</v>
      </c>
      <c r="F693" t="s">
        <v>30</v>
      </c>
      <c r="G693">
        <v>8</v>
      </c>
      <c r="H693">
        <v>0</v>
      </c>
      <c r="I693">
        <v>8</v>
      </c>
      <c r="J693">
        <v>0</v>
      </c>
      <c r="K693">
        <v>0</v>
      </c>
      <c r="L693">
        <v>0</v>
      </c>
      <c r="M693">
        <v>8</v>
      </c>
      <c r="N693">
        <v>0</v>
      </c>
      <c r="O693">
        <v>8</v>
      </c>
      <c r="P693">
        <v>0</v>
      </c>
      <c r="Q693">
        <v>0</v>
      </c>
      <c r="R693">
        <v>0</v>
      </c>
      <c r="S693">
        <v>8</v>
      </c>
      <c r="T693">
        <v>0</v>
      </c>
      <c r="U693">
        <v>8</v>
      </c>
      <c r="V693">
        <v>0</v>
      </c>
      <c r="W693">
        <v>143</v>
      </c>
      <c r="X693">
        <v>0</v>
      </c>
      <c r="Y693" t="s">
        <v>51</v>
      </c>
      <c r="Z693">
        <v>55</v>
      </c>
      <c r="AA693">
        <v>0</v>
      </c>
    </row>
    <row r="694" spans="1:27" x14ac:dyDescent="0.2">
      <c r="A694" t="s">
        <v>547</v>
      </c>
      <c r="B694">
        <v>2022</v>
      </c>
      <c r="C694">
        <v>5406020003</v>
      </c>
      <c r="D694" t="s">
        <v>1013</v>
      </c>
      <c r="E694" t="s">
        <v>29</v>
      </c>
      <c r="F694" t="s">
        <v>30</v>
      </c>
      <c r="G694">
        <v>76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 t="s">
        <v>31</v>
      </c>
      <c r="Z694">
        <v>55</v>
      </c>
      <c r="AA694">
        <v>35</v>
      </c>
    </row>
    <row r="695" spans="1:27" x14ac:dyDescent="0.2">
      <c r="A695" t="s">
        <v>547</v>
      </c>
      <c r="B695">
        <v>2022</v>
      </c>
      <c r="C695">
        <v>5056026033</v>
      </c>
      <c r="D695" t="s">
        <v>1014</v>
      </c>
      <c r="E695" t="s">
        <v>29</v>
      </c>
      <c r="F695" t="s">
        <v>30</v>
      </c>
      <c r="G695">
        <v>4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4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 t="s">
        <v>31</v>
      </c>
      <c r="Z695">
        <v>55</v>
      </c>
      <c r="AA695">
        <v>35</v>
      </c>
    </row>
    <row r="696" spans="1:27" x14ac:dyDescent="0.2">
      <c r="A696" t="s">
        <v>547</v>
      </c>
      <c r="B696">
        <v>2022</v>
      </c>
      <c r="C696">
        <v>2423010013</v>
      </c>
      <c r="E696" t="s">
        <v>29</v>
      </c>
      <c r="F696" t="s">
        <v>30</v>
      </c>
      <c r="G696">
        <v>8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 t="s">
        <v>31</v>
      </c>
      <c r="Z696">
        <v>55</v>
      </c>
      <c r="AA696">
        <v>35</v>
      </c>
    </row>
    <row r="697" spans="1:27" x14ac:dyDescent="0.2">
      <c r="A697" t="s">
        <v>547</v>
      </c>
      <c r="B697">
        <v>2022</v>
      </c>
      <c r="C697">
        <v>4205032001</v>
      </c>
      <c r="D697" t="s">
        <v>1015</v>
      </c>
      <c r="E697" t="s">
        <v>29</v>
      </c>
      <c r="F697" t="s">
        <v>30</v>
      </c>
      <c r="G697">
        <v>22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 t="s">
        <v>31</v>
      </c>
      <c r="Z697">
        <v>55</v>
      </c>
      <c r="AA697">
        <v>35</v>
      </c>
    </row>
    <row r="698" spans="1:27" x14ac:dyDescent="0.2">
      <c r="A698" t="s">
        <v>547</v>
      </c>
      <c r="B698">
        <v>2022</v>
      </c>
      <c r="C698">
        <v>5049016052</v>
      </c>
      <c r="D698" t="s">
        <v>1016</v>
      </c>
      <c r="E698" t="s">
        <v>29</v>
      </c>
      <c r="F698" t="s">
        <v>30</v>
      </c>
      <c r="G698">
        <v>4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 t="s">
        <v>31</v>
      </c>
      <c r="Z698">
        <v>55</v>
      </c>
      <c r="AA698">
        <v>35</v>
      </c>
    </row>
    <row r="699" spans="1:27" x14ac:dyDescent="0.2">
      <c r="A699" t="s">
        <v>547</v>
      </c>
      <c r="B699">
        <v>2022</v>
      </c>
      <c r="C699">
        <v>2423019026</v>
      </c>
      <c r="D699" t="s">
        <v>1017</v>
      </c>
      <c r="E699" t="s">
        <v>29</v>
      </c>
      <c r="F699" t="s">
        <v>30</v>
      </c>
      <c r="G699">
        <v>3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 t="s">
        <v>31</v>
      </c>
      <c r="Z699">
        <v>55</v>
      </c>
      <c r="AA699">
        <v>35</v>
      </c>
    </row>
    <row r="700" spans="1:27" x14ac:dyDescent="0.2">
      <c r="A700" t="s">
        <v>547</v>
      </c>
      <c r="B700">
        <v>2022</v>
      </c>
      <c r="C700">
        <v>4305014026</v>
      </c>
      <c r="D700" t="s">
        <v>1018</v>
      </c>
      <c r="E700" t="s">
        <v>29</v>
      </c>
      <c r="F700" t="s">
        <v>30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6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 t="s">
        <v>31</v>
      </c>
      <c r="Z700">
        <v>55</v>
      </c>
      <c r="AA700">
        <v>35</v>
      </c>
    </row>
    <row r="701" spans="1:27" x14ac:dyDescent="0.2">
      <c r="A701" t="s">
        <v>547</v>
      </c>
      <c r="B701">
        <v>2022</v>
      </c>
      <c r="C701">
        <v>4322001021</v>
      </c>
      <c r="D701" t="s">
        <v>1019</v>
      </c>
      <c r="E701" t="s">
        <v>29</v>
      </c>
      <c r="F701" t="s">
        <v>30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11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 t="s">
        <v>31</v>
      </c>
      <c r="Z701">
        <v>55</v>
      </c>
      <c r="AA701">
        <v>35</v>
      </c>
    </row>
    <row r="702" spans="1:27" x14ac:dyDescent="0.2">
      <c r="A702" t="s">
        <v>547</v>
      </c>
      <c r="B702">
        <v>2022</v>
      </c>
      <c r="C702">
        <v>5063020003</v>
      </c>
      <c r="D702" t="s">
        <v>1020</v>
      </c>
      <c r="E702" t="s">
        <v>29</v>
      </c>
      <c r="F702" t="s">
        <v>30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 t="s">
        <v>31</v>
      </c>
      <c r="Z702">
        <v>55</v>
      </c>
      <c r="AA702">
        <v>35</v>
      </c>
    </row>
    <row r="703" spans="1:27" x14ac:dyDescent="0.2">
      <c r="A703" t="s">
        <v>547</v>
      </c>
      <c r="B703">
        <v>2022</v>
      </c>
      <c r="C703">
        <v>5547003024</v>
      </c>
      <c r="D703" t="s">
        <v>1021</v>
      </c>
      <c r="E703" t="s">
        <v>29</v>
      </c>
      <c r="F703" t="s">
        <v>30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32</v>
      </c>
      <c r="N703">
        <v>0</v>
      </c>
      <c r="O703">
        <v>31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 t="s">
        <v>31</v>
      </c>
      <c r="Z703">
        <v>55</v>
      </c>
      <c r="AA703">
        <v>35</v>
      </c>
    </row>
    <row r="704" spans="1:27" x14ac:dyDescent="0.2">
      <c r="A704" t="s">
        <v>547</v>
      </c>
      <c r="B704">
        <v>2022</v>
      </c>
      <c r="C704">
        <v>2353023018</v>
      </c>
      <c r="D704" t="s">
        <v>1022</v>
      </c>
      <c r="E704" t="s">
        <v>29</v>
      </c>
      <c r="F704" t="s">
        <v>30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6</v>
      </c>
      <c r="T704">
        <v>0</v>
      </c>
      <c r="U704">
        <v>0</v>
      </c>
      <c r="V704">
        <v>0</v>
      </c>
      <c r="W704">
        <v>0</v>
      </c>
      <c r="X704">
        <v>0</v>
      </c>
      <c r="Y704" t="s">
        <v>31</v>
      </c>
      <c r="Z704">
        <v>55</v>
      </c>
      <c r="AA704">
        <v>35</v>
      </c>
    </row>
    <row r="705" spans="1:27" x14ac:dyDescent="0.2">
      <c r="A705" t="s">
        <v>547</v>
      </c>
      <c r="B705">
        <v>2022</v>
      </c>
      <c r="C705">
        <v>2568016047</v>
      </c>
      <c r="D705" t="s">
        <v>1023</v>
      </c>
      <c r="E705" t="s">
        <v>29</v>
      </c>
      <c r="F705" t="s">
        <v>30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1</v>
      </c>
      <c r="V705">
        <v>0</v>
      </c>
      <c r="W705">
        <v>0</v>
      </c>
      <c r="X705">
        <v>0</v>
      </c>
      <c r="Y705" t="s">
        <v>31</v>
      </c>
      <c r="Z705">
        <v>55</v>
      </c>
      <c r="AA705">
        <v>35</v>
      </c>
    </row>
    <row r="706" spans="1:27" x14ac:dyDescent="0.2">
      <c r="A706" t="s">
        <v>547</v>
      </c>
      <c r="B706">
        <v>2022</v>
      </c>
      <c r="C706">
        <v>4260032036</v>
      </c>
      <c r="D706" t="s">
        <v>1024</v>
      </c>
      <c r="E706" t="s">
        <v>29</v>
      </c>
      <c r="F706" t="s">
        <v>30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34</v>
      </c>
      <c r="N706">
        <v>0</v>
      </c>
      <c r="O706">
        <v>26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 t="s">
        <v>31</v>
      </c>
      <c r="Z706">
        <v>55</v>
      </c>
      <c r="AA706">
        <v>35</v>
      </c>
    </row>
    <row r="707" spans="1:27" x14ac:dyDescent="0.2">
      <c r="A707" t="s">
        <v>547</v>
      </c>
      <c r="B707">
        <v>2022</v>
      </c>
      <c r="C707">
        <v>5068018034</v>
      </c>
      <c r="D707" t="s">
        <v>1025</v>
      </c>
      <c r="E707" t="s">
        <v>29</v>
      </c>
      <c r="F707" t="s">
        <v>30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4</v>
      </c>
      <c r="T707">
        <v>0</v>
      </c>
      <c r="U707">
        <v>0</v>
      </c>
      <c r="V707">
        <v>0</v>
      </c>
      <c r="W707">
        <v>0</v>
      </c>
      <c r="X707">
        <v>0</v>
      </c>
      <c r="Y707" t="s">
        <v>31</v>
      </c>
      <c r="Z707">
        <v>55</v>
      </c>
      <c r="AA707">
        <v>35</v>
      </c>
    </row>
    <row r="708" spans="1:27" x14ac:dyDescent="0.2">
      <c r="A708" t="s">
        <v>547</v>
      </c>
      <c r="B708">
        <v>2022</v>
      </c>
      <c r="C708">
        <v>5153024027</v>
      </c>
      <c r="D708" t="s">
        <v>1026</v>
      </c>
      <c r="E708" t="s">
        <v>29</v>
      </c>
      <c r="F708" t="s">
        <v>30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101</v>
      </c>
      <c r="T708">
        <v>0</v>
      </c>
      <c r="U708">
        <v>0</v>
      </c>
      <c r="V708">
        <v>0</v>
      </c>
      <c r="W708">
        <v>0</v>
      </c>
      <c r="X708">
        <v>0</v>
      </c>
      <c r="Y708" t="s">
        <v>31</v>
      </c>
      <c r="Z708">
        <v>55</v>
      </c>
      <c r="AA708">
        <v>35</v>
      </c>
    </row>
    <row r="709" spans="1:27" x14ac:dyDescent="0.2">
      <c r="A709" t="s">
        <v>547</v>
      </c>
      <c r="B709">
        <v>2022</v>
      </c>
      <c r="C709">
        <v>5442010027</v>
      </c>
      <c r="D709" t="s">
        <v>1027</v>
      </c>
      <c r="E709" t="s">
        <v>29</v>
      </c>
      <c r="F709" t="s">
        <v>30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5</v>
      </c>
      <c r="T709">
        <v>0</v>
      </c>
      <c r="U709">
        <v>0</v>
      </c>
      <c r="V709">
        <v>0</v>
      </c>
      <c r="W709">
        <v>0</v>
      </c>
      <c r="X709">
        <v>0</v>
      </c>
      <c r="Y709" t="s">
        <v>31</v>
      </c>
      <c r="Z709">
        <v>55</v>
      </c>
      <c r="AA709">
        <v>35</v>
      </c>
    </row>
    <row r="710" spans="1:27" x14ac:dyDescent="0.2">
      <c r="A710" t="s">
        <v>547</v>
      </c>
      <c r="B710">
        <v>2022</v>
      </c>
      <c r="C710">
        <v>5442025039</v>
      </c>
      <c r="D710" t="s">
        <v>1028</v>
      </c>
      <c r="E710" t="s">
        <v>29</v>
      </c>
      <c r="F710" t="s">
        <v>30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4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 t="s">
        <v>31</v>
      </c>
      <c r="Z710">
        <v>55</v>
      </c>
      <c r="AA710">
        <v>35</v>
      </c>
    </row>
    <row r="711" spans="1:27" x14ac:dyDescent="0.2">
      <c r="A711" t="s">
        <v>547</v>
      </c>
      <c r="B711">
        <v>2022</v>
      </c>
      <c r="C711">
        <v>5521006039</v>
      </c>
      <c r="D711" t="s">
        <v>1029</v>
      </c>
      <c r="E711" t="s">
        <v>29</v>
      </c>
      <c r="F711" t="s">
        <v>30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38</v>
      </c>
      <c r="V711">
        <v>0</v>
      </c>
      <c r="W711">
        <v>0</v>
      </c>
      <c r="X711">
        <v>0</v>
      </c>
      <c r="Y711" t="s">
        <v>31</v>
      </c>
      <c r="Z711">
        <v>55</v>
      </c>
      <c r="AA711">
        <v>35</v>
      </c>
    </row>
    <row r="712" spans="1:27" x14ac:dyDescent="0.2">
      <c r="A712" t="s">
        <v>547</v>
      </c>
      <c r="B712">
        <v>2022</v>
      </c>
      <c r="C712">
        <v>5534019030</v>
      </c>
      <c r="D712" t="s">
        <v>1030</v>
      </c>
      <c r="E712" t="s">
        <v>29</v>
      </c>
      <c r="F712" t="s">
        <v>30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2</v>
      </c>
      <c r="N712">
        <v>0</v>
      </c>
      <c r="O712">
        <v>1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 t="s">
        <v>31</v>
      </c>
      <c r="Z712">
        <v>55</v>
      </c>
      <c r="AA712">
        <v>35</v>
      </c>
    </row>
    <row r="713" spans="1:27" x14ac:dyDescent="0.2">
      <c r="A713" t="s">
        <v>619</v>
      </c>
      <c r="B713">
        <v>2020</v>
      </c>
      <c r="C713" t="s">
        <v>1031</v>
      </c>
      <c r="D713" t="s">
        <v>1032</v>
      </c>
      <c r="E713" t="s">
        <v>29</v>
      </c>
      <c r="F713" t="s">
        <v>30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20</v>
      </c>
      <c r="T713">
        <v>0</v>
      </c>
      <c r="U713">
        <v>186</v>
      </c>
      <c r="V713">
        <v>0</v>
      </c>
      <c r="W713">
        <v>0</v>
      </c>
      <c r="X713">
        <v>0</v>
      </c>
      <c r="Y713" t="s">
        <v>51</v>
      </c>
      <c r="Z713">
        <v>50</v>
      </c>
      <c r="AA713">
        <v>0</v>
      </c>
    </row>
    <row r="714" spans="1:27" x14ac:dyDescent="0.2">
      <c r="A714" t="s">
        <v>622</v>
      </c>
      <c r="B714">
        <v>2021</v>
      </c>
      <c r="C714" t="s">
        <v>623</v>
      </c>
      <c r="D714" t="s">
        <v>1033</v>
      </c>
      <c r="E714" t="s">
        <v>29</v>
      </c>
      <c r="F714" t="s">
        <v>30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1</v>
      </c>
      <c r="T714">
        <v>0</v>
      </c>
      <c r="U714">
        <v>0</v>
      </c>
      <c r="V714">
        <v>0</v>
      </c>
      <c r="W714">
        <v>0</v>
      </c>
      <c r="X714">
        <v>0</v>
      </c>
      <c r="Y714" t="s">
        <v>51</v>
      </c>
      <c r="AA714">
        <v>0</v>
      </c>
    </row>
    <row r="715" spans="1:27" x14ac:dyDescent="0.2">
      <c r="A715" t="s">
        <v>622</v>
      </c>
      <c r="B715">
        <v>2021</v>
      </c>
      <c r="C715" t="s">
        <v>623</v>
      </c>
      <c r="D715" t="s">
        <v>1034</v>
      </c>
      <c r="E715" t="s">
        <v>29</v>
      </c>
      <c r="F715" t="s">
        <v>30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2</v>
      </c>
      <c r="T715">
        <v>0</v>
      </c>
      <c r="U715">
        <v>0</v>
      </c>
      <c r="V715">
        <v>0</v>
      </c>
      <c r="W715">
        <v>0</v>
      </c>
      <c r="X715">
        <v>0</v>
      </c>
      <c r="Y715" t="s">
        <v>51</v>
      </c>
      <c r="AA715">
        <v>0</v>
      </c>
    </row>
    <row r="716" spans="1:27" x14ac:dyDescent="0.2">
      <c r="A716" t="s">
        <v>622</v>
      </c>
      <c r="B716">
        <v>2021</v>
      </c>
      <c r="C716" t="s">
        <v>1035</v>
      </c>
      <c r="D716" t="s">
        <v>1036</v>
      </c>
      <c r="E716" t="s">
        <v>29</v>
      </c>
      <c r="F716" t="s">
        <v>30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14</v>
      </c>
      <c r="T716">
        <v>0</v>
      </c>
      <c r="U716">
        <v>6</v>
      </c>
      <c r="V716">
        <v>0</v>
      </c>
      <c r="W716">
        <v>0</v>
      </c>
      <c r="X716">
        <v>0</v>
      </c>
      <c r="Y716" t="s">
        <v>51</v>
      </c>
      <c r="AA716">
        <v>0</v>
      </c>
    </row>
    <row r="717" spans="1:27" x14ac:dyDescent="0.2">
      <c r="A717" t="s">
        <v>622</v>
      </c>
      <c r="B717">
        <v>2021</v>
      </c>
      <c r="C717" t="s">
        <v>623</v>
      </c>
      <c r="D717" t="s">
        <v>1037</v>
      </c>
      <c r="E717" t="s">
        <v>29</v>
      </c>
      <c r="F717" t="s">
        <v>30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1</v>
      </c>
      <c r="T717">
        <v>0</v>
      </c>
      <c r="U717">
        <v>0</v>
      </c>
      <c r="V717">
        <v>0</v>
      </c>
      <c r="W717">
        <v>0</v>
      </c>
      <c r="X717">
        <v>0</v>
      </c>
      <c r="Y717" t="s">
        <v>51</v>
      </c>
      <c r="AA717">
        <v>0</v>
      </c>
    </row>
    <row r="718" spans="1:27" x14ac:dyDescent="0.2">
      <c r="A718" t="s">
        <v>1038</v>
      </c>
      <c r="B718">
        <v>2021</v>
      </c>
      <c r="C718" t="s">
        <v>74</v>
      </c>
      <c r="D718" t="s">
        <v>1039</v>
      </c>
      <c r="E718" t="s">
        <v>29</v>
      </c>
      <c r="F718" t="s">
        <v>30</v>
      </c>
      <c r="G718">
        <v>26</v>
      </c>
      <c r="H718">
        <v>0</v>
      </c>
      <c r="I718">
        <v>33</v>
      </c>
      <c r="J718">
        <v>0</v>
      </c>
      <c r="K718">
        <v>1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 t="s">
        <v>31</v>
      </c>
      <c r="Z718">
        <v>75</v>
      </c>
      <c r="AA718">
        <v>33</v>
      </c>
    </row>
    <row r="719" spans="1:27" x14ac:dyDescent="0.2">
      <c r="A719" t="s">
        <v>1040</v>
      </c>
      <c r="B719">
        <v>2022</v>
      </c>
      <c r="C719" t="s">
        <v>1041</v>
      </c>
      <c r="D719" t="s">
        <v>1042</v>
      </c>
      <c r="E719" t="s">
        <v>29</v>
      </c>
      <c r="F719" t="s">
        <v>30</v>
      </c>
      <c r="G719">
        <v>0</v>
      </c>
      <c r="H719">
        <v>0</v>
      </c>
      <c r="I719">
        <v>81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 t="s">
        <v>51</v>
      </c>
      <c r="Z719">
        <v>55</v>
      </c>
      <c r="AA719">
        <v>0</v>
      </c>
    </row>
    <row r="720" spans="1:27" x14ac:dyDescent="0.2">
      <c r="A720" t="s">
        <v>1043</v>
      </c>
      <c r="B720">
        <v>2021</v>
      </c>
      <c r="C720">
        <v>1858717</v>
      </c>
      <c r="D720" t="s">
        <v>1044</v>
      </c>
      <c r="E720" t="s">
        <v>29</v>
      </c>
      <c r="F720" t="s">
        <v>30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19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 t="s">
        <v>31</v>
      </c>
      <c r="Z720">
        <v>55</v>
      </c>
      <c r="AA720">
        <v>25</v>
      </c>
    </row>
    <row r="721" spans="1:27" x14ac:dyDescent="0.2">
      <c r="A721" t="s">
        <v>1045</v>
      </c>
      <c r="B721">
        <v>2021</v>
      </c>
      <c r="C721" t="s">
        <v>1046</v>
      </c>
      <c r="D721" t="s">
        <v>1047</v>
      </c>
      <c r="E721" t="s">
        <v>29</v>
      </c>
      <c r="F721" t="s">
        <v>30</v>
      </c>
      <c r="G721">
        <v>3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 t="s">
        <v>31</v>
      </c>
      <c r="AA721">
        <v>22.5</v>
      </c>
    </row>
    <row r="722" spans="1:27" x14ac:dyDescent="0.2">
      <c r="A722" t="s">
        <v>1048</v>
      </c>
      <c r="B722">
        <v>2020</v>
      </c>
      <c r="C722" t="s">
        <v>1049</v>
      </c>
      <c r="D722" t="s">
        <v>1050</v>
      </c>
      <c r="E722" t="s">
        <v>29</v>
      </c>
      <c r="F722" t="s">
        <v>30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78</v>
      </c>
      <c r="N722">
        <v>0</v>
      </c>
      <c r="O722">
        <v>80</v>
      </c>
      <c r="P722">
        <v>0</v>
      </c>
      <c r="Q722">
        <v>0</v>
      </c>
      <c r="R722">
        <v>1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 t="s">
        <v>31</v>
      </c>
      <c r="Z722">
        <v>55</v>
      </c>
      <c r="AA722">
        <v>0</v>
      </c>
    </row>
    <row r="723" spans="1:27" x14ac:dyDescent="0.2">
      <c r="A723" t="s">
        <v>1051</v>
      </c>
      <c r="B723">
        <v>2021</v>
      </c>
      <c r="C723" t="s">
        <v>1052</v>
      </c>
      <c r="D723" t="s">
        <v>1053</v>
      </c>
      <c r="E723" t="s">
        <v>29</v>
      </c>
      <c r="F723" t="s">
        <v>30</v>
      </c>
      <c r="G723">
        <v>11</v>
      </c>
      <c r="H723">
        <v>0</v>
      </c>
      <c r="I723">
        <v>98</v>
      </c>
      <c r="J723">
        <v>0</v>
      </c>
      <c r="K723">
        <v>0</v>
      </c>
      <c r="L723">
        <v>0</v>
      </c>
      <c r="M723">
        <v>11</v>
      </c>
      <c r="N723">
        <v>0</v>
      </c>
      <c r="O723">
        <v>96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 t="s">
        <v>31</v>
      </c>
      <c r="Z723">
        <v>55</v>
      </c>
      <c r="AA723">
        <v>10</v>
      </c>
    </row>
    <row r="724" spans="1:27" x14ac:dyDescent="0.2">
      <c r="A724" t="s">
        <v>600</v>
      </c>
      <c r="B724">
        <v>2018</v>
      </c>
      <c r="C724">
        <v>6522064</v>
      </c>
      <c r="D724" t="s">
        <v>1054</v>
      </c>
      <c r="E724" t="s">
        <v>29</v>
      </c>
      <c r="F724" t="s">
        <v>30</v>
      </c>
      <c r="G724">
        <v>44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 t="s">
        <v>31</v>
      </c>
      <c r="AA724">
        <v>0</v>
      </c>
    </row>
    <row r="725" spans="1:27" x14ac:dyDescent="0.2">
      <c r="A725" t="s">
        <v>600</v>
      </c>
      <c r="B725">
        <v>2018</v>
      </c>
      <c r="C725">
        <v>4022001</v>
      </c>
      <c r="D725" t="s">
        <v>1055</v>
      </c>
      <c r="E725" t="s">
        <v>29</v>
      </c>
      <c r="F725" t="s">
        <v>30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3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 t="s">
        <v>51</v>
      </c>
      <c r="AA725">
        <v>0</v>
      </c>
    </row>
    <row r="726" spans="1:27" x14ac:dyDescent="0.2">
      <c r="A726" t="s">
        <v>600</v>
      </c>
      <c r="B726">
        <v>2018</v>
      </c>
      <c r="C726">
        <v>3995015</v>
      </c>
      <c r="D726" t="s">
        <v>1056</v>
      </c>
      <c r="E726" t="s">
        <v>29</v>
      </c>
      <c r="F726" t="s">
        <v>30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3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 t="s">
        <v>51</v>
      </c>
      <c r="AA726">
        <v>0</v>
      </c>
    </row>
    <row r="727" spans="1:27" x14ac:dyDescent="0.2">
      <c r="A727" t="s">
        <v>1057</v>
      </c>
      <c r="B727">
        <v>2023</v>
      </c>
      <c r="C727" t="s">
        <v>1058</v>
      </c>
      <c r="D727" t="s">
        <v>1059</v>
      </c>
      <c r="E727" t="s">
        <v>29</v>
      </c>
      <c r="F727" t="s">
        <v>30</v>
      </c>
      <c r="G727">
        <v>80</v>
      </c>
      <c r="H727">
        <v>0</v>
      </c>
      <c r="I727">
        <v>304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 t="s">
        <v>31</v>
      </c>
      <c r="AA727">
        <v>0</v>
      </c>
    </row>
    <row r="728" spans="1:27" x14ac:dyDescent="0.2">
      <c r="A728" t="s">
        <v>600</v>
      </c>
      <c r="B728">
        <v>2018</v>
      </c>
      <c r="C728">
        <v>3756003</v>
      </c>
      <c r="D728" t="s">
        <v>1060</v>
      </c>
      <c r="E728" t="s">
        <v>29</v>
      </c>
      <c r="F728" t="s">
        <v>30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62</v>
      </c>
      <c r="V728">
        <v>0</v>
      </c>
      <c r="W728">
        <v>0</v>
      </c>
      <c r="X728">
        <v>0</v>
      </c>
      <c r="Y728" t="s">
        <v>51</v>
      </c>
      <c r="AA728">
        <v>0</v>
      </c>
    </row>
    <row r="729" spans="1:27" x14ac:dyDescent="0.2">
      <c r="A729" t="s">
        <v>600</v>
      </c>
      <c r="B729">
        <v>2018</v>
      </c>
      <c r="C729" s="2" t="s">
        <v>1061</v>
      </c>
      <c r="D729" t="s">
        <v>1062</v>
      </c>
      <c r="E729" t="s">
        <v>29</v>
      </c>
      <c r="F729" t="s">
        <v>30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25</v>
      </c>
      <c r="V729">
        <v>0</v>
      </c>
      <c r="W729">
        <v>0</v>
      </c>
      <c r="X729">
        <v>0</v>
      </c>
      <c r="Y729" t="s">
        <v>51</v>
      </c>
      <c r="AA729">
        <v>0</v>
      </c>
    </row>
    <row r="730" spans="1:27" x14ac:dyDescent="0.2">
      <c r="A730" t="s">
        <v>600</v>
      </c>
      <c r="B730">
        <v>2018</v>
      </c>
      <c r="C730" s="2" t="s">
        <v>1063</v>
      </c>
      <c r="D730" t="s">
        <v>1064</v>
      </c>
      <c r="E730" t="s">
        <v>29</v>
      </c>
      <c r="F730" t="s">
        <v>30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 t="s">
        <v>51</v>
      </c>
      <c r="AA730">
        <v>0</v>
      </c>
    </row>
    <row r="731" spans="1:27" x14ac:dyDescent="0.2">
      <c r="A731" t="s">
        <v>600</v>
      </c>
      <c r="B731">
        <v>2018</v>
      </c>
      <c r="C731" s="2" t="s">
        <v>1065</v>
      </c>
      <c r="D731" t="s">
        <v>1066</v>
      </c>
      <c r="E731" t="s">
        <v>29</v>
      </c>
      <c r="F731" t="s">
        <v>30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 t="s">
        <v>51</v>
      </c>
      <c r="AA731">
        <v>0</v>
      </c>
    </row>
    <row r="732" spans="1:27" x14ac:dyDescent="0.2">
      <c r="A732" t="s">
        <v>600</v>
      </c>
      <c r="B732">
        <v>2018</v>
      </c>
      <c r="C732" s="2" t="s">
        <v>1067</v>
      </c>
      <c r="D732" t="s">
        <v>1068</v>
      </c>
      <c r="E732" t="s">
        <v>29</v>
      </c>
      <c r="F732" t="s">
        <v>41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3</v>
      </c>
      <c r="X732">
        <v>0</v>
      </c>
      <c r="Y732" t="s">
        <v>51</v>
      </c>
      <c r="AA732">
        <v>0</v>
      </c>
    </row>
    <row r="733" spans="1:27" x14ac:dyDescent="0.2">
      <c r="A733" t="s">
        <v>1048</v>
      </c>
      <c r="B733">
        <v>2020</v>
      </c>
      <c r="C733" t="s">
        <v>1069</v>
      </c>
      <c r="D733" t="s">
        <v>1070</v>
      </c>
      <c r="E733" t="s">
        <v>29</v>
      </c>
      <c r="F733" t="s">
        <v>30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69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 t="s">
        <v>51</v>
      </c>
      <c r="Z733">
        <v>55</v>
      </c>
      <c r="AA733">
        <v>0</v>
      </c>
    </row>
    <row r="734" spans="1:27" x14ac:dyDescent="0.2">
      <c r="A734" t="s">
        <v>1071</v>
      </c>
      <c r="B734">
        <v>2021</v>
      </c>
      <c r="C734">
        <v>76412006</v>
      </c>
      <c r="D734" t="s">
        <v>1072</v>
      </c>
      <c r="E734" t="s">
        <v>29</v>
      </c>
      <c r="F734" t="s">
        <v>30</v>
      </c>
      <c r="G734">
        <v>51</v>
      </c>
      <c r="H734">
        <v>0</v>
      </c>
      <c r="I734">
        <v>14</v>
      </c>
      <c r="J734">
        <v>0</v>
      </c>
      <c r="K734">
        <v>0</v>
      </c>
      <c r="L734">
        <v>1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 t="s">
        <v>31</v>
      </c>
      <c r="AA734">
        <v>80</v>
      </c>
    </row>
    <row r="735" spans="1:27" x14ac:dyDescent="0.2">
      <c r="A735" t="s">
        <v>1071</v>
      </c>
      <c r="B735">
        <v>2021</v>
      </c>
      <c r="C735">
        <v>77904075</v>
      </c>
      <c r="D735" t="s">
        <v>1073</v>
      </c>
      <c r="E735" t="s">
        <v>29</v>
      </c>
      <c r="F735" t="s">
        <v>30</v>
      </c>
      <c r="G735">
        <v>72</v>
      </c>
      <c r="H735">
        <v>0</v>
      </c>
      <c r="I735">
        <v>0</v>
      </c>
      <c r="J735">
        <v>0</v>
      </c>
      <c r="K735">
        <v>0</v>
      </c>
      <c r="L735">
        <v>1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 t="s">
        <v>31</v>
      </c>
      <c r="AA735">
        <v>80</v>
      </c>
    </row>
    <row r="736" spans="1:27" x14ac:dyDescent="0.2">
      <c r="A736" t="s">
        <v>1057</v>
      </c>
      <c r="B736">
        <v>2023</v>
      </c>
      <c r="C736">
        <v>11613800150000</v>
      </c>
      <c r="D736" t="s">
        <v>1074</v>
      </c>
      <c r="E736" t="s">
        <v>29</v>
      </c>
      <c r="F736" t="s">
        <v>30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60</v>
      </c>
      <c r="N736">
        <v>0</v>
      </c>
      <c r="O736">
        <v>231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 t="s">
        <v>31</v>
      </c>
      <c r="Z736">
        <v>55</v>
      </c>
      <c r="AA736">
        <v>0</v>
      </c>
    </row>
    <row r="737" spans="1:27" x14ac:dyDescent="0.2">
      <c r="A737" t="s">
        <v>1075</v>
      </c>
      <c r="B737">
        <v>2020</v>
      </c>
      <c r="C737">
        <v>47219036</v>
      </c>
      <c r="D737" t="s">
        <v>1076</v>
      </c>
      <c r="E737" t="s">
        <v>29</v>
      </c>
      <c r="F737" t="s">
        <v>30</v>
      </c>
      <c r="G737">
        <v>0</v>
      </c>
      <c r="H737">
        <v>0</v>
      </c>
      <c r="I737">
        <v>2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 t="s">
        <v>31</v>
      </c>
      <c r="AA737">
        <v>0</v>
      </c>
    </row>
    <row r="738" spans="1:27" x14ac:dyDescent="0.2">
      <c r="A738" t="s">
        <v>1077</v>
      </c>
      <c r="B738">
        <v>2021</v>
      </c>
      <c r="C738" t="s">
        <v>1078</v>
      </c>
      <c r="D738" t="s">
        <v>1079</v>
      </c>
      <c r="E738" t="s">
        <v>29</v>
      </c>
      <c r="F738" t="s">
        <v>30</v>
      </c>
      <c r="G738">
        <v>25</v>
      </c>
      <c r="H738">
        <v>0</v>
      </c>
      <c r="I738">
        <v>25</v>
      </c>
      <c r="J738">
        <v>0</v>
      </c>
      <c r="K738">
        <v>0</v>
      </c>
      <c r="L738">
        <v>0</v>
      </c>
      <c r="M738">
        <v>25</v>
      </c>
      <c r="N738">
        <v>0</v>
      </c>
      <c r="O738">
        <v>25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 t="s">
        <v>31</v>
      </c>
      <c r="Z738">
        <v>55</v>
      </c>
      <c r="AA738">
        <v>38</v>
      </c>
    </row>
    <row r="739" spans="1:27" x14ac:dyDescent="0.2">
      <c r="A739" t="s">
        <v>600</v>
      </c>
      <c r="B739">
        <v>2018</v>
      </c>
      <c r="C739" s="2" t="s">
        <v>1080</v>
      </c>
      <c r="D739" t="s">
        <v>1081</v>
      </c>
      <c r="E739" t="s">
        <v>29</v>
      </c>
      <c r="F739" t="s">
        <v>30</v>
      </c>
      <c r="G739">
        <v>0</v>
      </c>
      <c r="H739">
        <v>0</v>
      </c>
      <c r="I739">
        <v>24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 t="s">
        <v>51</v>
      </c>
      <c r="AA739">
        <v>0</v>
      </c>
    </row>
    <row r="740" spans="1:27" x14ac:dyDescent="0.2">
      <c r="A740" t="s">
        <v>600</v>
      </c>
      <c r="B740">
        <v>2018</v>
      </c>
      <c r="C740">
        <v>1107008</v>
      </c>
      <c r="D740" t="s">
        <v>1082</v>
      </c>
      <c r="E740" t="s">
        <v>29</v>
      </c>
      <c r="F740" t="s">
        <v>30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 t="s">
        <v>51</v>
      </c>
      <c r="AA740">
        <v>0</v>
      </c>
    </row>
    <row r="741" spans="1:27" x14ac:dyDescent="0.2">
      <c r="A741" t="s">
        <v>600</v>
      </c>
      <c r="B741">
        <v>2018</v>
      </c>
      <c r="C741" t="s">
        <v>1083</v>
      </c>
      <c r="D741" t="s">
        <v>1084</v>
      </c>
      <c r="E741" t="s">
        <v>29</v>
      </c>
      <c r="F741" t="s">
        <v>30</v>
      </c>
      <c r="G741">
        <v>0</v>
      </c>
      <c r="H741">
        <v>0</v>
      </c>
      <c r="I741">
        <v>9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 t="s">
        <v>51</v>
      </c>
      <c r="AA741">
        <v>0</v>
      </c>
    </row>
    <row r="742" spans="1:27" x14ac:dyDescent="0.2">
      <c r="A742" t="s">
        <v>600</v>
      </c>
      <c r="B742">
        <v>2018</v>
      </c>
      <c r="C742" s="2" t="s">
        <v>962</v>
      </c>
      <c r="D742" t="s">
        <v>1085</v>
      </c>
      <c r="E742" t="s">
        <v>29</v>
      </c>
      <c r="F742" t="s">
        <v>30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 t="s">
        <v>51</v>
      </c>
      <c r="AA742">
        <v>0</v>
      </c>
    </row>
    <row r="743" spans="1:27" x14ac:dyDescent="0.2">
      <c r="A743" t="s">
        <v>600</v>
      </c>
      <c r="B743">
        <v>2018</v>
      </c>
      <c r="C743">
        <v>3741031</v>
      </c>
      <c r="D743" t="s">
        <v>1086</v>
      </c>
      <c r="E743" t="s">
        <v>29</v>
      </c>
      <c r="F743" t="s">
        <v>30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 t="s">
        <v>51</v>
      </c>
      <c r="AA743">
        <v>0</v>
      </c>
    </row>
    <row r="744" spans="1:27" x14ac:dyDescent="0.2">
      <c r="A744" t="s">
        <v>600</v>
      </c>
      <c r="B744">
        <v>2018</v>
      </c>
      <c r="C744">
        <v>3753079</v>
      </c>
      <c r="D744" t="s">
        <v>1087</v>
      </c>
      <c r="E744" t="s">
        <v>29</v>
      </c>
      <c r="F744" t="s">
        <v>30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12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 t="s">
        <v>51</v>
      </c>
      <c r="AA744">
        <v>0</v>
      </c>
    </row>
    <row r="745" spans="1:27" x14ac:dyDescent="0.2">
      <c r="A745" t="s">
        <v>600</v>
      </c>
      <c r="B745">
        <v>2018</v>
      </c>
      <c r="C745" s="2" t="s">
        <v>1088</v>
      </c>
      <c r="D745" t="s">
        <v>1089</v>
      </c>
      <c r="E745" t="s">
        <v>29</v>
      </c>
      <c r="F745" t="s">
        <v>30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 t="s">
        <v>51</v>
      </c>
      <c r="AA745">
        <v>0</v>
      </c>
    </row>
    <row r="746" spans="1:27" x14ac:dyDescent="0.2">
      <c r="A746" t="s">
        <v>600</v>
      </c>
      <c r="B746">
        <v>2018</v>
      </c>
      <c r="C746" s="2" t="s">
        <v>1090</v>
      </c>
      <c r="D746" t="s">
        <v>1091</v>
      </c>
      <c r="E746" t="s">
        <v>29</v>
      </c>
      <c r="F746" t="s">
        <v>41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6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 t="s">
        <v>51</v>
      </c>
      <c r="AA746">
        <v>0</v>
      </c>
    </row>
    <row r="747" spans="1:27" x14ac:dyDescent="0.2">
      <c r="A747" t="s">
        <v>600</v>
      </c>
      <c r="B747">
        <v>2018</v>
      </c>
      <c r="C747">
        <v>3519063</v>
      </c>
      <c r="D747" t="s">
        <v>1092</v>
      </c>
      <c r="E747" t="s">
        <v>29</v>
      </c>
      <c r="F747" t="s">
        <v>30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7</v>
      </c>
      <c r="V747">
        <v>0</v>
      </c>
      <c r="W747">
        <v>0</v>
      </c>
      <c r="X747">
        <v>0</v>
      </c>
      <c r="Y747" t="s">
        <v>51</v>
      </c>
      <c r="AA747">
        <v>0</v>
      </c>
    </row>
    <row r="748" spans="1:27" x14ac:dyDescent="0.2">
      <c r="A748" t="s">
        <v>600</v>
      </c>
      <c r="B748">
        <v>2018</v>
      </c>
      <c r="C748" t="s">
        <v>1093</v>
      </c>
      <c r="D748" t="s">
        <v>1094</v>
      </c>
      <c r="E748" t="s">
        <v>29</v>
      </c>
      <c r="F748" t="s">
        <v>30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1</v>
      </c>
      <c r="T748">
        <v>0</v>
      </c>
      <c r="U748">
        <v>3</v>
      </c>
      <c r="V748">
        <v>0</v>
      </c>
      <c r="W748">
        <v>1</v>
      </c>
      <c r="X748">
        <v>0</v>
      </c>
      <c r="Y748" t="s">
        <v>51</v>
      </c>
      <c r="AA748">
        <v>0</v>
      </c>
    </row>
    <row r="749" spans="1:27" x14ac:dyDescent="0.2">
      <c r="A749" t="s">
        <v>600</v>
      </c>
      <c r="B749">
        <v>2018</v>
      </c>
      <c r="C749">
        <v>3197010</v>
      </c>
      <c r="D749" t="s">
        <v>1095</v>
      </c>
      <c r="E749" t="s">
        <v>29</v>
      </c>
      <c r="F749" t="s">
        <v>30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 t="s">
        <v>51</v>
      </c>
      <c r="AA749">
        <v>0</v>
      </c>
    </row>
    <row r="750" spans="1:27" x14ac:dyDescent="0.2">
      <c r="A750" t="s">
        <v>876</v>
      </c>
      <c r="B750">
        <v>2023</v>
      </c>
      <c r="C750">
        <v>41208061</v>
      </c>
      <c r="D750" t="s">
        <v>1096</v>
      </c>
      <c r="E750" t="s">
        <v>29</v>
      </c>
      <c r="F750" t="s">
        <v>41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1</v>
      </c>
      <c r="T750">
        <v>0</v>
      </c>
      <c r="U750">
        <v>0</v>
      </c>
      <c r="V750">
        <v>0</v>
      </c>
      <c r="W750">
        <v>0</v>
      </c>
      <c r="X750">
        <v>0</v>
      </c>
      <c r="Y750" t="s">
        <v>51</v>
      </c>
      <c r="Z750">
        <v>45</v>
      </c>
      <c r="AA750">
        <v>0</v>
      </c>
    </row>
    <row r="751" spans="1:27" x14ac:dyDescent="0.2">
      <c r="A751" t="s">
        <v>1010</v>
      </c>
      <c r="B751">
        <v>2021</v>
      </c>
      <c r="C751" t="s">
        <v>1097</v>
      </c>
      <c r="D751" t="s">
        <v>1098</v>
      </c>
      <c r="E751" t="s">
        <v>29</v>
      </c>
      <c r="F751" t="s">
        <v>30</v>
      </c>
      <c r="G751">
        <v>26</v>
      </c>
      <c r="H751">
        <v>0</v>
      </c>
      <c r="I751">
        <v>39</v>
      </c>
      <c r="J751">
        <v>0</v>
      </c>
      <c r="K751">
        <v>1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 t="s">
        <v>31</v>
      </c>
      <c r="Z751">
        <v>55</v>
      </c>
      <c r="AA751">
        <v>0</v>
      </c>
    </row>
    <row r="752" spans="1:27" x14ac:dyDescent="0.2">
      <c r="A752" t="s">
        <v>1010</v>
      </c>
      <c r="B752">
        <v>2021</v>
      </c>
      <c r="C752" t="s">
        <v>1099</v>
      </c>
      <c r="D752" t="s">
        <v>1100</v>
      </c>
      <c r="E752" t="s">
        <v>29</v>
      </c>
      <c r="F752" t="s">
        <v>30</v>
      </c>
      <c r="G752">
        <v>122</v>
      </c>
      <c r="H752">
        <v>0</v>
      </c>
      <c r="I752">
        <v>62</v>
      </c>
      <c r="J752">
        <v>0</v>
      </c>
      <c r="K752">
        <v>2</v>
      </c>
      <c r="L752">
        <v>0</v>
      </c>
      <c r="M752">
        <v>122</v>
      </c>
      <c r="N752">
        <v>0</v>
      </c>
      <c r="O752">
        <v>62</v>
      </c>
      <c r="P752">
        <v>0</v>
      </c>
      <c r="Q752">
        <v>2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 t="s">
        <v>31</v>
      </c>
      <c r="Z752">
        <v>55</v>
      </c>
      <c r="AA752">
        <v>0</v>
      </c>
    </row>
    <row r="753" spans="1:27" x14ac:dyDescent="0.2">
      <c r="A753" t="s">
        <v>43</v>
      </c>
      <c r="B753">
        <v>2023</v>
      </c>
      <c r="C753">
        <v>4337001013</v>
      </c>
      <c r="D753" t="s">
        <v>1101</v>
      </c>
      <c r="E753" t="s">
        <v>29</v>
      </c>
      <c r="F753" t="s">
        <v>41</v>
      </c>
      <c r="G753">
        <v>3</v>
      </c>
      <c r="H753">
        <v>0</v>
      </c>
      <c r="I753">
        <v>0</v>
      </c>
      <c r="J753">
        <v>0</v>
      </c>
      <c r="K753">
        <v>2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 t="s">
        <v>31</v>
      </c>
      <c r="Z753">
        <v>1000</v>
      </c>
      <c r="AA753">
        <v>50</v>
      </c>
    </row>
    <row r="754" spans="1:27" x14ac:dyDescent="0.2">
      <c r="A754" t="s">
        <v>928</v>
      </c>
      <c r="B754">
        <v>2020</v>
      </c>
      <c r="C754" t="s">
        <v>1102</v>
      </c>
      <c r="D754" t="s">
        <v>1103</v>
      </c>
      <c r="E754" t="s">
        <v>29</v>
      </c>
      <c r="F754" t="s">
        <v>41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1</v>
      </c>
      <c r="V754">
        <v>0</v>
      </c>
      <c r="W754">
        <v>0</v>
      </c>
      <c r="X754">
        <v>0</v>
      </c>
      <c r="Y754" t="s">
        <v>51</v>
      </c>
      <c r="Z754">
        <v>50</v>
      </c>
      <c r="AA754">
        <v>0</v>
      </c>
    </row>
    <row r="755" spans="1:27" x14ac:dyDescent="0.2">
      <c r="A755" t="s">
        <v>928</v>
      </c>
      <c r="B755">
        <v>2020</v>
      </c>
      <c r="C755" t="s">
        <v>1104</v>
      </c>
      <c r="D755" t="s">
        <v>1105</v>
      </c>
      <c r="E755" t="s">
        <v>29</v>
      </c>
      <c r="F755" t="s">
        <v>41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 t="s">
        <v>51</v>
      </c>
      <c r="Z755">
        <v>50</v>
      </c>
      <c r="AA755">
        <v>0</v>
      </c>
    </row>
    <row r="756" spans="1:27" x14ac:dyDescent="0.2">
      <c r="A756" t="s">
        <v>928</v>
      </c>
      <c r="B756">
        <v>2020</v>
      </c>
      <c r="C756" t="s">
        <v>1106</v>
      </c>
      <c r="D756" t="s">
        <v>932</v>
      </c>
      <c r="E756" t="s">
        <v>29</v>
      </c>
      <c r="F756" t="s">
        <v>41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 t="s">
        <v>51</v>
      </c>
      <c r="Z756">
        <v>50</v>
      </c>
      <c r="AA756">
        <v>0</v>
      </c>
    </row>
    <row r="757" spans="1:27" x14ac:dyDescent="0.2">
      <c r="A757" t="s">
        <v>928</v>
      </c>
      <c r="B757">
        <v>2020</v>
      </c>
      <c r="C757" t="s">
        <v>1107</v>
      </c>
      <c r="D757" t="s">
        <v>1108</v>
      </c>
      <c r="E757" t="s">
        <v>29</v>
      </c>
      <c r="F757" t="s">
        <v>41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 t="s">
        <v>51</v>
      </c>
      <c r="Z757">
        <v>50</v>
      </c>
      <c r="AA757">
        <v>0</v>
      </c>
    </row>
    <row r="758" spans="1:27" x14ac:dyDescent="0.2">
      <c r="A758" t="s">
        <v>619</v>
      </c>
      <c r="B758">
        <v>2020</v>
      </c>
      <c r="C758" t="s">
        <v>1109</v>
      </c>
      <c r="D758" t="s">
        <v>1110</v>
      </c>
      <c r="E758" t="s">
        <v>29</v>
      </c>
      <c r="F758" t="s">
        <v>30</v>
      </c>
      <c r="G758">
        <v>0</v>
      </c>
      <c r="H758">
        <v>2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 t="s">
        <v>51</v>
      </c>
      <c r="Z758">
        <v>50</v>
      </c>
      <c r="AA758">
        <v>0</v>
      </c>
    </row>
    <row r="759" spans="1:27" x14ac:dyDescent="0.2">
      <c r="A759" t="s">
        <v>886</v>
      </c>
      <c r="B759">
        <v>2021</v>
      </c>
      <c r="C759" t="s">
        <v>1111</v>
      </c>
      <c r="D759" t="s">
        <v>1112</v>
      </c>
      <c r="E759" t="s">
        <v>29</v>
      </c>
      <c r="F759" t="s">
        <v>30</v>
      </c>
      <c r="G759">
        <v>26</v>
      </c>
      <c r="H759">
        <v>0</v>
      </c>
      <c r="I759">
        <v>7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 t="s">
        <v>31</v>
      </c>
      <c r="Z759">
        <v>55</v>
      </c>
      <c r="AA759" s="2" t="s">
        <v>1113</v>
      </c>
    </row>
    <row r="760" spans="1:27" x14ac:dyDescent="0.2">
      <c r="A760" t="s">
        <v>324</v>
      </c>
      <c r="B760">
        <v>2023</v>
      </c>
      <c r="C760" s="2" t="s">
        <v>1114</v>
      </c>
      <c r="D760" t="s">
        <v>1115</v>
      </c>
      <c r="E760" t="s">
        <v>29</v>
      </c>
      <c r="F760" t="s">
        <v>30</v>
      </c>
      <c r="G760">
        <v>68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68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 t="s">
        <v>31</v>
      </c>
      <c r="Z760">
        <v>55</v>
      </c>
      <c r="AA760">
        <v>35</v>
      </c>
    </row>
    <row r="761" spans="1:27" x14ac:dyDescent="0.2">
      <c r="A761" t="s">
        <v>254</v>
      </c>
      <c r="B761">
        <v>2021</v>
      </c>
      <c r="C761" t="s">
        <v>327</v>
      </c>
      <c r="D761" t="s">
        <v>328</v>
      </c>
      <c r="E761" t="s">
        <v>29</v>
      </c>
      <c r="F761" t="s">
        <v>30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18</v>
      </c>
      <c r="N761">
        <v>0</v>
      </c>
      <c r="O761">
        <v>35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 t="s">
        <v>31</v>
      </c>
      <c r="AA761">
        <v>35</v>
      </c>
    </row>
    <row r="762" spans="1:27" x14ac:dyDescent="0.2">
      <c r="A762" t="s">
        <v>1116</v>
      </c>
      <c r="B762">
        <v>2021</v>
      </c>
      <c r="C762" t="s">
        <v>1117</v>
      </c>
      <c r="D762" t="s">
        <v>1118</v>
      </c>
      <c r="E762" t="s">
        <v>29</v>
      </c>
      <c r="F762" t="s">
        <v>30</v>
      </c>
      <c r="G762">
        <v>1</v>
      </c>
      <c r="H762">
        <v>0</v>
      </c>
      <c r="I762">
        <v>0</v>
      </c>
      <c r="J762">
        <v>0</v>
      </c>
      <c r="K762">
        <v>0</v>
      </c>
      <c r="L762">
        <v>16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 t="s">
        <v>31</v>
      </c>
      <c r="AA762">
        <v>23</v>
      </c>
    </row>
    <row r="763" spans="1:27" x14ac:dyDescent="0.2">
      <c r="A763" t="s">
        <v>622</v>
      </c>
      <c r="B763">
        <v>2021</v>
      </c>
      <c r="C763" t="s">
        <v>1119</v>
      </c>
      <c r="D763" t="s">
        <v>1120</v>
      </c>
      <c r="E763" t="s">
        <v>29</v>
      </c>
      <c r="F763" t="s">
        <v>30</v>
      </c>
      <c r="G763">
        <v>74</v>
      </c>
      <c r="H763">
        <v>0</v>
      </c>
      <c r="I763">
        <v>124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 t="s">
        <v>31</v>
      </c>
      <c r="AA763">
        <v>0</v>
      </c>
    </row>
    <row r="764" spans="1:27" x14ac:dyDescent="0.2">
      <c r="A764" t="s">
        <v>622</v>
      </c>
      <c r="B764">
        <v>2021</v>
      </c>
      <c r="C764" t="s">
        <v>1121</v>
      </c>
      <c r="D764" t="s">
        <v>1122</v>
      </c>
      <c r="E764" t="s">
        <v>29</v>
      </c>
      <c r="F764" t="s">
        <v>30</v>
      </c>
      <c r="G764">
        <v>57</v>
      </c>
      <c r="H764">
        <v>0</v>
      </c>
      <c r="I764">
        <v>40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 t="s">
        <v>51</v>
      </c>
      <c r="AA764">
        <v>0</v>
      </c>
    </row>
    <row r="765" spans="1:27" x14ac:dyDescent="0.2">
      <c r="A765" t="s">
        <v>622</v>
      </c>
      <c r="B765">
        <v>2021</v>
      </c>
      <c r="C765" t="s">
        <v>623</v>
      </c>
      <c r="D765" t="s">
        <v>1123</v>
      </c>
      <c r="E765" t="s">
        <v>29</v>
      </c>
      <c r="F765" t="s">
        <v>30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10</v>
      </c>
      <c r="T765">
        <v>0</v>
      </c>
      <c r="U765">
        <v>0</v>
      </c>
      <c r="V765">
        <v>0</v>
      </c>
      <c r="W765">
        <v>0</v>
      </c>
      <c r="X765">
        <v>0</v>
      </c>
      <c r="Y765" t="s">
        <v>51</v>
      </c>
      <c r="AA765">
        <v>0</v>
      </c>
    </row>
    <row r="766" spans="1:27" x14ac:dyDescent="0.2">
      <c r="A766" t="s">
        <v>622</v>
      </c>
      <c r="B766">
        <v>2021</v>
      </c>
      <c r="C766" t="s">
        <v>623</v>
      </c>
      <c r="D766" t="s">
        <v>1124</v>
      </c>
      <c r="E766" t="s">
        <v>29</v>
      </c>
      <c r="F766" t="s">
        <v>30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1</v>
      </c>
      <c r="T766">
        <v>0</v>
      </c>
      <c r="U766">
        <v>0</v>
      </c>
      <c r="V766">
        <v>0</v>
      </c>
      <c r="W766">
        <v>0</v>
      </c>
      <c r="X766">
        <v>0</v>
      </c>
      <c r="Y766" t="s">
        <v>51</v>
      </c>
      <c r="AA766">
        <v>0</v>
      </c>
    </row>
    <row r="767" spans="1:27" x14ac:dyDescent="0.2">
      <c r="A767" t="s">
        <v>622</v>
      </c>
      <c r="B767">
        <v>2021</v>
      </c>
      <c r="C767" t="s">
        <v>623</v>
      </c>
      <c r="D767" t="s">
        <v>1125</v>
      </c>
      <c r="E767" t="s">
        <v>29</v>
      </c>
      <c r="F767" t="s">
        <v>30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1</v>
      </c>
      <c r="T767">
        <v>0</v>
      </c>
      <c r="U767">
        <v>0</v>
      </c>
      <c r="V767">
        <v>0</v>
      </c>
      <c r="W767">
        <v>0</v>
      </c>
      <c r="X767">
        <v>0</v>
      </c>
      <c r="Y767" t="s">
        <v>51</v>
      </c>
      <c r="AA767">
        <v>0</v>
      </c>
    </row>
    <row r="768" spans="1:27" x14ac:dyDescent="0.2">
      <c r="A768" t="s">
        <v>622</v>
      </c>
      <c r="B768">
        <v>2021</v>
      </c>
      <c r="C768" t="s">
        <v>623</v>
      </c>
      <c r="D768" t="s">
        <v>1126</v>
      </c>
      <c r="E768" t="s">
        <v>29</v>
      </c>
      <c r="F768" t="s">
        <v>30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2</v>
      </c>
      <c r="T768">
        <v>0</v>
      </c>
      <c r="U768">
        <v>0</v>
      </c>
      <c r="V768">
        <v>0</v>
      </c>
      <c r="W768">
        <v>0</v>
      </c>
      <c r="X768">
        <v>0</v>
      </c>
      <c r="Y768" t="s">
        <v>51</v>
      </c>
      <c r="AA768">
        <v>0</v>
      </c>
    </row>
    <row r="769" spans="1:27" x14ac:dyDescent="0.2">
      <c r="A769" t="s">
        <v>1127</v>
      </c>
      <c r="B769">
        <v>2023</v>
      </c>
      <c r="C769" t="s">
        <v>1128</v>
      </c>
      <c r="D769" t="s">
        <v>1129</v>
      </c>
      <c r="E769" t="s">
        <v>29</v>
      </c>
      <c r="F769" t="s">
        <v>30</v>
      </c>
      <c r="G769">
        <v>0</v>
      </c>
      <c r="H769">
        <v>0</v>
      </c>
      <c r="I769">
        <v>4</v>
      </c>
      <c r="J769">
        <v>0</v>
      </c>
      <c r="K769">
        <v>4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 t="s">
        <v>31</v>
      </c>
      <c r="AA769">
        <v>7</v>
      </c>
    </row>
    <row r="770" spans="1:27" x14ac:dyDescent="0.2">
      <c r="A770" t="s">
        <v>1130</v>
      </c>
      <c r="B770">
        <v>2023</v>
      </c>
      <c r="C770" t="s">
        <v>1131</v>
      </c>
      <c r="D770" t="s">
        <v>1132</v>
      </c>
      <c r="E770" t="s">
        <v>29</v>
      </c>
      <c r="F770" t="s">
        <v>30</v>
      </c>
      <c r="G770">
        <v>0</v>
      </c>
      <c r="H770">
        <v>0</v>
      </c>
      <c r="I770">
        <v>17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 t="s">
        <v>31</v>
      </c>
      <c r="Z770">
        <v>55</v>
      </c>
      <c r="AA770">
        <v>47</v>
      </c>
    </row>
    <row r="771" spans="1:27" ht="85" x14ac:dyDescent="0.2">
      <c r="A771" t="s">
        <v>48</v>
      </c>
      <c r="B771">
        <v>2022</v>
      </c>
      <c r="C771" t="s">
        <v>1133</v>
      </c>
      <c r="D771" s="1" t="s">
        <v>1134</v>
      </c>
      <c r="E771" t="s">
        <v>29</v>
      </c>
      <c r="F771" t="s">
        <v>30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1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 t="s">
        <v>51</v>
      </c>
      <c r="Z771">
        <v>55</v>
      </c>
      <c r="AA771">
        <v>0</v>
      </c>
    </row>
    <row r="772" spans="1:27" ht="85" x14ac:dyDescent="0.2">
      <c r="A772" t="s">
        <v>48</v>
      </c>
      <c r="B772">
        <v>2022</v>
      </c>
      <c r="C772" t="s">
        <v>102</v>
      </c>
      <c r="D772" s="1" t="s">
        <v>1135</v>
      </c>
      <c r="E772" t="s">
        <v>29</v>
      </c>
      <c r="F772" t="s">
        <v>30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11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 t="s">
        <v>51</v>
      </c>
      <c r="Z772">
        <v>45</v>
      </c>
      <c r="AA772">
        <v>0</v>
      </c>
    </row>
    <row r="773" spans="1:27" ht="85" x14ac:dyDescent="0.2">
      <c r="A773" t="s">
        <v>48</v>
      </c>
      <c r="B773">
        <v>2022</v>
      </c>
      <c r="C773" t="s">
        <v>1136</v>
      </c>
      <c r="D773" s="1" t="s">
        <v>1137</v>
      </c>
      <c r="E773" t="s">
        <v>29</v>
      </c>
      <c r="F773" t="s">
        <v>30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26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 t="s">
        <v>31</v>
      </c>
      <c r="Z773">
        <v>55</v>
      </c>
      <c r="AA773">
        <v>40</v>
      </c>
    </row>
    <row r="774" spans="1:27" ht="85" x14ac:dyDescent="0.2">
      <c r="A774" t="s">
        <v>48</v>
      </c>
      <c r="B774">
        <v>2022</v>
      </c>
      <c r="C774" t="s">
        <v>1138</v>
      </c>
      <c r="D774" s="1" t="s">
        <v>1139</v>
      </c>
      <c r="E774" t="s">
        <v>29</v>
      </c>
      <c r="F774" t="s">
        <v>30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 t="s">
        <v>31</v>
      </c>
      <c r="Z774">
        <v>55</v>
      </c>
      <c r="AA774">
        <v>35</v>
      </c>
    </row>
    <row r="775" spans="1:27" x14ac:dyDescent="0.2">
      <c r="A775" t="s">
        <v>600</v>
      </c>
      <c r="B775">
        <v>2018</v>
      </c>
      <c r="C775">
        <v>3703040</v>
      </c>
      <c r="D775" t="s">
        <v>1140</v>
      </c>
      <c r="E775" t="s">
        <v>29</v>
      </c>
      <c r="F775" t="s">
        <v>30</v>
      </c>
      <c r="G775">
        <v>256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 t="s">
        <v>31</v>
      </c>
      <c r="AA775">
        <v>0</v>
      </c>
    </row>
    <row r="776" spans="1:27" x14ac:dyDescent="0.2">
      <c r="A776" t="s">
        <v>600</v>
      </c>
      <c r="B776">
        <v>2018</v>
      </c>
      <c r="C776" s="2" t="s">
        <v>1141</v>
      </c>
      <c r="D776" t="s">
        <v>1142</v>
      </c>
      <c r="E776" t="s">
        <v>29</v>
      </c>
      <c r="F776" t="s">
        <v>30</v>
      </c>
      <c r="G776">
        <v>0</v>
      </c>
      <c r="H776">
        <v>0</v>
      </c>
      <c r="I776">
        <v>23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 t="s">
        <v>51</v>
      </c>
      <c r="AA776">
        <v>0</v>
      </c>
    </row>
    <row r="777" spans="1:27" x14ac:dyDescent="0.2">
      <c r="A777" t="s">
        <v>600</v>
      </c>
      <c r="B777">
        <v>2018</v>
      </c>
      <c r="C777">
        <v>6973039</v>
      </c>
      <c r="D777" t="s">
        <v>1143</v>
      </c>
      <c r="E777" t="s">
        <v>29</v>
      </c>
      <c r="F777" t="s">
        <v>30</v>
      </c>
      <c r="G777">
        <v>88</v>
      </c>
      <c r="H777">
        <v>0</v>
      </c>
      <c r="I777">
        <v>24</v>
      </c>
      <c r="J777">
        <v>0</v>
      </c>
      <c r="K777">
        <v>18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 t="s">
        <v>31</v>
      </c>
      <c r="AA777">
        <v>0</v>
      </c>
    </row>
    <row r="778" spans="1:27" x14ac:dyDescent="0.2">
      <c r="A778" t="s">
        <v>600</v>
      </c>
      <c r="B778">
        <v>2018</v>
      </c>
      <c r="C778" t="s">
        <v>1144</v>
      </c>
      <c r="D778" t="s">
        <v>1145</v>
      </c>
      <c r="E778" t="s">
        <v>29</v>
      </c>
      <c r="F778" t="s">
        <v>41</v>
      </c>
      <c r="G778">
        <v>0</v>
      </c>
      <c r="H778">
        <v>0</v>
      </c>
      <c r="I778">
        <v>6</v>
      </c>
      <c r="J778">
        <v>0</v>
      </c>
      <c r="K778">
        <v>6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 t="s">
        <v>31</v>
      </c>
      <c r="AA778">
        <v>0</v>
      </c>
    </row>
    <row r="779" spans="1:27" x14ac:dyDescent="0.2">
      <c r="A779" t="s">
        <v>600</v>
      </c>
      <c r="B779">
        <v>2018</v>
      </c>
      <c r="C779">
        <v>3756041</v>
      </c>
      <c r="D779" t="s">
        <v>1146</v>
      </c>
      <c r="E779" t="s">
        <v>29</v>
      </c>
      <c r="F779" t="s">
        <v>30</v>
      </c>
      <c r="G779">
        <v>0</v>
      </c>
      <c r="H779">
        <v>0</v>
      </c>
      <c r="I779">
        <v>1</v>
      </c>
      <c r="J779">
        <v>0</v>
      </c>
      <c r="K779">
        <v>3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 t="s">
        <v>51</v>
      </c>
      <c r="AA779">
        <v>0</v>
      </c>
    </row>
    <row r="780" spans="1:27" x14ac:dyDescent="0.2">
      <c r="A780" t="s">
        <v>600</v>
      </c>
      <c r="B780">
        <v>2018</v>
      </c>
      <c r="C780" s="2" t="s">
        <v>1147</v>
      </c>
      <c r="D780" t="s">
        <v>1148</v>
      </c>
      <c r="E780" t="s">
        <v>29</v>
      </c>
      <c r="F780" t="s">
        <v>30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 t="s">
        <v>51</v>
      </c>
      <c r="AA780">
        <v>0</v>
      </c>
    </row>
    <row r="781" spans="1:27" x14ac:dyDescent="0.2">
      <c r="A781" t="s">
        <v>600</v>
      </c>
      <c r="B781">
        <v>2018</v>
      </c>
      <c r="C781" s="2" t="s">
        <v>1149</v>
      </c>
      <c r="D781" t="s">
        <v>1150</v>
      </c>
      <c r="E781" t="s">
        <v>29</v>
      </c>
      <c r="F781" t="s">
        <v>41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6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 t="s">
        <v>51</v>
      </c>
      <c r="AA781">
        <v>0</v>
      </c>
    </row>
    <row r="782" spans="1:27" x14ac:dyDescent="0.2">
      <c r="A782" t="s">
        <v>600</v>
      </c>
      <c r="B782">
        <v>2018</v>
      </c>
      <c r="C782">
        <v>3510058</v>
      </c>
      <c r="D782" t="s">
        <v>1151</v>
      </c>
      <c r="E782" t="s">
        <v>29</v>
      </c>
      <c r="F782" t="s">
        <v>30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6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 t="s">
        <v>51</v>
      </c>
      <c r="AA782">
        <v>0</v>
      </c>
    </row>
    <row r="783" spans="1:27" x14ac:dyDescent="0.2">
      <c r="A783" t="s">
        <v>600</v>
      </c>
      <c r="B783">
        <v>2018</v>
      </c>
      <c r="C783">
        <v>3736190</v>
      </c>
      <c r="D783" t="s">
        <v>1152</v>
      </c>
      <c r="E783" t="s">
        <v>29</v>
      </c>
      <c r="F783" t="s">
        <v>30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60</v>
      </c>
      <c r="V783">
        <v>0</v>
      </c>
      <c r="W783">
        <v>0</v>
      </c>
      <c r="X783">
        <v>0</v>
      </c>
      <c r="Y783" t="s">
        <v>51</v>
      </c>
      <c r="AA783">
        <v>0</v>
      </c>
    </row>
    <row r="784" spans="1:27" x14ac:dyDescent="0.2">
      <c r="A784" t="s">
        <v>600</v>
      </c>
      <c r="B784">
        <v>2018</v>
      </c>
      <c r="C784">
        <v>3994084</v>
      </c>
      <c r="D784" t="s">
        <v>1153</v>
      </c>
      <c r="E784" t="s">
        <v>29</v>
      </c>
      <c r="F784" t="s">
        <v>30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12</v>
      </c>
      <c r="V784">
        <v>0</v>
      </c>
      <c r="W784">
        <v>0</v>
      </c>
      <c r="X784">
        <v>0</v>
      </c>
      <c r="Y784" t="s">
        <v>51</v>
      </c>
      <c r="AA784">
        <v>0</v>
      </c>
    </row>
    <row r="785" spans="1:27" x14ac:dyDescent="0.2">
      <c r="A785" t="s">
        <v>600</v>
      </c>
      <c r="B785">
        <v>2018</v>
      </c>
      <c r="C785">
        <v>3703062</v>
      </c>
      <c r="D785" t="s">
        <v>1154</v>
      </c>
      <c r="E785" t="s">
        <v>29</v>
      </c>
      <c r="F785" t="s">
        <v>41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11</v>
      </c>
      <c r="X785">
        <v>0</v>
      </c>
      <c r="Y785" t="s">
        <v>51</v>
      </c>
      <c r="AA785">
        <v>0</v>
      </c>
    </row>
    <row r="786" spans="1:27" x14ac:dyDescent="0.2">
      <c r="A786" t="s">
        <v>600</v>
      </c>
      <c r="B786">
        <v>2018</v>
      </c>
      <c r="C786" t="s">
        <v>1155</v>
      </c>
      <c r="D786" t="s">
        <v>1156</v>
      </c>
      <c r="E786" t="s">
        <v>29</v>
      </c>
      <c r="F786" t="s">
        <v>41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10</v>
      </c>
      <c r="X786">
        <v>0</v>
      </c>
      <c r="Y786" t="s">
        <v>51</v>
      </c>
      <c r="AA786">
        <v>0</v>
      </c>
    </row>
    <row r="787" spans="1:27" x14ac:dyDescent="0.2">
      <c r="A787" t="s">
        <v>600</v>
      </c>
      <c r="B787">
        <v>2018</v>
      </c>
      <c r="C787">
        <v>3576090</v>
      </c>
      <c r="D787" t="s">
        <v>1157</v>
      </c>
      <c r="E787" t="s">
        <v>29</v>
      </c>
      <c r="F787" t="s">
        <v>30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 t="s">
        <v>51</v>
      </c>
      <c r="AA787">
        <v>0</v>
      </c>
    </row>
    <row r="788" spans="1:27" x14ac:dyDescent="0.2">
      <c r="A788" t="s">
        <v>600</v>
      </c>
      <c r="B788">
        <v>2018</v>
      </c>
      <c r="C788" t="s">
        <v>1158</v>
      </c>
      <c r="D788" t="s">
        <v>1159</v>
      </c>
      <c r="E788" t="s">
        <v>29</v>
      </c>
      <c r="F788" t="s">
        <v>30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 t="s">
        <v>51</v>
      </c>
      <c r="AA788">
        <v>0</v>
      </c>
    </row>
    <row r="789" spans="1:27" x14ac:dyDescent="0.2">
      <c r="A789" t="s">
        <v>876</v>
      </c>
      <c r="B789">
        <v>2023</v>
      </c>
      <c r="C789">
        <v>41208061</v>
      </c>
      <c r="D789" t="s">
        <v>1160</v>
      </c>
      <c r="E789" t="s">
        <v>29</v>
      </c>
      <c r="F789" t="s">
        <v>41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1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1</v>
      </c>
      <c r="X789">
        <v>0</v>
      </c>
      <c r="Y789" t="s">
        <v>51</v>
      </c>
      <c r="Z789">
        <v>45</v>
      </c>
      <c r="AA789">
        <v>0</v>
      </c>
    </row>
    <row r="790" spans="1:27" x14ac:dyDescent="0.2">
      <c r="A790" t="s">
        <v>1161</v>
      </c>
      <c r="B790">
        <v>2021</v>
      </c>
      <c r="C790" t="s">
        <v>1162</v>
      </c>
      <c r="D790" t="s">
        <v>1163</v>
      </c>
      <c r="E790" t="s">
        <v>29</v>
      </c>
      <c r="F790" t="s">
        <v>41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5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 t="s">
        <v>31</v>
      </c>
      <c r="Z790">
        <v>40</v>
      </c>
      <c r="AA790">
        <v>0</v>
      </c>
    </row>
    <row r="791" spans="1:27" x14ac:dyDescent="0.2">
      <c r="A791" t="s">
        <v>753</v>
      </c>
      <c r="B791">
        <v>2022</v>
      </c>
      <c r="C791">
        <v>6440710300</v>
      </c>
      <c r="D791" t="s">
        <v>1164</v>
      </c>
      <c r="E791" t="s">
        <v>29</v>
      </c>
      <c r="F791" t="s">
        <v>30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 t="s">
        <v>51</v>
      </c>
      <c r="Z791">
        <v>55</v>
      </c>
      <c r="AA791">
        <v>0</v>
      </c>
    </row>
    <row r="792" spans="1:27" x14ac:dyDescent="0.2">
      <c r="A792" t="s">
        <v>1165</v>
      </c>
      <c r="B792">
        <v>2023</v>
      </c>
      <c r="C792" t="s">
        <v>1166</v>
      </c>
      <c r="D792" t="s">
        <v>1167</v>
      </c>
      <c r="E792" t="s">
        <v>29</v>
      </c>
      <c r="F792" t="s">
        <v>30</v>
      </c>
      <c r="G792">
        <v>129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 t="s">
        <v>31</v>
      </c>
      <c r="Z792">
        <v>55</v>
      </c>
      <c r="AA792">
        <v>0</v>
      </c>
    </row>
    <row r="793" spans="1:27" x14ac:dyDescent="0.2">
      <c r="A793" t="s">
        <v>387</v>
      </c>
      <c r="B793">
        <v>2022</v>
      </c>
      <c r="C793" t="s">
        <v>1168</v>
      </c>
      <c r="D793" t="s">
        <v>1169</v>
      </c>
      <c r="E793" t="s">
        <v>29</v>
      </c>
      <c r="F793" t="s">
        <v>30</v>
      </c>
      <c r="G793">
        <v>20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 t="s">
        <v>51</v>
      </c>
      <c r="Z793">
        <v>1000</v>
      </c>
      <c r="AA793">
        <v>0</v>
      </c>
    </row>
    <row r="794" spans="1:27" x14ac:dyDescent="0.2">
      <c r="A794" t="s">
        <v>387</v>
      </c>
      <c r="B794">
        <v>2022</v>
      </c>
      <c r="C794" t="s">
        <v>1170</v>
      </c>
      <c r="D794" t="s">
        <v>1171</v>
      </c>
      <c r="E794" t="s">
        <v>29</v>
      </c>
      <c r="F794" t="s">
        <v>30</v>
      </c>
      <c r="G794">
        <v>48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 t="s">
        <v>51</v>
      </c>
      <c r="Z794">
        <v>1000</v>
      </c>
      <c r="AA794">
        <v>0</v>
      </c>
    </row>
    <row r="795" spans="1:27" x14ac:dyDescent="0.2">
      <c r="A795" t="s">
        <v>387</v>
      </c>
      <c r="B795">
        <v>2022</v>
      </c>
      <c r="C795" t="s">
        <v>1172</v>
      </c>
      <c r="D795" t="s">
        <v>1173</v>
      </c>
      <c r="E795" t="s">
        <v>29</v>
      </c>
      <c r="F795" t="s">
        <v>30</v>
      </c>
      <c r="G795">
        <v>16</v>
      </c>
      <c r="H795">
        <v>0</v>
      </c>
      <c r="I795">
        <v>48</v>
      </c>
      <c r="J795">
        <v>0</v>
      </c>
      <c r="K795">
        <v>0</v>
      </c>
      <c r="L795">
        <v>0</v>
      </c>
      <c r="M795">
        <v>16</v>
      </c>
      <c r="N795">
        <v>0</v>
      </c>
      <c r="O795">
        <v>48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 t="s">
        <v>51</v>
      </c>
      <c r="Z795">
        <v>55</v>
      </c>
      <c r="AA795">
        <v>0</v>
      </c>
    </row>
    <row r="796" spans="1:27" ht="85" x14ac:dyDescent="0.2">
      <c r="A796" t="s">
        <v>48</v>
      </c>
      <c r="B796">
        <v>2022</v>
      </c>
      <c r="C796" t="s">
        <v>1136</v>
      </c>
      <c r="D796" s="1" t="s">
        <v>1174</v>
      </c>
      <c r="E796" t="s">
        <v>29</v>
      </c>
      <c r="F796" t="s">
        <v>30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20</v>
      </c>
      <c r="N796">
        <v>0</v>
      </c>
      <c r="O796">
        <v>21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 t="s">
        <v>31</v>
      </c>
      <c r="Z796">
        <v>55</v>
      </c>
      <c r="AA796">
        <v>40</v>
      </c>
    </row>
    <row r="797" spans="1:27" x14ac:dyDescent="0.2">
      <c r="A797" t="s">
        <v>1057</v>
      </c>
      <c r="B797">
        <v>2022</v>
      </c>
      <c r="C797">
        <v>13200501610000</v>
      </c>
      <c r="D797" t="s">
        <v>1175</v>
      </c>
      <c r="E797" t="s">
        <v>29</v>
      </c>
      <c r="F797" t="s">
        <v>30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34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 t="s">
        <v>31</v>
      </c>
      <c r="Z797">
        <v>55</v>
      </c>
      <c r="AA797">
        <v>0</v>
      </c>
    </row>
    <row r="798" spans="1:27" x14ac:dyDescent="0.2">
      <c r="A798" t="s">
        <v>1176</v>
      </c>
      <c r="B798">
        <v>2022</v>
      </c>
      <c r="C798" t="s">
        <v>1177</v>
      </c>
      <c r="D798" t="s">
        <v>1178</v>
      </c>
      <c r="E798" t="s">
        <v>29</v>
      </c>
      <c r="F798" t="s">
        <v>41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4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 t="s">
        <v>31</v>
      </c>
      <c r="Z798">
        <v>30</v>
      </c>
      <c r="AA798">
        <v>13</v>
      </c>
    </row>
    <row r="799" spans="1:27" x14ac:dyDescent="0.2">
      <c r="A799" t="s">
        <v>622</v>
      </c>
      <c r="B799">
        <v>2021</v>
      </c>
      <c r="C799" t="s">
        <v>623</v>
      </c>
      <c r="D799" t="s">
        <v>1179</v>
      </c>
      <c r="E799" t="s">
        <v>29</v>
      </c>
      <c r="F799" t="s">
        <v>30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1</v>
      </c>
      <c r="T799">
        <v>0</v>
      </c>
      <c r="U799">
        <v>0</v>
      </c>
      <c r="V799">
        <v>0</v>
      </c>
      <c r="W799">
        <v>0</v>
      </c>
      <c r="X799">
        <v>0</v>
      </c>
      <c r="Y799" t="s">
        <v>51</v>
      </c>
      <c r="AA799">
        <v>0</v>
      </c>
    </row>
    <row r="800" spans="1:27" x14ac:dyDescent="0.2">
      <c r="A800" t="s">
        <v>1165</v>
      </c>
      <c r="B800">
        <v>2022</v>
      </c>
      <c r="C800" t="s">
        <v>1180</v>
      </c>
      <c r="D800" t="s">
        <v>1181</v>
      </c>
      <c r="E800" t="s">
        <v>29</v>
      </c>
      <c r="F800" t="s">
        <v>41</v>
      </c>
      <c r="G800">
        <v>0</v>
      </c>
      <c r="H800">
        <v>0</v>
      </c>
      <c r="I800">
        <v>0</v>
      </c>
      <c r="J800">
        <v>0</v>
      </c>
      <c r="K800">
        <v>1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1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 t="s">
        <v>51</v>
      </c>
      <c r="Z800">
        <v>55</v>
      </c>
      <c r="AA800">
        <v>0</v>
      </c>
    </row>
    <row r="801" spans="1:27" x14ac:dyDescent="0.2">
      <c r="A801" t="s">
        <v>387</v>
      </c>
      <c r="B801">
        <v>2022</v>
      </c>
      <c r="C801" t="s">
        <v>1182</v>
      </c>
      <c r="D801" t="s">
        <v>1183</v>
      </c>
      <c r="E801" t="s">
        <v>29</v>
      </c>
      <c r="F801" t="s">
        <v>30</v>
      </c>
      <c r="G801">
        <v>4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 t="s">
        <v>31</v>
      </c>
      <c r="Z801">
        <v>1000</v>
      </c>
      <c r="AA801">
        <v>40</v>
      </c>
    </row>
    <row r="802" spans="1:27" ht="102" x14ac:dyDescent="0.2">
      <c r="A802" t="s">
        <v>48</v>
      </c>
      <c r="B802">
        <v>2022</v>
      </c>
      <c r="C802" t="s">
        <v>1184</v>
      </c>
      <c r="D802" s="1" t="s">
        <v>1185</v>
      </c>
      <c r="E802" t="s">
        <v>29</v>
      </c>
      <c r="F802" t="s">
        <v>30</v>
      </c>
      <c r="G802">
        <v>0</v>
      </c>
      <c r="H802">
        <v>0</v>
      </c>
      <c r="I802">
        <v>105</v>
      </c>
      <c r="J802">
        <v>1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 t="s">
        <v>31</v>
      </c>
      <c r="Z802">
        <v>55</v>
      </c>
      <c r="AA802">
        <v>65</v>
      </c>
    </row>
    <row r="803" spans="1:27" ht="102" x14ac:dyDescent="0.2">
      <c r="A803" t="s">
        <v>48</v>
      </c>
      <c r="B803">
        <v>2022</v>
      </c>
      <c r="C803" t="s">
        <v>1186</v>
      </c>
      <c r="D803" s="1" t="s">
        <v>1187</v>
      </c>
      <c r="E803" t="s">
        <v>29</v>
      </c>
      <c r="F803" t="s">
        <v>30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3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 t="s">
        <v>31</v>
      </c>
      <c r="Z803">
        <v>55</v>
      </c>
      <c r="AA803">
        <v>48</v>
      </c>
    </row>
    <row r="804" spans="1:27" x14ac:dyDescent="0.2">
      <c r="A804" t="s">
        <v>1188</v>
      </c>
      <c r="B804">
        <v>2022</v>
      </c>
      <c r="C804" t="s">
        <v>1189</v>
      </c>
      <c r="D804" t="s">
        <v>1190</v>
      </c>
      <c r="E804" t="s">
        <v>29</v>
      </c>
      <c r="F804" t="s">
        <v>30</v>
      </c>
      <c r="G804">
        <v>36</v>
      </c>
      <c r="H804">
        <v>0</v>
      </c>
      <c r="I804">
        <v>83</v>
      </c>
      <c r="J804">
        <v>0</v>
      </c>
      <c r="K804">
        <v>0</v>
      </c>
      <c r="L804">
        <v>1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 t="s">
        <v>31</v>
      </c>
      <c r="Z804">
        <v>55</v>
      </c>
      <c r="AA804">
        <v>100</v>
      </c>
    </row>
    <row r="805" spans="1:27" x14ac:dyDescent="0.2">
      <c r="A805" t="s">
        <v>88</v>
      </c>
      <c r="B805">
        <v>2021</v>
      </c>
      <c r="C805" t="s">
        <v>1191</v>
      </c>
      <c r="D805" t="s">
        <v>1192</v>
      </c>
      <c r="E805" t="s">
        <v>29</v>
      </c>
      <c r="F805" t="s">
        <v>30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1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 t="s">
        <v>51</v>
      </c>
      <c r="AA805">
        <v>0</v>
      </c>
    </row>
    <row r="806" spans="1:27" x14ac:dyDescent="0.2">
      <c r="A806" t="s">
        <v>1188</v>
      </c>
      <c r="B806">
        <v>2018</v>
      </c>
      <c r="C806" t="s">
        <v>1193</v>
      </c>
      <c r="D806" t="s">
        <v>1194</v>
      </c>
      <c r="E806" t="s">
        <v>29</v>
      </c>
      <c r="F806" t="s">
        <v>30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12</v>
      </c>
      <c r="V806">
        <v>0</v>
      </c>
      <c r="W806">
        <v>0</v>
      </c>
      <c r="X806">
        <v>0</v>
      </c>
      <c r="Y806" t="s">
        <v>51</v>
      </c>
      <c r="Z806">
        <v>55</v>
      </c>
      <c r="AA806">
        <v>0</v>
      </c>
    </row>
    <row r="807" spans="1:27" x14ac:dyDescent="0.2">
      <c r="A807" t="s">
        <v>1188</v>
      </c>
      <c r="B807">
        <v>2018</v>
      </c>
      <c r="C807" t="s">
        <v>1195</v>
      </c>
      <c r="D807" t="s">
        <v>1196</v>
      </c>
      <c r="E807" t="s">
        <v>29</v>
      </c>
      <c r="F807" t="s">
        <v>30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6</v>
      </c>
      <c r="V807">
        <v>0</v>
      </c>
      <c r="W807">
        <v>0</v>
      </c>
      <c r="X807">
        <v>0</v>
      </c>
      <c r="Y807" t="s">
        <v>51</v>
      </c>
      <c r="Z807">
        <v>55</v>
      </c>
      <c r="AA807">
        <v>0</v>
      </c>
    </row>
    <row r="808" spans="1:27" x14ac:dyDescent="0.2">
      <c r="A808" t="s">
        <v>1197</v>
      </c>
      <c r="B808">
        <v>2023</v>
      </c>
      <c r="C808" s="2" t="s">
        <v>1198</v>
      </c>
      <c r="D808" t="s">
        <v>1199</v>
      </c>
      <c r="E808" t="s">
        <v>29</v>
      </c>
      <c r="F808" t="s">
        <v>30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28</v>
      </c>
      <c r="N808">
        <v>0</v>
      </c>
      <c r="O808">
        <v>105</v>
      </c>
      <c r="P808">
        <v>0</v>
      </c>
      <c r="Q808">
        <v>0</v>
      </c>
      <c r="R808">
        <v>1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 t="s">
        <v>31</v>
      </c>
      <c r="Z808">
        <v>55</v>
      </c>
      <c r="AA808">
        <v>40</v>
      </c>
    </row>
    <row r="809" spans="1:27" x14ac:dyDescent="0.2">
      <c r="A809" t="s">
        <v>533</v>
      </c>
      <c r="B809">
        <v>2018</v>
      </c>
      <c r="C809" t="s">
        <v>1200</v>
      </c>
      <c r="D809" t="s">
        <v>1201</v>
      </c>
      <c r="E809" t="s">
        <v>29</v>
      </c>
      <c r="F809" t="s">
        <v>41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 t="s">
        <v>31</v>
      </c>
      <c r="AA809">
        <v>0</v>
      </c>
    </row>
    <row r="810" spans="1:27" x14ac:dyDescent="0.2">
      <c r="A810" t="s">
        <v>1038</v>
      </c>
      <c r="B810">
        <v>2021</v>
      </c>
      <c r="C810" t="s">
        <v>1202</v>
      </c>
      <c r="D810" t="s">
        <v>1203</v>
      </c>
      <c r="E810" t="s">
        <v>29</v>
      </c>
      <c r="F810" t="s">
        <v>30</v>
      </c>
      <c r="G810">
        <v>6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 t="s">
        <v>31</v>
      </c>
      <c r="Z810">
        <v>55</v>
      </c>
      <c r="AA810">
        <v>33</v>
      </c>
    </row>
    <row r="811" spans="1:27" x14ac:dyDescent="0.2">
      <c r="A811" t="s">
        <v>1057</v>
      </c>
      <c r="B811">
        <v>2023</v>
      </c>
      <c r="C811" t="s">
        <v>1204</v>
      </c>
      <c r="D811" t="s">
        <v>1205</v>
      </c>
      <c r="E811" t="s">
        <v>29</v>
      </c>
      <c r="F811" t="s">
        <v>30</v>
      </c>
      <c r="G811">
        <v>34</v>
      </c>
      <c r="H811">
        <v>0</v>
      </c>
      <c r="I811">
        <v>61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 t="s">
        <v>31</v>
      </c>
      <c r="AA811">
        <v>0</v>
      </c>
    </row>
    <row r="812" spans="1:27" x14ac:dyDescent="0.2">
      <c r="A812" t="s">
        <v>1206</v>
      </c>
      <c r="B812">
        <v>2022</v>
      </c>
      <c r="C812" t="s">
        <v>1207</v>
      </c>
      <c r="D812" t="s">
        <v>1208</v>
      </c>
      <c r="E812" t="s">
        <v>29</v>
      </c>
      <c r="F812" t="s">
        <v>30</v>
      </c>
      <c r="G812">
        <v>0</v>
      </c>
      <c r="H812">
        <v>0</v>
      </c>
      <c r="I812">
        <v>50</v>
      </c>
      <c r="J812">
        <v>0</v>
      </c>
      <c r="K812">
        <v>4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 t="s">
        <v>31</v>
      </c>
      <c r="Z812">
        <v>55</v>
      </c>
      <c r="AA812">
        <v>27.5</v>
      </c>
    </row>
    <row r="813" spans="1:27" x14ac:dyDescent="0.2">
      <c r="A813" t="s">
        <v>835</v>
      </c>
      <c r="B813">
        <v>2020</v>
      </c>
      <c r="C813" s="2" t="s">
        <v>1209</v>
      </c>
      <c r="D813" t="s">
        <v>1210</v>
      </c>
      <c r="E813" t="s">
        <v>29</v>
      </c>
      <c r="F813" t="s">
        <v>41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19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 t="s">
        <v>51</v>
      </c>
      <c r="Z813">
        <v>55</v>
      </c>
      <c r="AA813">
        <v>0</v>
      </c>
    </row>
    <row r="814" spans="1:27" x14ac:dyDescent="0.2">
      <c r="A814" t="s">
        <v>835</v>
      </c>
      <c r="B814">
        <v>2020</v>
      </c>
      <c r="C814" s="2" t="s">
        <v>1211</v>
      </c>
      <c r="D814" t="s">
        <v>1212</v>
      </c>
      <c r="E814" t="s">
        <v>29</v>
      </c>
      <c r="F814" t="s">
        <v>30</v>
      </c>
      <c r="G814">
        <v>2</v>
      </c>
      <c r="H814">
        <v>0</v>
      </c>
      <c r="I814">
        <v>3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 t="s">
        <v>31</v>
      </c>
      <c r="AA814">
        <v>0</v>
      </c>
    </row>
    <row r="815" spans="1:27" x14ac:dyDescent="0.2">
      <c r="A815" t="s">
        <v>883</v>
      </c>
      <c r="B815">
        <v>2020</v>
      </c>
      <c r="C815" s="2" t="s">
        <v>1213</v>
      </c>
      <c r="D815" t="s">
        <v>1214</v>
      </c>
      <c r="E815" t="s">
        <v>29</v>
      </c>
      <c r="F815" t="s">
        <v>30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20</v>
      </c>
      <c r="T815">
        <v>0</v>
      </c>
      <c r="U815">
        <v>0</v>
      </c>
      <c r="V815">
        <v>0</v>
      </c>
      <c r="W815">
        <v>0</v>
      </c>
      <c r="X815">
        <v>0</v>
      </c>
      <c r="Y815" t="s">
        <v>51</v>
      </c>
      <c r="Z815">
        <v>1000</v>
      </c>
      <c r="AA815">
        <v>0</v>
      </c>
    </row>
    <row r="816" spans="1:27" x14ac:dyDescent="0.2">
      <c r="A816" t="s">
        <v>883</v>
      </c>
      <c r="B816">
        <v>2020</v>
      </c>
      <c r="C816" s="2" t="s">
        <v>1215</v>
      </c>
      <c r="D816" t="s">
        <v>1216</v>
      </c>
      <c r="E816" t="s">
        <v>29</v>
      </c>
      <c r="F816" t="s">
        <v>30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17</v>
      </c>
      <c r="T816">
        <v>0</v>
      </c>
      <c r="U816">
        <v>0</v>
      </c>
      <c r="V816">
        <v>0</v>
      </c>
      <c r="W816">
        <v>0</v>
      </c>
      <c r="X816">
        <v>0</v>
      </c>
      <c r="Y816" t="s">
        <v>51</v>
      </c>
      <c r="Z816">
        <v>1000</v>
      </c>
      <c r="AA816">
        <v>0</v>
      </c>
    </row>
    <row r="817" spans="1:27" x14ac:dyDescent="0.2">
      <c r="A817" t="s">
        <v>1217</v>
      </c>
      <c r="B817">
        <v>2022</v>
      </c>
      <c r="C817" t="s">
        <v>1218</v>
      </c>
      <c r="D817" t="s">
        <v>1219</v>
      </c>
      <c r="E817" t="s">
        <v>29</v>
      </c>
      <c r="F817" t="s">
        <v>30</v>
      </c>
      <c r="G817">
        <v>67</v>
      </c>
      <c r="H817">
        <v>18</v>
      </c>
      <c r="I817">
        <v>0</v>
      </c>
      <c r="J817">
        <v>0</v>
      </c>
      <c r="K817">
        <v>0</v>
      </c>
      <c r="L817">
        <v>0</v>
      </c>
      <c r="M817">
        <v>67</v>
      </c>
      <c r="N817">
        <v>0</v>
      </c>
      <c r="O817">
        <v>18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 t="s">
        <v>31</v>
      </c>
      <c r="Z817">
        <v>55</v>
      </c>
      <c r="AA817">
        <v>6</v>
      </c>
    </row>
    <row r="818" spans="1:27" x14ac:dyDescent="0.2">
      <c r="A818" t="s">
        <v>1071</v>
      </c>
      <c r="B818">
        <v>2021</v>
      </c>
      <c r="C818">
        <v>72636059</v>
      </c>
      <c r="D818" t="s">
        <v>1220</v>
      </c>
      <c r="E818" t="s">
        <v>29</v>
      </c>
      <c r="F818" t="s">
        <v>30</v>
      </c>
      <c r="G818">
        <v>50</v>
      </c>
      <c r="H818">
        <v>0</v>
      </c>
      <c r="I818">
        <v>196</v>
      </c>
      <c r="J818">
        <v>0</v>
      </c>
      <c r="K818">
        <v>0</v>
      </c>
      <c r="L818">
        <v>3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 t="s">
        <v>31</v>
      </c>
      <c r="AA818">
        <v>80</v>
      </c>
    </row>
    <row r="819" spans="1:27" x14ac:dyDescent="0.2">
      <c r="A819" t="s">
        <v>1221</v>
      </c>
      <c r="B819">
        <v>2021</v>
      </c>
      <c r="C819" t="s">
        <v>1222</v>
      </c>
      <c r="D819" t="s">
        <v>1223</v>
      </c>
      <c r="E819" t="s">
        <v>29</v>
      </c>
      <c r="F819" t="s">
        <v>30</v>
      </c>
      <c r="G819">
        <v>1</v>
      </c>
      <c r="H819">
        <v>0</v>
      </c>
      <c r="I819">
        <v>1</v>
      </c>
      <c r="J819">
        <v>0</v>
      </c>
      <c r="K819">
        <v>2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 t="s">
        <v>51</v>
      </c>
      <c r="Z819">
        <v>55</v>
      </c>
      <c r="AA819">
        <v>0</v>
      </c>
    </row>
    <row r="820" spans="1:27" x14ac:dyDescent="0.2">
      <c r="A820" t="s">
        <v>1075</v>
      </c>
      <c r="B820">
        <v>2020</v>
      </c>
      <c r="C820" t="s">
        <v>1224</v>
      </c>
      <c r="D820" t="s">
        <v>1225</v>
      </c>
      <c r="E820" t="s">
        <v>29</v>
      </c>
      <c r="F820" t="s">
        <v>30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16</v>
      </c>
      <c r="T820">
        <v>0</v>
      </c>
      <c r="U820">
        <v>0</v>
      </c>
      <c r="V820">
        <v>0</v>
      </c>
      <c r="W820">
        <v>0</v>
      </c>
      <c r="X820">
        <v>0</v>
      </c>
      <c r="Y820" t="s">
        <v>31</v>
      </c>
      <c r="AA820">
        <v>0</v>
      </c>
    </row>
    <row r="821" spans="1:27" x14ac:dyDescent="0.2">
      <c r="A821" t="s">
        <v>1226</v>
      </c>
      <c r="B821">
        <v>2022</v>
      </c>
      <c r="C821">
        <v>517340004</v>
      </c>
      <c r="D821" t="s">
        <v>1227</v>
      </c>
      <c r="E821" t="s">
        <v>29</v>
      </c>
      <c r="F821" t="s">
        <v>30</v>
      </c>
      <c r="G821">
        <v>113</v>
      </c>
      <c r="H821">
        <v>0</v>
      </c>
      <c r="I821">
        <v>20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 t="s">
        <v>31</v>
      </c>
      <c r="AA821">
        <v>0</v>
      </c>
    </row>
    <row r="822" spans="1:27" x14ac:dyDescent="0.2">
      <c r="A822" t="s">
        <v>163</v>
      </c>
      <c r="B822">
        <v>2022</v>
      </c>
      <c r="C822">
        <v>4705722200</v>
      </c>
      <c r="D822" t="s">
        <v>1228</v>
      </c>
      <c r="E822" t="s">
        <v>29</v>
      </c>
      <c r="F822" t="s">
        <v>30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115</v>
      </c>
      <c r="P822">
        <v>0</v>
      </c>
      <c r="Q822">
        <v>30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 t="s">
        <v>31</v>
      </c>
      <c r="Z822">
        <v>55</v>
      </c>
      <c r="AA822">
        <v>0</v>
      </c>
    </row>
    <row r="823" spans="1:27" x14ac:dyDescent="0.2">
      <c r="A823" t="s">
        <v>1057</v>
      </c>
      <c r="B823">
        <v>2023</v>
      </c>
      <c r="C823">
        <v>11613800150000</v>
      </c>
      <c r="D823" t="s">
        <v>1229</v>
      </c>
      <c r="E823" t="s">
        <v>29</v>
      </c>
      <c r="F823" t="s">
        <v>30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34</v>
      </c>
      <c r="N823">
        <v>0</v>
      </c>
      <c r="O823">
        <v>61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 t="s">
        <v>31</v>
      </c>
      <c r="Z823">
        <v>55</v>
      </c>
      <c r="AA823">
        <v>0</v>
      </c>
    </row>
    <row r="824" spans="1:27" x14ac:dyDescent="0.2">
      <c r="A824" t="s">
        <v>1077</v>
      </c>
      <c r="B824">
        <v>2021</v>
      </c>
      <c r="C824">
        <v>23004153</v>
      </c>
      <c r="D824" t="s">
        <v>1230</v>
      </c>
      <c r="E824" t="s">
        <v>29</v>
      </c>
      <c r="F824" t="s">
        <v>30</v>
      </c>
      <c r="G824">
        <v>0</v>
      </c>
      <c r="H824">
        <v>0</v>
      </c>
      <c r="I824">
        <v>3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 t="s">
        <v>31</v>
      </c>
      <c r="Z824">
        <v>55</v>
      </c>
      <c r="AA824">
        <v>36</v>
      </c>
    </row>
    <row r="825" spans="1:27" x14ac:dyDescent="0.2">
      <c r="A825" t="s">
        <v>1231</v>
      </c>
      <c r="B825">
        <v>2022</v>
      </c>
      <c r="C825">
        <v>694310006</v>
      </c>
      <c r="D825" t="s">
        <v>1232</v>
      </c>
      <c r="E825" t="s">
        <v>29</v>
      </c>
      <c r="F825" t="s">
        <v>30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21</v>
      </c>
      <c r="N825">
        <v>0</v>
      </c>
      <c r="O825">
        <v>3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 t="s">
        <v>31</v>
      </c>
      <c r="Z825">
        <v>55</v>
      </c>
      <c r="AA825">
        <v>12</v>
      </c>
    </row>
    <row r="826" spans="1:27" x14ac:dyDescent="0.2">
      <c r="A826" t="s">
        <v>894</v>
      </c>
      <c r="B826">
        <v>2023</v>
      </c>
      <c r="C826">
        <v>2608109</v>
      </c>
      <c r="D826" t="s">
        <v>1233</v>
      </c>
      <c r="E826" t="s">
        <v>29</v>
      </c>
      <c r="F826" t="s">
        <v>30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2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 t="s">
        <v>31</v>
      </c>
      <c r="Z826">
        <v>55</v>
      </c>
      <c r="AA826">
        <v>35</v>
      </c>
    </row>
    <row r="827" spans="1:27" x14ac:dyDescent="0.2">
      <c r="A827" t="s">
        <v>649</v>
      </c>
      <c r="B827">
        <v>2021</v>
      </c>
      <c r="C827" t="s">
        <v>650</v>
      </c>
      <c r="D827" t="s">
        <v>651</v>
      </c>
      <c r="E827" t="s">
        <v>29</v>
      </c>
      <c r="F827" t="s">
        <v>30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48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 t="s">
        <v>31</v>
      </c>
      <c r="Z827">
        <v>55</v>
      </c>
      <c r="AA827">
        <v>0</v>
      </c>
    </row>
    <row r="828" spans="1:27" x14ac:dyDescent="0.2">
      <c r="A828" t="s">
        <v>649</v>
      </c>
      <c r="B828">
        <v>2021</v>
      </c>
      <c r="C828" t="s">
        <v>1234</v>
      </c>
      <c r="D828" t="s">
        <v>1235</v>
      </c>
      <c r="E828" t="s">
        <v>29</v>
      </c>
      <c r="F828" t="s">
        <v>30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8</v>
      </c>
      <c r="N828">
        <v>0</v>
      </c>
      <c r="O828">
        <v>70</v>
      </c>
      <c r="P828">
        <v>0</v>
      </c>
      <c r="Q828">
        <v>0</v>
      </c>
      <c r="R828">
        <v>2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 t="s">
        <v>31</v>
      </c>
      <c r="Z828">
        <v>55</v>
      </c>
      <c r="AA828">
        <v>15.9</v>
      </c>
    </row>
    <row r="829" spans="1:27" x14ac:dyDescent="0.2">
      <c r="A829" t="s">
        <v>894</v>
      </c>
      <c r="B829">
        <v>2023</v>
      </c>
      <c r="C829" s="2" t="s">
        <v>895</v>
      </c>
      <c r="D829" t="s">
        <v>896</v>
      </c>
      <c r="E829" t="s">
        <v>29</v>
      </c>
      <c r="F829" t="s">
        <v>30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7</v>
      </c>
      <c r="T829">
        <v>0</v>
      </c>
      <c r="U829">
        <v>0</v>
      </c>
      <c r="V829">
        <v>0</v>
      </c>
      <c r="W829">
        <v>0</v>
      </c>
      <c r="X829">
        <v>0</v>
      </c>
      <c r="Y829" t="s">
        <v>31</v>
      </c>
      <c r="Z829">
        <v>1000</v>
      </c>
      <c r="AA829">
        <v>20</v>
      </c>
    </row>
    <row r="830" spans="1:27" x14ac:dyDescent="0.2">
      <c r="A830" t="s">
        <v>894</v>
      </c>
      <c r="B830">
        <v>2023</v>
      </c>
      <c r="C830" s="2" t="s">
        <v>895</v>
      </c>
      <c r="D830" t="s">
        <v>896</v>
      </c>
      <c r="E830" t="s">
        <v>29</v>
      </c>
      <c r="F830" t="s">
        <v>30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13</v>
      </c>
      <c r="T830">
        <v>0</v>
      </c>
      <c r="U830">
        <v>0</v>
      </c>
      <c r="V830">
        <v>0</v>
      </c>
      <c r="W830">
        <v>0</v>
      </c>
      <c r="X830">
        <v>0</v>
      </c>
      <c r="Y830" t="s">
        <v>31</v>
      </c>
      <c r="Z830">
        <v>1000</v>
      </c>
      <c r="AA830">
        <v>20</v>
      </c>
    </row>
    <row r="831" spans="1:27" x14ac:dyDescent="0.2">
      <c r="A831" t="s">
        <v>460</v>
      </c>
      <c r="B831">
        <v>2021</v>
      </c>
      <c r="C831" t="s">
        <v>1236</v>
      </c>
      <c r="D831" t="s">
        <v>1237</v>
      </c>
      <c r="E831" t="s">
        <v>29</v>
      </c>
      <c r="F831" t="s">
        <v>30</v>
      </c>
      <c r="G831">
        <v>104</v>
      </c>
      <c r="H831">
        <v>0</v>
      </c>
      <c r="I831">
        <v>55</v>
      </c>
      <c r="J831">
        <v>0</v>
      </c>
      <c r="K831">
        <v>1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 t="s">
        <v>31</v>
      </c>
      <c r="Z831">
        <v>55</v>
      </c>
      <c r="AA831">
        <v>50</v>
      </c>
    </row>
    <row r="832" spans="1:27" x14ac:dyDescent="0.2">
      <c r="A832" t="s">
        <v>524</v>
      </c>
      <c r="B832">
        <v>2020</v>
      </c>
      <c r="C832">
        <v>71288550</v>
      </c>
      <c r="D832" t="s">
        <v>1238</v>
      </c>
      <c r="E832" t="s">
        <v>29</v>
      </c>
      <c r="F832" t="s">
        <v>30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1</v>
      </c>
      <c r="V832">
        <v>0</v>
      </c>
      <c r="W832">
        <v>0</v>
      </c>
      <c r="X832">
        <v>0</v>
      </c>
      <c r="Y832" t="s">
        <v>51</v>
      </c>
      <c r="Z832">
        <v>55</v>
      </c>
      <c r="AA832">
        <v>0</v>
      </c>
    </row>
    <row r="833" spans="1:27" x14ac:dyDescent="0.2">
      <c r="A833" t="s">
        <v>649</v>
      </c>
      <c r="B833">
        <v>2021</v>
      </c>
      <c r="C833" t="s">
        <v>650</v>
      </c>
      <c r="D833" t="s">
        <v>651</v>
      </c>
      <c r="E833" t="s">
        <v>29</v>
      </c>
      <c r="F833" t="s">
        <v>30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120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 t="s">
        <v>31</v>
      </c>
      <c r="Z833">
        <v>55</v>
      </c>
      <c r="AA833">
        <v>0</v>
      </c>
    </row>
    <row r="834" spans="1:27" x14ac:dyDescent="0.2">
      <c r="A834" t="s">
        <v>928</v>
      </c>
      <c r="B834">
        <v>2022</v>
      </c>
      <c r="C834" t="s">
        <v>1239</v>
      </c>
      <c r="D834" t="s">
        <v>1240</v>
      </c>
      <c r="E834" t="s">
        <v>29</v>
      </c>
      <c r="F834" t="s">
        <v>41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1</v>
      </c>
      <c r="V834">
        <v>0</v>
      </c>
      <c r="W834">
        <v>0</v>
      </c>
      <c r="X834">
        <v>0</v>
      </c>
      <c r="Y834" t="s">
        <v>51</v>
      </c>
      <c r="Z834">
        <v>50</v>
      </c>
      <c r="AA834">
        <v>0</v>
      </c>
    </row>
    <row r="835" spans="1:27" x14ac:dyDescent="0.2">
      <c r="A835" t="s">
        <v>1241</v>
      </c>
      <c r="B835">
        <v>2022</v>
      </c>
      <c r="C835" t="s">
        <v>1242</v>
      </c>
      <c r="D835" t="s">
        <v>1243</v>
      </c>
      <c r="E835" t="s">
        <v>29</v>
      </c>
      <c r="F835" t="s">
        <v>30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71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 t="s">
        <v>31</v>
      </c>
      <c r="Z835">
        <v>55</v>
      </c>
      <c r="AA835">
        <v>0</v>
      </c>
    </row>
    <row r="836" spans="1:27" x14ac:dyDescent="0.2">
      <c r="A836" t="s">
        <v>43</v>
      </c>
      <c r="B836">
        <v>2023</v>
      </c>
      <c r="C836">
        <v>4337006029</v>
      </c>
      <c r="D836" t="s">
        <v>1244</v>
      </c>
      <c r="E836" t="s">
        <v>29</v>
      </c>
      <c r="F836" t="s">
        <v>30</v>
      </c>
      <c r="G836">
        <v>9</v>
      </c>
      <c r="H836">
        <v>0</v>
      </c>
      <c r="I836">
        <v>0</v>
      </c>
      <c r="J836">
        <v>0</v>
      </c>
      <c r="K836">
        <v>8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 t="s">
        <v>31</v>
      </c>
      <c r="Z836">
        <v>1000</v>
      </c>
      <c r="AA836">
        <v>35</v>
      </c>
    </row>
    <row r="837" spans="1:27" x14ac:dyDescent="0.2">
      <c r="A837" t="s">
        <v>43</v>
      </c>
      <c r="B837">
        <v>2023</v>
      </c>
      <c r="C837">
        <v>5529019019</v>
      </c>
      <c r="D837" t="s">
        <v>1245</v>
      </c>
      <c r="E837" t="s">
        <v>29</v>
      </c>
      <c r="F837" t="s">
        <v>30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1</v>
      </c>
      <c r="V837">
        <v>0</v>
      </c>
      <c r="W837">
        <v>0</v>
      </c>
      <c r="X837">
        <v>0</v>
      </c>
      <c r="Y837" t="s">
        <v>31</v>
      </c>
      <c r="Z837">
        <v>1000</v>
      </c>
      <c r="AA837">
        <v>20</v>
      </c>
    </row>
    <row r="838" spans="1:27" x14ac:dyDescent="0.2">
      <c r="A838" t="s">
        <v>1188</v>
      </c>
      <c r="B838">
        <v>2018</v>
      </c>
      <c r="C838" t="s">
        <v>1195</v>
      </c>
      <c r="D838" t="s">
        <v>1246</v>
      </c>
      <c r="E838" t="s">
        <v>29</v>
      </c>
      <c r="F838" t="s">
        <v>30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9</v>
      </c>
      <c r="T838">
        <v>0</v>
      </c>
      <c r="U838">
        <v>3</v>
      </c>
      <c r="V838">
        <v>0</v>
      </c>
      <c r="W838">
        <v>0</v>
      </c>
      <c r="X838">
        <v>0</v>
      </c>
      <c r="Y838" t="s">
        <v>51</v>
      </c>
      <c r="Z838">
        <v>55</v>
      </c>
      <c r="AA838">
        <v>0</v>
      </c>
    </row>
    <row r="839" spans="1:27" x14ac:dyDescent="0.2">
      <c r="A839" t="s">
        <v>1247</v>
      </c>
      <c r="B839">
        <v>2022</v>
      </c>
      <c r="C839">
        <v>10171018</v>
      </c>
      <c r="D839" t="s">
        <v>1248</v>
      </c>
      <c r="E839" t="s">
        <v>29</v>
      </c>
      <c r="F839" t="s">
        <v>30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57</v>
      </c>
      <c r="N839">
        <v>0</v>
      </c>
      <c r="O839">
        <v>56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 t="s">
        <v>51</v>
      </c>
      <c r="Z839">
        <v>55</v>
      </c>
      <c r="AA839">
        <v>0</v>
      </c>
    </row>
    <row r="840" spans="1:27" x14ac:dyDescent="0.2">
      <c r="A840" t="s">
        <v>1247</v>
      </c>
      <c r="B840">
        <v>2022</v>
      </c>
      <c r="C840">
        <v>125521008</v>
      </c>
      <c r="D840" t="s">
        <v>1249</v>
      </c>
      <c r="E840" t="s">
        <v>29</v>
      </c>
      <c r="F840" t="s">
        <v>30</v>
      </c>
      <c r="G840">
        <v>24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15</v>
      </c>
      <c r="N840">
        <v>0</v>
      </c>
      <c r="O840">
        <v>9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 t="s">
        <v>51</v>
      </c>
      <c r="Z840">
        <v>55</v>
      </c>
      <c r="AA840">
        <v>0</v>
      </c>
    </row>
    <row r="841" spans="1:27" x14ac:dyDescent="0.2">
      <c r="A841" t="s">
        <v>533</v>
      </c>
      <c r="B841">
        <v>2018</v>
      </c>
      <c r="C841" t="s">
        <v>1250</v>
      </c>
      <c r="D841" t="s">
        <v>1251</v>
      </c>
      <c r="E841" t="s">
        <v>29</v>
      </c>
      <c r="F841" t="s">
        <v>30</v>
      </c>
      <c r="G841">
        <v>33</v>
      </c>
      <c r="H841">
        <v>0</v>
      </c>
      <c r="I841">
        <v>26</v>
      </c>
      <c r="J841">
        <v>0</v>
      </c>
      <c r="K841">
        <v>45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 t="s">
        <v>31</v>
      </c>
      <c r="Z841">
        <v>1000</v>
      </c>
      <c r="AA841">
        <v>0</v>
      </c>
    </row>
    <row r="842" spans="1:27" x14ac:dyDescent="0.2">
      <c r="A842" t="s">
        <v>1247</v>
      </c>
      <c r="B842">
        <v>2022</v>
      </c>
      <c r="C842">
        <v>125071015</v>
      </c>
      <c r="D842" t="s">
        <v>1252</v>
      </c>
      <c r="E842" t="s">
        <v>29</v>
      </c>
      <c r="F842" t="s">
        <v>30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 t="s">
        <v>31</v>
      </c>
      <c r="Z842">
        <v>55</v>
      </c>
      <c r="AA842">
        <v>37.5</v>
      </c>
    </row>
    <row r="843" spans="1:27" x14ac:dyDescent="0.2">
      <c r="A843" t="s">
        <v>353</v>
      </c>
      <c r="B843">
        <v>2022</v>
      </c>
      <c r="C843">
        <v>2041110200</v>
      </c>
      <c r="D843" t="s">
        <v>1253</v>
      </c>
      <c r="E843" t="s">
        <v>29</v>
      </c>
      <c r="F843" t="s">
        <v>30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24</v>
      </c>
      <c r="T843">
        <v>0</v>
      </c>
      <c r="U843">
        <v>0</v>
      </c>
      <c r="V843">
        <v>0</v>
      </c>
      <c r="W843">
        <v>0</v>
      </c>
      <c r="X843">
        <v>0</v>
      </c>
      <c r="Y843" t="s">
        <v>51</v>
      </c>
      <c r="Z843">
        <v>57</v>
      </c>
      <c r="AA843">
        <v>0</v>
      </c>
    </row>
    <row r="844" spans="1:27" x14ac:dyDescent="0.2">
      <c r="A844" t="s">
        <v>353</v>
      </c>
      <c r="B844">
        <v>2022</v>
      </c>
      <c r="C844">
        <v>2041920500</v>
      </c>
      <c r="D844" t="s">
        <v>1254</v>
      </c>
      <c r="E844" t="s">
        <v>29</v>
      </c>
      <c r="F844" t="s">
        <v>30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24</v>
      </c>
      <c r="T844">
        <v>0</v>
      </c>
      <c r="U844">
        <v>0</v>
      </c>
      <c r="V844">
        <v>0</v>
      </c>
      <c r="W844">
        <v>0</v>
      </c>
      <c r="X844">
        <v>0</v>
      </c>
      <c r="Y844" t="s">
        <v>51</v>
      </c>
      <c r="Z844">
        <v>57</v>
      </c>
      <c r="AA844">
        <v>0</v>
      </c>
    </row>
    <row r="845" spans="1:27" x14ac:dyDescent="0.2">
      <c r="A845" t="s">
        <v>1255</v>
      </c>
      <c r="B845">
        <v>2022</v>
      </c>
      <c r="C845" s="2" t="s">
        <v>1256</v>
      </c>
      <c r="D845" t="s">
        <v>1257</v>
      </c>
      <c r="E845" t="s">
        <v>29</v>
      </c>
      <c r="F845" t="s">
        <v>30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5</v>
      </c>
      <c r="T845">
        <v>0</v>
      </c>
      <c r="U845">
        <v>19</v>
      </c>
      <c r="V845">
        <v>0</v>
      </c>
      <c r="W845">
        <v>0</v>
      </c>
      <c r="X845">
        <v>0</v>
      </c>
      <c r="Y845" t="s">
        <v>31</v>
      </c>
      <c r="AA845">
        <v>0</v>
      </c>
    </row>
    <row r="846" spans="1:27" x14ac:dyDescent="0.2">
      <c r="A846" t="s">
        <v>88</v>
      </c>
      <c r="B846">
        <v>2021</v>
      </c>
      <c r="C846" t="s">
        <v>1258</v>
      </c>
      <c r="D846" t="s">
        <v>1259</v>
      </c>
      <c r="E846" t="s">
        <v>29</v>
      </c>
      <c r="F846" t="s">
        <v>30</v>
      </c>
      <c r="G846">
        <v>0</v>
      </c>
      <c r="H846">
        <v>0</v>
      </c>
      <c r="I846">
        <v>0</v>
      </c>
      <c r="J846">
        <v>0</v>
      </c>
      <c r="K846">
        <v>49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 t="s">
        <v>51</v>
      </c>
      <c r="Z846">
        <v>55</v>
      </c>
      <c r="AA846">
        <v>0</v>
      </c>
    </row>
    <row r="847" spans="1:27" x14ac:dyDescent="0.2">
      <c r="A847" t="s">
        <v>835</v>
      </c>
      <c r="B847">
        <v>2020</v>
      </c>
      <c r="C847" t="s">
        <v>1260</v>
      </c>
      <c r="D847" t="s">
        <v>1261</v>
      </c>
      <c r="E847" t="s">
        <v>29</v>
      </c>
      <c r="F847" t="s">
        <v>30</v>
      </c>
      <c r="G847">
        <v>55</v>
      </c>
      <c r="H847">
        <v>0</v>
      </c>
      <c r="I847">
        <v>103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 t="s">
        <v>51</v>
      </c>
      <c r="Z847">
        <v>55</v>
      </c>
      <c r="AA847">
        <v>0</v>
      </c>
    </row>
    <row r="848" spans="1:27" x14ac:dyDescent="0.2">
      <c r="A848" t="s">
        <v>883</v>
      </c>
      <c r="B848">
        <v>2020</v>
      </c>
      <c r="C848">
        <v>35320450</v>
      </c>
      <c r="D848" t="s">
        <v>1262</v>
      </c>
      <c r="E848" t="s">
        <v>29</v>
      </c>
      <c r="F848" t="s">
        <v>30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1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 t="s">
        <v>51</v>
      </c>
      <c r="Z848">
        <v>1000</v>
      </c>
      <c r="AA848">
        <v>0</v>
      </c>
    </row>
    <row r="849" spans="1:27" x14ac:dyDescent="0.2">
      <c r="A849" t="s">
        <v>379</v>
      </c>
      <c r="B849">
        <v>2020</v>
      </c>
      <c r="C849" t="s">
        <v>1263</v>
      </c>
      <c r="D849" t="s">
        <v>1264</v>
      </c>
      <c r="E849" t="s">
        <v>29</v>
      </c>
      <c r="F849" t="s">
        <v>30</v>
      </c>
      <c r="G849">
        <v>0</v>
      </c>
      <c r="H849">
        <v>0</v>
      </c>
      <c r="I849">
        <v>33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 t="s">
        <v>31</v>
      </c>
      <c r="Z849">
        <v>55</v>
      </c>
      <c r="AA849">
        <v>0</v>
      </c>
    </row>
    <row r="850" spans="1:27" x14ac:dyDescent="0.2">
      <c r="A850" t="s">
        <v>1265</v>
      </c>
      <c r="B850">
        <v>2020</v>
      </c>
      <c r="D850" t="s">
        <v>1266</v>
      </c>
      <c r="E850" t="s">
        <v>29</v>
      </c>
      <c r="F850" t="s">
        <v>30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49</v>
      </c>
      <c r="N850">
        <v>0</v>
      </c>
      <c r="O850">
        <v>0</v>
      </c>
      <c r="P850">
        <v>0</v>
      </c>
      <c r="Q850">
        <v>1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 t="s">
        <v>51</v>
      </c>
      <c r="Z850">
        <v>1000</v>
      </c>
      <c r="AA850">
        <v>0</v>
      </c>
    </row>
    <row r="851" spans="1:27" x14ac:dyDescent="0.2">
      <c r="A851" t="s">
        <v>1127</v>
      </c>
      <c r="B851">
        <v>2019</v>
      </c>
      <c r="C851" t="s">
        <v>1128</v>
      </c>
      <c r="D851" t="s">
        <v>1129</v>
      </c>
      <c r="E851" t="s">
        <v>29</v>
      </c>
      <c r="F851" t="s">
        <v>30</v>
      </c>
      <c r="G851">
        <v>0</v>
      </c>
      <c r="H851">
        <v>0</v>
      </c>
      <c r="I851">
        <v>4</v>
      </c>
      <c r="J851">
        <v>0</v>
      </c>
      <c r="K851">
        <v>0</v>
      </c>
      <c r="L851">
        <v>4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 t="s">
        <v>31</v>
      </c>
      <c r="AA851">
        <v>0</v>
      </c>
    </row>
    <row r="852" spans="1:27" x14ac:dyDescent="0.2">
      <c r="A852" t="s">
        <v>1127</v>
      </c>
      <c r="B852">
        <v>2019</v>
      </c>
      <c r="C852" t="s">
        <v>1267</v>
      </c>
      <c r="D852" t="s">
        <v>1268</v>
      </c>
      <c r="E852" t="s">
        <v>29</v>
      </c>
      <c r="F852" t="s">
        <v>30</v>
      </c>
      <c r="G852">
        <v>0</v>
      </c>
      <c r="H852">
        <v>0</v>
      </c>
      <c r="I852">
        <v>1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 t="s">
        <v>31</v>
      </c>
      <c r="AA852">
        <v>0</v>
      </c>
    </row>
    <row r="853" spans="1:27" x14ac:dyDescent="0.2">
      <c r="A853" t="s">
        <v>433</v>
      </c>
      <c r="B853">
        <v>2020</v>
      </c>
      <c r="C853" t="s">
        <v>1269</v>
      </c>
      <c r="D853" t="s">
        <v>1270</v>
      </c>
      <c r="E853" t="s">
        <v>29</v>
      </c>
      <c r="F853" t="s">
        <v>41</v>
      </c>
      <c r="G853">
        <v>0</v>
      </c>
      <c r="H853">
        <v>0</v>
      </c>
      <c r="I853">
        <v>0</v>
      </c>
      <c r="J853">
        <v>1</v>
      </c>
      <c r="K853">
        <v>3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 t="s">
        <v>31</v>
      </c>
      <c r="Z853">
        <v>55</v>
      </c>
      <c r="AA853">
        <v>0</v>
      </c>
    </row>
    <row r="854" spans="1:27" x14ac:dyDescent="0.2">
      <c r="A854" t="s">
        <v>267</v>
      </c>
      <c r="B854">
        <v>2019</v>
      </c>
      <c r="C854" t="s">
        <v>1271</v>
      </c>
      <c r="D854" t="s">
        <v>1272</v>
      </c>
      <c r="E854" t="s">
        <v>29</v>
      </c>
      <c r="F854" t="s">
        <v>30</v>
      </c>
      <c r="G854">
        <v>3</v>
      </c>
      <c r="H854">
        <v>0</v>
      </c>
      <c r="I854">
        <v>5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 t="s">
        <v>31</v>
      </c>
      <c r="Z854">
        <v>55</v>
      </c>
      <c r="AA854">
        <v>0</v>
      </c>
    </row>
    <row r="855" spans="1:27" x14ac:dyDescent="0.2">
      <c r="A855" t="s">
        <v>524</v>
      </c>
      <c r="B855">
        <v>2020</v>
      </c>
      <c r="C855">
        <v>71288550</v>
      </c>
      <c r="D855" t="s">
        <v>1238</v>
      </c>
      <c r="E855" t="s">
        <v>29</v>
      </c>
      <c r="F855" t="s">
        <v>30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1</v>
      </c>
      <c r="V855">
        <v>0</v>
      </c>
      <c r="W855">
        <v>0</v>
      </c>
      <c r="X855">
        <v>0</v>
      </c>
      <c r="Y855" t="s">
        <v>51</v>
      </c>
      <c r="Z855">
        <v>55</v>
      </c>
      <c r="AA855">
        <v>0</v>
      </c>
    </row>
    <row r="856" spans="1:27" x14ac:dyDescent="0.2">
      <c r="A856" t="s">
        <v>43</v>
      </c>
      <c r="B856">
        <v>2023</v>
      </c>
      <c r="C856">
        <v>4339008018</v>
      </c>
      <c r="D856" t="s">
        <v>1273</v>
      </c>
      <c r="E856" t="s">
        <v>29</v>
      </c>
      <c r="F856" t="s">
        <v>30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 t="s">
        <v>31</v>
      </c>
      <c r="Z856">
        <v>1000</v>
      </c>
      <c r="AA856">
        <v>42.5</v>
      </c>
    </row>
    <row r="857" spans="1:27" x14ac:dyDescent="0.2">
      <c r="A857" t="s">
        <v>85</v>
      </c>
      <c r="B857">
        <v>2023</v>
      </c>
      <c r="C857" t="s">
        <v>1274</v>
      </c>
      <c r="D857" t="s">
        <v>1275</v>
      </c>
      <c r="E857" t="s">
        <v>29</v>
      </c>
      <c r="F857" t="s">
        <v>30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19</v>
      </c>
      <c r="N857">
        <v>0</v>
      </c>
      <c r="O857">
        <v>43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 t="s">
        <v>31</v>
      </c>
      <c r="Z857">
        <v>55</v>
      </c>
      <c r="AA857">
        <v>193</v>
      </c>
    </row>
    <row r="858" spans="1:27" x14ac:dyDescent="0.2">
      <c r="A858" t="s">
        <v>1165</v>
      </c>
      <c r="B858">
        <v>2023</v>
      </c>
      <c r="C858" t="s">
        <v>1276</v>
      </c>
      <c r="D858" t="s">
        <v>1277</v>
      </c>
      <c r="E858" t="s">
        <v>29</v>
      </c>
      <c r="F858" t="s">
        <v>30</v>
      </c>
      <c r="G858">
        <v>0</v>
      </c>
      <c r="H858">
        <v>0</v>
      </c>
      <c r="I858">
        <v>2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 t="s">
        <v>31</v>
      </c>
      <c r="Z858">
        <v>55</v>
      </c>
      <c r="AA858">
        <v>0</v>
      </c>
    </row>
    <row r="859" spans="1:27" x14ac:dyDescent="0.2">
      <c r="A859" t="s">
        <v>1278</v>
      </c>
      <c r="B859">
        <v>2023</v>
      </c>
      <c r="C859" t="s">
        <v>1279</v>
      </c>
      <c r="D859" t="s">
        <v>1280</v>
      </c>
      <c r="E859" t="s">
        <v>29</v>
      </c>
      <c r="F859" t="s">
        <v>30</v>
      </c>
      <c r="G859">
        <v>48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48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 t="s">
        <v>51</v>
      </c>
      <c r="AA859">
        <v>0</v>
      </c>
    </row>
    <row r="860" spans="1:27" x14ac:dyDescent="0.2">
      <c r="A860" t="s">
        <v>387</v>
      </c>
      <c r="B860">
        <v>2022</v>
      </c>
      <c r="C860" t="s">
        <v>1281</v>
      </c>
      <c r="D860" t="s">
        <v>1282</v>
      </c>
      <c r="E860" t="s">
        <v>29</v>
      </c>
      <c r="F860" t="s">
        <v>30</v>
      </c>
      <c r="G860">
        <v>35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 t="s">
        <v>31</v>
      </c>
      <c r="Z860">
        <v>1000</v>
      </c>
      <c r="AA860">
        <v>50</v>
      </c>
    </row>
    <row r="861" spans="1:27" ht="102" x14ac:dyDescent="0.2">
      <c r="A861" t="s">
        <v>48</v>
      </c>
      <c r="B861">
        <v>2022</v>
      </c>
      <c r="C861" t="s">
        <v>1283</v>
      </c>
      <c r="D861" s="1" t="s">
        <v>1284</v>
      </c>
      <c r="E861" t="s">
        <v>29</v>
      </c>
      <c r="F861" t="s">
        <v>30</v>
      </c>
      <c r="G861">
        <v>0</v>
      </c>
      <c r="H861">
        <v>0</v>
      </c>
      <c r="I861">
        <v>0</v>
      </c>
      <c r="J861">
        <v>0</v>
      </c>
      <c r="K861">
        <v>9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 t="s">
        <v>51</v>
      </c>
      <c r="Z861">
        <v>55</v>
      </c>
      <c r="AA861">
        <v>0</v>
      </c>
    </row>
    <row r="862" spans="1:27" x14ac:dyDescent="0.2">
      <c r="A862" t="s">
        <v>1285</v>
      </c>
      <c r="B862">
        <v>2023</v>
      </c>
      <c r="C862">
        <v>2171611800</v>
      </c>
      <c r="D862" t="s">
        <v>1286</v>
      </c>
      <c r="E862" t="s">
        <v>29</v>
      </c>
      <c r="F862" t="s">
        <v>30</v>
      </c>
      <c r="G862">
        <v>0</v>
      </c>
      <c r="H862">
        <v>1</v>
      </c>
      <c r="I862">
        <v>0</v>
      </c>
      <c r="J862">
        <v>4</v>
      </c>
      <c r="K862">
        <v>0</v>
      </c>
      <c r="L862">
        <v>45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 t="s">
        <v>31</v>
      </c>
      <c r="AA862">
        <v>12</v>
      </c>
    </row>
    <row r="863" spans="1:27" x14ac:dyDescent="0.2">
      <c r="A863" t="s">
        <v>1197</v>
      </c>
      <c r="B863">
        <v>2023</v>
      </c>
      <c r="C863" s="2" t="s">
        <v>1287</v>
      </c>
      <c r="D863" t="s">
        <v>1288</v>
      </c>
      <c r="E863" t="s">
        <v>29</v>
      </c>
      <c r="F863" t="s">
        <v>30</v>
      </c>
      <c r="G863">
        <v>0</v>
      </c>
      <c r="H863">
        <v>0</v>
      </c>
      <c r="I863">
        <v>337</v>
      </c>
      <c r="J863">
        <v>0</v>
      </c>
      <c r="K863">
        <v>0</v>
      </c>
      <c r="L863">
        <v>4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 t="s">
        <v>31</v>
      </c>
      <c r="Z863">
        <v>55</v>
      </c>
      <c r="AA863">
        <v>80</v>
      </c>
    </row>
    <row r="864" spans="1:27" x14ac:dyDescent="0.2">
      <c r="A864" t="s">
        <v>835</v>
      </c>
      <c r="B864">
        <v>2020</v>
      </c>
      <c r="C864" s="2" t="s">
        <v>1289</v>
      </c>
      <c r="D864" t="s">
        <v>1290</v>
      </c>
      <c r="E864" t="s">
        <v>29</v>
      </c>
      <c r="F864" t="s">
        <v>30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81</v>
      </c>
      <c r="T864">
        <v>0</v>
      </c>
      <c r="U864">
        <v>0</v>
      </c>
      <c r="V864">
        <v>0</v>
      </c>
      <c r="W864">
        <v>0</v>
      </c>
      <c r="X864">
        <v>0</v>
      </c>
      <c r="Y864" t="s">
        <v>31</v>
      </c>
      <c r="Z864">
        <v>55</v>
      </c>
      <c r="AA864">
        <v>0</v>
      </c>
    </row>
    <row r="865" spans="1:27" x14ac:dyDescent="0.2">
      <c r="A865" t="s">
        <v>1226</v>
      </c>
      <c r="B865">
        <v>2021</v>
      </c>
      <c r="C865">
        <v>507262013</v>
      </c>
      <c r="D865" t="s">
        <v>1291</v>
      </c>
      <c r="E865" t="s">
        <v>29</v>
      </c>
      <c r="F865" t="s">
        <v>30</v>
      </c>
      <c r="G865">
        <v>7</v>
      </c>
      <c r="H865">
        <v>0</v>
      </c>
      <c r="I865">
        <v>98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 t="s">
        <v>31</v>
      </c>
      <c r="AA865">
        <v>80</v>
      </c>
    </row>
    <row r="866" spans="1:27" x14ac:dyDescent="0.2">
      <c r="A866" t="s">
        <v>600</v>
      </c>
      <c r="B866">
        <v>2021</v>
      </c>
      <c r="C866">
        <v>3777044</v>
      </c>
      <c r="D866" t="s">
        <v>1292</v>
      </c>
      <c r="E866" t="s">
        <v>29</v>
      </c>
      <c r="F866" t="s">
        <v>30</v>
      </c>
      <c r="G866">
        <v>6</v>
      </c>
      <c r="H866">
        <v>0</v>
      </c>
      <c r="I866">
        <v>8</v>
      </c>
      <c r="J866">
        <v>0</v>
      </c>
      <c r="K866">
        <v>7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 t="s">
        <v>31</v>
      </c>
      <c r="Z866">
        <v>1000</v>
      </c>
      <c r="AA866">
        <v>135</v>
      </c>
    </row>
    <row r="867" spans="1:27" x14ac:dyDescent="0.2">
      <c r="A867" t="s">
        <v>600</v>
      </c>
      <c r="B867">
        <v>2021</v>
      </c>
      <c r="C867">
        <v>6954018</v>
      </c>
      <c r="D867" t="s">
        <v>1293</v>
      </c>
      <c r="E867" t="s">
        <v>29</v>
      </c>
      <c r="F867" t="s">
        <v>30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34</v>
      </c>
      <c r="P867">
        <v>0</v>
      </c>
      <c r="Q867">
        <v>14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 t="s">
        <v>31</v>
      </c>
      <c r="Z867">
        <v>1000</v>
      </c>
      <c r="AA867">
        <v>135</v>
      </c>
    </row>
    <row r="868" spans="1:27" x14ac:dyDescent="0.2">
      <c r="A868" t="s">
        <v>600</v>
      </c>
      <c r="B868">
        <v>2021</v>
      </c>
      <c r="C868">
        <v>3554001</v>
      </c>
      <c r="D868" t="s">
        <v>1294</v>
      </c>
      <c r="E868" t="s">
        <v>29</v>
      </c>
      <c r="F868" t="s">
        <v>41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1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 t="s">
        <v>51</v>
      </c>
      <c r="Z868">
        <v>1000</v>
      </c>
      <c r="AA868">
        <v>0</v>
      </c>
    </row>
    <row r="869" spans="1:27" x14ac:dyDescent="0.2">
      <c r="A869" t="s">
        <v>600</v>
      </c>
      <c r="B869">
        <v>2021</v>
      </c>
      <c r="C869" s="2" t="s">
        <v>1295</v>
      </c>
      <c r="D869" t="s">
        <v>1296</v>
      </c>
      <c r="E869" t="s">
        <v>29</v>
      </c>
      <c r="F869" t="s">
        <v>30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1</v>
      </c>
      <c r="P869">
        <v>0</v>
      </c>
      <c r="Q869">
        <v>1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 t="s">
        <v>31</v>
      </c>
      <c r="Z869">
        <v>1000</v>
      </c>
      <c r="AA869">
        <v>300</v>
      </c>
    </row>
    <row r="870" spans="1:27" x14ac:dyDescent="0.2">
      <c r="A870" t="s">
        <v>600</v>
      </c>
      <c r="B870">
        <v>2021</v>
      </c>
      <c r="C870">
        <v>3755054</v>
      </c>
      <c r="D870" t="s">
        <v>1297</v>
      </c>
      <c r="E870" t="s">
        <v>29</v>
      </c>
      <c r="F870" t="s">
        <v>30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6</v>
      </c>
      <c r="X870">
        <v>0</v>
      </c>
      <c r="Y870" t="s">
        <v>51</v>
      </c>
      <c r="Z870">
        <v>1000</v>
      </c>
      <c r="AA870">
        <v>0</v>
      </c>
    </row>
    <row r="871" spans="1:27" x14ac:dyDescent="0.2">
      <c r="A871" t="s">
        <v>928</v>
      </c>
      <c r="B871">
        <v>2021</v>
      </c>
      <c r="C871">
        <v>222270048</v>
      </c>
      <c r="D871" t="s">
        <v>1298</v>
      </c>
      <c r="E871" t="s">
        <v>29</v>
      </c>
      <c r="F871" t="s">
        <v>30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185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 t="s">
        <v>51</v>
      </c>
      <c r="Z871">
        <v>50</v>
      </c>
      <c r="AA871">
        <v>0</v>
      </c>
    </row>
    <row r="872" spans="1:27" x14ac:dyDescent="0.2">
      <c r="A872" t="s">
        <v>928</v>
      </c>
      <c r="B872">
        <v>2021</v>
      </c>
      <c r="C872" t="s">
        <v>1299</v>
      </c>
      <c r="D872" t="s">
        <v>1300</v>
      </c>
      <c r="E872" t="s">
        <v>29</v>
      </c>
      <c r="F872" t="s">
        <v>41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 t="s">
        <v>51</v>
      </c>
      <c r="Z872">
        <v>50</v>
      </c>
      <c r="AA872">
        <v>0</v>
      </c>
    </row>
    <row r="873" spans="1:27" x14ac:dyDescent="0.2">
      <c r="A873" t="s">
        <v>928</v>
      </c>
      <c r="B873">
        <v>2021</v>
      </c>
      <c r="C873" t="s">
        <v>1301</v>
      </c>
      <c r="D873" t="s">
        <v>1302</v>
      </c>
      <c r="E873" t="s">
        <v>29</v>
      </c>
      <c r="F873" t="s">
        <v>41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 t="s">
        <v>51</v>
      </c>
      <c r="Z873">
        <v>50</v>
      </c>
      <c r="AA873">
        <v>0</v>
      </c>
    </row>
    <row r="874" spans="1:27" x14ac:dyDescent="0.2">
      <c r="A874" t="s">
        <v>928</v>
      </c>
      <c r="B874">
        <v>2021</v>
      </c>
      <c r="C874" t="s">
        <v>1303</v>
      </c>
      <c r="D874" t="s">
        <v>1304</v>
      </c>
      <c r="E874" t="s">
        <v>29</v>
      </c>
      <c r="F874" t="s">
        <v>41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1</v>
      </c>
      <c r="V874">
        <v>0</v>
      </c>
      <c r="W874">
        <v>0</v>
      </c>
      <c r="X874">
        <v>0</v>
      </c>
      <c r="Y874" t="s">
        <v>51</v>
      </c>
      <c r="Z874">
        <v>50</v>
      </c>
      <c r="AA874">
        <v>0</v>
      </c>
    </row>
    <row r="875" spans="1:27" x14ac:dyDescent="0.2">
      <c r="A875" t="s">
        <v>1305</v>
      </c>
      <c r="B875">
        <v>2023</v>
      </c>
      <c r="C875" t="s">
        <v>1306</v>
      </c>
      <c r="D875" t="s">
        <v>1307</v>
      </c>
      <c r="E875" t="s">
        <v>29</v>
      </c>
      <c r="F875" t="s">
        <v>30</v>
      </c>
      <c r="G875">
        <v>0</v>
      </c>
      <c r="H875">
        <v>0</v>
      </c>
      <c r="I875">
        <v>4</v>
      </c>
      <c r="J875">
        <v>0</v>
      </c>
      <c r="K875">
        <v>1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 t="s">
        <v>31</v>
      </c>
      <c r="AA875">
        <v>50</v>
      </c>
    </row>
    <row r="876" spans="1:27" x14ac:dyDescent="0.2">
      <c r="A876" t="s">
        <v>460</v>
      </c>
      <c r="B876">
        <v>2021</v>
      </c>
      <c r="C876" t="s">
        <v>465</v>
      </c>
      <c r="D876" t="s">
        <v>1308</v>
      </c>
      <c r="E876" t="s">
        <v>29</v>
      </c>
      <c r="F876" t="s">
        <v>30</v>
      </c>
      <c r="G876">
        <v>38</v>
      </c>
      <c r="H876">
        <v>0</v>
      </c>
      <c r="I876">
        <v>144</v>
      </c>
      <c r="J876">
        <v>0</v>
      </c>
      <c r="K876">
        <v>2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 t="s">
        <v>31</v>
      </c>
      <c r="Z876">
        <v>55</v>
      </c>
      <c r="AA876">
        <v>33</v>
      </c>
    </row>
    <row r="877" spans="1:27" x14ac:dyDescent="0.2">
      <c r="A877" t="s">
        <v>1309</v>
      </c>
      <c r="B877">
        <v>2020</v>
      </c>
      <c r="C877" t="s">
        <v>1310</v>
      </c>
      <c r="E877" t="s">
        <v>29</v>
      </c>
      <c r="F877" t="s">
        <v>30</v>
      </c>
      <c r="G877">
        <v>40</v>
      </c>
      <c r="H877">
        <v>0</v>
      </c>
      <c r="I877">
        <v>41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 t="s">
        <v>31</v>
      </c>
      <c r="AA877">
        <v>0</v>
      </c>
    </row>
    <row r="878" spans="1:27" x14ac:dyDescent="0.2">
      <c r="A878" t="s">
        <v>1311</v>
      </c>
      <c r="B878">
        <v>2023</v>
      </c>
      <c r="C878" t="s">
        <v>1312</v>
      </c>
      <c r="D878" t="s">
        <v>1313</v>
      </c>
      <c r="E878" t="s">
        <v>29</v>
      </c>
      <c r="F878" t="s">
        <v>30</v>
      </c>
      <c r="G878">
        <v>8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8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8</v>
      </c>
      <c r="T878">
        <v>0</v>
      </c>
      <c r="U878">
        <v>0</v>
      </c>
      <c r="V878">
        <v>0</v>
      </c>
      <c r="W878">
        <v>0</v>
      </c>
      <c r="X878">
        <v>0</v>
      </c>
      <c r="Y878" t="s">
        <v>31</v>
      </c>
      <c r="Z878">
        <v>55</v>
      </c>
      <c r="AA878">
        <v>17</v>
      </c>
    </row>
    <row r="879" spans="1:27" x14ac:dyDescent="0.2">
      <c r="A879" t="s">
        <v>1311</v>
      </c>
      <c r="B879">
        <v>2023</v>
      </c>
      <c r="C879" t="s">
        <v>1314</v>
      </c>
      <c r="D879" t="s">
        <v>1315</v>
      </c>
      <c r="E879" t="s">
        <v>29</v>
      </c>
      <c r="F879" t="s">
        <v>30</v>
      </c>
      <c r="G879">
        <v>53</v>
      </c>
      <c r="H879">
        <v>0</v>
      </c>
      <c r="I879">
        <v>36</v>
      </c>
      <c r="J879">
        <v>0</v>
      </c>
      <c r="K879">
        <v>0</v>
      </c>
      <c r="L879">
        <v>0</v>
      </c>
      <c r="M879">
        <v>53</v>
      </c>
      <c r="N879">
        <v>0</v>
      </c>
      <c r="O879">
        <v>36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 t="s">
        <v>31</v>
      </c>
      <c r="Z879">
        <v>75</v>
      </c>
      <c r="AA879">
        <v>143</v>
      </c>
    </row>
    <row r="880" spans="1:27" x14ac:dyDescent="0.2">
      <c r="A880" t="s">
        <v>1316</v>
      </c>
      <c r="B880">
        <v>2022</v>
      </c>
      <c r="C880" t="s">
        <v>1317</v>
      </c>
      <c r="D880" t="s">
        <v>1318</v>
      </c>
      <c r="E880" t="s">
        <v>29</v>
      </c>
      <c r="F880" t="s">
        <v>30</v>
      </c>
      <c r="G880">
        <v>0</v>
      </c>
      <c r="H880">
        <v>0</v>
      </c>
      <c r="I880">
        <v>34</v>
      </c>
      <c r="J880">
        <v>0</v>
      </c>
      <c r="K880">
        <v>17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 t="s">
        <v>51</v>
      </c>
      <c r="AA880">
        <v>0</v>
      </c>
    </row>
    <row r="881" spans="1:27" x14ac:dyDescent="0.2">
      <c r="A881" t="s">
        <v>1127</v>
      </c>
      <c r="B881">
        <v>2023</v>
      </c>
      <c r="C881" t="s">
        <v>1267</v>
      </c>
      <c r="D881" t="s">
        <v>1268</v>
      </c>
      <c r="E881" t="s">
        <v>29</v>
      </c>
      <c r="F881" t="s">
        <v>30</v>
      </c>
      <c r="G881">
        <v>0</v>
      </c>
      <c r="H881">
        <v>0</v>
      </c>
      <c r="I881">
        <v>1</v>
      </c>
      <c r="J881">
        <v>0</v>
      </c>
      <c r="K881">
        <v>1</v>
      </c>
      <c r="L881">
        <v>0</v>
      </c>
      <c r="M881">
        <v>0</v>
      </c>
      <c r="N881">
        <v>0</v>
      </c>
      <c r="O881">
        <v>1</v>
      </c>
      <c r="P881">
        <v>0</v>
      </c>
      <c r="Q881">
        <v>1</v>
      </c>
      <c r="R881">
        <v>0</v>
      </c>
      <c r="S881">
        <v>0</v>
      </c>
      <c r="T881">
        <v>0</v>
      </c>
      <c r="U881">
        <v>1</v>
      </c>
      <c r="V881">
        <v>0</v>
      </c>
      <c r="W881">
        <v>1</v>
      </c>
      <c r="X881">
        <v>0</v>
      </c>
      <c r="Y881" t="s">
        <v>51</v>
      </c>
      <c r="AA881">
        <v>0</v>
      </c>
    </row>
    <row r="882" spans="1:27" x14ac:dyDescent="0.2">
      <c r="A882" t="s">
        <v>1319</v>
      </c>
      <c r="B882">
        <v>2020</v>
      </c>
      <c r="C882" t="s">
        <v>1320</v>
      </c>
      <c r="D882" t="s">
        <v>1321</v>
      </c>
      <c r="E882" t="s">
        <v>29</v>
      </c>
      <c r="F882" t="s">
        <v>30</v>
      </c>
      <c r="G882">
        <v>2</v>
      </c>
      <c r="H882">
        <v>0</v>
      </c>
      <c r="I882">
        <v>0</v>
      </c>
      <c r="J882">
        <v>0</v>
      </c>
      <c r="K882">
        <v>0</v>
      </c>
      <c r="L882">
        <v>15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 t="s">
        <v>31</v>
      </c>
      <c r="Z882">
        <v>55</v>
      </c>
      <c r="AA882">
        <v>0</v>
      </c>
    </row>
    <row r="883" spans="1:27" x14ac:dyDescent="0.2">
      <c r="A883" t="s">
        <v>1316</v>
      </c>
      <c r="B883">
        <v>2022</v>
      </c>
      <c r="C883" t="s">
        <v>1322</v>
      </c>
      <c r="D883" t="s">
        <v>1323</v>
      </c>
      <c r="E883" t="s">
        <v>29</v>
      </c>
      <c r="F883" t="s">
        <v>30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18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 t="s">
        <v>31</v>
      </c>
      <c r="Z883">
        <v>1000</v>
      </c>
      <c r="AA883">
        <v>35</v>
      </c>
    </row>
    <row r="884" spans="1:27" x14ac:dyDescent="0.2">
      <c r="A884" t="s">
        <v>1324</v>
      </c>
      <c r="B884">
        <v>2021</v>
      </c>
      <c r="C884" t="s">
        <v>1325</v>
      </c>
      <c r="D884" t="s">
        <v>1326</v>
      </c>
      <c r="E884" t="s">
        <v>29</v>
      </c>
      <c r="F884" t="s">
        <v>30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1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 t="s">
        <v>31</v>
      </c>
      <c r="Z884">
        <v>55</v>
      </c>
      <c r="AA884">
        <v>35</v>
      </c>
    </row>
    <row r="885" spans="1:27" x14ac:dyDescent="0.2">
      <c r="A885" t="s">
        <v>1327</v>
      </c>
      <c r="B885">
        <v>2023</v>
      </c>
      <c r="C885" t="s">
        <v>1328</v>
      </c>
      <c r="D885" t="s">
        <v>1329</v>
      </c>
      <c r="E885" t="s">
        <v>29</v>
      </c>
      <c r="F885" t="s">
        <v>41</v>
      </c>
      <c r="G885">
        <v>0</v>
      </c>
      <c r="H885">
        <v>0</v>
      </c>
      <c r="I885">
        <v>0</v>
      </c>
      <c r="J885">
        <v>0</v>
      </c>
      <c r="K885">
        <v>1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 t="s">
        <v>31</v>
      </c>
      <c r="AA885">
        <v>36</v>
      </c>
    </row>
    <row r="886" spans="1:27" x14ac:dyDescent="0.2">
      <c r="A886" t="s">
        <v>1327</v>
      </c>
      <c r="B886">
        <v>2023</v>
      </c>
      <c r="C886" t="s">
        <v>1328</v>
      </c>
      <c r="D886" t="s">
        <v>1329</v>
      </c>
      <c r="E886" t="s">
        <v>29</v>
      </c>
      <c r="F886" t="s">
        <v>30</v>
      </c>
      <c r="G886">
        <v>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 t="s">
        <v>31</v>
      </c>
      <c r="AA886">
        <v>36</v>
      </c>
    </row>
    <row r="887" spans="1:27" x14ac:dyDescent="0.2">
      <c r="A887" t="s">
        <v>600</v>
      </c>
      <c r="B887">
        <v>2022</v>
      </c>
      <c r="C887" s="2" t="s">
        <v>1330</v>
      </c>
      <c r="D887" t="s">
        <v>1331</v>
      </c>
      <c r="E887" t="s">
        <v>29</v>
      </c>
      <c r="F887" t="s">
        <v>30</v>
      </c>
      <c r="G887">
        <v>0</v>
      </c>
      <c r="H887">
        <v>0</v>
      </c>
      <c r="I887">
        <v>10</v>
      </c>
      <c r="J887">
        <v>0</v>
      </c>
      <c r="K887">
        <v>5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 t="s">
        <v>31</v>
      </c>
      <c r="AA887">
        <v>0</v>
      </c>
    </row>
    <row r="888" spans="1:27" x14ac:dyDescent="0.2">
      <c r="A888" t="s">
        <v>600</v>
      </c>
      <c r="B888">
        <v>2022</v>
      </c>
      <c r="C888">
        <v>3212023</v>
      </c>
      <c r="D888" t="s">
        <v>1332</v>
      </c>
      <c r="E888" t="s">
        <v>29</v>
      </c>
      <c r="F888" t="s">
        <v>30</v>
      </c>
      <c r="G888">
        <v>2</v>
      </c>
      <c r="H888">
        <v>0</v>
      </c>
      <c r="I888">
        <v>2</v>
      </c>
      <c r="J888">
        <v>0</v>
      </c>
      <c r="K888">
        <v>2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 t="s">
        <v>51</v>
      </c>
      <c r="AA888">
        <v>0</v>
      </c>
    </row>
    <row r="889" spans="1:27" x14ac:dyDescent="0.2">
      <c r="A889" t="s">
        <v>600</v>
      </c>
      <c r="B889">
        <v>2022</v>
      </c>
      <c r="C889">
        <v>7535108</v>
      </c>
      <c r="D889" t="s">
        <v>1333</v>
      </c>
      <c r="E889" t="s">
        <v>29</v>
      </c>
      <c r="F889" t="s">
        <v>41</v>
      </c>
      <c r="G889">
        <v>2</v>
      </c>
      <c r="H889">
        <v>0</v>
      </c>
      <c r="I889">
        <v>2</v>
      </c>
      <c r="J889">
        <v>0</v>
      </c>
      <c r="K889">
        <v>2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 t="s">
        <v>31</v>
      </c>
      <c r="AA889" s="2" t="s">
        <v>1334</v>
      </c>
    </row>
    <row r="890" spans="1:27" x14ac:dyDescent="0.2">
      <c r="A890" t="s">
        <v>600</v>
      </c>
      <c r="B890">
        <v>2022</v>
      </c>
      <c r="C890">
        <v>1797007</v>
      </c>
      <c r="D890" t="s">
        <v>1335</v>
      </c>
      <c r="E890" t="s">
        <v>29</v>
      </c>
      <c r="F890" t="s">
        <v>30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20</v>
      </c>
      <c r="N890">
        <v>0</v>
      </c>
      <c r="O890">
        <v>47</v>
      </c>
      <c r="P890">
        <v>0</v>
      </c>
      <c r="Q890">
        <v>67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 t="s">
        <v>31</v>
      </c>
      <c r="AA890">
        <v>35</v>
      </c>
    </row>
    <row r="891" spans="1:27" x14ac:dyDescent="0.2">
      <c r="A891" t="s">
        <v>600</v>
      </c>
      <c r="B891">
        <v>2022</v>
      </c>
      <c r="C891" t="s">
        <v>1336</v>
      </c>
      <c r="D891" t="s">
        <v>1337</v>
      </c>
      <c r="E891" t="s">
        <v>29</v>
      </c>
      <c r="F891" t="s">
        <v>30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3</v>
      </c>
      <c r="P891">
        <v>0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 t="s">
        <v>51</v>
      </c>
      <c r="AA891">
        <v>0</v>
      </c>
    </row>
    <row r="892" spans="1:27" x14ac:dyDescent="0.2">
      <c r="A892" t="s">
        <v>600</v>
      </c>
      <c r="B892">
        <v>2022</v>
      </c>
      <c r="C892">
        <v>3505032</v>
      </c>
      <c r="D892" t="s">
        <v>1338</v>
      </c>
      <c r="E892" t="s">
        <v>29</v>
      </c>
      <c r="F892" t="s">
        <v>30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58</v>
      </c>
      <c r="V892">
        <v>0</v>
      </c>
      <c r="W892">
        <v>0</v>
      </c>
      <c r="X892">
        <v>0</v>
      </c>
      <c r="Y892" t="s">
        <v>51</v>
      </c>
      <c r="AA892">
        <v>0</v>
      </c>
    </row>
    <row r="893" spans="1:27" x14ac:dyDescent="0.2">
      <c r="A893" t="s">
        <v>600</v>
      </c>
      <c r="B893">
        <v>2022</v>
      </c>
      <c r="C893" s="2" t="s">
        <v>1339</v>
      </c>
      <c r="D893" t="s">
        <v>1340</v>
      </c>
      <c r="E893" t="s">
        <v>29</v>
      </c>
      <c r="F893" t="s">
        <v>30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12</v>
      </c>
      <c r="V893">
        <v>0</v>
      </c>
      <c r="W893">
        <v>0</v>
      </c>
      <c r="X893">
        <v>0</v>
      </c>
      <c r="Y893" t="s">
        <v>51</v>
      </c>
      <c r="AA893">
        <v>0</v>
      </c>
    </row>
    <row r="894" spans="1:27" x14ac:dyDescent="0.2">
      <c r="A894" t="s">
        <v>600</v>
      </c>
      <c r="B894">
        <v>2022</v>
      </c>
      <c r="C894">
        <v>2648019</v>
      </c>
      <c r="D894" t="s">
        <v>1341</v>
      </c>
      <c r="E894" t="s">
        <v>29</v>
      </c>
      <c r="F894" t="s">
        <v>30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1</v>
      </c>
      <c r="T894">
        <v>0</v>
      </c>
      <c r="U894">
        <v>1</v>
      </c>
      <c r="V894">
        <v>0</v>
      </c>
      <c r="W894">
        <v>1</v>
      </c>
      <c r="X894">
        <v>0</v>
      </c>
      <c r="Y894" t="s">
        <v>51</v>
      </c>
      <c r="AA894">
        <v>0</v>
      </c>
    </row>
    <row r="895" spans="1:27" x14ac:dyDescent="0.2">
      <c r="A895" t="s">
        <v>106</v>
      </c>
      <c r="B895">
        <v>2023</v>
      </c>
      <c r="C895" t="s">
        <v>1342</v>
      </c>
      <c r="D895" t="s">
        <v>108</v>
      </c>
      <c r="E895" t="s">
        <v>29</v>
      </c>
      <c r="F895" t="s">
        <v>30</v>
      </c>
      <c r="G895">
        <v>0</v>
      </c>
      <c r="H895">
        <v>0</v>
      </c>
      <c r="I895">
        <v>0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1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1</v>
      </c>
      <c r="X895">
        <v>0</v>
      </c>
      <c r="Y895" t="s">
        <v>31</v>
      </c>
      <c r="AA895">
        <v>15</v>
      </c>
    </row>
    <row r="896" spans="1:27" x14ac:dyDescent="0.2">
      <c r="A896" t="s">
        <v>75</v>
      </c>
      <c r="B896">
        <v>2022</v>
      </c>
      <c r="C896">
        <v>4365600700</v>
      </c>
      <c r="D896" t="s">
        <v>1343</v>
      </c>
      <c r="E896" t="s">
        <v>29</v>
      </c>
      <c r="F896" t="s">
        <v>41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2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 t="s">
        <v>31</v>
      </c>
      <c r="Z896">
        <v>55</v>
      </c>
      <c r="AA896">
        <v>50</v>
      </c>
    </row>
    <row r="897" spans="1:27" x14ac:dyDescent="0.2">
      <c r="A897" t="s">
        <v>75</v>
      </c>
      <c r="B897">
        <v>2022</v>
      </c>
      <c r="C897">
        <v>5334020100</v>
      </c>
      <c r="D897" t="s">
        <v>1344</v>
      </c>
      <c r="E897" t="s">
        <v>29</v>
      </c>
      <c r="F897" t="s">
        <v>30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35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 t="s">
        <v>31</v>
      </c>
      <c r="Z897">
        <v>55</v>
      </c>
      <c r="AA897">
        <v>12</v>
      </c>
    </row>
    <row r="898" spans="1:27" x14ac:dyDescent="0.2">
      <c r="A898" t="s">
        <v>278</v>
      </c>
      <c r="B898">
        <v>2020</v>
      </c>
      <c r="C898" t="s">
        <v>1345</v>
      </c>
      <c r="D898" t="s">
        <v>1346</v>
      </c>
      <c r="E898" t="s">
        <v>29</v>
      </c>
      <c r="F898" t="s">
        <v>30</v>
      </c>
      <c r="G898">
        <v>0</v>
      </c>
      <c r="H898">
        <v>0</v>
      </c>
      <c r="I898">
        <v>30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 t="s">
        <v>51</v>
      </c>
      <c r="Z898">
        <v>55</v>
      </c>
      <c r="AA898">
        <v>0</v>
      </c>
    </row>
    <row r="899" spans="1:27" x14ac:dyDescent="0.2">
      <c r="A899" t="s">
        <v>278</v>
      </c>
      <c r="B899">
        <v>2020</v>
      </c>
      <c r="C899" t="s">
        <v>1347</v>
      </c>
      <c r="D899" t="s">
        <v>1348</v>
      </c>
      <c r="E899" t="s">
        <v>29</v>
      </c>
      <c r="F899" t="s">
        <v>30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14</v>
      </c>
      <c r="P899">
        <v>0</v>
      </c>
      <c r="Q899">
        <v>18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 t="s">
        <v>51</v>
      </c>
      <c r="Z899">
        <v>55</v>
      </c>
      <c r="AA899">
        <v>0</v>
      </c>
    </row>
    <row r="900" spans="1:27" x14ac:dyDescent="0.2">
      <c r="A900" t="s">
        <v>75</v>
      </c>
      <c r="B900">
        <v>2020</v>
      </c>
      <c r="C900" t="s">
        <v>956</v>
      </c>
      <c r="D900" t="s">
        <v>1349</v>
      </c>
      <c r="E900" t="s">
        <v>29</v>
      </c>
      <c r="F900" t="s">
        <v>30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2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 t="s">
        <v>31</v>
      </c>
      <c r="Z900">
        <v>55</v>
      </c>
      <c r="AA900">
        <v>0</v>
      </c>
    </row>
    <row r="901" spans="1:27" x14ac:dyDescent="0.2">
      <c r="A901" t="s">
        <v>75</v>
      </c>
      <c r="B901">
        <v>2020</v>
      </c>
      <c r="C901" t="s">
        <v>956</v>
      </c>
      <c r="D901" t="s">
        <v>258</v>
      </c>
      <c r="E901" t="s">
        <v>29</v>
      </c>
      <c r="F901" t="s">
        <v>30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3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 t="s">
        <v>31</v>
      </c>
      <c r="Z901">
        <v>55</v>
      </c>
      <c r="AA901">
        <v>0</v>
      </c>
    </row>
    <row r="902" spans="1:27" x14ac:dyDescent="0.2">
      <c r="A902" t="s">
        <v>75</v>
      </c>
      <c r="B902">
        <v>2020</v>
      </c>
      <c r="C902" t="s">
        <v>956</v>
      </c>
      <c r="D902" t="s">
        <v>1350</v>
      </c>
      <c r="E902" t="s">
        <v>29</v>
      </c>
      <c r="F902" t="s">
        <v>30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3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 t="s">
        <v>31</v>
      </c>
      <c r="Z902">
        <v>55</v>
      </c>
      <c r="AA902">
        <v>0</v>
      </c>
    </row>
    <row r="903" spans="1:27" x14ac:dyDescent="0.2">
      <c r="A903" t="s">
        <v>75</v>
      </c>
      <c r="B903">
        <v>2020</v>
      </c>
      <c r="C903" t="s">
        <v>956</v>
      </c>
      <c r="D903" t="s">
        <v>485</v>
      </c>
      <c r="E903" t="s">
        <v>29</v>
      </c>
      <c r="F903" t="s">
        <v>30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22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 t="s">
        <v>31</v>
      </c>
      <c r="Z903">
        <v>55</v>
      </c>
      <c r="AA903">
        <v>0</v>
      </c>
    </row>
    <row r="904" spans="1:27" x14ac:dyDescent="0.2">
      <c r="A904" t="s">
        <v>75</v>
      </c>
      <c r="B904">
        <v>2020</v>
      </c>
      <c r="C904" t="s">
        <v>956</v>
      </c>
      <c r="D904" t="s">
        <v>1351</v>
      </c>
      <c r="E904" t="s">
        <v>29</v>
      </c>
      <c r="F904" t="s">
        <v>30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1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 t="s">
        <v>31</v>
      </c>
      <c r="Z904">
        <v>55</v>
      </c>
      <c r="AA904">
        <v>0</v>
      </c>
    </row>
    <row r="905" spans="1:27" x14ac:dyDescent="0.2">
      <c r="A905" t="s">
        <v>1075</v>
      </c>
      <c r="B905">
        <v>2020</v>
      </c>
      <c r="C905" t="s">
        <v>1224</v>
      </c>
      <c r="D905" t="s">
        <v>1352</v>
      </c>
      <c r="E905" t="s">
        <v>29</v>
      </c>
      <c r="F905" t="s">
        <v>30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29</v>
      </c>
      <c r="T905">
        <v>0</v>
      </c>
      <c r="U905">
        <v>0</v>
      </c>
      <c r="V905">
        <v>0</v>
      </c>
      <c r="W905">
        <v>0</v>
      </c>
      <c r="X905">
        <v>0</v>
      </c>
      <c r="Y905" t="s">
        <v>31</v>
      </c>
      <c r="AA905">
        <v>0</v>
      </c>
    </row>
    <row r="906" spans="1:27" x14ac:dyDescent="0.2">
      <c r="A906" t="s">
        <v>753</v>
      </c>
      <c r="B906">
        <v>2020</v>
      </c>
      <c r="C906">
        <v>6440610900</v>
      </c>
      <c r="D906" t="s">
        <v>1353</v>
      </c>
      <c r="E906" t="s">
        <v>29</v>
      </c>
      <c r="F906" t="s">
        <v>30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5</v>
      </c>
      <c r="X906">
        <v>0</v>
      </c>
      <c r="Y906" t="s">
        <v>51</v>
      </c>
      <c r="Z906">
        <v>20</v>
      </c>
      <c r="AA906">
        <v>0</v>
      </c>
    </row>
    <row r="907" spans="1:27" x14ac:dyDescent="0.2">
      <c r="A907" t="s">
        <v>753</v>
      </c>
      <c r="B907">
        <v>2022</v>
      </c>
      <c r="C907">
        <v>6430606100</v>
      </c>
      <c r="D907" t="s">
        <v>1354</v>
      </c>
      <c r="E907" t="s">
        <v>29</v>
      </c>
      <c r="F907" t="s">
        <v>30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42</v>
      </c>
      <c r="N907">
        <v>0</v>
      </c>
      <c r="O907">
        <v>156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 t="s">
        <v>51</v>
      </c>
      <c r="Z907">
        <v>55</v>
      </c>
      <c r="AA907">
        <v>0</v>
      </c>
    </row>
    <row r="908" spans="1:27" ht="102" x14ac:dyDescent="0.2">
      <c r="A908" t="s">
        <v>48</v>
      </c>
      <c r="B908">
        <v>2022</v>
      </c>
      <c r="C908" t="s">
        <v>1355</v>
      </c>
      <c r="D908" s="1" t="s">
        <v>1356</v>
      </c>
      <c r="E908" t="s">
        <v>29</v>
      </c>
      <c r="F908" t="s">
        <v>30</v>
      </c>
      <c r="G908">
        <v>0</v>
      </c>
      <c r="H908">
        <v>2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 t="s">
        <v>31</v>
      </c>
      <c r="Z908">
        <v>55</v>
      </c>
      <c r="AA908">
        <v>20</v>
      </c>
    </row>
    <row r="909" spans="1:27" x14ac:dyDescent="0.2">
      <c r="A909" t="s">
        <v>524</v>
      </c>
      <c r="B909">
        <v>2020</v>
      </c>
      <c r="C909">
        <v>52082170</v>
      </c>
      <c r="D909" t="s">
        <v>1357</v>
      </c>
      <c r="E909" t="s">
        <v>29</v>
      </c>
      <c r="F909" t="s">
        <v>30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3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 t="s">
        <v>51</v>
      </c>
      <c r="AA909">
        <v>0</v>
      </c>
    </row>
    <row r="910" spans="1:27" x14ac:dyDescent="0.2">
      <c r="A910" t="s">
        <v>43</v>
      </c>
      <c r="B910">
        <v>2023</v>
      </c>
      <c r="C910">
        <v>5531008016</v>
      </c>
      <c r="D910" t="s">
        <v>1358</v>
      </c>
      <c r="E910" t="s">
        <v>29</v>
      </c>
      <c r="F910" t="s">
        <v>41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2</v>
      </c>
      <c r="N910">
        <v>0</v>
      </c>
      <c r="O910">
        <v>0</v>
      </c>
      <c r="P910">
        <v>0</v>
      </c>
      <c r="Q910">
        <v>1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 t="s">
        <v>31</v>
      </c>
      <c r="Z910">
        <v>1000</v>
      </c>
      <c r="AA910">
        <v>50</v>
      </c>
    </row>
    <row r="911" spans="1:27" x14ac:dyDescent="0.2">
      <c r="A911" t="s">
        <v>1231</v>
      </c>
      <c r="B911">
        <v>2022</v>
      </c>
      <c r="C911">
        <v>694130017</v>
      </c>
      <c r="D911" t="s">
        <v>1359</v>
      </c>
      <c r="E911" t="s">
        <v>29</v>
      </c>
      <c r="F911" t="s">
        <v>30</v>
      </c>
      <c r="G911">
        <v>139</v>
      </c>
      <c r="H911">
        <v>0</v>
      </c>
      <c r="I911">
        <v>35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 t="s">
        <v>51</v>
      </c>
      <c r="Z911">
        <v>55</v>
      </c>
      <c r="AA911">
        <v>0</v>
      </c>
    </row>
    <row r="912" spans="1:27" x14ac:dyDescent="0.2">
      <c r="A912" t="s">
        <v>928</v>
      </c>
      <c r="B912">
        <v>2021</v>
      </c>
      <c r="C912" t="s">
        <v>1360</v>
      </c>
      <c r="D912" t="s">
        <v>1361</v>
      </c>
      <c r="E912" t="s">
        <v>29</v>
      </c>
      <c r="F912" t="s">
        <v>41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 t="s">
        <v>51</v>
      </c>
      <c r="Z912">
        <v>50</v>
      </c>
      <c r="AA912">
        <v>0</v>
      </c>
    </row>
    <row r="913" spans="1:27" x14ac:dyDescent="0.2">
      <c r="A913" t="s">
        <v>928</v>
      </c>
      <c r="B913">
        <v>2021</v>
      </c>
      <c r="C913" t="s">
        <v>1362</v>
      </c>
      <c r="D913" t="s">
        <v>1108</v>
      </c>
      <c r="E913" t="s">
        <v>29</v>
      </c>
      <c r="F913" t="s">
        <v>41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 t="s">
        <v>51</v>
      </c>
      <c r="Z913">
        <v>50</v>
      </c>
      <c r="AA913">
        <v>0</v>
      </c>
    </row>
    <row r="914" spans="1:27" x14ac:dyDescent="0.2">
      <c r="A914" t="s">
        <v>928</v>
      </c>
      <c r="B914">
        <v>2021</v>
      </c>
      <c r="C914" t="s">
        <v>1363</v>
      </c>
      <c r="D914" t="s">
        <v>1364</v>
      </c>
      <c r="E914" t="s">
        <v>29</v>
      </c>
      <c r="F914" t="s">
        <v>41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 t="s">
        <v>51</v>
      </c>
      <c r="Z914">
        <v>50</v>
      </c>
      <c r="AA914">
        <v>0</v>
      </c>
    </row>
    <row r="915" spans="1:27" x14ac:dyDescent="0.2">
      <c r="A915" t="s">
        <v>928</v>
      </c>
      <c r="B915">
        <v>2021</v>
      </c>
      <c r="C915" t="s">
        <v>1365</v>
      </c>
      <c r="D915" t="s">
        <v>1366</v>
      </c>
      <c r="E915" t="s">
        <v>29</v>
      </c>
      <c r="F915" t="s">
        <v>41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 t="s">
        <v>51</v>
      </c>
      <c r="Z915">
        <v>50</v>
      </c>
      <c r="AA915">
        <v>0</v>
      </c>
    </row>
    <row r="916" spans="1:27" x14ac:dyDescent="0.2">
      <c r="A916" t="s">
        <v>1367</v>
      </c>
      <c r="B916">
        <v>2020</v>
      </c>
      <c r="C916" t="s">
        <v>1368</v>
      </c>
      <c r="D916" t="s">
        <v>1369</v>
      </c>
      <c r="E916" t="s">
        <v>29</v>
      </c>
      <c r="F916" t="s">
        <v>30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2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 t="s">
        <v>31</v>
      </c>
      <c r="Z916">
        <v>55</v>
      </c>
      <c r="AA916">
        <v>0</v>
      </c>
    </row>
    <row r="917" spans="1:27" x14ac:dyDescent="0.2">
      <c r="A917" t="s">
        <v>1188</v>
      </c>
      <c r="B917">
        <v>2022</v>
      </c>
      <c r="C917" t="s">
        <v>1370</v>
      </c>
      <c r="D917" t="s">
        <v>1371</v>
      </c>
      <c r="E917" t="s">
        <v>29</v>
      </c>
      <c r="F917" t="s">
        <v>30</v>
      </c>
      <c r="G917">
        <v>20</v>
      </c>
      <c r="H917">
        <v>0</v>
      </c>
      <c r="I917">
        <v>79</v>
      </c>
      <c r="J917">
        <v>0</v>
      </c>
      <c r="K917">
        <v>0</v>
      </c>
      <c r="L917">
        <v>1</v>
      </c>
      <c r="M917">
        <v>20</v>
      </c>
      <c r="N917">
        <v>0</v>
      </c>
      <c r="O917">
        <v>79</v>
      </c>
      <c r="P917">
        <v>0</v>
      </c>
      <c r="Q917">
        <v>0</v>
      </c>
      <c r="R917">
        <v>1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 t="s">
        <v>31</v>
      </c>
      <c r="Z917">
        <v>55</v>
      </c>
      <c r="AA917">
        <v>100</v>
      </c>
    </row>
    <row r="918" spans="1:27" x14ac:dyDescent="0.2">
      <c r="A918" t="s">
        <v>1231</v>
      </c>
      <c r="B918">
        <v>2022</v>
      </c>
      <c r="C918">
        <v>694120028</v>
      </c>
      <c r="D918" t="s">
        <v>1372</v>
      </c>
      <c r="E918" t="s">
        <v>29</v>
      </c>
      <c r="F918" t="s">
        <v>30</v>
      </c>
      <c r="G918">
        <v>193</v>
      </c>
      <c r="H918">
        <v>0</v>
      </c>
      <c r="I918">
        <v>46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 t="s">
        <v>31</v>
      </c>
      <c r="Z918">
        <v>55</v>
      </c>
      <c r="AA918">
        <v>5</v>
      </c>
    </row>
    <row r="919" spans="1:27" x14ac:dyDescent="0.2">
      <c r="A919" t="s">
        <v>928</v>
      </c>
      <c r="B919">
        <v>2022</v>
      </c>
      <c r="C919" t="s">
        <v>1373</v>
      </c>
      <c r="D919" t="s">
        <v>1374</v>
      </c>
      <c r="E919" t="s">
        <v>29</v>
      </c>
      <c r="F919" t="s">
        <v>41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1</v>
      </c>
      <c r="T919">
        <v>0</v>
      </c>
      <c r="U919">
        <v>0</v>
      </c>
      <c r="V919">
        <v>0</v>
      </c>
      <c r="W919">
        <v>0</v>
      </c>
      <c r="X919">
        <v>0</v>
      </c>
      <c r="Y919" t="s">
        <v>51</v>
      </c>
      <c r="Z919">
        <v>50</v>
      </c>
      <c r="AA919">
        <v>0</v>
      </c>
    </row>
    <row r="920" spans="1:27" x14ac:dyDescent="0.2">
      <c r="A920" t="s">
        <v>928</v>
      </c>
      <c r="B920">
        <v>2022</v>
      </c>
      <c r="C920" t="s">
        <v>1375</v>
      </c>
      <c r="D920" t="s">
        <v>1376</v>
      </c>
      <c r="E920" t="s">
        <v>29</v>
      </c>
      <c r="F920" t="s">
        <v>30</v>
      </c>
      <c r="G920">
        <v>29</v>
      </c>
      <c r="H920">
        <v>0</v>
      </c>
      <c r="I920">
        <v>28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 t="s">
        <v>51</v>
      </c>
      <c r="Z920">
        <v>55</v>
      </c>
      <c r="AA920">
        <v>0</v>
      </c>
    </row>
    <row r="921" spans="1:27" x14ac:dyDescent="0.2">
      <c r="A921" t="s">
        <v>163</v>
      </c>
      <c r="B921">
        <v>2022</v>
      </c>
      <c r="C921">
        <v>4944102400</v>
      </c>
      <c r="D921" t="s">
        <v>1377</v>
      </c>
      <c r="E921" t="s">
        <v>29</v>
      </c>
      <c r="F921" t="s">
        <v>30</v>
      </c>
      <c r="G921">
        <v>8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 t="s">
        <v>31</v>
      </c>
      <c r="Z921">
        <v>55</v>
      </c>
      <c r="AA921">
        <v>0</v>
      </c>
    </row>
    <row r="922" spans="1:27" x14ac:dyDescent="0.2">
      <c r="A922" t="s">
        <v>1378</v>
      </c>
      <c r="B922">
        <v>2021</v>
      </c>
      <c r="C922">
        <v>8323022019</v>
      </c>
      <c r="D922" t="s">
        <v>1379</v>
      </c>
      <c r="E922" t="s">
        <v>29</v>
      </c>
      <c r="F922" t="s">
        <v>30</v>
      </c>
      <c r="G922">
        <v>94</v>
      </c>
      <c r="H922">
        <v>0</v>
      </c>
      <c r="I922">
        <v>31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 t="s">
        <v>31</v>
      </c>
      <c r="AA922">
        <v>32</v>
      </c>
    </row>
    <row r="923" spans="1:27" x14ac:dyDescent="0.2">
      <c r="A923" t="s">
        <v>88</v>
      </c>
      <c r="B923">
        <v>2021</v>
      </c>
      <c r="C923" t="s">
        <v>1380</v>
      </c>
      <c r="D923" t="s">
        <v>1381</v>
      </c>
      <c r="E923" t="s">
        <v>29</v>
      </c>
      <c r="F923" t="s">
        <v>30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5</v>
      </c>
      <c r="V923">
        <v>0</v>
      </c>
      <c r="W923">
        <v>42</v>
      </c>
      <c r="X923">
        <v>0</v>
      </c>
      <c r="Y923" t="s">
        <v>51</v>
      </c>
      <c r="AA923">
        <v>0</v>
      </c>
    </row>
    <row r="924" spans="1:27" x14ac:dyDescent="0.2">
      <c r="A924" t="s">
        <v>1188</v>
      </c>
      <c r="B924">
        <v>2018</v>
      </c>
      <c r="C924" t="s">
        <v>1195</v>
      </c>
      <c r="D924" t="s">
        <v>1382</v>
      </c>
      <c r="E924" t="s">
        <v>29</v>
      </c>
      <c r="F924" t="s">
        <v>30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12</v>
      </c>
      <c r="V924">
        <v>0</v>
      </c>
      <c r="W924">
        <v>0</v>
      </c>
      <c r="X924">
        <v>0</v>
      </c>
      <c r="Y924" t="s">
        <v>51</v>
      </c>
      <c r="Z924">
        <v>55</v>
      </c>
      <c r="AA924">
        <v>0</v>
      </c>
    </row>
    <row r="925" spans="1:27" x14ac:dyDescent="0.2">
      <c r="A925" t="s">
        <v>1188</v>
      </c>
      <c r="B925">
        <v>2018</v>
      </c>
      <c r="C925" t="s">
        <v>1195</v>
      </c>
      <c r="D925" t="s">
        <v>1383</v>
      </c>
      <c r="E925" t="s">
        <v>29</v>
      </c>
      <c r="F925" t="s">
        <v>30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12</v>
      </c>
      <c r="V925">
        <v>0</v>
      </c>
      <c r="W925">
        <v>0</v>
      </c>
      <c r="X925">
        <v>0</v>
      </c>
      <c r="Y925" t="s">
        <v>51</v>
      </c>
      <c r="Z925">
        <v>55</v>
      </c>
      <c r="AA925">
        <v>0</v>
      </c>
    </row>
    <row r="926" spans="1:27" x14ac:dyDescent="0.2">
      <c r="A926" t="s">
        <v>1384</v>
      </c>
      <c r="B926">
        <v>2021</v>
      </c>
      <c r="C926" t="s">
        <v>1385</v>
      </c>
      <c r="D926" t="s">
        <v>1386</v>
      </c>
      <c r="E926" t="s">
        <v>29</v>
      </c>
      <c r="F926" t="s">
        <v>30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2</v>
      </c>
      <c r="T926">
        <v>0</v>
      </c>
      <c r="U926">
        <v>0</v>
      </c>
      <c r="V926">
        <v>0</v>
      </c>
      <c r="W926">
        <v>0</v>
      </c>
      <c r="X926">
        <v>0</v>
      </c>
      <c r="Y926" t="s">
        <v>31</v>
      </c>
      <c r="Z926">
        <v>55</v>
      </c>
      <c r="AA926">
        <v>35</v>
      </c>
    </row>
    <row r="927" spans="1:27" x14ac:dyDescent="0.2">
      <c r="A927" t="s">
        <v>912</v>
      </c>
      <c r="B927">
        <v>2019</v>
      </c>
      <c r="C927" t="s">
        <v>913</v>
      </c>
      <c r="D927" t="s">
        <v>914</v>
      </c>
      <c r="E927" t="s">
        <v>29</v>
      </c>
      <c r="F927" t="s">
        <v>30</v>
      </c>
      <c r="G927">
        <v>0</v>
      </c>
      <c r="H927">
        <v>0</v>
      </c>
      <c r="I927">
        <v>48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 t="s">
        <v>31</v>
      </c>
      <c r="Z927">
        <v>30</v>
      </c>
      <c r="AA927">
        <v>0</v>
      </c>
    </row>
    <row r="928" spans="1:27" x14ac:dyDescent="0.2">
      <c r="A928" t="s">
        <v>753</v>
      </c>
      <c r="B928">
        <v>2020</v>
      </c>
      <c r="C928">
        <v>6440610900</v>
      </c>
      <c r="D928" t="s">
        <v>1387</v>
      </c>
      <c r="E928" t="s">
        <v>29</v>
      </c>
      <c r="F928" t="s">
        <v>30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5</v>
      </c>
      <c r="X928">
        <v>0</v>
      </c>
      <c r="Y928" t="s">
        <v>51</v>
      </c>
      <c r="Z928">
        <v>20</v>
      </c>
      <c r="AA928">
        <v>0</v>
      </c>
    </row>
    <row r="929" spans="1:27" x14ac:dyDescent="0.2">
      <c r="A929" t="s">
        <v>1231</v>
      </c>
      <c r="B929">
        <v>2022</v>
      </c>
      <c r="C929">
        <v>694190087</v>
      </c>
      <c r="D929" t="s">
        <v>1388</v>
      </c>
      <c r="E929" t="s">
        <v>29</v>
      </c>
      <c r="F929" t="s">
        <v>30</v>
      </c>
      <c r="G929">
        <v>22</v>
      </c>
      <c r="H929">
        <v>0</v>
      </c>
      <c r="I929">
        <v>22</v>
      </c>
      <c r="J929">
        <v>0</v>
      </c>
      <c r="K929">
        <v>22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 t="s">
        <v>51</v>
      </c>
      <c r="Z929">
        <v>55</v>
      </c>
      <c r="AA929">
        <v>0</v>
      </c>
    </row>
    <row r="930" spans="1:27" x14ac:dyDescent="0.2">
      <c r="A930" t="s">
        <v>1231</v>
      </c>
      <c r="B930">
        <v>2022</v>
      </c>
      <c r="C930">
        <v>694520019</v>
      </c>
      <c r="D930" t="s">
        <v>1389</v>
      </c>
      <c r="E930" t="s">
        <v>29</v>
      </c>
      <c r="F930" t="s">
        <v>30</v>
      </c>
      <c r="G930">
        <v>30</v>
      </c>
      <c r="H930">
        <v>0</v>
      </c>
      <c r="I930">
        <v>119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 t="s">
        <v>51</v>
      </c>
      <c r="Z930">
        <v>55</v>
      </c>
      <c r="AA930">
        <v>0</v>
      </c>
    </row>
    <row r="931" spans="1:27" x14ac:dyDescent="0.2">
      <c r="A931" t="s">
        <v>533</v>
      </c>
      <c r="B931">
        <v>2018</v>
      </c>
      <c r="C931" t="s">
        <v>1390</v>
      </c>
      <c r="D931" t="s">
        <v>1391</v>
      </c>
      <c r="E931" t="s">
        <v>29</v>
      </c>
      <c r="F931" t="s">
        <v>41</v>
      </c>
      <c r="G931">
        <v>25</v>
      </c>
      <c r="H931">
        <v>0</v>
      </c>
      <c r="I931">
        <v>20</v>
      </c>
      <c r="J931">
        <v>0</v>
      </c>
      <c r="K931">
        <v>34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 t="s">
        <v>31</v>
      </c>
      <c r="Z931">
        <v>1000</v>
      </c>
      <c r="AA931">
        <v>0</v>
      </c>
    </row>
    <row r="932" spans="1:27" x14ac:dyDescent="0.2">
      <c r="A932" t="s">
        <v>533</v>
      </c>
      <c r="B932">
        <v>2018</v>
      </c>
      <c r="C932" t="s">
        <v>1392</v>
      </c>
      <c r="D932" t="s">
        <v>1393</v>
      </c>
      <c r="E932" t="s">
        <v>29</v>
      </c>
      <c r="F932" t="s">
        <v>41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3</v>
      </c>
      <c r="T932">
        <v>0</v>
      </c>
      <c r="U932">
        <v>2</v>
      </c>
      <c r="V932">
        <v>0</v>
      </c>
      <c r="W932">
        <v>3</v>
      </c>
      <c r="X932">
        <v>0</v>
      </c>
      <c r="Y932" t="s">
        <v>51</v>
      </c>
      <c r="AA932">
        <v>0</v>
      </c>
    </row>
    <row r="933" spans="1:27" x14ac:dyDescent="0.2">
      <c r="A933" t="s">
        <v>835</v>
      </c>
      <c r="B933">
        <v>2020</v>
      </c>
      <c r="C933" s="2" t="s">
        <v>1394</v>
      </c>
      <c r="D933" t="s">
        <v>1395</v>
      </c>
      <c r="E933" t="s">
        <v>29</v>
      </c>
      <c r="F933" t="s">
        <v>30</v>
      </c>
      <c r="G933">
        <v>0</v>
      </c>
      <c r="H933">
        <v>0</v>
      </c>
      <c r="I933">
        <v>17</v>
      </c>
      <c r="J933">
        <v>0</v>
      </c>
      <c r="K933">
        <v>17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 t="s">
        <v>51</v>
      </c>
      <c r="AA933">
        <v>0</v>
      </c>
    </row>
    <row r="934" spans="1:27" x14ac:dyDescent="0.2">
      <c r="A934" t="s">
        <v>883</v>
      </c>
      <c r="B934">
        <v>2020</v>
      </c>
      <c r="C934" s="2" t="s">
        <v>1396</v>
      </c>
      <c r="D934" t="s">
        <v>1397</v>
      </c>
      <c r="E934" t="s">
        <v>29</v>
      </c>
      <c r="F934" t="s">
        <v>30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50</v>
      </c>
      <c r="T934">
        <v>0</v>
      </c>
      <c r="U934">
        <v>17</v>
      </c>
      <c r="V934">
        <v>0</v>
      </c>
      <c r="W934">
        <v>0</v>
      </c>
      <c r="X934">
        <v>0</v>
      </c>
      <c r="Y934" t="s">
        <v>31</v>
      </c>
      <c r="Z934">
        <v>99</v>
      </c>
      <c r="AA934">
        <v>0</v>
      </c>
    </row>
    <row r="935" spans="1:27" x14ac:dyDescent="0.2">
      <c r="A935" t="s">
        <v>883</v>
      </c>
      <c r="B935">
        <v>2020</v>
      </c>
      <c r="C935" t="s">
        <v>1398</v>
      </c>
      <c r="D935" t="s">
        <v>1399</v>
      </c>
      <c r="E935" t="s">
        <v>29</v>
      </c>
      <c r="F935" t="s">
        <v>30</v>
      </c>
      <c r="G935">
        <v>73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 t="s">
        <v>31</v>
      </c>
      <c r="Z935">
        <v>1000</v>
      </c>
      <c r="AA935">
        <v>0</v>
      </c>
    </row>
    <row r="936" spans="1:27" x14ac:dyDescent="0.2">
      <c r="A936" t="s">
        <v>1043</v>
      </c>
      <c r="B936">
        <v>2022</v>
      </c>
      <c r="C936">
        <v>1858717</v>
      </c>
      <c r="D936" t="s">
        <v>1044</v>
      </c>
      <c r="E936" t="s">
        <v>29</v>
      </c>
      <c r="F936" t="s">
        <v>30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19</v>
      </c>
      <c r="T936">
        <v>0</v>
      </c>
      <c r="U936">
        <v>0</v>
      </c>
      <c r="V936">
        <v>0</v>
      </c>
      <c r="W936">
        <v>0</v>
      </c>
      <c r="X936">
        <v>0</v>
      </c>
      <c r="Y936" t="s">
        <v>31</v>
      </c>
      <c r="Z936">
        <v>55</v>
      </c>
      <c r="AA936">
        <v>25</v>
      </c>
    </row>
    <row r="937" spans="1:27" x14ac:dyDescent="0.2">
      <c r="A937" t="s">
        <v>1127</v>
      </c>
      <c r="B937">
        <v>2023</v>
      </c>
      <c r="C937" t="s">
        <v>1400</v>
      </c>
      <c r="D937" t="s">
        <v>1401</v>
      </c>
      <c r="E937" t="s">
        <v>29</v>
      </c>
      <c r="F937" t="s">
        <v>41</v>
      </c>
      <c r="G937">
        <v>0</v>
      </c>
      <c r="H937">
        <v>0</v>
      </c>
      <c r="I937">
        <v>1</v>
      </c>
      <c r="J937">
        <v>0</v>
      </c>
      <c r="K937">
        <v>1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 t="s">
        <v>51</v>
      </c>
      <c r="AA937">
        <v>0</v>
      </c>
    </row>
    <row r="938" spans="1:27" x14ac:dyDescent="0.2">
      <c r="A938" t="s">
        <v>928</v>
      </c>
      <c r="B938">
        <v>2022</v>
      </c>
      <c r="C938" t="s">
        <v>1402</v>
      </c>
      <c r="D938" t="s">
        <v>1403</v>
      </c>
      <c r="E938" t="s">
        <v>29</v>
      </c>
      <c r="F938" t="s">
        <v>41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1</v>
      </c>
      <c r="T938">
        <v>0</v>
      </c>
      <c r="U938">
        <v>0</v>
      </c>
      <c r="V938">
        <v>0</v>
      </c>
      <c r="W938">
        <v>0</v>
      </c>
      <c r="X938">
        <v>0</v>
      </c>
      <c r="Y938" t="s">
        <v>51</v>
      </c>
      <c r="Z938">
        <v>50</v>
      </c>
      <c r="AA938">
        <v>0</v>
      </c>
    </row>
    <row r="939" spans="1:27" x14ac:dyDescent="0.2">
      <c r="A939" t="s">
        <v>278</v>
      </c>
      <c r="B939">
        <v>2020</v>
      </c>
      <c r="C939" t="s">
        <v>1345</v>
      </c>
      <c r="D939" t="s">
        <v>1346</v>
      </c>
      <c r="E939" t="s">
        <v>29</v>
      </c>
      <c r="F939" t="s">
        <v>41</v>
      </c>
      <c r="G939">
        <v>0</v>
      </c>
      <c r="H939">
        <v>0</v>
      </c>
      <c r="I939">
        <v>0</v>
      </c>
      <c r="J939">
        <v>0</v>
      </c>
      <c r="K939">
        <v>10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 t="s">
        <v>51</v>
      </c>
      <c r="Z939">
        <v>55</v>
      </c>
      <c r="AA939">
        <v>0</v>
      </c>
    </row>
    <row r="940" spans="1:27" x14ac:dyDescent="0.2">
      <c r="A940" t="s">
        <v>928</v>
      </c>
      <c r="B940">
        <v>2022</v>
      </c>
      <c r="C940" t="s">
        <v>1404</v>
      </c>
      <c r="D940" t="s">
        <v>1405</v>
      </c>
      <c r="E940" t="s">
        <v>29</v>
      </c>
      <c r="F940" t="s">
        <v>41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1</v>
      </c>
      <c r="T940">
        <v>0</v>
      </c>
      <c r="U940">
        <v>0</v>
      </c>
      <c r="V940">
        <v>0</v>
      </c>
      <c r="W940">
        <v>0</v>
      </c>
      <c r="X940">
        <v>0</v>
      </c>
      <c r="Y940" t="s">
        <v>51</v>
      </c>
      <c r="Z940">
        <v>50</v>
      </c>
      <c r="AA940">
        <v>0</v>
      </c>
    </row>
    <row r="941" spans="1:27" x14ac:dyDescent="0.2">
      <c r="A941" t="s">
        <v>670</v>
      </c>
      <c r="B941">
        <v>2023</v>
      </c>
      <c r="C941">
        <v>4031027009</v>
      </c>
      <c r="D941" t="s">
        <v>1406</v>
      </c>
      <c r="E941" t="s">
        <v>29</v>
      </c>
      <c r="F941" t="s">
        <v>30</v>
      </c>
      <c r="G941">
        <v>1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 t="s">
        <v>31</v>
      </c>
      <c r="AA941">
        <v>5</v>
      </c>
    </row>
    <row r="942" spans="1:27" x14ac:dyDescent="0.2">
      <c r="A942" t="s">
        <v>670</v>
      </c>
      <c r="B942">
        <v>2023</v>
      </c>
      <c r="C942">
        <v>4021035008</v>
      </c>
      <c r="D942" t="s">
        <v>1407</v>
      </c>
      <c r="E942" t="s">
        <v>29</v>
      </c>
      <c r="F942" t="s">
        <v>30</v>
      </c>
      <c r="G942">
        <v>1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 t="s">
        <v>31</v>
      </c>
      <c r="AA942">
        <v>12.5</v>
      </c>
    </row>
    <row r="943" spans="1:27" x14ac:dyDescent="0.2">
      <c r="A943" t="s">
        <v>524</v>
      </c>
      <c r="B943">
        <v>2020</v>
      </c>
      <c r="C943">
        <v>52082170</v>
      </c>
      <c r="D943" t="s">
        <v>1357</v>
      </c>
      <c r="E943" t="s">
        <v>29</v>
      </c>
      <c r="F943" t="s">
        <v>30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3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 t="s">
        <v>51</v>
      </c>
      <c r="AA943">
        <v>0</v>
      </c>
    </row>
    <row r="944" spans="1:27" x14ac:dyDescent="0.2">
      <c r="A944" t="s">
        <v>524</v>
      </c>
      <c r="B944">
        <v>2020</v>
      </c>
      <c r="C944">
        <v>52082170</v>
      </c>
      <c r="D944" t="s">
        <v>1357</v>
      </c>
      <c r="E944" t="s">
        <v>29</v>
      </c>
      <c r="F944" t="s">
        <v>30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2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 t="s">
        <v>51</v>
      </c>
      <c r="AA944">
        <v>0</v>
      </c>
    </row>
    <row r="945" spans="1:27" x14ac:dyDescent="0.2">
      <c r="A945" t="s">
        <v>928</v>
      </c>
      <c r="B945">
        <v>2022</v>
      </c>
      <c r="C945" t="s">
        <v>1408</v>
      </c>
      <c r="D945" t="s">
        <v>1409</v>
      </c>
      <c r="E945" t="s">
        <v>29</v>
      </c>
      <c r="F945" t="s">
        <v>30</v>
      </c>
      <c r="G945">
        <v>26</v>
      </c>
      <c r="H945">
        <v>0</v>
      </c>
      <c r="I945">
        <v>96</v>
      </c>
      <c r="J945">
        <v>0</v>
      </c>
      <c r="K945">
        <v>0</v>
      </c>
      <c r="L945">
        <v>0</v>
      </c>
      <c r="M945">
        <v>26</v>
      </c>
      <c r="N945">
        <v>0</v>
      </c>
      <c r="O945">
        <v>96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 t="s">
        <v>31</v>
      </c>
      <c r="Z945">
        <v>55</v>
      </c>
      <c r="AA945">
        <v>76</v>
      </c>
    </row>
    <row r="946" spans="1:27" x14ac:dyDescent="0.2">
      <c r="A946" t="s">
        <v>88</v>
      </c>
      <c r="B946">
        <v>2021</v>
      </c>
      <c r="C946" t="s">
        <v>1410</v>
      </c>
      <c r="D946" t="s">
        <v>1411</v>
      </c>
      <c r="E946" t="s">
        <v>29</v>
      </c>
      <c r="F946" t="s">
        <v>30</v>
      </c>
      <c r="G946">
        <v>0</v>
      </c>
      <c r="H946">
        <v>0</v>
      </c>
      <c r="I946">
        <v>0</v>
      </c>
      <c r="J946">
        <v>0</v>
      </c>
      <c r="K946">
        <v>7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 t="s">
        <v>51</v>
      </c>
      <c r="Z946">
        <v>55</v>
      </c>
      <c r="AA946">
        <v>0</v>
      </c>
    </row>
    <row r="947" spans="1:27" x14ac:dyDescent="0.2">
      <c r="A947" t="s">
        <v>928</v>
      </c>
      <c r="B947">
        <v>2021</v>
      </c>
      <c r="C947" t="s">
        <v>1412</v>
      </c>
      <c r="D947" t="s">
        <v>1413</v>
      </c>
      <c r="E947" t="s">
        <v>29</v>
      </c>
      <c r="F947" t="s">
        <v>41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1</v>
      </c>
      <c r="T947">
        <v>0</v>
      </c>
      <c r="U947">
        <v>0</v>
      </c>
      <c r="V947">
        <v>0</v>
      </c>
      <c r="W947">
        <v>0</v>
      </c>
      <c r="X947">
        <v>0</v>
      </c>
      <c r="Y947" t="s">
        <v>51</v>
      </c>
      <c r="Z947">
        <v>50</v>
      </c>
      <c r="AA947">
        <v>0</v>
      </c>
    </row>
    <row r="948" spans="1:27" x14ac:dyDescent="0.2">
      <c r="A948" t="s">
        <v>88</v>
      </c>
      <c r="B948">
        <v>2021</v>
      </c>
      <c r="C948" t="s">
        <v>89</v>
      </c>
      <c r="D948" t="s">
        <v>1414</v>
      </c>
      <c r="E948" t="s">
        <v>29</v>
      </c>
      <c r="F948" t="s">
        <v>30</v>
      </c>
      <c r="G948">
        <v>32</v>
      </c>
      <c r="H948">
        <v>0</v>
      </c>
      <c r="I948">
        <v>102</v>
      </c>
      <c r="J948">
        <v>0</v>
      </c>
      <c r="K948">
        <v>15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 t="s">
        <v>51</v>
      </c>
      <c r="Z948">
        <v>55</v>
      </c>
      <c r="AA948">
        <v>0</v>
      </c>
    </row>
    <row r="949" spans="1:27" x14ac:dyDescent="0.2">
      <c r="A949" t="s">
        <v>1188</v>
      </c>
      <c r="B949">
        <v>2018</v>
      </c>
      <c r="C949" t="s">
        <v>1195</v>
      </c>
      <c r="D949" t="s">
        <v>1415</v>
      </c>
      <c r="E949" t="s">
        <v>29</v>
      </c>
      <c r="F949" t="s">
        <v>30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12</v>
      </c>
      <c r="V949">
        <v>0</v>
      </c>
      <c r="W949">
        <v>0</v>
      </c>
      <c r="X949">
        <v>0</v>
      </c>
      <c r="Y949" t="s">
        <v>51</v>
      </c>
      <c r="Z949">
        <v>55</v>
      </c>
      <c r="AA949">
        <v>0</v>
      </c>
    </row>
    <row r="950" spans="1:27" x14ac:dyDescent="0.2">
      <c r="A950" t="s">
        <v>1188</v>
      </c>
      <c r="B950">
        <v>2018</v>
      </c>
      <c r="C950" t="s">
        <v>1195</v>
      </c>
      <c r="D950" t="s">
        <v>1416</v>
      </c>
      <c r="E950" t="s">
        <v>29</v>
      </c>
      <c r="F950" t="s">
        <v>30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12</v>
      </c>
      <c r="V950">
        <v>0</v>
      </c>
      <c r="W950">
        <v>0</v>
      </c>
      <c r="X950">
        <v>0</v>
      </c>
      <c r="Y950" t="s">
        <v>51</v>
      </c>
      <c r="Z950">
        <v>55</v>
      </c>
      <c r="AA950">
        <v>0</v>
      </c>
    </row>
    <row r="951" spans="1:27" x14ac:dyDescent="0.2">
      <c r="A951" t="s">
        <v>1188</v>
      </c>
      <c r="B951">
        <v>2018</v>
      </c>
      <c r="C951" t="s">
        <v>1193</v>
      </c>
      <c r="D951" t="s">
        <v>1417</v>
      </c>
      <c r="E951" t="s">
        <v>29</v>
      </c>
      <c r="F951" t="s">
        <v>30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12</v>
      </c>
      <c r="V951">
        <v>0</v>
      </c>
      <c r="W951">
        <v>0</v>
      </c>
      <c r="X951">
        <v>0</v>
      </c>
      <c r="Y951" t="s">
        <v>51</v>
      </c>
      <c r="Z951">
        <v>55</v>
      </c>
      <c r="AA951">
        <v>0</v>
      </c>
    </row>
    <row r="952" spans="1:27" x14ac:dyDescent="0.2">
      <c r="A952" t="s">
        <v>1418</v>
      </c>
      <c r="B952">
        <v>2020</v>
      </c>
      <c r="C952" t="s">
        <v>1419</v>
      </c>
      <c r="D952" t="s">
        <v>1420</v>
      </c>
      <c r="E952" t="s">
        <v>29</v>
      </c>
      <c r="F952" t="s">
        <v>30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6</v>
      </c>
      <c r="T952">
        <v>0</v>
      </c>
      <c r="U952">
        <v>0</v>
      </c>
      <c r="V952">
        <v>0</v>
      </c>
      <c r="W952">
        <v>0</v>
      </c>
      <c r="X952">
        <v>0</v>
      </c>
      <c r="Y952" t="s">
        <v>31</v>
      </c>
      <c r="Z952">
        <v>55</v>
      </c>
      <c r="AA952">
        <v>0</v>
      </c>
    </row>
    <row r="953" spans="1:27" x14ac:dyDescent="0.2">
      <c r="A953" t="s">
        <v>1418</v>
      </c>
      <c r="B953">
        <v>2020</v>
      </c>
      <c r="C953" t="s">
        <v>1421</v>
      </c>
      <c r="D953" t="s">
        <v>1422</v>
      </c>
      <c r="E953" t="s">
        <v>29</v>
      </c>
      <c r="F953" t="s">
        <v>30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43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 t="s">
        <v>51</v>
      </c>
      <c r="Z953">
        <v>55</v>
      </c>
      <c r="AA953">
        <v>0</v>
      </c>
    </row>
    <row r="954" spans="1:27" x14ac:dyDescent="0.2">
      <c r="A954" t="s">
        <v>387</v>
      </c>
      <c r="B954">
        <v>2022</v>
      </c>
      <c r="C954" t="s">
        <v>1423</v>
      </c>
      <c r="D954" t="s">
        <v>1424</v>
      </c>
      <c r="E954" t="s">
        <v>29</v>
      </c>
      <c r="F954" t="s">
        <v>30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59</v>
      </c>
      <c r="N954">
        <v>0</v>
      </c>
      <c r="O954">
        <v>10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 t="s">
        <v>51</v>
      </c>
      <c r="Z954">
        <v>1000</v>
      </c>
      <c r="AA954">
        <v>0</v>
      </c>
    </row>
    <row r="955" spans="1:27" x14ac:dyDescent="0.2">
      <c r="A955" t="s">
        <v>387</v>
      </c>
      <c r="B955">
        <v>2022</v>
      </c>
      <c r="C955" t="s">
        <v>1425</v>
      </c>
      <c r="D955" t="s">
        <v>1426</v>
      </c>
      <c r="E955" t="s">
        <v>29</v>
      </c>
      <c r="F955" t="s">
        <v>30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62</v>
      </c>
      <c r="T955">
        <v>0</v>
      </c>
      <c r="U955">
        <v>0</v>
      </c>
      <c r="V955">
        <v>0</v>
      </c>
      <c r="W955">
        <v>0</v>
      </c>
      <c r="X955">
        <v>0</v>
      </c>
      <c r="Y955" t="s">
        <v>51</v>
      </c>
      <c r="AA955">
        <v>0</v>
      </c>
    </row>
    <row r="956" spans="1:27" ht="85" x14ac:dyDescent="0.2">
      <c r="A956" t="s">
        <v>48</v>
      </c>
      <c r="B956">
        <v>2022</v>
      </c>
      <c r="C956" t="s">
        <v>307</v>
      </c>
      <c r="D956" s="1" t="s">
        <v>1427</v>
      </c>
      <c r="E956" t="s">
        <v>29</v>
      </c>
      <c r="F956" t="s">
        <v>30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2</v>
      </c>
      <c r="T956">
        <v>0</v>
      </c>
      <c r="U956">
        <v>0</v>
      </c>
      <c r="V956">
        <v>0</v>
      </c>
      <c r="W956">
        <v>0</v>
      </c>
      <c r="X956">
        <v>0</v>
      </c>
      <c r="Y956" t="s">
        <v>31</v>
      </c>
      <c r="Z956">
        <v>55</v>
      </c>
      <c r="AA956">
        <v>20</v>
      </c>
    </row>
    <row r="957" spans="1:27" x14ac:dyDescent="0.2">
      <c r="A957" t="s">
        <v>75</v>
      </c>
      <c r="B957">
        <v>2020</v>
      </c>
      <c r="C957" t="s">
        <v>956</v>
      </c>
      <c r="D957" t="s">
        <v>1428</v>
      </c>
      <c r="E957" t="s">
        <v>29</v>
      </c>
      <c r="F957" t="s">
        <v>30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 t="s">
        <v>31</v>
      </c>
      <c r="Z957">
        <v>55</v>
      </c>
      <c r="AA957">
        <v>0</v>
      </c>
    </row>
    <row r="958" spans="1:27" x14ac:dyDescent="0.2">
      <c r="A958" t="s">
        <v>75</v>
      </c>
      <c r="B958">
        <v>2020</v>
      </c>
      <c r="C958" t="s">
        <v>956</v>
      </c>
      <c r="D958" t="s">
        <v>150</v>
      </c>
      <c r="E958" t="s">
        <v>29</v>
      </c>
      <c r="F958" t="s">
        <v>30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84</v>
      </c>
      <c r="N958">
        <v>0</v>
      </c>
      <c r="O958">
        <v>11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 t="s">
        <v>31</v>
      </c>
      <c r="Z958">
        <v>55</v>
      </c>
      <c r="AA958">
        <v>0</v>
      </c>
    </row>
    <row r="959" spans="1:27" x14ac:dyDescent="0.2">
      <c r="A959" t="s">
        <v>75</v>
      </c>
      <c r="B959">
        <v>2020</v>
      </c>
      <c r="C959" t="s">
        <v>956</v>
      </c>
      <c r="D959" t="s">
        <v>490</v>
      </c>
      <c r="E959" t="s">
        <v>29</v>
      </c>
      <c r="F959" t="s">
        <v>30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5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 t="s">
        <v>31</v>
      </c>
      <c r="Z959">
        <v>55</v>
      </c>
      <c r="AA959">
        <v>0</v>
      </c>
    </row>
    <row r="960" spans="1:27" x14ac:dyDescent="0.2">
      <c r="A960" t="s">
        <v>1429</v>
      </c>
      <c r="B960">
        <v>2023</v>
      </c>
      <c r="C960" t="s">
        <v>1430</v>
      </c>
      <c r="D960" t="s">
        <v>1431</v>
      </c>
      <c r="E960" t="s">
        <v>29</v>
      </c>
      <c r="F960" t="s">
        <v>30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36</v>
      </c>
      <c r="N960">
        <v>0</v>
      </c>
      <c r="O960">
        <v>36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 t="s">
        <v>31</v>
      </c>
      <c r="Z960">
        <v>55</v>
      </c>
      <c r="AA960" s="2" t="s">
        <v>1432</v>
      </c>
    </row>
    <row r="961" spans="1:27" x14ac:dyDescent="0.2">
      <c r="A961" t="s">
        <v>1231</v>
      </c>
      <c r="B961">
        <v>2023</v>
      </c>
      <c r="C961">
        <v>694310006</v>
      </c>
      <c r="D961" t="s">
        <v>1232</v>
      </c>
      <c r="E961" t="s">
        <v>29</v>
      </c>
      <c r="F961" t="s">
        <v>30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21</v>
      </c>
      <c r="N961">
        <v>0</v>
      </c>
      <c r="O961">
        <v>2</v>
      </c>
      <c r="P961">
        <v>0</v>
      </c>
      <c r="Q961">
        <v>2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 t="s">
        <v>31</v>
      </c>
      <c r="Z961">
        <v>55</v>
      </c>
      <c r="AA961">
        <v>12.5</v>
      </c>
    </row>
    <row r="962" spans="1:27" x14ac:dyDescent="0.2">
      <c r="A962" t="s">
        <v>1231</v>
      </c>
      <c r="B962">
        <v>2023</v>
      </c>
      <c r="C962">
        <v>694130017</v>
      </c>
      <c r="D962" t="s">
        <v>1433</v>
      </c>
      <c r="E962" t="s">
        <v>29</v>
      </c>
      <c r="F962" t="s">
        <v>30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13</v>
      </c>
      <c r="N962">
        <v>0</v>
      </c>
      <c r="O962">
        <v>3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 t="s">
        <v>51</v>
      </c>
      <c r="Z962">
        <v>55</v>
      </c>
      <c r="AA962">
        <v>0</v>
      </c>
    </row>
    <row r="963" spans="1:27" x14ac:dyDescent="0.2">
      <c r="A963" t="s">
        <v>1231</v>
      </c>
      <c r="B963">
        <v>2023</v>
      </c>
      <c r="C963">
        <v>694130017</v>
      </c>
      <c r="D963" t="s">
        <v>1433</v>
      </c>
      <c r="E963" t="s">
        <v>29</v>
      </c>
      <c r="F963" t="s">
        <v>30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13</v>
      </c>
      <c r="N963">
        <v>0</v>
      </c>
      <c r="O963">
        <v>3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 t="s">
        <v>51</v>
      </c>
      <c r="Z963">
        <v>55</v>
      </c>
      <c r="AA963">
        <v>0</v>
      </c>
    </row>
    <row r="964" spans="1:27" x14ac:dyDescent="0.2">
      <c r="A964" t="s">
        <v>1231</v>
      </c>
      <c r="B964">
        <v>2023</v>
      </c>
      <c r="C964">
        <v>694130017</v>
      </c>
      <c r="D964" t="s">
        <v>1433</v>
      </c>
      <c r="E964" t="s">
        <v>29</v>
      </c>
      <c r="F964" t="s">
        <v>30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13</v>
      </c>
      <c r="N964">
        <v>0</v>
      </c>
      <c r="O964">
        <v>3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 t="s">
        <v>51</v>
      </c>
      <c r="Z964">
        <v>55</v>
      </c>
      <c r="AA964">
        <v>0</v>
      </c>
    </row>
    <row r="965" spans="1:27" ht="102" x14ac:dyDescent="0.2">
      <c r="A965" t="s">
        <v>1434</v>
      </c>
      <c r="B965">
        <v>2023</v>
      </c>
      <c r="C965" t="s">
        <v>1435</v>
      </c>
      <c r="D965" s="1" t="s">
        <v>1436</v>
      </c>
      <c r="E965" t="s">
        <v>29</v>
      </c>
      <c r="F965" t="s">
        <v>30</v>
      </c>
      <c r="G965">
        <v>6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 t="s">
        <v>31</v>
      </c>
      <c r="AA965">
        <v>51</v>
      </c>
    </row>
    <row r="966" spans="1:27" x14ac:dyDescent="0.2">
      <c r="A966" t="s">
        <v>533</v>
      </c>
      <c r="B966">
        <v>2018</v>
      </c>
      <c r="C966" t="s">
        <v>1437</v>
      </c>
      <c r="D966" t="s">
        <v>1438</v>
      </c>
      <c r="E966" t="s">
        <v>29</v>
      </c>
      <c r="F966" t="s">
        <v>30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31</v>
      </c>
      <c r="T966">
        <v>0</v>
      </c>
      <c r="U966">
        <v>0</v>
      </c>
      <c r="V966">
        <v>0</v>
      </c>
      <c r="W966">
        <v>0</v>
      </c>
      <c r="X966">
        <v>0</v>
      </c>
      <c r="Y966" t="s">
        <v>51</v>
      </c>
      <c r="AA966">
        <v>0</v>
      </c>
    </row>
    <row r="967" spans="1:27" x14ac:dyDescent="0.2">
      <c r="A967" t="s">
        <v>835</v>
      </c>
      <c r="B967">
        <v>2020</v>
      </c>
      <c r="C967" s="2" t="s">
        <v>1439</v>
      </c>
      <c r="D967" t="s">
        <v>1440</v>
      </c>
      <c r="E967" t="s">
        <v>29</v>
      </c>
      <c r="F967" t="s">
        <v>41</v>
      </c>
      <c r="G967">
        <v>0</v>
      </c>
      <c r="H967">
        <v>0</v>
      </c>
      <c r="I967">
        <v>0</v>
      </c>
      <c r="J967">
        <v>0</v>
      </c>
      <c r="K967">
        <v>2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 t="s">
        <v>51</v>
      </c>
      <c r="Z967">
        <v>55</v>
      </c>
      <c r="AA967">
        <v>0</v>
      </c>
    </row>
    <row r="968" spans="1:27" x14ac:dyDescent="0.2">
      <c r="A968" t="s">
        <v>1441</v>
      </c>
      <c r="B968">
        <v>2022</v>
      </c>
      <c r="C968" t="s">
        <v>1442</v>
      </c>
      <c r="D968" t="s">
        <v>1443</v>
      </c>
      <c r="E968" t="s">
        <v>29</v>
      </c>
      <c r="F968" t="s">
        <v>30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13</v>
      </c>
      <c r="N968">
        <v>0</v>
      </c>
      <c r="O968">
        <v>0</v>
      </c>
      <c r="P968">
        <v>0</v>
      </c>
      <c r="Q968">
        <v>12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 t="s">
        <v>31</v>
      </c>
      <c r="Z968">
        <v>55</v>
      </c>
      <c r="AA968">
        <v>5</v>
      </c>
    </row>
    <row r="969" spans="1:27" x14ac:dyDescent="0.2">
      <c r="A969" t="s">
        <v>883</v>
      </c>
      <c r="B969">
        <v>2020</v>
      </c>
      <c r="C969" s="2" t="s">
        <v>1444</v>
      </c>
      <c r="D969" t="s">
        <v>1445</v>
      </c>
      <c r="E969" t="s">
        <v>29</v>
      </c>
      <c r="F969" t="s">
        <v>30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3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 t="s">
        <v>51</v>
      </c>
      <c r="Z969">
        <v>1000</v>
      </c>
      <c r="AA969">
        <v>0</v>
      </c>
    </row>
    <row r="970" spans="1:27" x14ac:dyDescent="0.2">
      <c r="A970" t="s">
        <v>928</v>
      </c>
      <c r="B970">
        <v>2020</v>
      </c>
      <c r="C970" t="s">
        <v>1446</v>
      </c>
      <c r="D970" t="s">
        <v>1447</v>
      </c>
      <c r="E970" t="s">
        <v>29</v>
      </c>
      <c r="F970" t="s">
        <v>41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1</v>
      </c>
      <c r="T970">
        <v>0</v>
      </c>
      <c r="U970">
        <v>0</v>
      </c>
      <c r="V970">
        <v>0</v>
      </c>
      <c r="W970">
        <v>0</v>
      </c>
      <c r="X970">
        <v>0</v>
      </c>
      <c r="Y970" t="s">
        <v>51</v>
      </c>
      <c r="Z970">
        <v>50</v>
      </c>
      <c r="AA970">
        <v>0</v>
      </c>
    </row>
    <row r="971" spans="1:27" x14ac:dyDescent="0.2">
      <c r="A971" t="s">
        <v>928</v>
      </c>
      <c r="B971">
        <v>2020</v>
      </c>
      <c r="C971" t="s">
        <v>1448</v>
      </c>
      <c r="D971" t="s">
        <v>1361</v>
      </c>
      <c r="E971" t="s">
        <v>29</v>
      </c>
      <c r="F971" t="s">
        <v>41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1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 t="s">
        <v>51</v>
      </c>
      <c r="Z971">
        <v>50</v>
      </c>
      <c r="AA971">
        <v>0</v>
      </c>
    </row>
    <row r="972" spans="1:27" x14ac:dyDescent="0.2">
      <c r="A972" t="s">
        <v>1449</v>
      </c>
      <c r="B972">
        <v>2023</v>
      </c>
      <c r="C972" t="s">
        <v>1450</v>
      </c>
      <c r="D972" t="s">
        <v>1451</v>
      </c>
      <c r="E972" t="s">
        <v>29</v>
      </c>
      <c r="F972" t="s">
        <v>30</v>
      </c>
      <c r="G972">
        <v>4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 t="s">
        <v>31</v>
      </c>
      <c r="AA972">
        <v>46</v>
      </c>
    </row>
    <row r="973" spans="1:27" x14ac:dyDescent="0.2">
      <c r="A973" t="s">
        <v>1449</v>
      </c>
      <c r="B973">
        <v>2023</v>
      </c>
      <c r="C973" t="s">
        <v>1452</v>
      </c>
      <c r="D973" t="s">
        <v>1453</v>
      </c>
      <c r="E973" t="s">
        <v>29</v>
      </c>
      <c r="F973" t="s">
        <v>30</v>
      </c>
      <c r="G973">
        <v>4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 t="s">
        <v>31</v>
      </c>
      <c r="AA973">
        <v>20</v>
      </c>
    </row>
    <row r="974" spans="1:27" x14ac:dyDescent="0.2">
      <c r="A974" t="s">
        <v>1449</v>
      </c>
      <c r="B974">
        <v>2023</v>
      </c>
      <c r="C974" t="s">
        <v>1454</v>
      </c>
      <c r="D974" t="s">
        <v>1455</v>
      </c>
      <c r="E974" t="s">
        <v>29</v>
      </c>
      <c r="F974" t="s">
        <v>30</v>
      </c>
      <c r="G974">
        <v>2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2</v>
      </c>
      <c r="T974">
        <v>0</v>
      </c>
      <c r="U974">
        <v>0</v>
      </c>
      <c r="V974">
        <v>0</v>
      </c>
      <c r="W974">
        <v>0</v>
      </c>
      <c r="X974">
        <v>0</v>
      </c>
      <c r="Y974" t="s">
        <v>31</v>
      </c>
      <c r="Z974">
        <v>1000</v>
      </c>
      <c r="AA974">
        <v>23</v>
      </c>
    </row>
    <row r="975" spans="1:27" x14ac:dyDescent="0.2">
      <c r="A975" t="s">
        <v>1449</v>
      </c>
      <c r="B975">
        <v>2023</v>
      </c>
      <c r="C975" t="s">
        <v>1456</v>
      </c>
      <c r="D975" t="s">
        <v>1457</v>
      </c>
      <c r="E975" t="s">
        <v>29</v>
      </c>
      <c r="F975" t="s">
        <v>30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3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 t="s">
        <v>31</v>
      </c>
      <c r="Z975">
        <v>1000</v>
      </c>
      <c r="AA975">
        <v>33</v>
      </c>
    </row>
    <row r="976" spans="1:27" x14ac:dyDescent="0.2">
      <c r="A976" t="s">
        <v>1449</v>
      </c>
      <c r="B976">
        <v>2023</v>
      </c>
      <c r="C976" t="s">
        <v>1458</v>
      </c>
      <c r="D976" t="s">
        <v>1459</v>
      </c>
      <c r="E976" t="s">
        <v>29</v>
      </c>
      <c r="F976" t="s">
        <v>30</v>
      </c>
      <c r="G976">
        <v>5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5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 t="s">
        <v>31</v>
      </c>
      <c r="AA976">
        <v>35</v>
      </c>
    </row>
    <row r="977" spans="1:27" x14ac:dyDescent="0.2">
      <c r="A977" t="s">
        <v>1449</v>
      </c>
      <c r="B977">
        <v>2023</v>
      </c>
      <c r="C977" t="s">
        <v>1460</v>
      </c>
      <c r="D977" t="s">
        <v>1461</v>
      </c>
      <c r="E977" t="s">
        <v>29</v>
      </c>
      <c r="F977" t="s">
        <v>30</v>
      </c>
      <c r="G977">
        <v>4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4</v>
      </c>
      <c r="T977">
        <v>0</v>
      </c>
      <c r="U977">
        <v>0</v>
      </c>
      <c r="V977">
        <v>0</v>
      </c>
      <c r="W977">
        <v>0</v>
      </c>
      <c r="X977">
        <v>0</v>
      </c>
      <c r="Y977" t="s">
        <v>31</v>
      </c>
      <c r="Z977">
        <v>1000</v>
      </c>
      <c r="AA977">
        <v>35</v>
      </c>
    </row>
    <row r="978" spans="1:27" x14ac:dyDescent="0.2">
      <c r="A978" t="s">
        <v>1449</v>
      </c>
      <c r="B978">
        <v>2023</v>
      </c>
      <c r="C978" t="s">
        <v>1462</v>
      </c>
      <c r="D978" t="s">
        <v>1463</v>
      </c>
      <c r="E978" t="s">
        <v>29</v>
      </c>
      <c r="F978" t="s">
        <v>30</v>
      </c>
      <c r="G978">
        <v>2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 t="s">
        <v>31</v>
      </c>
      <c r="AA978">
        <v>22</v>
      </c>
    </row>
    <row r="979" spans="1:27" x14ac:dyDescent="0.2">
      <c r="A979" t="s">
        <v>1449</v>
      </c>
      <c r="B979">
        <v>2023</v>
      </c>
      <c r="C979" t="s">
        <v>1464</v>
      </c>
      <c r="D979" t="s">
        <v>1465</v>
      </c>
      <c r="E979" t="s">
        <v>29</v>
      </c>
      <c r="F979" t="s">
        <v>30</v>
      </c>
      <c r="G979">
        <v>32</v>
      </c>
      <c r="H979">
        <v>0</v>
      </c>
      <c r="I979">
        <v>48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 t="s">
        <v>31</v>
      </c>
      <c r="Z979">
        <v>55</v>
      </c>
      <c r="AA979">
        <v>50</v>
      </c>
    </row>
    <row r="980" spans="1:27" x14ac:dyDescent="0.2">
      <c r="A980" t="s">
        <v>1449</v>
      </c>
      <c r="B980">
        <v>2023</v>
      </c>
      <c r="C980" t="s">
        <v>1466</v>
      </c>
      <c r="D980" t="s">
        <v>1467</v>
      </c>
      <c r="E980" t="s">
        <v>29</v>
      </c>
      <c r="F980" t="s">
        <v>30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4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 t="s">
        <v>31</v>
      </c>
      <c r="Z980">
        <v>1000</v>
      </c>
      <c r="AA980">
        <v>35</v>
      </c>
    </row>
    <row r="981" spans="1:27" x14ac:dyDescent="0.2">
      <c r="A981" t="s">
        <v>1449</v>
      </c>
      <c r="B981">
        <v>2023</v>
      </c>
      <c r="C981" t="s">
        <v>1468</v>
      </c>
      <c r="D981" t="s">
        <v>1469</v>
      </c>
      <c r="E981" t="s">
        <v>29</v>
      </c>
      <c r="F981" t="s">
        <v>30</v>
      </c>
      <c r="G981">
        <v>1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 t="s">
        <v>31</v>
      </c>
      <c r="AA981">
        <v>46</v>
      </c>
    </row>
    <row r="982" spans="1:27" x14ac:dyDescent="0.2">
      <c r="A982" t="s">
        <v>278</v>
      </c>
      <c r="B982">
        <v>2020</v>
      </c>
      <c r="C982" t="s">
        <v>1470</v>
      </c>
      <c r="D982" t="s">
        <v>1471</v>
      </c>
      <c r="E982" t="s">
        <v>29</v>
      </c>
      <c r="F982" t="s">
        <v>41</v>
      </c>
      <c r="G982">
        <v>4</v>
      </c>
      <c r="H982">
        <v>0</v>
      </c>
      <c r="I982">
        <v>1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 t="s">
        <v>31</v>
      </c>
      <c r="Z982">
        <v>55</v>
      </c>
      <c r="AA982">
        <v>0</v>
      </c>
    </row>
    <row r="983" spans="1:27" x14ac:dyDescent="0.2">
      <c r="A983" t="s">
        <v>1472</v>
      </c>
      <c r="B983">
        <v>2020</v>
      </c>
      <c r="C983" t="s">
        <v>1473</v>
      </c>
      <c r="D983" t="s">
        <v>1474</v>
      </c>
      <c r="E983" t="s">
        <v>29</v>
      </c>
      <c r="F983" t="s">
        <v>41</v>
      </c>
      <c r="G983">
        <v>69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 t="s">
        <v>31</v>
      </c>
      <c r="Z983">
        <v>55</v>
      </c>
      <c r="AA983">
        <v>0</v>
      </c>
    </row>
    <row r="984" spans="1:27" x14ac:dyDescent="0.2">
      <c r="A984" t="s">
        <v>75</v>
      </c>
      <c r="B984">
        <v>2020</v>
      </c>
      <c r="C984" t="s">
        <v>956</v>
      </c>
      <c r="D984" t="s">
        <v>1475</v>
      </c>
      <c r="E984" t="s">
        <v>29</v>
      </c>
      <c r="F984" t="s">
        <v>30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3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 t="s">
        <v>31</v>
      </c>
      <c r="Z984">
        <v>55</v>
      </c>
      <c r="AA984">
        <v>0</v>
      </c>
    </row>
    <row r="985" spans="1:27" x14ac:dyDescent="0.2">
      <c r="A985" t="s">
        <v>1367</v>
      </c>
      <c r="B985">
        <v>2022</v>
      </c>
      <c r="C985" t="s">
        <v>1476</v>
      </c>
      <c r="D985" t="s">
        <v>1477</v>
      </c>
      <c r="E985" t="s">
        <v>29</v>
      </c>
      <c r="F985" t="s">
        <v>30</v>
      </c>
      <c r="G985">
        <v>0</v>
      </c>
      <c r="H985">
        <v>0</v>
      </c>
      <c r="I985">
        <v>1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 t="s">
        <v>51</v>
      </c>
      <c r="AA985">
        <v>0</v>
      </c>
    </row>
    <row r="986" spans="1:27" x14ac:dyDescent="0.2">
      <c r="A986" t="s">
        <v>1367</v>
      </c>
      <c r="B986">
        <v>2022</v>
      </c>
      <c r="C986" t="s">
        <v>1478</v>
      </c>
      <c r="D986" t="s">
        <v>1479</v>
      </c>
      <c r="E986" t="s">
        <v>29</v>
      </c>
      <c r="F986" t="s">
        <v>30</v>
      </c>
      <c r="G986">
        <v>0</v>
      </c>
      <c r="H986">
        <v>0</v>
      </c>
      <c r="I986">
        <v>0</v>
      </c>
      <c r="J986">
        <v>0</v>
      </c>
      <c r="K986">
        <v>1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1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 t="s">
        <v>51</v>
      </c>
      <c r="AA986">
        <v>0</v>
      </c>
    </row>
    <row r="987" spans="1:27" x14ac:dyDescent="0.2">
      <c r="A987" t="s">
        <v>1449</v>
      </c>
      <c r="B987">
        <v>2018</v>
      </c>
      <c r="C987" t="s">
        <v>1480</v>
      </c>
      <c r="D987" t="s">
        <v>1481</v>
      </c>
      <c r="E987" t="s">
        <v>29</v>
      </c>
      <c r="F987" t="s">
        <v>30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 t="s">
        <v>51</v>
      </c>
      <c r="AA987">
        <v>0</v>
      </c>
    </row>
    <row r="988" spans="1:27" x14ac:dyDescent="0.2">
      <c r="A988" t="s">
        <v>600</v>
      </c>
      <c r="B988">
        <v>2023</v>
      </c>
      <c r="C988">
        <v>3548016</v>
      </c>
      <c r="D988" t="s">
        <v>1482</v>
      </c>
      <c r="E988" t="s">
        <v>29</v>
      </c>
      <c r="F988" t="s">
        <v>30</v>
      </c>
      <c r="G988">
        <v>19</v>
      </c>
      <c r="H988">
        <v>0</v>
      </c>
      <c r="I988">
        <v>7</v>
      </c>
      <c r="J988">
        <v>0</v>
      </c>
      <c r="K988">
        <v>6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 t="s">
        <v>31</v>
      </c>
      <c r="Z988">
        <v>99</v>
      </c>
      <c r="AA988">
        <v>34.5</v>
      </c>
    </row>
    <row r="989" spans="1:27" x14ac:dyDescent="0.2">
      <c r="A989" t="s">
        <v>600</v>
      </c>
      <c r="B989">
        <v>2023</v>
      </c>
      <c r="C989" s="2" t="s">
        <v>1483</v>
      </c>
      <c r="D989" t="s">
        <v>1484</v>
      </c>
      <c r="E989" t="s">
        <v>29</v>
      </c>
      <c r="F989" t="s">
        <v>41</v>
      </c>
      <c r="G989">
        <v>1</v>
      </c>
      <c r="H989">
        <v>0</v>
      </c>
      <c r="I989">
        <v>1</v>
      </c>
      <c r="J989">
        <v>0</v>
      </c>
      <c r="K989">
        <v>1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 t="s">
        <v>31</v>
      </c>
      <c r="Z989">
        <v>99</v>
      </c>
      <c r="AA989" s="2" t="s">
        <v>1485</v>
      </c>
    </row>
    <row r="990" spans="1:27" x14ac:dyDescent="0.2">
      <c r="A990" t="s">
        <v>600</v>
      </c>
      <c r="B990">
        <v>2023</v>
      </c>
      <c r="C990">
        <v>1809028</v>
      </c>
      <c r="D990" t="s">
        <v>1486</v>
      </c>
      <c r="E990" t="s">
        <v>29</v>
      </c>
      <c r="F990" t="s">
        <v>30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4</v>
      </c>
      <c r="P990">
        <v>0</v>
      </c>
      <c r="Q990">
        <v>1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 t="s">
        <v>51</v>
      </c>
      <c r="Z990">
        <v>99</v>
      </c>
      <c r="AA990">
        <v>0</v>
      </c>
    </row>
    <row r="991" spans="1:27" x14ac:dyDescent="0.2">
      <c r="A991" t="s">
        <v>670</v>
      </c>
      <c r="B991">
        <v>2023</v>
      </c>
      <c r="C991">
        <v>4016001026</v>
      </c>
      <c r="D991" t="s">
        <v>1487</v>
      </c>
      <c r="E991" t="s">
        <v>29</v>
      </c>
      <c r="F991" t="s">
        <v>30</v>
      </c>
      <c r="G991">
        <v>2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 t="s">
        <v>31</v>
      </c>
      <c r="AA991">
        <v>20</v>
      </c>
    </row>
    <row r="992" spans="1:27" x14ac:dyDescent="0.2">
      <c r="A992" t="s">
        <v>600</v>
      </c>
      <c r="B992">
        <v>2023</v>
      </c>
      <c r="C992">
        <v>3995015</v>
      </c>
      <c r="D992" t="s">
        <v>1056</v>
      </c>
      <c r="E992" t="s">
        <v>29</v>
      </c>
      <c r="F992" t="s">
        <v>30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3</v>
      </c>
      <c r="X992">
        <v>0</v>
      </c>
      <c r="Y992" t="s">
        <v>51</v>
      </c>
      <c r="Z992">
        <v>99</v>
      </c>
      <c r="AA992">
        <v>0</v>
      </c>
    </row>
    <row r="993" spans="1:27" x14ac:dyDescent="0.2">
      <c r="A993" t="s">
        <v>600</v>
      </c>
      <c r="B993">
        <v>2023</v>
      </c>
      <c r="C993">
        <v>2515001</v>
      </c>
      <c r="D993" t="s">
        <v>1488</v>
      </c>
      <c r="E993" t="s">
        <v>29</v>
      </c>
      <c r="F993" t="s">
        <v>41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 t="s">
        <v>51</v>
      </c>
      <c r="Z993">
        <v>99</v>
      </c>
      <c r="AA993">
        <v>0</v>
      </c>
    </row>
    <row r="994" spans="1:27" x14ac:dyDescent="0.2">
      <c r="A994" t="s">
        <v>753</v>
      </c>
      <c r="B994">
        <v>2020</v>
      </c>
      <c r="C994">
        <v>6440610900</v>
      </c>
      <c r="D994" t="s">
        <v>1489</v>
      </c>
      <c r="E994" t="s">
        <v>29</v>
      </c>
      <c r="F994" t="s">
        <v>30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5</v>
      </c>
      <c r="X994">
        <v>0</v>
      </c>
      <c r="Y994" t="s">
        <v>51</v>
      </c>
      <c r="Z994">
        <v>20</v>
      </c>
      <c r="AA994">
        <v>0</v>
      </c>
    </row>
    <row r="995" spans="1:27" x14ac:dyDescent="0.2">
      <c r="A995" t="s">
        <v>753</v>
      </c>
      <c r="B995">
        <v>2020</v>
      </c>
      <c r="C995">
        <v>6440610900</v>
      </c>
      <c r="D995" t="s">
        <v>1490</v>
      </c>
      <c r="E995" t="s">
        <v>29</v>
      </c>
      <c r="F995" t="s">
        <v>30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5</v>
      </c>
      <c r="X995">
        <v>0</v>
      </c>
      <c r="Y995" t="s">
        <v>51</v>
      </c>
      <c r="Z995">
        <v>20</v>
      </c>
      <c r="AA995">
        <v>0</v>
      </c>
    </row>
    <row r="996" spans="1:27" x14ac:dyDescent="0.2">
      <c r="A996" t="s">
        <v>75</v>
      </c>
      <c r="B996">
        <v>2020</v>
      </c>
      <c r="C996" t="s">
        <v>956</v>
      </c>
      <c r="D996" t="s">
        <v>1491</v>
      </c>
      <c r="E996" t="s">
        <v>29</v>
      </c>
      <c r="F996" t="s">
        <v>30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32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 t="s">
        <v>51</v>
      </c>
      <c r="Z996">
        <v>55</v>
      </c>
      <c r="AA996">
        <v>0</v>
      </c>
    </row>
    <row r="997" spans="1:27" x14ac:dyDescent="0.2">
      <c r="A997" t="s">
        <v>75</v>
      </c>
      <c r="B997">
        <v>2020</v>
      </c>
      <c r="C997" t="s">
        <v>956</v>
      </c>
      <c r="D997" t="s">
        <v>1492</v>
      </c>
      <c r="E997" t="s">
        <v>29</v>
      </c>
      <c r="F997" t="s">
        <v>30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29</v>
      </c>
      <c r="N997">
        <v>0</v>
      </c>
      <c r="O997">
        <v>82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 t="s">
        <v>51</v>
      </c>
      <c r="Z997">
        <v>55</v>
      </c>
      <c r="AA997">
        <v>0</v>
      </c>
    </row>
    <row r="998" spans="1:27" x14ac:dyDescent="0.2">
      <c r="A998" t="s">
        <v>324</v>
      </c>
      <c r="B998">
        <v>2023</v>
      </c>
      <c r="C998">
        <v>25280480</v>
      </c>
      <c r="D998" t="s">
        <v>1493</v>
      </c>
      <c r="E998" t="s">
        <v>29</v>
      </c>
      <c r="F998" t="s">
        <v>30</v>
      </c>
      <c r="G998">
        <v>0</v>
      </c>
      <c r="H998">
        <v>0</v>
      </c>
      <c r="I998">
        <v>2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 t="s">
        <v>31</v>
      </c>
      <c r="Z998">
        <v>55</v>
      </c>
      <c r="AA998">
        <v>35</v>
      </c>
    </row>
    <row r="999" spans="1:27" x14ac:dyDescent="0.2">
      <c r="A999" t="s">
        <v>533</v>
      </c>
      <c r="B999">
        <v>2023</v>
      </c>
      <c r="C999" t="s">
        <v>1494</v>
      </c>
      <c r="D999" t="s">
        <v>1495</v>
      </c>
      <c r="E999" t="s">
        <v>29</v>
      </c>
      <c r="F999" t="s">
        <v>41</v>
      </c>
      <c r="G999">
        <v>1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 t="s">
        <v>31</v>
      </c>
      <c r="AA999">
        <v>20</v>
      </c>
    </row>
    <row r="1000" spans="1:27" x14ac:dyDescent="0.2">
      <c r="A1000" t="s">
        <v>415</v>
      </c>
      <c r="B1000">
        <v>2022</v>
      </c>
      <c r="C1000" t="s">
        <v>1496</v>
      </c>
      <c r="D1000" t="s">
        <v>1497</v>
      </c>
      <c r="E1000" t="s">
        <v>29</v>
      </c>
      <c r="F1000" t="s">
        <v>30</v>
      </c>
      <c r="G1000">
        <v>24</v>
      </c>
      <c r="H1000">
        <v>0</v>
      </c>
      <c r="I1000">
        <v>35</v>
      </c>
      <c r="J1000">
        <v>0</v>
      </c>
      <c r="K1000">
        <v>0</v>
      </c>
      <c r="L1000">
        <v>0</v>
      </c>
      <c r="M1000">
        <v>24</v>
      </c>
      <c r="N1000">
        <v>0</v>
      </c>
      <c r="O1000">
        <v>35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 t="s">
        <v>31</v>
      </c>
      <c r="Z1000">
        <v>55</v>
      </c>
      <c r="AA1000">
        <v>13</v>
      </c>
    </row>
    <row r="1001" spans="1:27" x14ac:dyDescent="0.2">
      <c r="A1001" t="s">
        <v>928</v>
      </c>
      <c r="B1001">
        <v>2020</v>
      </c>
      <c r="C1001" t="s">
        <v>1106</v>
      </c>
      <c r="D1001" t="s">
        <v>1498</v>
      </c>
      <c r="E1001" t="s">
        <v>29</v>
      </c>
      <c r="F1001" t="s">
        <v>41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 t="s">
        <v>51</v>
      </c>
      <c r="Z1001">
        <v>50</v>
      </c>
      <c r="AA1001">
        <v>0</v>
      </c>
    </row>
    <row r="1002" spans="1:27" x14ac:dyDescent="0.2">
      <c r="A1002" t="s">
        <v>1221</v>
      </c>
      <c r="B1002">
        <v>2022</v>
      </c>
      <c r="C1002" t="s">
        <v>1499</v>
      </c>
      <c r="E1002" t="s">
        <v>29</v>
      </c>
      <c r="F1002" t="s">
        <v>30</v>
      </c>
      <c r="G1002">
        <v>8</v>
      </c>
      <c r="H1002">
        <v>0</v>
      </c>
      <c r="I1002">
        <v>3</v>
      </c>
      <c r="J1002">
        <v>0</v>
      </c>
      <c r="K1002">
        <v>8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 t="s">
        <v>31</v>
      </c>
      <c r="Z1002">
        <v>55</v>
      </c>
      <c r="AA1002">
        <v>100</v>
      </c>
    </row>
    <row r="1003" spans="1:27" x14ac:dyDescent="0.2">
      <c r="A1003" t="s">
        <v>1500</v>
      </c>
      <c r="B1003">
        <v>2023</v>
      </c>
      <c r="C1003">
        <v>8401021003</v>
      </c>
      <c r="D1003" t="s">
        <v>1501</v>
      </c>
      <c r="E1003" t="s">
        <v>29</v>
      </c>
      <c r="F1003" t="s">
        <v>30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2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 t="s">
        <v>31</v>
      </c>
      <c r="Z1003">
        <v>55</v>
      </c>
      <c r="AA1003">
        <v>0</v>
      </c>
    </row>
    <row r="1004" spans="1:27" x14ac:dyDescent="0.2">
      <c r="A1004" t="s">
        <v>1500</v>
      </c>
      <c r="B1004">
        <v>2023</v>
      </c>
      <c r="C1004">
        <v>8571006041</v>
      </c>
      <c r="D1004" t="s">
        <v>1502</v>
      </c>
      <c r="E1004" t="s">
        <v>29</v>
      </c>
      <c r="F1004" t="s">
        <v>30</v>
      </c>
      <c r="G1004">
        <v>2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 t="s">
        <v>31</v>
      </c>
      <c r="Z1004">
        <v>55</v>
      </c>
      <c r="AA1004" s="2" t="s">
        <v>1503</v>
      </c>
    </row>
    <row r="1005" spans="1:27" x14ac:dyDescent="0.2">
      <c r="A1005" t="s">
        <v>1500</v>
      </c>
      <c r="B1005">
        <v>2023</v>
      </c>
      <c r="C1005">
        <v>5279022011</v>
      </c>
      <c r="D1005" t="s">
        <v>1504</v>
      </c>
      <c r="E1005" t="s">
        <v>29</v>
      </c>
      <c r="F1005" t="s">
        <v>30</v>
      </c>
      <c r="G1005">
        <v>4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 t="s">
        <v>31</v>
      </c>
      <c r="Z1005">
        <v>55</v>
      </c>
      <c r="AA1005" s="2" t="s">
        <v>1505</v>
      </c>
    </row>
    <row r="1006" spans="1:27" x14ac:dyDescent="0.2">
      <c r="A1006" t="s">
        <v>1500</v>
      </c>
      <c r="B1006">
        <v>2023</v>
      </c>
      <c r="C1006">
        <v>8206010077</v>
      </c>
      <c r="D1006" t="s">
        <v>1506</v>
      </c>
      <c r="E1006" t="s">
        <v>29</v>
      </c>
      <c r="F1006" t="s">
        <v>30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70</v>
      </c>
      <c r="V1006">
        <v>0</v>
      </c>
      <c r="W1006">
        <v>10</v>
      </c>
      <c r="X1006">
        <v>0</v>
      </c>
      <c r="Y1006" t="s">
        <v>31</v>
      </c>
      <c r="Z1006">
        <v>55</v>
      </c>
      <c r="AA1006">
        <v>61</v>
      </c>
    </row>
    <row r="1007" spans="1:27" x14ac:dyDescent="0.2">
      <c r="A1007" t="s">
        <v>1500</v>
      </c>
      <c r="B1007">
        <v>2023</v>
      </c>
      <c r="C1007">
        <v>5755007007</v>
      </c>
      <c r="D1007" t="s">
        <v>1507</v>
      </c>
      <c r="E1007" t="s">
        <v>29</v>
      </c>
      <c r="F1007" t="s">
        <v>30</v>
      </c>
      <c r="G1007">
        <v>7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 t="s">
        <v>31</v>
      </c>
      <c r="Z1007">
        <v>55</v>
      </c>
      <c r="AA1007">
        <v>55</v>
      </c>
    </row>
    <row r="1008" spans="1:27" x14ac:dyDescent="0.2">
      <c r="A1008" t="s">
        <v>1500</v>
      </c>
      <c r="B1008">
        <v>2023</v>
      </c>
      <c r="C1008">
        <v>5755006023</v>
      </c>
      <c r="D1008" t="s">
        <v>1508</v>
      </c>
      <c r="E1008" t="s">
        <v>29</v>
      </c>
      <c r="F1008" t="s">
        <v>30</v>
      </c>
      <c r="G1008">
        <v>13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 t="s">
        <v>31</v>
      </c>
      <c r="Z1008">
        <v>55</v>
      </c>
      <c r="AA1008">
        <v>49</v>
      </c>
    </row>
    <row r="1009" spans="1:27" x14ac:dyDescent="0.2">
      <c r="A1009" t="s">
        <v>1509</v>
      </c>
      <c r="B1009">
        <v>2022</v>
      </c>
      <c r="C1009">
        <v>1560180485</v>
      </c>
      <c r="D1009" t="s">
        <v>1510</v>
      </c>
      <c r="E1009" t="s">
        <v>29</v>
      </c>
      <c r="F1009" t="s">
        <v>30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24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 t="s">
        <v>31</v>
      </c>
      <c r="Z1009">
        <v>1000</v>
      </c>
      <c r="AA1009">
        <v>80</v>
      </c>
    </row>
    <row r="1010" spans="1:27" x14ac:dyDescent="0.2">
      <c r="A1010" t="s">
        <v>1509</v>
      </c>
      <c r="B1010">
        <v>2022</v>
      </c>
      <c r="C1010">
        <v>1560180485</v>
      </c>
      <c r="D1010" t="s">
        <v>1511</v>
      </c>
      <c r="E1010" t="s">
        <v>29</v>
      </c>
      <c r="F1010" t="s">
        <v>30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12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 t="s">
        <v>31</v>
      </c>
      <c r="Z1010">
        <v>1000</v>
      </c>
      <c r="AA1010">
        <v>80</v>
      </c>
    </row>
    <row r="1011" spans="1:27" x14ac:dyDescent="0.2">
      <c r="A1011" t="s">
        <v>1509</v>
      </c>
      <c r="B1011">
        <v>2022</v>
      </c>
      <c r="C1011">
        <v>1560180485</v>
      </c>
      <c r="D1011" t="s">
        <v>1512</v>
      </c>
      <c r="E1011" t="s">
        <v>29</v>
      </c>
      <c r="F1011" t="s">
        <v>30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12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 t="s">
        <v>31</v>
      </c>
      <c r="Z1011">
        <v>1000</v>
      </c>
      <c r="AA1011">
        <v>80</v>
      </c>
    </row>
    <row r="1012" spans="1:27" x14ac:dyDescent="0.2">
      <c r="A1012" t="s">
        <v>1509</v>
      </c>
      <c r="B1012">
        <v>2022</v>
      </c>
      <c r="C1012">
        <v>1560180485</v>
      </c>
      <c r="D1012" t="s">
        <v>1513</v>
      </c>
      <c r="E1012" t="s">
        <v>29</v>
      </c>
      <c r="F1012" t="s">
        <v>30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12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 t="s">
        <v>31</v>
      </c>
      <c r="Z1012">
        <v>1000</v>
      </c>
      <c r="AA1012">
        <v>80</v>
      </c>
    </row>
    <row r="1013" spans="1:27" x14ac:dyDescent="0.2">
      <c r="A1013" t="s">
        <v>1509</v>
      </c>
      <c r="B1013">
        <v>2022</v>
      </c>
      <c r="C1013">
        <v>1560180485</v>
      </c>
      <c r="D1013" t="s">
        <v>1514</v>
      </c>
      <c r="E1013" t="s">
        <v>29</v>
      </c>
      <c r="F1013" t="s">
        <v>30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12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 t="s">
        <v>31</v>
      </c>
      <c r="Z1013">
        <v>1000</v>
      </c>
      <c r="AA1013">
        <v>80</v>
      </c>
    </row>
    <row r="1014" spans="1:27" x14ac:dyDescent="0.2">
      <c r="A1014" t="s">
        <v>1515</v>
      </c>
      <c r="B1014">
        <v>2021</v>
      </c>
      <c r="C1014" t="s">
        <v>1516</v>
      </c>
      <c r="D1014" t="s">
        <v>1517</v>
      </c>
      <c r="E1014" t="s">
        <v>29</v>
      </c>
      <c r="F1014" t="s">
        <v>30</v>
      </c>
      <c r="G1014">
        <v>20</v>
      </c>
      <c r="H1014">
        <v>0</v>
      </c>
      <c r="I1014">
        <v>0</v>
      </c>
      <c r="J1014">
        <v>0</v>
      </c>
      <c r="K1014">
        <v>20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 t="s">
        <v>51</v>
      </c>
      <c r="Z1014">
        <v>55</v>
      </c>
      <c r="AA1014">
        <v>0</v>
      </c>
    </row>
    <row r="1015" spans="1:27" x14ac:dyDescent="0.2">
      <c r="A1015" t="s">
        <v>1197</v>
      </c>
      <c r="B1015">
        <v>2022</v>
      </c>
      <c r="C1015" t="s">
        <v>1518</v>
      </c>
      <c r="D1015" t="s">
        <v>1519</v>
      </c>
      <c r="E1015" t="s">
        <v>29</v>
      </c>
      <c r="F1015" t="s">
        <v>30</v>
      </c>
      <c r="G1015">
        <v>7</v>
      </c>
      <c r="H1015">
        <v>0</v>
      </c>
      <c r="I1015">
        <v>26</v>
      </c>
      <c r="J1015">
        <v>0</v>
      </c>
      <c r="K1015">
        <v>7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 t="s">
        <v>31</v>
      </c>
      <c r="Z1015">
        <v>55</v>
      </c>
      <c r="AA1015">
        <v>40</v>
      </c>
    </row>
    <row r="1016" spans="1:27" x14ac:dyDescent="0.2">
      <c r="A1016" t="s">
        <v>547</v>
      </c>
      <c r="B1016">
        <v>2021</v>
      </c>
      <c r="C1016">
        <v>5148013004</v>
      </c>
      <c r="D1016" t="s">
        <v>1520</v>
      </c>
      <c r="E1016" t="s">
        <v>29</v>
      </c>
      <c r="F1016" t="s">
        <v>30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83</v>
      </c>
      <c r="N1016">
        <v>0</v>
      </c>
      <c r="O1016">
        <v>10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 t="s">
        <v>31</v>
      </c>
      <c r="Z1016">
        <v>55</v>
      </c>
      <c r="AA1016">
        <v>0</v>
      </c>
    </row>
    <row r="1017" spans="1:27" x14ac:dyDescent="0.2">
      <c r="A1017" t="s">
        <v>547</v>
      </c>
      <c r="B1017">
        <v>2021</v>
      </c>
      <c r="C1017">
        <v>6036011033</v>
      </c>
      <c r="D1017" t="s">
        <v>1521</v>
      </c>
      <c r="E1017" t="s">
        <v>29</v>
      </c>
      <c r="F1017" t="s">
        <v>30</v>
      </c>
      <c r="G1017">
        <v>0</v>
      </c>
      <c r="H1017">
        <v>0</v>
      </c>
      <c r="I1017">
        <v>157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 t="s">
        <v>31</v>
      </c>
      <c r="Z1017">
        <v>55</v>
      </c>
      <c r="AA1017">
        <v>0</v>
      </c>
    </row>
    <row r="1018" spans="1:27" x14ac:dyDescent="0.2">
      <c r="A1018" t="s">
        <v>547</v>
      </c>
      <c r="B1018">
        <v>2021</v>
      </c>
      <c r="C1018">
        <v>2241011021</v>
      </c>
      <c r="D1018" t="s">
        <v>1522</v>
      </c>
      <c r="E1018" t="s">
        <v>29</v>
      </c>
      <c r="F1018" t="s">
        <v>30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3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 t="s">
        <v>31</v>
      </c>
      <c r="Z1018">
        <v>55</v>
      </c>
      <c r="AA1018">
        <v>0</v>
      </c>
    </row>
    <row r="1019" spans="1:27" x14ac:dyDescent="0.2">
      <c r="A1019" t="s">
        <v>547</v>
      </c>
      <c r="B1019">
        <v>2021</v>
      </c>
      <c r="C1019">
        <v>2565014031</v>
      </c>
      <c r="D1019" t="s">
        <v>1523</v>
      </c>
      <c r="E1019" t="s">
        <v>29</v>
      </c>
      <c r="F1019" t="s">
        <v>30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4</v>
      </c>
      <c r="N1019">
        <v>0</v>
      </c>
      <c r="O1019">
        <v>2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 t="s">
        <v>31</v>
      </c>
      <c r="Z1019">
        <v>55</v>
      </c>
      <c r="AA1019">
        <v>0</v>
      </c>
    </row>
    <row r="1020" spans="1:27" x14ac:dyDescent="0.2">
      <c r="A1020" t="s">
        <v>1524</v>
      </c>
      <c r="B1020">
        <v>2021</v>
      </c>
      <c r="C1020" t="s">
        <v>1525</v>
      </c>
      <c r="D1020" t="s">
        <v>1526</v>
      </c>
      <c r="E1020" t="s">
        <v>29</v>
      </c>
      <c r="F1020" t="s">
        <v>30</v>
      </c>
      <c r="G1020">
        <v>29</v>
      </c>
      <c r="H1020">
        <v>0</v>
      </c>
      <c r="I1020">
        <v>30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 t="s">
        <v>31</v>
      </c>
      <c r="Z1020">
        <v>55</v>
      </c>
      <c r="AA1020">
        <v>0</v>
      </c>
    </row>
    <row r="1021" spans="1:27" x14ac:dyDescent="0.2">
      <c r="A1021" t="s">
        <v>1527</v>
      </c>
      <c r="B1021">
        <v>2023</v>
      </c>
      <c r="C1021">
        <v>126120065</v>
      </c>
      <c r="D1021" t="s">
        <v>1528</v>
      </c>
      <c r="E1021" t="s">
        <v>29</v>
      </c>
      <c r="F1021" t="s">
        <v>30</v>
      </c>
      <c r="G1021">
        <v>87</v>
      </c>
      <c r="H1021">
        <v>0</v>
      </c>
      <c r="I1021">
        <v>202</v>
      </c>
      <c r="J1021">
        <v>3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 t="s">
        <v>31</v>
      </c>
      <c r="Z1021">
        <v>55</v>
      </c>
      <c r="AA1021">
        <v>80</v>
      </c>
    </row>
    <row r="1022" spans="1:27" x14ac:dyDescent="0.2">
      <c r="A1022" t="s">
        <v>324</v>
      </c>
      <c r="B1022">
        <v>2023</v>
      </c>
      <c r="C1022" s="2" t="s">
        <v>1529</v>
      </c>
      <c r="D1022" t="s">
        <v>1530</v>
      </c>
      <c r="E1022" t="s">
        <v>29</v>
      </c>
      <c r="F1022" t="s">
        <v>30</v>
      </c>
      <c r="G1022">
        <v>22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22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 t="s">
        <v>31</v>
      </c>
      <c r="Z1022">
        <v>55</v>
      </c>
      <c r="AA1022">
        <v>30</v>
      </c>
    </row>
    <row r="1023" spans="1:27" x14ac:dyDescent="0.2">
      <c r="A1023" t="s">
        <v>1057</v>
      </c>
      <c r="B1023">
        <v>2022</v>
      </c>
      <c r="C1023" t="s">
        <v>1531</v>
      </c>
      <c r="D1023" t="s">
        <v>1059</v>
      </c>
      <c r="E1023" t="s">
        <v>29</v>
      </c>
      <c r="F1023" t="s">
        <v>30</v>
      </c>
      <c r="G1023">
        <v>80</v>
      </c>
      <c r="H1023">
        <v>0</v>
      </c>
      <c r="I1023">
        <v>304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 t="s">
        <v>31</v>
      </c>
      <c r="Z1023">
        <v>55</v>
      </c>
      <c r="AA1023">
        <v>0</v>
      </c>
    </row>
    <row r="1024" spans="1:27" x14ac:dyDescent="0.2">
      <c r="A1024" t="s">
        <v>1057</v>
      </c>
      <c r="B1024">
        <v>2022</v>
      </c>
      <c r="C1024">
        <v>13200501610000</v>
      </c>
      <c r="D1024" t="s">
        <v>1532</v>
      </c>
      <c r="E1024" t="s">
        <v>29</v>
      </c>
      <c r="F1024" t="s">
        <v>30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10</v>
      </c>
      <c r="N1024">
        <v>0</v>
      </c>
      <c r="O1024">
        <v>22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 t="s">
        <v>31</v>
      </c>
      <c r="Z1024">
        <v>55</v>
      </c>
      <c r="AA1024">
        <v>0</v>
      </c>
    </row>
    <row r="1025" spans="1:27" x14ac:dyDescent="0.2">
      <c r="A1025" t="s">
        <v>1057</v>
      </c>
      <c r="B1025">
        <v>2022</v>
      </c>
      <c r="C1025">
        <v>13200501610000</v>
      </c>
      <c r="D1025" t="s">
        <v>1532</v>
      </c>
      <c r="E1025" t="s">
        <v>29</v>
      </c>
      <c r="F1025" t="s">
        <v>30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18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 t="s">
        <v>31</v>
      </c>
      <c r="Z1025">
        <v>55</v>
      </c>
      <c r="AA1025">
        <v>0</v>
      </c>
    </row>
    <row r="1026" spans="1:27" x14ac:dyDescent="0.2">
      <c r="A1026" t="s">
        <v>1057</v>
      </c>
      <c r="B1026">
        <v>2022</v>
      </c>
      <c r="C1026">
        <v>13200501610000</v>
      </c>
      <c r="D1026" t="s">
        <v>1533</v>
      </c>
      <c r="E1026" t="s">
        <v>29</v>
      </c>
      <c r="F1026" t="s">
        <v>30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10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 t="s">
        <v>31</v>
      </c>
      <c r="Z1026">
        <v>55</v>
      </c>
      <c r="AA1026">
        <v>0</v>
      </c>
    </row>
    <row r="1027" spans="1:27" x14ac:dyDescent="0.2">
      <c r="A1027" t="s">
        <v>928</v>
      </c>
      <c r="B1027">
        <v>2022</v>
      </c>
      <c r="C1027" t="s">
        <v>1365</v>
      </c>
      <c r="D1027" t="s">
        <v>1366</v>
      </c>
      <c r="E1027" t="s">
        <v>29</v>
      </c>
      <c r="F1027" t="s">
        <v>41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 t="s">
        <v>51</v>
      </c>
      <c r="Z1027">
        <v>50</v>
      </c>
      <c r="AA1027">
        <v>0</v>
      </c>
    </row>
    <row r="1028" spans="1:27" x14ac:dyDescent="0.2">
      <c r="A1028" t="s">
        <v>928</v>
      </c>
      <c r="B1028">
        <v>2022</v>
      </c>
      <c r="C1028" t="s">
        <v>935</v>
      </c>
      <c r="D1028" t="s">
        <v>936</v>
      </c>
      <c r="E1028" t="s">
        <v>29</v>
      </c>
      <c r="F1028" t="s">
        <v>41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1</v>
      </c>
      <c r="T1028">
        <v>0</v>
      </c>
      <c r="U1028">
        <v>0</v>
      </c>
      <c r="V1028">
        <v>0</v>
      </c>
      <c r="W1028">
        <v>0</v>
      </c>
      <c r="X1028">
        <v>0</v>
      </c>
      <c r="Y1028" t="s">
        <v>51</v>
      </c>
      <c r="Z1028">
        <v>50</v>
      </c>
      <c r="AA1028">
        <v>0</v>
      </c>
    </row>
    <row r="1029" spans="1:27" x14ac:dyDescent="0.2">
      <c r="A1029" t="s">
        <v>88</v>
      </c>
      <c r="B1029">
        <v>2021</v>
      </c>
      <c r="C1029" t="s">
        <v>1191</v>
      </c>
      <c r="D1029" t="s">
        <v>1534</v>
      </c>
      <c r="E1029" t="s">
        <v>29</v>
      </c>
      <c r="F1029" t="s">
        <v>30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1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 t="s">
        <v>51</v>
      </c>
      <c r="AA1029">
        <v>0</v>
      </c>
    </row>
    <row r="1030" spans="1:27" x14ac:dyDescent="0.2">
      <c r="A1030" t="s">
        <v>1188</v>
      </c>
      <c r="B1030">
        <v>2018</v>
      </c>
      <c r="C1030" t="s">
        <v>1535</v>
      </c>
      <c r="D1030" t="s">
        <v>1536</v>
      </c>
      <c r="E1030" t="s">
        <v>29</v>
      </c>
      <c r="F1030" t="s">
        <v>30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8</v>
      </c>
      <c r="V1030">
        <v>0</v>
      </c>
      <c r="W1030">
        <v>0</v>
      </c>
      <c r="X1030">
        <v>0</v>
      </c>
      <c r="Y1030" t="s">
        <v>51</v>
      </c>
      <c r="Z1030">
        <v>55</v>
      </c>
      <c r="AA1030">
        <v>0</v>
      </c>
    </row>
    <row r="1031" spans="1:27" x14ac:dyDescent="0.2">
      <c r="A1031" t="s">
        <v>1537</v>
      </c>
      <c r="B1031">
        <v>2023</v>
      </c>
      <c r="C1031" t="s">
        <v>1538</v>
      </c>
      <c r="D1031" t="s">
        <v>1539</v>
      </c>
      <c r="E1031" t="s">
        <v>29</v>
      </c>
      <c r="F1031" t="s">
        <v>30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8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 t="s">
        <v>31</v>
      </c>
      <c r="AA1031">
        <v>26</v>
      </c>
    </row>
    <row r="1032" spans="1:27" x14ac:dyDescent="0.2">
      <c r="A1032" t="s">
        <v>1537</v>
      </c>
      <c r="B1032">
        <v>2023</v>
      </c>
      <c r="C1032" t="s">
        <v>1538</v>
      </c>
      <c r="D1032" t="s">
        <v>1540</v>
      </c>
      <c r="E1032" t="s">
        <v>29</v>
      </c>
      <c r="F1032" t="s">
        <v>30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8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 t="s">
        <v>31</v>
      </c>
      <c r="AA1032">
        <v>26</v>
      </c>
    </row>
    <row r="1033" spans="1:27" ht="68" x14ac:dyDescent="0.2">
      <c r="A1033" t="s">
        <v>1541</v>
      </c>
      <c r="B1033">
        <v>2023</v>
      </c>
      <c r="C1033" t="s">
        <v>1542</v>
      </c>
      <c r="D1033" s="1" t="s">
        <v>1543</v>
      </c>
      <c r="E1033" t="s">
        <v>29</v>
      </c>
      <c r="F1033" t="s">
        <v>30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10</v>
      </c>
      <c r="P1033">
        <v>0</v>
      </c>
      <c r="Q1033">
        <v>14</v>
      </c>
      <c r="R1033">
        <v>0</v>
      </c>
      <c r="S1033">
        <v>0</v>
      </c>
      <c r="T1033">
        <v>0</v>
      </c>
      <c r="U1033">
        <v>10</v>
      </c>
      <c r="V1033">
        <v>0</v>
      </c>
      <c r="W1033">
        <v>14</v>
      </c>
      <c r="X1033">
        <v>0</v>
      </c>
      <c r="Y1033" t="s">
        <v>31</v>
      </c>
      <c r="Z1033">
        <v>55</v>
      </c>
      <c r="AA1033">
        <v>10</v>
      </c>
    </row>
    <row r="1034" spans="1:27" x14ac:dyDescent="0.2">
      <c r="A1034" t="s">
        <v>1057</v>
      </c>
      <c r="B1034">
        <v>2022</v>
      </c>
      <c r="C1034" t="s">
        <v>1544</v>
      </c>
      <c r="D1034" t="s">
        <v>1545</v>
      </c>
      <c r="E1034" t="s">
        <v>29</v>
      </c>
      <c r="F1034" t="s">
        <v>30</v>
      </c>
      <c r="G1034">
        <v>60</v>
      </c>
      <c r="H1034">
        <v>0</v>
      </c>
      <c r="I1034">
        <v>231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 t="s">
        <v>31</v>
      </c>
      <c r="Z1034">
        <v>55</v>
      </c>
      <c r="AA1034">
        <v>0</v>
      </c>
    </row>
    <row r="1035" spans="1:27" x14ac:dyDescent="0.2">
      <c r="A1035" t="s">
        <v>1057</v>
      </c>
      <c r="B1035">
        <v>2022</v>
      </c>
      <c r="C1035" t="s">
        <v>1546</v>
      </c>
      <c r="D1035" t="s">
        <v>1547</v>
      </c>
      <c r="E1035" t="s">
        <v>29</v>
      </c>
      <c r="F1035" t="s">
        <v>30</v>
      </c>
      <c r="G1035">
        <v>0</v>
      </c>
      <c r="H1035">
        <v>0</v>
      </c>
      <c r="I1035">
        <v>142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 t="s">
        <v>51</v>
      </c>
      <c r="Z1035">
        <v>30</v>
      </c>
      <c r="AA1035">
        <v>0</v>
      </c>
    </row>
    <row r="1036" spans="1:27" x14ac:dyDescent="0.2">
      <c r="A1036" t="s">
        <v>1057</v>
      </c>
      <c r="B1036">
        <v>2022</v>
      </c>
      <c r="C1036">
        <v>13200501610000</v>
      </c>
      <c r="D1036" t="s">
        <v>1533</v>
      </c>
      <c r="E1036" t="s">
        <v>29</v>
      </c>
      <c r="F1036" t="s">
        <v>30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10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 t="s">
        <v>31</v>
      </c>
      <c r="Z1036">
        <v>55</v>
      </c>
      <c r="AA1036">
        <v>0</v>
      </c>
    </row>
    <row r="1037" spans="1:27" x14ac:dyDescent="0.2">
      <c r="A1037" t="s">
        <v>1057</v>
      </c>
      <c r="B1037">
        <v>2022</v>
      </c>
      <c r="C1037">
        <v>13200501610000</v>
      </c>
      <c r="D1037" t="s">
        <v>1533</v>
      </c>
      <c r="E1037" t="s">
        <v>29</v>
      </c>
      <c r="F1037" t="s">
        <v>30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10</v>
      </c>
      <c r="N1037">
        <v>0</v>
      </c>
      <c r="O1037">
        <v>30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 t="s">
        <v>31</v>
      </c>
      <c r="Z1037">
        <v>55</v>
      </c>
      <c r="AA1037">
        <v>0</v>
      </c>
    </row>
    <row r="1038" spans="1:27" x14ac:dyDescent="0.2">
      <c r="A1038" t="s">
        <v>1548</v>
      </c>
      <c r="B1038">
        <v>2023</v>
      </c>
      <c r="C1038" t="s">
        <v>1549</v>
      </c>
      <c r="D1038" t="s">
        <v>1550</v>
      </c>
      <c r="E1038" t="s">
        <v>29</v>
      </c>
      <c r="F1038" t="s">
        <v>30</v>
      </c>
      <c r="G1038">
        <v>0</v>
      </c>
      <c r="H1038">
        <v>0</v>
      </c>
      <c r="I1038">
        <v>4</v>
      </c>
      <c r="J1038">
        <v>0</v>
      </c>
      <c r="K1038">
        <v>0</v>
      </c>
      <c r="L1038">
        <v>32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 t="s">
        <v>51</v>
      </c>
      <c r="AA1038">
        <v>0</v>
      </c>
    </row>
    <row r="1039" spans="1:27" x14ac:dyDescent="0.2">
      <c r="A1039" t="s">
        <v>883</v>
      </c>
      <c r="B1039">
        <v>2020</v>
      </c>
      <c r="C1039" s="2" t="s">
        <v>1551</v>
      </c>
      <c r="D1039" t="s">
        <v>1552</v>
      </c>
      <c r="E1039" t="s">
        <v>29</v>
      </c>
      <c r="F1039" t="s">
        <v>30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12</v>
      </c>
      <c r="T1039">
        <v>0</v>
      </c>
      <c r="U1039">
        <v>0</v>
      </c>
      <c r="V1039">
        <v>0</v>
      </c>
      <c r="W1039">
        <v>0</v>
      </c>
      <c r="X1039">
        <v>0</v>
      </c>
      <c r="Y1039" t="s">
        <v>51</v>
      </c>
      <c r="Z1039">
        <v>1000</v>
      </c>
      <c r="AA1039">
        <v>0</v>
      </c>
    </row>
    <row r="1040" spans="1:27" x14ac:dyDescent="0.2">
      <c r="A1040" t="s">
        <v>883</v>
      </c>
      <c r="B1040">
        <v>2020</v>
      </c>
      <c r="C1040">
        <v>34183060</v>
      </c>
      <c r="D1040" t="s">
        <v>1553</v>
      </c>
      <c r="E1040" t="s">
        <v>29</v>
      </c>
      <c r="F1040" t="s">
        <v>30</v>
      </c>
      <c r="G1040">
        <v>107</v>
      </c>
      <c r="H1040">
        <v>0</v>
      </c>
      <c r="I1040">
        <v>116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 t="s">
        <v>31</v>
      </c>
      <c r="Z1040">
        <v>99</v>
      </c>
      <c r="AA1040">
        <v>0</v>
      </c>
    </row>
    <row r="1041" spans="1:27" x14ac:dyDescent="0.2">
      <c r="A1041" t="s">
        <v>387</v>
      </c>
      <c r="B1041">
        <v>2023</v>
      </c>
      <c r="C1041" t="s">
        <v>1554</v>
      </c>
      <c r="D1041" t="s">
        <v>1555</v>
      </c>
      <c r="E1041" t="s">
        <v>29</v>
      </c>
      <c r="F1041" t="s">
        <v>30</v>
      </c>
      <c r="G1041">
        <v>78</v>
      </c>
      <c r="H1041">
        <v>0</v>
      </c>
      <c r="I1041">
        <v>45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 t="s">
        <v>31</v>
      </c>
      <c r="Z1041">
        <v>55</v>
      </c>
      <c r="AA1041">
        <v>72</v>
      </c>
    </row>
    <row r="1042" spans="1:27" x14ac:dyDescent="0.2">
      <c r="A1042" t="s">
        <v>387</v>
      </c>
      <c r="B1042">
        <v>2023</v>
      </c>
      <c r="C1042" t="s">
        <v>1556</v>
      </c>
      <c r="D1042" t="s">
        <v>1557</v>
      </c>
      <c r="E1042" t="s">
        <v>29</v>
      </c>
      <c r="F1042" t="s">
        <v>30</v>
      </c>
      <c r="G1042">
        <v>0</v>
      </c>
      <c r="H1042">
        <v>0</v>
      </c>
      <c r="I1042">
        <v>24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 t="s">
        <v>51</v>
      </c>
      <c r="Z1042">
        <v>1000</v>
      </c>
      <c r="AA1042">
        <v>0</v>
      </c>
    </row>
    <row r="1043" spans="1:27" x14ac:dyDescent="0.2">
      <c r="A1043" t="s">
        <v>1558</v>
      </c>
      <c r="B1043">
        <v>2023</v>
      </c>
      <c r="C1043" t="s">
        <v>1559</v>
      </c>
      <c r="D1043" t="s">
        <v>1560</v>
      </c>
      <c r="E1043" t="s">
        <v>29</v>
      </c>
      <c r="F1043" t="s">
        <v>41</v>
      </c>
      <c r="G1043">
        <v>1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 t="s">
        <v>31</v>
      </c>
      <c r="AA1043">
        <v>0</v>
      </c>
    </row>
    <row r="1044" spans="1:27" x14ac:dyDescent="0.2">
      <c r="A1044" t="s">
        <v>324</v>
      </c>
      <c r="B1044">
        <v>2018</v>
      </c>
      <c r="C1044" t="s">
        <v>74</v>
      </c>
      <c r="D1044" t="s">
        <v>1561</v>
      </c>
      <c r="E1044" t="s">
        <v>29</v>
      </c>
      <c r="F1044" t="s">
        <v>30</v>
      </c>
      <c r="G1044">
        <v>0</v>
      </c>
      <c r="H1044">
        <v>0</v>
      </c>
      <c r="I1044">
        <v>0</v>
      </c>
      <c r="J1044">
        <v>0</v>
      </c>
      <c r="K1044">
        <v>13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 t="s">
        <v>31</v>
      </c>
      <c r="Z1044">
        <v>30</v>
      </c>
      <c r="AA1044">
        <v>0</v>
      </c>
    </row>
    <row r="1045" spans="1:27" x14ac:dyDescent="0.2">
      <c r="A1045" t="s">
        <v>753</v>
      </c>
      <c r="B1045">
        <v>2021</v>
      </c>
      <c r="C1045">
        <v>5733712500</v>
      </c>
      <c r="D1045" t="s">
        <v>1562</v>
      </c>
      <c r="E1045" t="s">
        <v>29</v>
      </c>
      <c r="F1045" t="s">
        <v>30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16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 t="s">
        <v>31</v>
      </c>
      <c r="Z1045">
        <v>55</v>
      </c>
      <c r="AA1045">
        <v>32</v>
      </c>
    </row>
    <row r="1046" spans="1:27" x14ac:dyDescent="0.2">
      <c r="A1046" t="s">
        <v>524</v>
      </c>
      <c r="B1046">
        <v>2018</v>
      </c>
      <c r="C1046">
        <v>55170320</v>
      </c>
      <c r="D1046" t="s">
        <v>1563</v>
      </c>
      <c r="E1046" t="s">
        <v>29</v>
      </c>
      <c r="F1046" t="s">
        <v>30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7</v>
      </c>
      <c r="T1046">
        <v>0</v>
      </c>
      <c r="U1046">
        <v>7</v>
      </c>
      <c r="V1046">
        <v>0</v>
      </c>
      <c r="W1046">
        <v>0</v>
      </c>
      <c r="X1046">
        <v>0</v>
      </c>
      <c r="Y1046" t="s">
        <v>51</v>
      </c>
      <c r="AA1046">
        <v>0</v>
      </c>
    </row>
    <row r="1047" spans="1:27" x14ac:dyDescent="0.2">
      <c r="A1047" t="s">
        <v>244</v>
      </c>
      <c r="B1047">
        <v>2019</v>
      </c>
      <c r="C1047" t="s">
        <v>1564</v>
      </c>
      <c r="D1047" t="s">
        <v>1565</v>
      </c>
      <c r="E1047" t="s">
        <v>29</v>
      </c>
      <c r="F1047" t="s">
        <v>30</v>
      </c>
      <c r="G1047">
        <v>0</v>
      </c>
      <c r="H1047">
        <v>0</v>
      </c>
      <c r="I1047">
        <v>8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8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 t="s">
        <v>31</v>
      </c>
      <c r="Z1047">
        <v>30</v>
      </c>
      <c r="AA1047">
        <v>0</v>
      </c>
    </row>
    <row r="1048" spans="1:27" x14ac:dyDescent="0.2">
      <c r="A1048" t="s">
        <v>587</v>
      </c>
      <c r="B1048">
        <v>2019</v>
      </c>
      <c r="C1048" t="s">
        <v>588</v>
      </c>
      <c r="D1048" t="s">
        <v>1566</v>
      </c>
      <c r="E1048" t="s">
        <v>29</v>
      </c>
      <c r="F1048" t="s">
        <v>41</v>
      </c>
      <c r="G1048">
        <v>2</v>
      </c>
      <c r="H1048">
        <v>0</v>
      </c>
      <c r="I1048">
        <v>0</v>
      </c>
      <c r="J1048">
        <v>0</v>
      </c>
      <c r="K1048">
        <v>2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 t="s">
        <v>31</v>
      </c>
      <c r="Z1048">
        <v>45</v>
      </c>
      <c r="AA1048">
        <v>0</v>
      </c>
    </row>
    <row r="1049" spans="1:27" x14ac:dyDescent="0.2">
      <c r="A1049" t="s">
        <v>1418</v>
      </c>
      <c r="B1049">
        <v>2020</v>
      </c>
      <c r="C1049" t="s">
        <v>1567</v>
      </c>
      <c r="D1049" t="s">
        <v>1568</v>
      </c>
      <c r="E1049" t="s">
        <v>29</v>
      </c>
      <c r="F1049" t="s">
        <v>30</v>
      </c>
      <c r="G1049">
        <v>3</v>
      </c>
      <c r="H1049">
        <v>0</v>
      </c>
      <c r="I1049">
        <v>3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 t="s">
        <v>31</v>
      </c>
      <c r="Z1049">
        <v>55</v>
      </c>
      <c r="AA1049">
        <v>0</v>
      </c>
    </row>
    <row r="1050" spans="1:27" x14ac:dyDescent="0.2">
      <c r="A1050" t="s">
        <v>1077</v>
      </c>
      <c r="B1050">
        <v>2022</v>
      </c>
      <c r="C1050">
        <v>2331421300</v>
      </c>
      <c r="D1050" t="s">
        <v>1569</v>
      </c>
      <c r="E1050" t="s">
        <v>29</v>
      </c>
      <c r="F1050" t="s">
        <v>30</v>
      </c>
      <c r="G1050">
        <v>0</v>
      </c>
      <c r="H1050">
        <v>0</v>
      </c>
      <c r="I1050">
        <v>178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 t="s">
        <v>31</v>
      </c>
      <c r="Z1050">
        <v>55</v>
      </c>
      <c r="AA1050">
        <v>80</v>
      </c>
    </row>
    <row r="1051" spans="1:27" x14ac:dyDescent="0.2">
      <c r="A1051" t="s">
        <v>524</v>
      </c>
      <c r="B1051">
        <v>2020</v>
      </c>
      <c r="C1051">
        <v>71413200</v>
      </c>
      <c r="D1051" t="s">
        <v>1570</v>
      </c>
      <c r="E1051" t="s">
        <v>29</v>
      </c>
      <c r="F1051" t="s">
        <v>30</v>
      </c>
      <c r="G1051">
        <v>0</v>
      </c>
      <c r="H1051">
        <v>0</v>
      </c>
      <c r="I1051">
        <v>2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 t="s">
        <v>51</v>
      </c>
      <c r="Z1051">
        <v>55</v>
      </c>
      <c r="AA1051">
        <v>0</v>
      </c>
    </row>
    <row r="1052" spans="1:27" x14ac:dyDescent="0.2">
      <c r="A1052" t="s">
        <v>928</v>
      </c>
      <c r="B1052">
        <v>2020</v>
      </c>
      <c r="C1052" t="s">
        <v>1571</v>
      </c>
      <c r="D1052" t="s">
        <v>1572</v>
      </c>
      <c r="E1052" t="s">
        <v>29</v>
      </c>
      <c r="F1052" t="s">
        <v>41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1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 t="s">
        <v>51</v>
      </c>
      <c r="Z1052">
        <v>50</v>
      </c>
      <c r="AA1052">
        <v>0</v>
      </c>
    </row>
    <row r="1053" spans="1:27" x14ac:dyDescent="0.2">
      <c r="A1053" t="s">
        <v>1573</v>
      </c>
      <c r="B1053">
        <v>2018</v>
      </c>
      <c r="C1053" t="s">
        <v>1574</v>
      </c>
      <c r="D1053" t="s">
        <v>1575</v>
      </c>
      <c r="E1053" t="s">
        <v>29</v>
      </c>
      <c r="F1053" t="s">
        <v>30</v>
      </c>
      <c r="G1053">
        <v>1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 t="s">
        <v>31</v>
      </c>
      <c r="AA1053">
        <v>0</v>
      </c>
    </row>
    <row r="1054" spans="1:27" x14ac:dyDescent="0.2">
      <c r="A1054" t="s">
        <v>1576</v>
      </c>
      <c r="B1054">
        <v>2018</v>
      </c>
      <c r="C1054">
        <v>1602701200</v>
      </c>
      <c r="D1054" t="s">
        <v>1577</v>
      </c>
      <c r="E1054" t="s">
        <v>29</v>
      </c>
      <c r="F1054" t="s">
        <v>30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10</v>
      </c>
      <c r="T1054">
        <v>0</v>
      </c>
      <c r="U1054">
        <v>0</v>
      </c>
      <c r="V1054">
        <v>0</v>
      </c>
      <c r="W1054">
        <v>0</v>
      </c>
      <c r="X1054">
        <v>0</v>
      </c>
      <c r="Y1054" t="s">
        <v>51</v>
      </c>
      <c r="AA1054">
        <v>0</v>
      </c>
    </row>
    <row r="1055" spans="1:27" x14ac:dyDescent="0.2">
      <c r="A1055" t="s">
        <v>1576</v>
      </c>
      <c r="B1055">
        <v>2018</v>
      </c>
      <c r="C1055">
        <v>1602701200</v>
      </c>
      <c r="D1055" t="s">
        <v>1578</v>
      </c>
      <c r="E1055" t="s">
        <v>29</v>
      </c>
      <c r="F1055" t="s">
        <v>30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10</v>
      </c>
      <c r="T1055">
        <v>0</v>
      </c>
      <c r="U1055">
        <v>0</v>
      </c>
      <c r="V1055">
        <v>0</v>
      </c>
      <c r="W1055">
        <v>0</v>
      </c>
      <c r="X1055">
        <v>0</v>
      </c>
      <c r="Y1055" t="s">
        <v>51</v>
      </c>
      <c r="AA1055">
        <v>0</v>
      </c>
    </row>
    <row r="1056" spans="1:27" x14ac:dyDescent="0.2">
      <c r="A1056" t="s">
        <v>1579</v>
      </c>
      <c r="B1056">
        <v>2022</v>
      </c>
      <c r="C1056" t="s">
        <v>1580</v>
      </c>
      <c r="D1056" t="s">
        <v>1581</v>
      </c>
      <c r="E1056" t="s">
        <v>29</v>
      </c>
      <c r="F1056" t="s">
        <v>30</v>
      </c>
      <c r="G1056">
        <v>0</v>
      </c>
      <c r="H1056">
        <v>0</v>
      </c>
      <c r="I1056">
        <v>9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 t="s">
        <v>31</v>
      </c>
      <c r="Z1056">
        <v>55</v>
      </c>
      <c r="AA1056">
        <v>20</v>
      </c>
    </row>
    <row r="1057" spans="1:27" x14ac:dyDescent="0.2">
      <c r="A1057" t="s">
        <v>622</v>
      </c>
      <c r="B1057">
        <v>2023</v>
      </c>
      <c r="C1057" t="s">
        <v>1119</v>
      </c>
      <c r="D1057" t="s">
        <v>1582</v>
      </c>
      <c r="E1057" t="s">
        <v>29</v>
      </c>
      <c r="F1057" t="s">
        <v>30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81</v>
      </c>
      <c r="N1057">
        <v>0</v>
      </c>
      <c r="O1057">
        <v>32</v>
      </c>
      <c r="P1057">
        <v>0</v>
      </c>
      <c r="Q1057">
        <v>39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 t="s">
        <v>31</v>
      </c>
      <c r="Z1057">
        <v>55</v>
      </c>
      <c r="AA1057">
        <v>2</v>
      </c>
    </row>
    <row r="1058" spans="1:27" x14ac:dyDescent="0.2">
      <c r="A1058" t="s">
        <v>753</v>
      </c>
      <c r="B1058">
        <v>2020</v>
      </c>
      <c r="C1058">
        <v>6440610900</v>
      </c>
      <c r="D1058" t="s">
        <v>1583</v>
      </c>
      <c r="E1058" t="s">
        <v>29</v>
      </c>
      <c r="F1058" t="s">
        <v>30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5</v>
      </c>
      <c r="X1058">
        <v>0</v>
      </c>
      <c r="Y1058" t="s">
        <v>51</v>
      </c>
      <c r="Z1058">
        <v>20</v>
      </c>
      <c r="AA1058">
        <v>0</v>
      </c>
    </row>
    <row r="1059" spans="1:27" x14ac:dyDescent="0.2">
      <c r="A1059" t="s">
        <v>1127</v>
      </c>
      <c r="B1059">
        <v>2019</v>
      </c>
      <c r="C1059" t="s">
        <v>1400</v>
      </c>
      <c r="D1059" t="s">
        <v>1401</v>
      </c>
      <c r="E1059" t="s">
        <v>29</v>
      </c>
      <c r="F1059" t="s">
        <v>41</v>
      </c>
      <c r="G1059">
        <v>0</v>
      </c>
      <c r="H1059">
        <v>0</v>
      </c>
      <c r="I1059">
        <v>1</v>
      </c>
      <c r="J1059">
        <v>0</v>
      </c>
      <c r="K1059">
        <v>0</v>
      </c>
      <c r="L1059">
        <v>1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 t="s">
        <v>31</v>
      </c>
      <c r="AA1059">
        <v>0</v>
      </c>
    </row>
    <row r="1060" spans="1:27" x14ac:dyDescent="0.2">
      <c r="A1060" t="s">
        <v>1247</v>
      </c>
      <c r="B1060">
        <v>2022</v>
      </c>
      <c r="C1060">
        <v>125551016</v>
      </c>
      <c r="D1060" t="s">
        <v>1584</v>
      </c>
      <c r="E1060" t="s">
        <v>29</v>
      </c>
      <c r="F1060" t="s">
        <v>30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15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 t="s">
        <v>31</v>
      </c>
      <c r="Z1060">
        <v>55</v>
      </c>
      <c r="AA1060">
        <v>20</v>
      </c>
    </row>
    <row r="1061" spans="1:27" x14ac:dyDescent="0.2">
      <c r="A1061" t="s">
        <v>1247</v>
      </c>
      <c r="B1061">
        <v>2022</v>
      </c>
      <c r="C1061">
        <v>125521008</v>
      </c>
      <c r="D1061" t="s">
        <v>1585</v>
      </c>
      <c r="E1061" t="s">
        <v>29</v>
      </c>
      <c r="F1061" t="s">
        <v>30</v>
      </c>
      <c r="G1061">
        <v>2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1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 t="s">
        <v>51</v>
      </c>
      <c r="Z1061">
        <v>55</v>
      </c>
      <c r="AA1061">
        <v>0</v>
      </c>
    </row>
    <row r="1062" spans="1:27" x14ac:dyDescent="0.2">
      <c r="A1062" t="s">
        <v>1255</v>
      </c>
      <c r="B1062">
        <v>2022</v>
      </c>
      <c r="C1062" s="2" t="s">
        <v>1256</v>
      </c>
      <c r="D1062" t="s">
        <v>1586</v>
      </c>
      <c r="E1062" t="s">
        <v>29</v>
      </c>
      <c r="F1062" t="s">
        <v>30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5</v>
      </c>
      <c r="T1062">
        <v>0</v>
      </c>
      <c r="U1062">
        <v>19</v>
      </c>
      <c r="V1062">
        <v>0</v>
      </c>
      <c r="W1062">
        <v>0</v>
      </c>
      <c r="X1062">
        <v>0</v>
      </c>
      <c r="Y1062" t="s">
        <v>31</v>
      </c>
      <c r="AA1062">
        <v>0</v>
      </c>
    </row>
    <row r="1063" spans="1:27" x14ac:dyDescent="0.2">
      <c r="A1063" t="s">
        <v>1524</v>
      </c>
      <c r="B1063">
        <v>2021</v>
      </c>
      <c r="C1063">
        <v>43060101</v>
      </c>
      <c r="D1063" t="s">
        <v>1587</v>
      </c>
      <c r="E1063" t="s">
        <v>29</v>
      </c>
      <c r="F1063" t="s">
        <v>30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73</v>
      </c>
      <c r="P1063">
        <v>0</v>
      </c>
      <c r="Q1063">
        <v>0</v>
      </c>
      <c r="R1063">
        <v>2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 t="s">
        <v>31</v>
      </c>
      <c r="Z1063">
        <v>55</v>
      </c>
      <c r="AA1063">
        <v>0</v>
      </c>
    </row>
    <row r="1064" spans="1:27" x14ac:dyDescent="0.2">
      <c r="A1064" t="s">
        <v>1527</v>
      </c>
      <c r="B1064">
        <v>2023</v>
      </c>
      <c r="C1064">
        <v>126850029</v>
      </c>
      <c r="D1064" t="s">
        <v>1588</v>
      </c>
      <c r="E1064" t="s">
        <v>29</v>
      </c>
      <c r="F1064" t="s">
        <v>30</v>
      </c>
      <c r="G1064">
        <v>102</v>
      </c>
      <c r="H1064">
        <v>0</v>
      </c>
      <c r="I1064">
        <v>236</v>
      </c>
      <c r="J1064">
        <v>4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 t="s">
        <v>31</v>
      </c>
      <c r="Z1064">
        <v>55</v>
      </c>
      <c r="AA1064">
        <v>0</v>
      </c>
    </row>
    <row r="1065" spans="1:27" x14ac:dyDescent="0.2">
      <c r="A1065" t="s">
        <v>600</v>
      </c>
      <c r="B1065">
        <v>2021</v>
      </c>
      <c r="C1065" s="2" t="s">
        <v>1589</v>
      </c>
      <c r="D1065" t="s">
        <v>1590</v>
      </c>
      <c r="E1065" t="s">
        <v>29</v>
      </c>
      <c r="F1065" t="s">
        <v>30</v>
      </c>
      <c r="G1065">
        <v>5</v>
      </c>
      <c r="H1065">
        <v>0</v>
      </c>
      <c r="I1065">
        <v>7</v>
      </c>
      <c r="J1065">
        <v>0</v>
      </c>
      <c r="K1065">
        <v>6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 t="s">
        <v>51</v>
      </c>
      <c r="Z1065">
        <v>1000</v>
      </c>
      <c r="AA1065">
        <v>0</v>
      </c>
    </row>
    <row r="1066" spans="1:27" x14ac:dyDescent="0.2">
      <c r="A1066" t="s">
        <v>600</v>
      </c>
      <c r="B1066">
        <v>2021</v>
      </c>
      <c r="C1066" s="2" t="s">
        <v>1591</v>
      </c>
      <c r="D1066" t="s">
        <v>1592</v>
      </c>
      <c r="E1066" t="s">
        <v>29</v>
      </c>
      <c r="F1066" t="s">
        <v>30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 t="s">
        <v>31</v>
      </c>
      <c r="Z1066">
        <v>1000</v>
      </c>
      <c r="AA1066">
        <v>121</v>
      </c>
    </row>
    <row r="1067" spans="1:27" x14ac:dyDescent="0.2">
      <c r="A1067" t="s">
        <v>600</v>
      </c>
      <c r="B1067">
        <v>2021</v>
      </c>
      <c r="C1067">
        <v>2800005</v>
      </c>
      <c r="D1067" t="s">
        <v>1593</v>
      </c>
      <c r="E1067" t="s">
        <v>29</v>
      </c>
      <c r="F1067" t="s">
        <v>30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 t="s">
        <v>31</v>
      </c>
      <c r="Z1067">
        <v>1000</v>
      </c>
      <c r="AA1067">
        <v>0</v>
      </c>
    </row>
    <row r="1068" spans="1:27" x14ac:dyDescent="0.2">
      <c r="A1068" t="s">
        <v>600</v>
      </c>
      <c r="B1068">
        <v>2021</v>
      </c>
      <c r="C1068">
        <v>3505008</v>
      </c>
      <c r="D1068" t="s">
        <v>1594</v>
      </c>
      <c r="E1068" t="s">
        <v>29</v>
      </c>
      <c r="F1068" t="s">
        <v>30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58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 t="s">
        <v>51</v>
      </c>
      <c r="Z1068">
        <v>1000</v>
      </c>
      <c r="AA1068">
        <v>0</v>
      </c>
    </row>
    <row r="1069" spans="1:27" x14ac:dyDescent="0.2">
      <c r="A1069" t="s">
        <v>600</v>
      </c>
      <c r="B1069">
        <v>2021</v>
      </c>
      <c r="C1069">
        <v>3521022</v>
      </c>
      <c r="D1069" t="s">
        <v>1595</v>
      </c>
      <c r="E1069" t="s">
        <v>29</v>
      </c>
      <c r="F1069" t="s">
        <v>30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16</v>
      </c>
      <c r="T1069">
        <v>0</v>
      </c>
      <c r="U1069">
        <v>11</v>
      </c>
      <c r="V1069">
        <v>0</v>
      </c>
      <c r="W1069">
        <v>0</v>
      </c>
      <c r="X1069">
        <v>0</v>
      </c>
      <c r="Y1069" t="s">
        <v>31</v>
      </c>
      <c r="Z1069">
        <v>1000</v>
      </c>
      <c r="AA1069">
        <v>0</v>
      </c>
    </row>
    <row r="1070" spans="1:27" x14ac:dyDescent="0.2">
      <c r="A1070" t="s">
        <v>600</v>
      </c>
      <c r="B1070">
        <v>2021</v>
      </c>
      <c r="C1070" s="2" t="s">
        <v>964</v>
      </c>
      <c r="D1070" t="s">
        <v>1596</v>
      </c>
      <c r="E1070" t="s">
        <v>29</v>
      </c>
      <c r="F1070" t="s">
        <v>30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7</v>
      </c>
      <c r="X1070">
        <v>0</v>
      </c>
      <c r="Y1070" t="s">
        <v>51</v>
      </c>
      <c r="Z1070">
        <v>1000</v>
      </c>
      <c r="AA1070">
        <v>0</v>
      </c>
    </row>
    <row r="1071" spans="1:27" x14ac:dyDescent="0.2">
      <c r="A1071" t="s">
        <v>928</v>
      </c>
      <c r="B1071">
        <v>2021</v>
      </c>
      <c r="C1071" t="s">
        <v>1597</v>
      </c>
      <c r="D1071" t="s">
        <v>1598</v>
      </c>
      <c r="E1071" t="s">
        <v>29</v>
      </c>
      <c r="F1071" t="s">
        <v>41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 t="s">
        <v>51</v>
      </c>
      <c r="Z1071">
        <v>50</v>
      </c>
      <c r="AA1071">
        <v>0</v>
      </c>
    </row>
    <row r="1072" spans="1:27" x14ac:dyDescent="0.2">
      <c r="A1072" t="s">
        <v>928</v>
      </c>
      <c r="B1072">
        <v>2021</v>
      </c>
      <c r="C1072" t="s">
        <v>1599</v>
      </c>
      <c r="D1072" t="s">
        <v>1600</v>
      </c>
      <c r="E1072" t="s">
        <v>29</v>
      </c>
      <c r="F1072" t="s">
        <v>41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1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 t="s">
        <v>51</v>
      </c>
      <c r="Z1072">
        <v>50</v>
      </c>
      <c r="AA1072">
        <v>0</v>
      </c>
    </row>
    <row r="1073" spans="1:27" x14ac:dyDescent="0.2">
      <c r="A1073" t="s">
        <v>1601</v>
      </c>
      <c r="B1073">
        <v>2020</v>
      </c>
      <c r="C1073" t="s">
        <v>1602</v>
      </c>
      <c r="D1073" t="s">
        <v>1603</v>
      </c>
      <c r="E1073" t="s">
        <v>29</v>
      </c>
      <c r="F1073" t="s">
        <v>30</v>
      </c>
      <c r="G1073">
        <v>0</v>
      </c>
      <c r="H1073">
        <v>0</v>
      </c>
      <c r="I1073">
        <v>13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 t="s">
        <v>31</v>
      </c>
      <c r="Z1073">
        <v>55</v>
      </c>
      <c r="AA1073">
        <v>0</v>
      </c>
    </row>
    <row r="1074" spans="1:27" x14ac:dyDescent="0.2">
      <c r="A1074" t="s">
        <v>1051</v>
      </c>
      <c r="B1074">
        <v>2020</v>
      </c>
      <c r="C1074">
        <v>23304300020000</v>
      </c>
      <c r="D1074" t="s">
        <v>1053</v>
      </c>
      <c r="E1074" t="s">
        <v>29</v>
      </c>
      <c r="F1074" t="s">
        <v>30</v>
      </c>
      <c r="G1074">
        <v>110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 t="s">
        <v>31</v>
      </c>
      <c r="Z1074">
        <v>55</v>
      </c>
      <c r="AA1074">
        <v>0</v>
      </c>
    </row>
    <row r="1075" spans="1:27" x14ac:dyDescent="0.2">
      <c r="A1075" t="s">
        <v>1604</v>
      </c>
      <c r="B1075">
        <v>2018</v>
      </c>
      <c r="C1075" t="s">
        <v>1605</v>
      </c>
      <c r="D1075" t="s">
        <v>1606</v>
      </c>
      <c r="E1075" t="s">
        <v>29</v>
      </c>
      <c r="F1075" t="s">
        <v>30</v>
      </c>
      <c r="G1075">
        <v>15</v>
      </c>
      <c r="H1075">
        <v>0</v>
      </c>
      <c r="I1075">
        <v>15</v>
      </c>
      <c r="J1075">
        <v>0</v>
      </c>
      <c r="K1075">
        <v>0</v>
      </c>
      <c r="L1075">
        <v>1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 t="s">
        <v>31</v>
      </c>
      <c r="Z1075">
        <v>45</v>
      </c>
      <c r="AA1075">
        <v>0</v>
      </c>
    </row>
    <row r="1076" spans="1:27" x14ac:dyDescent="0.2">
      <c r="A1076" t="s">
        <v>1057</v>
      </c>
      <c r="B1076">
        <v>2022</v>
      </c>
      <c r="C1076">
        <v>13200501610000</v>
      </c>
      <c r="D1076" t="s">
        <v>1175</v>
      </c>
      <c r="E1076" t="s">
        <v>29</v>
      </c>
      <c r="F1076" t="s">
        <v>30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10</v>
      </c>
      <c r="N1076">
        <v>0</v>
      </c>
      <c r="O1076">
        <v>37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 t="s">
        <v>31</v>
      </c>
      <c r="Z1076">
        <v>55</v>
      </c>
      <c r="AA1076">
        <v>0</v>
      </c>
    </row>
    <row r="1077" spans="1:27" ht="68" x14ac:dyDescent="0.2">
      <c r="A1077" t="s">
        <v>1541</v>
      </c>
      <c r="B1077">
        <v>2023</v>
      </c>
      <c r="C1077" t="s">
        <v>1542</v>
      </c>
      <c r="D1077" s="1" t="s">
        <v>1607</v>
      </c>
      <c r="E1077" t="s">
        <v>29</v>
      </c>
      <c r="F1077" t="s">
        <v>30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10</v>
      </c>
      <c r="P1077">
        <v>0</v>
      </c>
      <c r="Q1077">
        <v>14</v>
      </c>
      <c r="R1077">
        <v>0</v>
      </c>
      <c r="S1077">
        <v>0</v>
      </c>
      <c r="T1077">
        <v>0</v>
      </c>
      <c r="U1077">
        <v>10</v>
      </c>
      <c r="V1077">
        <v>0</v>
      </c>
      <c r="W1077">
        <v>14</v>
      </c>
      <c r="X1077">
        <v>0</v>
      </c>
      <c r="Y1077" t="s">
        <v>31</v>
      </c>
      <c r="Z1077">
        <v>55</v>
      </c>
      <c r="AA1077">
        <v>10</v>
      </c>
    </row>
    <row r="1078" spans="1:27" ht="68" x14ac:dyDescent="0.2">
      <c r="A1078" t="s">
        <v>1541</v>
      </c>
      <c r="B1078">
        <v>2023</v>
      </c>
      <c r="C1078" t="s">
        <v>1542</v>
      </c>
      <c r="D1078" s="1" t="s">
        <v>1608</v>
      </c>
      <c r="E1078" t="s">
        <v>29</v>
      </c>
      <c r="F1078" t="s">
        <v>30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9</v>
      </c>
      <c r="P1078">
        <v>0</v>
      </c>
      <c r="Q1078">
        <v>14</v>
      </c>
      <c r="R1078">
        <v>0</v>
      </c>
      <c r="S1078">
        <v>0</v>
      </c>
      <c r="T1078">
        <v>0</v>
      </c>
      <c r="U1078">
        <v>9</v>
      </c>
      <c r="V1078">
        <v>0</v>
      </c>
      <c r="W1078">
        <v>14</v>
      </c>
      <c r="X1078">
        <v>0</v>
      </c>
      <c r="Y1078" t="s">
        <v>31</v>
      </c>
      <c r="Z1078">
        <v>55</v>
      </c>
      <c r="AA1078">
        <v>10</v>
      </c>
    </row>
    <row r="1079" spans="1:27" x14ac:dyDescent="0.2">
      <c r="A1079" t="s">
        <v>1609</v>
      </c>
      <c r="B1079">
        <v>2022</v>
      </c>
      <c r="C1079">
        <v>1546102</v>
      </c>
      <c r="D1079" t="s">
        <v>1610</v>
      </c>
      <c r="E1079" t="s">
        <v>29</v>
      </c>
      <c r="F1079" t="s">
        <v>41</v>
      </c>
      <c r="G1079">
        <v>4</v>
      </c>
      <c r="H1079">
        <v>0</v>
      </c>
      <c r="I1079">
        <v>3</v>
      </c>
      <c r="J1079">
        <v>0</v>
      </c>
      <c r="K1079">
        <v>0</v>
      </c>
      <c r="L1079">
        <v>0</v>
      </c>
      <c r="M1079">
        <v>4</v>
      </c>
      <c r="N1079">
        <v>0</v>
      </c>
      <c r="O1079">
        <v>3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 t="s">
        <v>51</v>
      </c>
      <c r="Z1079">
        <v>55</v>
      </c>
      <c r="AA1079">
        <v>0</v>
      </c>
    </row>
    <row r="1080" spans="1:27" x14ac:dyDescent="0.2">
      <c r="A1080" t="s">
        <v>1611</v>
      </c>
      <c r="B1080">
        <v>2023</v>
      </c>
      <c r="C1080" t="s">
        <v>1612</v>
      </c>
      <c r="D1080" t="s">
        <v>1613</v>
      </c>
      <c r="E1080" t="s">
        <v>29</v>
      </c>
      <c r="F1080" t="s">
        <v>30</v>
      </c>
      <c r="G1080">
        <v>0</v>
      </c>
      <c r="H1080">
        <v>0</v>
      </c>
      <c r="I1080">
        <v>9</v>
      </c>
      <c r="J1080">
        <v>0</v>
      </c>
      <c r="K1080">
        <v>79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 t="s">
        <v>31</v>
      </c>
      <c r="Z1080">
        <v>55</v>
      </c>
      <c r="AA1080">
        <v>0</v>
      </c>
    </row>
    <row r="1081" spans="1:27" x14ac:dyDescent="0.2">
      <c r="A1081" t="s">
        <v>278</v>
      </c>
      <c r="B1081">
        <v>2020</v>
      </c>
      <c r="C1081" t="s">
        <v>1614</v>
      </c>
      <c r="D1081" t="s">
        <v>1615</v>
      </c>
      <c r="E1081" t="s">
        <v>29</v>
      </c>
      <c r="F1081" t="s">
        <v>30</v>
      </c>
      <c r="G1081">
        <v>0</v>
      </c>
      <c r="H1081">
        <v>0</v>
      </c>
      <c r="I1081">
        <v>27</v>
      </c>
      <c r="J1081">
        <v>0</v>
      </c>
      <c r="K1081">
        <v>41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 t="s">
        <v>51</v>
      </c>
      <c r="Z1081">
        <v>1000</v>
      </c>
      <c r="AA1081">
        <v>0</v>
      </c>
    </row>
    <row r="1082" spans="1:27" x14ac:dyDescent="0.2">
      <c r="A1082" t="s">
        <v>278</v>
      </c>
      <c r="B1082">
        <v>2020</v>
      </c>
      <c r="C1082" t="s">
        <v>1616</v>
      </c>
      <c r="D1082" t="s">
        <v>1617</v>
      </c>
      <c r="E1082" t="s">
        <v>29</v>
      </c>
      <c r="F1082" t="s">
        <v>30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16</v>
      </c>
      <c r="V1082">
        <v>0</v>
      </c>
      <c r="W1082">
        <v>0</v>
      </c>
      <c r="X1082">
        <v>0</v>
      </c>
      <c r="Y1082" t="s">
        <v>51</v>
      </c>
      <c r="Z1082">
        <v>55</v>
      </c>
      <c r="AA1082">
        <v>0</v>
      </c>
    </row>
    <row r="1083" spans="1:27" x14ac:dyDescent="0.2">
      <c r="A1083" t="s">
        <v>75</v>
      </c>
      <c r="B1083">
        <v>2020</v>
      </c>
      <c r="C1083" t="s">
        <v>956</v>
      </c>
      <c r="D1083" t="s">
        <v>1618</v>
      </c>
      <c r="E1083" t="s">
        <v>29</v>
      </c>
      <c r="F1083" t="s">
        <v>30</v>
      </c>
      <c r="G1083">
        <v>0</v>
      </c>
      <c r="H1083">
        <v>1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1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 t="s">
        <v>31</v>
      </c>
      <c r="Z1083">
        <v>55</v>
      </c>
      <c r="AA1083">
        <v>0</v>
      </c>
    </row>
    <row r="1084" spans="1:27" x14ac:dyDescent="0.2">
      <c r="A1084" t="s">
        <v>75</v>
      </c>
      <c r="B1084">
        <v>2020</v>
      </c>
      <c r="C1084" t="s">
        <v>956</v>
      </c>
      <c r="D1084" t="s">
        <v>456</v>
      </c>
      <c r="E1084" t="s">
        <v>29</v>
      </c>
      <c r="F1084" t="s">
        <v>30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1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 t="s">
        <v>31</v>
      </c>
      <c r="Z1084">
        <v>55</v>
      </c>
      <c r="AA1084">
        <v>0</v>
      </c>
    </row>
    <row r="1085" spans="1:27" x14ac:dyDescent="0.2">
      <c r="A1085" t="s">
        <v>75</v>
      </c>
      <c r="B1085">
        <v>2020</v>
      </c>
      <c r="C1085" t="s">
        <v>956</v>
      </c>
      <c r="D1085" t="s">
        <v>1619</v>
      </c>
      <c r="E1085" t="s">
        <v>29</v>
      </c>
      <c r="F1085" t="s">
        <v>30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18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 t="s">
        <v>31</v>
      </c>
      <c r="Z1085">
        <v>55</v>
      </c>
      <c r="AA1085">
        <v>0</v>
      </c>
    </row>
    <row r="1086" spans="1:27" x14ac:dyDescent="0.2">
      <c r="A1086" t="s">
        <v>1316</v>
      </c>
      <c r="B1086">
        <v>2022</v>
      </c>
      <c r="C1086" t="s">
        <v>1620</v>
      </c>
      <c r="D1086" t="s">
        <v>1621</v>
      </c>
      <c r="E1086" t="s">
        <v>29</v>
      </c>
      <c r="F1086" t="s">
        <v>30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16</v>
      </c>
      <c r="T1086">
        <v>0</v>
      </c>
      <c r="U1086">
        <v>1</v>
      </c>
      <c r="V1086">
        <v>0</v>
      </c>
      <c r="W1086">
        <v>11</v>
      </c>
      <c r="X1086">
        <v>0</v>
      </c>
      <c r="Y1086" t="s">
        <v>31</v>
      </c>
      <c r="Z1086">
        <v>55</v>
      </c>
      <c r="AA1086">
        <v>25</v>
      </c>
    </row>
    <row r="1087" spans="1:27" x14ac:dyDescent="0.2">
      <c r="A1087" t="s">
        <v>1316</v>
      </c>
      <c r="B1087">
        <v>2022</v>
      </c>
      <c r="C1087" t="s">
        <v>1322</v>
      </c>
      <c r="D1087" t="s">
        <v>1622</v>
      </c>
      <c r="E1087" t="s">
        <v>29</v>
      </c>
      <c r="F1087" t="s">
        <v>30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18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 t="s">
        <v>31</v>
      </c>
      <c r="Z1087">
        <v>1000</v>
      </c>
      <c r="AA1087">
        <v>35</v>
      </c>
    </row>
    <row r="1088" spans="1:27" x14ac:dyDescent="0.2">
      <c r="A1088" t="s">
        <v>1316</v>
      </c>
      <c r="B1088">
        <v>2022</v>
      </c>
      <c r="C1088" t="s">
        <v>1322</v>
      </c>
      <c r="D1088" t="s">
        <v>1623</v>
      </c>
      <c r="E1088" t="s">
        <v>29</v>
      </c>
      <c r="F1088" t="s">
        <v>30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18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 t="s">
        <v>31</v>
      </c>
      <c r="Z1088">
        <v>1000</v>
      </c>
      <c r="AA1088">
        <v>35</v>
      </c>
    </row>
    <row r="1089" spans="1:27" x14ac:dyDescent="0.2">
      <c r="A1089" t="s">
        <v>1624</v>
      </c>
      <c r="B1089">
        <v>2023</v>
      </c>
      <c r="C1089" t="s">
        <v>1625</v>
      </c>
      <c r="D1089" t="s">
        <v>1626</v>
      </c>
      <c r="E1089" t="s">
        <v>29</v>
      </c>
      <c r="F1089" t="s">
        <v>41</v>
      </c>
      <c r="G1089">
        <v>3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 t="s">
        <v>31</v>
      </c>
      <c r="AA1089">
        <v>42.5</v>
      </c>
    </row>
    <row r="1090" spans="1:27" x14ac:dyDescent="0.2">
      <c r="A1090" t="s">
        <v>928</v>
      </c>
      <c r="B1090">
        <v>2021</v>
      </c>
      <c r="C1090" t="s">
        <v>1627</v>
      </c>
      <c r="D1090" t="s">
        <v>1628</v>
      </c>
      <c r="E1090" t="s">
        <v>29</v>
      </c>
      <c r="F1090" t="s">
        <v>41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1</v>
      </c>
      <c r="V1090">
        <v>0</v>
      </c>
      <c r="W1090">
        <v>0</v>
      </c>
      <c r="X1090">
        <v>0</v>
      </c>
      <c r="Y1090" t="s">
        <v>51</v>
      </c>
      <c r="Z1090">
        <v>50</v>
      </c>
      <c r="AA1090">
        <v>0</v>
      </c>
    </row>
    <row r="1091" spans="1:27" x14ac:dyDescent="0.2">
      <c r="A1091" t="s">
        <v>928</v>
      </c>
      <c r="B1091">
        <v>2021</v>
      </c>
      <c r="C1091" t="s">
        <v>1629</v>
      </c>
      <c r="D1091" t="s">
        <v>1572</v>
      </c>
      <c r="E1091" t="s">
        <v>29</v>
      </c>
      <c r="F1091" t="s">
        <v>41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1</v>
      </c>
      <c r="V1091">
        <v>0</v>
      </c>
      <c r="W1091">
        <v>0</v>
      </c>
      <c r="X1091">
        <v>0</v>
      </c>
      <c r="Y1091" t="s">
        <v>51</v>
      </c>
      <c r="Z1091">
        <v>50</v>
      </c>
      <c r="AA1091">
        <v>0</v>
      </c>
    </row>
    <row r="1092" spans="1:27" x14ac:dyDescent="0.2">
      <c r="A1092" t="s">
        <v>928</v>
      </c>
      <c r="B1092">
        <v>2021</v>
      </c>
      <c r="C1092" t="s">
        <v>1404</v>
      </c>
      <c r="D1092" t="s">
        <v>1405</v>
      </c>
      <c r="E1092" t="s">
        <v>29</v>
      </c>
      <c r="F1092" t="s">
        <v>41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1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 t="s">
        <v>51</v>
      </c>
      <c r="Z1092">
        <v>50</v>
      </c>
      <c r="AA1092">
        <v>0</v>
      </c>
    </row>
    <row r="1093" spans="1:27" x14ac:dyDescent="0.2">
      <c r="A1093" t="s">
        <v>75</v>
      </c>
      <c r="B1093">
        <v>2020</v>
      </c>
      <c r="C1093" t="s">
        <v>956</v>
      </c>
      <c r="D1093" t="s">
        <v>247</v>
      </c>
      <c r="E1093" t="s">
        <v>29</v>
      </c>
      <c r="F1093" t="s">
        <v>30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2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 t="s">
        <v>31</v>
      </c>
      <c r="Z1093">
        <v>55</v>
      </c>
      <c r="AA1093">
        <v>0</v>
      </c>
    </row>
    <row r="1094" spans="1:27" x14ac:dyDescent="0.2">
      <c r="A1094" t="s">
        <v>75</v>
      </c>
      <c r="B1094">
        <v>2020</v>
      </c>
      <c r="C1094" t="s">
        <v>956</v>
      </c>
      <c r="D1094" t="s">
        <v>1630</v>
      </c>
      <c r="E1094" t="s">
        <v>29</v>
      </c>
      <c r="F1094" t="s">
        <v>30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 t="s">
        <v>31</v>
      </c>
      <c r="Z1094">
        <v>55</v>
      </c>
      <c r="AA1094">
        <v>0</v>
      </c>
    </row>
    <row r="1095" spans="1:27" x14ac:dyDescent="0.2">
      <c r="A1095" t="s">
        <v>75</v>
      </c>
      <c r="B1095">
        <v>2020</v>
      </c>
      <c r="C1095" t="s">
        <v>956</v>
      </c>
      <c r="D1095" t="s">
        <v>1631</v>
      </c>
      <c r="E1095" t="s">
        <v>29</v>
      </c>
      <c r="F1095" t="s">
        <v>30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73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 t="s">
        <v>31</v>
      </c>
      <c r="Z1095">
        <v>55</v>
      </c>
      <c r="AA1095">
        <v>0</v>
      </c>
    </row>
    <row r="1096" spans="1:27" x14ac:dyDescent="0.2">
      <c r="A1096" t="s">
        <v>75</v>
      </c>
      <c r="B1096">
        <v>2020</v>
      </c>
      <c r="C1096" t="s">
        <v>956</v>
      </c>
      <c r="D1096" t="s">
        <v>1632</v>
      </c>
      <c r="E1096" t="s">
        <v>29</v>
      </c>
      <c r="F1096" t="s">
        <v>30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26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 t="s">
        <v>31</v>
      </c>
      <c r="Z1096">
        <v>55</v>
      </c>
      <c r="AA1096">
        <v>0</v>
      </c>
    </row>
    <row r="1097" spans="1:27" x14ac:dyDescent="0.2">
      <c r="A1097" t="s">
        <v>75</v>
      </c>
      <c r="B1097">
        <v>2020</v>
      </c>
      <c r="C1097" t="s">
        <v>956</v>
      </c>
      <c r="D1097" t="s">
        <v>1633</v>
      </c>
      <c r="E1097" t="s">
        <v>29</v>
      </c>
      <c r="F1097" t="s">
        <v>30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4</v>
      </c>
      <c r="N1097">
        <v>0</v>
      </c>
      <c r="O1097">
        <v>0</v>
      </c>
      <c r="P1097">
        <v>0</v>
      </c>
      <c r="Q1097">
        <v>3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 t="s">
        <v>31</v>
      </c>
      <c r="Z1097">
        <v>55</v>
      </c>
      <c r="AA1097">
        <v>0</v>
      </c>
    </row>
    <row r="1098" spans="1:27" x14ac:dyDescent="0.2">
      <c r="A1098" t="s">
        <v>75</v>
      </c>
      <c r="B1098">
        <v>2020</v>
      </c>
      <c r="C1098" t="s">
        <v>956</v>
      </c>
      <c r="D1098" t="s">
        <v>151</v>
      </c>
      <c r="E1098" t="s">
        <v>29</v>
      </c>
      <c r="F1098" t="s">
        <v>30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64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 t="s">
        <v>31</v>
      </c>
      <c r="Z1098">
        <v>55</v>
      </c>
      <c r="AA1098">
        <v>0</v>
      </c>
    </row>
    <row r="1099" spans="1:27" x14ac:dyDescent="0.2">
      <c r="A1099" t="s">
        <v>75</v>
      </c>
      <c r="B1099">
        <v>2020</v>
      </c>
      <c r="C1099" t="s">
        <v>956</v>
      </c>
      <c r="D1099" t="s">
        <v>1634</v>
      </c>
      <c r="E1099" t="s">
        <v>29</v>
      </c>
      <c r="F1099" t="s">
        <v>30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190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 t="s">
        <v>31</v>
      </c>
      <c r="Z1099">
        <v>55</v>
      </c>
      <c r="AA1099">
        <v>0</v>
      </c>
    </row>
    <row r="1100" spans="1:27" x14ac:dyDescent="0.2">
      <c r="A1100" t="s">
        <v>75</v>
      </c>
      <c r="B1100">
        <v>2020</v>
      </c>
      <c r="C1100" t="s">
        <v>956</v>
      </c>
      <c r="D1100" t="s">
        <v>1635</v>
      </c>
      <c r="E1100" t="s">
        <v>29</v>
      </c>
      <c r="F1100" t="s">
        <v>30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24</v>
      </c>
      <c r="N1100">
        <v>0</v>
      </c>
      <c r="O1100">
        <v>168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 t="s">
        <v>31</v>
      </c>
      <c r="Z1100">
        <v>55</v>
      </c>
      <c r="AA1100">
        <v>0</v>
      </c>
    </row>
    <row r="1101" spans="1:27" x14ac:dyDescent="0.2">
      <c r="A1101" t="s">
        <v>75</v>
      </c>
      <c r="B1101">
        <v>2020</v>
      </c>
      <c r="C1101" t="s">
        <v>956</v>
      </c>
      <c r="D1101" t="s">
        <v>273</v>
      </c>
      <c r="E1101" t="s">
        <v>29</v>
      </c>
      <c r="F1101" t="s">
        <v>30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1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 t="s">
        <v>31</v>
      </c>
      <c r="Z1101">
        <v>55</v>
      </c>
      <c r="AA1101">
        <v>0</v>
      </c>
    </row>
    <row r="1102" spans="1:27" x14ac:dyDescent="0.2">
      <c r="A1102" t="s">
        <v>75</v>
      </c>
      <c r="B1102">
        <v>2020</v>
      </c>
      <c r="C1102" t="s">
        <v>956</v>
      </c>
      <c r="D1102" t="s">
        <v>1636</v>
      </c>
      <c r="E1102" t="s">
        <v>29</v>
      </c>
      <c r="F1102" t="s">
        <v>30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39</v>
      </c>
      <c r="N1102">
        <v>0</v>
      </c>
      <c r="O1102">
        <v>62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 t="s">
        <v>31</v>
      </c>
      <c r="Z1102">
        <v>55</v>
      </c>
      <c r="AA1102">
        <v>0</v>
      </c>
    </row>
    <row r="1103" spans="1:27" x14ac:dyDescent="0.2">
      <c r="A1103" t="s">
        <v>1637</v>
      </c>
      <c r="B1103">
        <v>2023</v>
      </c>
      <c r="C1103" t="s">
        <v>1638</v>
      </c>
      <c r="D1103" t="s">
        <v>1639</v>
      </c>
      <c r="E1103" t="s">
        <v>29</v>
      </c>
      <c r="F1103" t="s">
        <v>41</v>
      </c>
      <c r="G1103">
        <v>0</v>
      </c>
      <c r="H1103">
        <v>0</v>
      </c>
      <c r="I1103">
        <v>3</v>
      </c>
      <c r="J1103">
        <v>0</v>
      </c>
      <c r="K1103">
        <v>3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 t="s">
        <v>31</v>
      </c>
      <c r="Z1103">
        <v>1000</v>
      </c>
      <c r="AA1103">
        <v>0</v>
      </c>
    </row>
    <row r="1104" spans="1:27" x14ac:dyDescent="0.2">
      <c r="A1104" t="s">
        <v>409</v>
      </c>
      <c r="B1104">
        <v>2023</v>
      </c>
      <c r="C1104" t="s">
        <v>1640</v>
      </c>
      <c r="D1104" t="s">
        <v>1641</v>
      </c>
      <c r="E1104" t="s">
        <v>29</v>
      </c>
      <c r="F1104" t="s">
        <v>30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4</v>
      </c>
      <c r="O1104">
        <v>2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 t="s">
        <v>51</v>
      </c>
      <c r="Z1104">
        <v>0</v>
      </c>
      <c r="AA1104">
        <v>0</v>
      </c>
    </row>
    <row r="1105" spans="1:27" x14ac:dyDescent="0.2">
      <c r="A1105" t="s">
        <v>353</v>
      </c>
      <c r="B1105">
        <v>2018</v>
      </c>
      <c r="C1105">
        <v>2033511200</v>
      </c>
      <c r="D1105" t="s">
        <v>1642</v>
      </c>
      <c r="E1105" t="s">
        <v>29</v>
      </c>
      <c r="F1105" t="s">
        <v>30</v>
      </c>
      <c r="G1105">
        <v>0</v>
      </c>
      <c r="H1105">
        <v>0</v>
      </c>
      <c r="I1105">
        <v>2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 t="s">
        <v>51</v>
      </c>
      <c r="AA1105">
        <v>0</v>
      </c>
    </row>
    <row r="1106" spans="1:27" x14ac:dyDescent="0.2">
      <c r="A1106" t="s">
        <v>1077</v>
      </c>
      <c r="B1106">
        <v>2022</v>
      </c>
      <c r="C1106">
        <v>2364601500</v>
      </c>
      <c r="D1106" t="s">
        <v>1643</v>
      </c>
      <c r="E1106" t="s">
        <v>29</v>
      </c>
      <c r="F1106" t="s">
        <v>30</v>
      </c>
      <c r="G1106">
        <v>5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 t="s">
        <v>31</v>
      </c>
      <c r="Z1106">
        <v>55</v>
      </c>
      <c r="AA1106">
        <v>50</v>
      </c>
    </row>
    <row r="1107" spans="1:27" x14ac:dyDescent="0.2">
      <c r="A1107" t="s">
        <v>1077</v>
      </c>
      <c r="B1107">
        <v>2022</v>
      </c>
      <c r="C1107">
        <v>2361721500</v>
      </c>
      <c r="D1107" t="s">
        <v>1644</v>
      </c>
      <c r="E1107" t="s">
        <v>29</v>
      </c>
      <c r="F1107" t="s">
        <v>30</v>
      </c>
      <c r="G1107">
        <v>6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 t="s">
        <v>31</v>
      </c>
      <c r="Z1107">
        <v>55</v>
      </c>
      <c r="AA1107">
        <v>50</v>
      </c>
    </row>
    <row r="1108" spans="1:27" x14ac:dyDescent="0.2">
      <c r="A1108" t="s">
        <v>1515</v>
      </c>
      <c r="B1108">
        <v>2023</v>
      </c>
      <c r="C1108">
        <v>1620023030</v>
      </c>
      <c r="D1108" t="s">
        <v>1645</v>
      </c>
      <c r="E1108" t="s">
        <v>29</v>
      </c>
      <c r="F1108" t="s">
        <v>30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6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 t="s">
        <v>31</v>
      </c>
      <c r="Z1108">
        <v>55</v>
      </c>
      <c r="AA1108">
        <v>0</v>
      </c>
    </row>
    <row r="1109" spans="1:27" x14ac:dyDescent="0.2">
      <c r="A1109" t="s">
        <v>1515</v>
      </c>
      <c r="B1109">
        <v>2023</v>
      </c>
      <c r="C1109">
        <v>1620023030</v>
      </c>
      <c r="D1109" t="s">
        <v>1646</v>
      </c>
      <c r="E1109" t="s">
        <v>29</v>
      </c>
      <c r="F1109" t="s">
        <v>30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5</v>
      </c>
      <c r="N1109">
        <v>0</v>
      </c>
      <c r="O1109">
        <v>23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 t="s">
        <v>31</v>
      </c>
      <c r="Z1109">
        <v>55</v>
      </c>
      <c r="AA1109">
        <v>0</v>
      </c>
    </row>
    <row r="1110" spans="1:27" x14ac:dyDescent="0.2">
      <c r="A1110" t="s">
        <v>1241</v>
      </c>
      <c r="B1110">
        <v>2022</v>
      </c>
      <c r="C1110" t="s">
        <v>1647</v>
      </c>
      <c r="D1110" t="s">
        <v>1648</v>
      </c>
      <c r="E1110" t="s">
        <v>29</v>
      </c>
      <c r="F1110" t="s">
        <v>30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13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 t="s">
        <v>31</v>
      </c>
      <c r="Z1110">
        <v>55</v>
      </c>
      <c r="AA1110">
        <v>0</v>
      </c>
    </row>
    <row r="1111" spans="1:27" x14ac:dyDescent="0.2">
      <c r="A1111" t="s">
        <v>409</v>
      </c>
      <c r="B1111">
        <v>2023</v>
      </c>
      <c r="C1111" s="2" t="s">
        <v>790</v>
      </c>
      <c r="D1111" t="s">
        <v>791</v>
      </c>
      <c r="E1111" t="s">
        <v>29</v>
      </c>
      <c r="F1111" t="s">
        <v>30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10</v>
      </c>
      <c r="T1111">
        <v>0</v>
      </c>
      <c r="U1111">
        <v>0</v>
      </c>
      <c r="V1111">
        <v>0</v>
      </c>
      <c r="W1111">
        <v>0</v>
      </c>
      <c r="X1111">
        <v>0</v>
      </c>
      <c r="Y1111" t="s">
        <v>31</v>
      </c>
      <c r="Z1111">
        <v>55</v>
      </c>
      <c r="AA1111">
        <v>33</v>
      </c>
    </row>
    <row r="1112" spans="1:27" x14ac:dyDescent="0.2">
      <c r="A1112" t="s">
        <v>1500</v>
      </c>
      <c r="B1112">
        <v>2021</v>
      </c>
      <c r="C1112">
        <v>6086020063</v>
      </c>
      <c r="D1112" t="s">
        <v>1649</v>
      </c>
      <c r="E1112" t="s">
        <v>29</v>
      </c>
      <c r="F1112" t="s">
        <v>30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88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 t="s">
        <v>31</v>
      </c>
      <c r="Z1112">
        <v>55</v>
      </c>
      <c r="AA1112">
        <v>126</v>
      </c>
    </row>
    <row r="1113" spans="1:27" x14ac:dyDescent="0.2">
      <c r="A1113" t="s">
        <v>1500</v>
      </c>
      <c r="B1113">
        <v>2021</v>
      </c>
      <c r="C1113">
        <v>4057027007</v>
      </c>
      <c r="D1113" t="s">
        <v>1650</v>
      </c>
      <c r="E1113" t="s">
        <v>29</v>
      </c>
      <c r="F1113" t="s">
        <v>30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56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 t="s">
        <v>31</v>
      </c>
      <c r="Z1113">
        <v>55</v>
      </c>
      <c r="AA1113">
        <v>21</v>
      </c>
    </row>
    <row r="1114" spans="1:27" x14ac:dyDescent="0.2">
      <c r="A1114" t="s">
        <v>260</v>
      </c>
      <c r="B1114">
        <v>2018</v>
      </c>
      <c r="C1114" t="s">
        <v>1651</v>
      </c>
      <c r="D1114" t="s">
        <v>1652</v>
      </c>
      <c r="E1114" t="s">
        <v>29</v>
      </c>
      <c r="F1114" t="s">
        <v>30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6</v>
      </c>
      <c r="P1114">
        <v>27</v>
      </c>
      <c r="Q1114">
        <v>0</v>
      </c>
      <c r="R1114">
        <v>96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 t="s">
        <v>51</v>
      </c>
      <c r="Z1114">
        <v>1000</v>
      </c>
      <c r="AA1114">
        <v>0</v>
      </c>
    </row>
    <row r="1115" spans="1:27" x14ac:dyDescent="0.2">
      <c r="A1115" t="s">
        <v>1653</v>
      </c>
      <c r="B1115">
        <v>2018</v>
      </c>
      <c r="C1115">
        <v>8530007</v>
      </c>
      <c r="D1115" t="s">
        <v>1654</v>
      </c>
      <c r="E1115" t="s">
        <v>29</v>
      </c>
      <c r="F1115" t="s">
        <v>30</v>
      </c>
      <c r="G1115">
        <v>53</v>
      </c>
      <c r="H1115">
        <v>0</v>
      </c>
      <c r="I1115">
        <v>0</v>
      </c>
      <c r="J1115">
        <v>0</v>
      </c>
      <c r="K1115">
        <v>0</v>
      </c>
      <c r="L1115">
        <v>1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 t="s">
        <v>51</v>
      </c>
      <c r="Z1115">
        <v>55</v>
      </c>
      <c r="AA1115">
        <v>0</v>
      </c>
    </row>
    <row r="1116" spans="1:27" x14ac:dyDescent="0.2">
      <c r="A1116" t="s">
        <v>1653</v>
      </c>
      <c r="B1116">
        <v>2018</v>
      </c>
      <c r="D1116" t="s">
        <v>1655</v>
      </c>
      <c r="E1116" t="s">
        <v>29</v>
      </c>
      <c r="F1116" t="s">
        <v>41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1</v>
      </c>
      <c r="P1116">
        <v>0</v>
      </c>
      <c r="Q1116">
        <v>2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 t="s">
        <v>51</v>
      </c>
      <c r="AA1116">
        <v>0</v>
      </c>
    </row>
    <row r="1117" spans="1:27" x14ac:dyDescent="0.2">
      <c r="A1117" t="s">
        <v>1309</v>
      </c>
      <c r="B1117">
        <v>2021</v>
      </c>
      <c r="C1117" t="s">
        <v>1656</v>
      </c>
      <c r="E1117" t="s">
        <v>29</v>
      </c>
      <c r="F1117" t="s">
        <v>30</v>
      </c>
      <c r="G1117">
        <v>40</v>
      </c>
      <c r="H1117">
        <v>0</v>
      </c>
      <c r="I1117">
        <v>36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 t="s">
        <v>31</v>
      </c>
      <c r="AA1117">
        <v>0</v>
      </c>
    </row>
    <row r="1118" spans="1:27" x14ac:dyDescent="0.2">
      <c r="A1118" t="s">
        <v>753</v>
      </c>
      <c r="B1118">
        <v>2020</v>
      </c>
      <c r="C1118">
        <v>6440610900</v>
      </c>
      <c r="D1118" t="s">
        <v>1657</v>
      </c>
      <c r="E1118" t="s">
        <v>29</v>
      </c>
      <c r="F1118" t="s">
        <v>30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5</v>
      </c>
      <c r="X1118">
        <v>0</v>
      </c>
      <c r="Y1118" t="s">
        <v>51</v>
      </c>
      <c r="Z1118">
        <v>20</v>
      </c>
      <c r="AA1118">
        <v>0</v>
      </c>
    </row>
    <row r="1119" spans="1:27" x14ac:dyDescent="0.2">
      <c r="A1119" t="s">
        <v>75</v>
      </c>
      <c r="B1119">
        <v>2020</v>
      </c>
      <c r="C1119" t="s">
        <v>956</v>
      </c>
      <c r="D1119" t="s">
        <v>247</v>
      </c>
      <c r="E1119" t="s">
        <v>29</v>
      </c>
      <c r="F1119" t="s">
        <v>30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3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 t="s">
        <v>31</v>
      </c>
      <c r="Z1119">
        <v>55</v>
      </c>
      <c r="AA1119">
        <v>0</v>
      </c>
    </row>
    <row r="1120" spans="1:27" x14ac:dyDescent="0.2">
      <c r="A1120" t="s">
        <v>75</v>
      </c>
      <c r="B1120">
        <v>2020</v>
      </c>
      <c r="C1120" t="s">
        <v>956</v>
      </c>
      <c r="D1120" t="s">
        <v>335</v>
      </c>
      <c r="E1120" t="s">
        <v>29</v>
      </c>
      <c r="F1120" t="s">
        <v>30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1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 t="s">
        <v>31</v>
      </c>
      <c r="Z1120">
        <v>55</v>
      </c>
      <c r="AA1120">
        <v>0</v>
      </c>
    </row>
    <row r="1121" spans="1:27" x14ac:dyDescent="0.2">
      <c r="A1121" t="s">
        <v>1658</v>
      </c>
      <c r="B1121">
        <v>2018</v>
      </c>
      <c r="C1121" t="s">
        <v>1659</v>
      </c>
      <c r="D1121" t="s">
        <v>1660</v>
      </c>
      <c r="E1121" t="s">
        <v>29</v>
      </c>
      <c r="F1121" t="s">
        <v>30</v>
      </c>
      <c r="G1121">
        <v>3</v>
      </c>
      <c r="H1121">
        <v>0</v>
      </c>
      <c r="I1121">
        <v>3</v>
      </c>
      <c r="J1121">
        <v>0</v>
      </c>
      <c r="K1121">
        <v>0</v>
      </c>
      <c r="L1121">
        <v>26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 t="s">
        <v>51</v>
      </c>
      <c r="AA1121">
        <v>0</v>
      </c>
    </row>
    <row r="1122" spans="1:27" x14ac:dyDescent="0.2">
      <c r="A1122" t="s">
        <v>321</v>
      </c>
      <c r="B1122">
        <v>2021</v>
      </c>
      <c r="C1122" t="s">
        <v>1661</v>
      </c>
      <c r="D1122" t="s">
        <v>1662</v>
      </c>
      <c r="E1122" t="s">
        <v>29</v>
      </c>
      <c r="F1122" t="s">
        <v>41</v>
      </c>
      <c r="G1122">
        <v>2</v>
      </c>
      <c r="H1122">
        <v>0</v>
      </c>
      <c r="I1122">
        <v>1</v>
      </c>
      <c r="J1122">
        <v>0</v>
      </c>
      <c r="K1122">
        <v>3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 t="s">
        <v>51</v>
      </c>
      <c r="Z1122">
        <v>55</v>
      </c>
      <c r="AA1122">
        <v>0</v>
      </c>
    </row>
    <row r="1123" spans="1:27" x14ac:dyDescent="0.2">
      <c r="A1123" t="s">
        <v>321</v>
      </c>
      <c r="B1123">
        <v>2021</v>
      </c>
      <c r="C1123" t="s">
        <v>1663</v>
      </c>
      <c r="D1123" t="s">
        <v>1664</v>
      </c>
      <c r="E1123" t="s">
        <v>29</v>
      </c>
      <c r="F1123" t="s">
        <v>41</v>
      </c>
      <c r="G1123">
        <v>2</v>
      </c>
      <c r="H1123">
        <v>0</v>
      </c>
      <c r="I1123">
        <v>1</v>
      </c>
      <c r="J1123">
        <v>0</v>
      </c>
      <c r="K1123">
        <v>2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 t="s">
        <v>51</v>
      </c>
      <c r="Z1123">
        <v>55</v>
      </c>
      <c r="AA1123">
        <v>0</v>
      </c>
    </row>
    <row r="1124" spans="1:27" x14ac:dyDescent="0.2">
      <c r="A1124" t="s">
        <v>737</v>
      </c>
      <c r="B1124">
        <v>2020</v>
      </c>
      <c r="C1124" t="s">
        <v>1665</v>
      </c>
      <c r="D1124" t="s">
        <v>1666</v>
      </c>
      <c r="E1124" t="s">
        <v>29</v>
      </c>
      <c r="F1124" t="s">
        <v>41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3</v>
      </c>
      <c r="T1124">
        <v>0</v>
      </c>
      <c r="U1124">
        <v>0</v>
      </c>
      <c r="V1124">
        <v>0</v>
      </c>
      <c r="W1124">
        <v>0</v>
      </c>
      <c r="X1124">
        <v>0</v>
      </c>
      <c r="Y1124" t="s">
        <v>31</v>
      </c>
      <c r="Z1124">
        <v>30</v>
      </c>
      <c r="AA1124">
        <v>0</v>
      </c>
    </row>
    <row r="1125" spans="1:27" x14ac:dyDescent="0.2">
      <c r="A1125" t="s">
        <v>1667</v>
      </c>
      <c r="B1125">
        <v>2023</v>
      </c>
      <c r="C1125">
        <v>126164047</v>
      </c>
      <c r="D1125" t="s">
        <v>1668</v>
      </c>
      <c r="E1125" t="s">
        <v>29</v>
      </c>
      <c r="F1125" t="s">
        <v>30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15</v>
      </c>
      <c r="N1125">
        <v>0</v>
      </c>
      <c r="O1125">
        <v>15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 t="s">
        <v>31</v>
      </c>
      <c r="Z1125">
        <v>55</v>
      </c>
      <c r="AA1125">
        <v>39</v>
      </c>
    </row>
    <row r="1126" spans="1:27" x14ac:dyDescent="0.2">
      <c r="A1126" t="s">
        <v>1667</v>
      </c>
      <c r="B1126">
        <v>2023</v>
      </c>
      <c r="C1126">
        <v>126082008</v>
      </c>
      <c r="D1126" t="s">
        <v>1669</v>
      </c>
      <c r="E1126" t="s">
        <v>29</v>
      </c>
      <c r="F1126" t="s">
        <v>30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44</v>
      </c>
      <c r="N1126">
        <v>0</v>
      </c>
      <c r="O1126">
        <v>135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 t="s">
        <v>31</v>
      </c>
      <c r="Z1126">
        <v>55</v>
      </c>
      <c r="AA1126">
        <v>18</v>
      </c>
    </row>
    <row r="1127" spans="1:27" x14ac:dyDescent="0.2">
      <c r="A1127" t="s">
        <v>737</v>
      </c>
      <c r="B1127">
        <v>2020</v>
      </c>
      <c r="C1127" t="s">
        <v>765</v>
      </c>
      <c r="D1127" t="s">
        <v>1670</v>
      </c>
      <c r="E1127" t="s">
        <v>29</v>
      </c>
      <c r="F1127" t="s">
        <v>30</v>
      </c>
      <c r="G1127">
        <v>0</v>
      </c>
      <c r="H1127">
        <v>0</v>
      </c>
      <c r="I1127">
        <v>1</v>
      </c>
      <c r="J1127">
        <v>0</v>
      </c>
      <c r="K1127">
        <v>1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 t="s">
        <v>31</v>
      </c>
      <c r="Z1127">
        <v>55</v>
      </c>
      <c r="AA1127">
        <v>0</v>
      </c>
    </row>
    <row r="1128" spans="1:27" x14ac:dyDescent="0.2">
      <c r="A1128" t="s">
        <v>1309</v>
      </c>
      <c r="B1128">
        <v>2020</v>
      </c>
      <c r="C1128" t="s">
        <v>1656</v>
      </c>
      <c r="E1128" t="s">
        <v>29</v>
      </c>
      <c r="F1128" t="s">
        <v>30</v>
      </c>
      <c r="G1128">
        <v>40</v>
      </c>
      <c r="H1128">
        <v>0</v>
      </c>
      <c r="I1128">
        <v>36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 t="s">
        <v>31</v>
      </c>
      <c r="AA1128">
        <v>0</v>
      </c>
    </row>
    <row r="1129" spans="1:27" x14ac:dyDescent="0.2">
      <c r="A1129" t="s">
        <v>928</v>
      </c>
      <c r="B1129">
        <v>2021</v>
      </c>
      <c r="C1129" t="s">
        <v>1671</v>
      </c>
      <c r="D1129" t="s">
        <v>1672</v>
      </c>
      <c r="E1129" t="s">
        <v>29</v>
      </c>
      <c r="F1129" t="s">
        <v>41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1</v>
      </c>
      <c r="V1129">
        <v>0</v>
      </c>
      <c r="W1129">
        <v>0</v>
      </c>
      <c r="X1129">
        <v>0</v>
      </c>
      <c r="Y1129" t="s">
        <v>51</v>
      </c>
      <c r="Z1129">
        <v>50</v>
      </c>
      <c r="AA1129">
        <v>0</v>
      </c>
    </row>
    <row r="1130" spans="1:27" x14ac:dyDescent="0.2">
      <c r="A1130" t="s">
        <v>928</v>
      </c>
      <c r="B1130">
        <v>2021</v>
      </c>
      <c r="C1130" t="s">
        <v>1673</v>
      </c>
      <c r="D1130" t="s">
        <v>1498</v>
      </c>
      <c r="E1130" t="s">
        <v>29</v>
      </c>
      <c r="F1130" t="s">
        <v>41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 t="s">
        <v>51</v>
      </c>
      <c r="Z1130">
        <v>50</v>
      </c>
      <c r="AA1130">
        <v>0</v>
      </c>
    </row>
    <row r="1131" spans="1:27" x14ac:dyDescent="0.2">
      <c r="A1131" t="s">
        <v>928</v>
      </c>
      <c r="B1131">
        <v>2021</v>
      </c>
      <c r="C1131" t="s">
        <v>1674</v>
      </c>
      <c r="D1131" t="s">
        <v>1675</v>
      </c>
      <c r="E1131" t="s">
        <v>29</v>
      </c>
      <c r="F1131" t="s">
        <v>41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1</v>
      </c>
      <c r="T1131">
        <v>0</v>
      </c>
      <c r="U1131">
        <v>0</v>
      </c>
      <c r="V1131">
        <v>0</v>
      </c>
      <c r="W1131">
        <v>0</v>
      </c>
      <c r="X1131">
        <v>0</v>
      </c>
      <c r="Y1131" t="s">
        <v>51</v>
      </c>
      <c r="Z1131">
        <v>50</v>
      </c>
      <c r="AA1131">
        <v>0</v>
      </c>
    </row>
    <row r="1132" spans="1:27" x14ac:dyDescent="0.2">
      <c r="A1132" t="s">
        <v>928</v>
      </c>
      <c r="B1132">
        <v>2021</v>
      </c>
      <c r="C1132" t="s">
        <v>1402</v>
      </c>
      <c r="D1132" t="s">
        <v>1403</v>
      </c>
      <c r="E1132" t="s">
        <v>29</v>
      </c>
      <c r="F1132" t="s">
        <v>41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1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 t="s">
        <v>51</v>
      </c>
      <c r="Z1132">
        <v>50</v>
      </c>
      <c r="AA1132">
        <v>0</v>
      </c>
    </row>
    <row r="1133" spans="1:27" x14ac:dyDescent="0.2">
      <c r="A1133" t="s">
        <v>928</v>
      </c>
      <c r="B1133">
        <v>2021</v>
      </c>
      <c r="C1133" t="s">
        <v>1676</v>
      </c>
      <c r="D1133" t="s">
        <v>1677</v>
      </c>
      <c r="E1133" t="s">
        <v>29</v>
      </c>
      <c r="F1133" t="s">
        <v>41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1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1</v>
      </c>
      <c r="T1133">
        <v>0</v>
      </c>
      <c r="U1133">
        <v>0</v>
      </c>
      <c r="V1133">
        <v>0</v>
      </c>
      <c r="W1133">
        <v>0</v>
      </c>
      <c r="X1133">
        <v>0</v>
      </c>
      <c r="Y1133" t="s">
        <v>51</v>
      </c>
      <c r="Z1133">
        <v>50</v>
      </c>
      <c r="AA1133">
        <v>0</v>
      </c>
    </row>
    <row r="1134" spans="1:27" x14ac:dyDescent="0.2">
      <c r="A1134" t="s">
        <v>1678</v>
      </c>
      <c r="B1134">
        <v>2020</v>
      </c>
      <c r="C1134">
        <v>53185060</v>
      </c>
      <c r="D1134" t="s">
        <v>1679</v>
      </c>
      <c r="E1134" t="s">
        <v>29</v>
      </c>
      <c r="F1134" t="s">
        <v>30</v>
      </c>
      <c r="G1134">
        <v>17</v>
      </c>
      <c r="H1134">
        <v>0</v>
      </c>
      <c r="I1134">
        <v>67</v>
      </c>
      <c r="J1134">
        <v>0</v>
      </c>
      <c r="K1134">
        <v>41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 t="s">
        <v>51</v>
      </c>
      <c r="Z1134">
        <v>55</v>
      </c>
      <c r="AA1134">
        <v>0</v>
      </c>
    </row>
    <row r="1135" spans="1:27" x14ac:dyDescent="0.2">
      <c r="A1135" t="s">
        <v>278</v>
      </c>
      <c r="B1135">
        <v>2020</v>
      </c>
      <c r="C1135" t="s">
        <v>1680</v>
      </c>
      <c r="D1135" t="s">
        <v>1681</v>
      </c>
      <c r="E1135" t="s">
        <v>29</v>
      </c>
      <c r="F1135" t="s">
        <v>30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3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 t="s">
        <v>51</v>
      </c>
      <c r="Z1135">
        <v>1000</v>
      </c>
      <c r="AA1135">
        <v>0</v>
      </c>
    </row>
    <row r="1136" spans="1:27" x14ac:dyDescent="0.2">
      <c r="A1136" t="s">
        <v>503</v>
      </c>
      <c r="B1136">
        <v>2020</v>
      </c>
      <c r="C1136" t="s">
        <v>504</v>
      </c>
      <c r="D1136" t="s">
        <v>505</v>
      </c>
      <c r="E1136" t="s">
        <v>29</v>
      </c>
      <c r="F1136" t="s">
        <v>30</v>
      </c>
      <c r="G1136">
        <v>13</v>
      </c>
      <c r="H1136">
        <v>0</v>
      </c>
      <c r="I1136">
        <v>21</v>
      </c>
      <c r="J1136">
        <v>0</v>
      </c>
      <c r="K1136">
        <v>1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 t="s">
        <v>31</v>
      </c>
      <c r="Z1136">
        <v>55</v>
      </c>
      <c r="AA1136">
        <v>0</v>
      </c>
    </row>
    <row r="1137" spans="1:27" x14ac:dyDescent="0.2">
      <c r="A1137" t="s">
        <v>753</v>
      </c>
      <c r="B1137">
        <v>2021</v>
      </c>
      <c r="C1137">
        <v>6220728400</v>
      </c>
      <c r="D1137" t="s">
        <v>1682</v>
      </c>
      <c r="E1137" t="s">
        <v>29</v>
      </c>
      <c r="F1137" t="s">
        <v>30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18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 t="s">
        <v>51</v>
      </c>
      <c r="Z1137">
        <v>55</v>
      </c>
      <c r="AA1137">
        <v>0</v>
      </c>
    </row>
    <row r="1138" spans="1:27" x14ac:dyDescent="0.2">
      <c r="A1138" t="s">
        <v>753</v>
      </c>
      <c r="B1138">
        <v>2021</v>
      </c>
      <c r="C1138">
        <v>6220728400</v>
      </c>
      <c r="D1138" t="s">
        <v>1682</v>
      </c>
      <c r="E1138" t="s">
        <v>29</v>
      </c>
      <c r="F1138" t="s">
        <v>30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24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 t="s">
        <v>51</v>
      </c>
      <c r="Z1138">
        <v>55</v>
      </c>
      <c r="AA1138">
        <v>0</v>
      </c>
    </row>
    <row r="1139" spans="1:27" x14ac:dyDescent="0.2">
      <c r="A1139" t="s">
        <v>753</v>
      </c>
      <c r="B1139">
        <v>2021</v>
      </c>
      <c r="C1139">
        <v>6220728400</v>
      </c>
      <c r="D1139" t="s">
        <v>1682</v>
      </c>
      <c r="E1139" t="s">
        <v>29</v>
      </c>
      <c r="F1139" t="s">
        <v>30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23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 t="s">
        <v>51</v>
      </c>
      <c r="Z1139">
        <v>55</v>
      </c>
      <c r="AA1139">
        <v>0</v>
      </c>
    </row>
    <row r="1140" spans="1:27" x14ac:dyDescent="0.2">
      <c r="A1140" t="s">
        <v>600</v>
      </c>
      <c r="B1140">
        <v>2022</v>
      </c>
      <c r="C1140" s="2" t="s">
        <v>1683</v>
      </c>
      <c r="D1140" t="s">
        <v>1684</v>
      </c>
      <c r="E1140" t="s">
        <v>29</v>
      </c>
      <c r="F1140" t="s">
        <v>30</v>
      </c>
      <c r="G1140">
        <v>12</v>
      </c>
      <c r="H1140">
        <v>0</v>
      </c>
      <c r="I1140">
        <v>18</v>
      </c>
      <c r="J1140">
        <v>0</v>
      </c>
      <c r="K1140">
        <v>14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 t="s">
        <v>31</v>
      </c>
      <c r="AA1140">
        <v>0</v>
      </c>
    </row>
    <row r="1141" spans="1:27" x14ac:dyDescent="0.2">
      <c r="A1141" t="s">
        <v>600</v>
      </c>
      <c r="B1141">
        <v>2022</v>
      </c>
      <c r="C1141">
        <v>3783010</v>
      </c>
      <c r="D1141" t="s">
        <v>1685</v>
      </c>
      <c r="E1141" t="s">
        <v>29</v>
      </c>
      <c r="F1141" t="s">
        <v>30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143</v>
      </c>
      <c r="N1141">
        <v>0</v>
      </c>
      <c r="O1141">
        <v>77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 t="s">
        <v>31</v>
      </c>
      <c r="AA1141">
        <v>100</v>
      </c>
    </row>
    <row r="1142" spans="1:27" x14ac:dyDescent="0.2">
      <c r="A1142" t="s">
        <v>75</v>
      </c>
      <c r="B1142">
        <v>2020</v>
      </c>
      <c r="C1142" t="s">
        <v>956</v>
      </c>
      <c r="D1142" t="s">
        <v>1686</v>
      </c>
      <c r="E1142" t="s">
        <v>29</v>
      </c>
      <c r="F1142" t="s">
        <v>30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2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 t="s">
        <v>31</v>
      </c>
      <c r="Z1142">
        <v>55</v>
      </c>
      <c r="AA1142">
        <v>0</v>
      </c>
    </row>
    <row r="1143" spans="1:27" x14ac:dyDescent="0.2">
      <c r="A1143" t="s">
        <v>1441</v>
      </c>
      <c r="B1143">
        <v>2022</v>
      </c>
      <c r="C1143" t="s">
        <v>1687</v>
      </c>
      <c r="D1143" t="s">
        <v>1688</v>
      </c>
      <c r="E1143" t="s">
        <v>29</v>
      </c>
      <c r="F1143" t="s">
        <v>30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13</v>
      </c>
      <c r="T1143">
        <v>0</v>
      </c>
      <c r="U1143">
        <v>0</v>
      </c>
      <c r="V1143">
        <v>0</v>
      </c>
      <c r="W1143">
        <v>0</v>
      </c>
      <c r="X1143">
        <v>0</v>
      </c>
      <c r="Y1143" t="s">
        <v>31</v>
      </c>
      <c r="Z1143">
        <v>55</v>
      </c>
      <c r="AA1143">
        <v>35</v>
      </c>
    </row>
    <row r="1144" spans="1:27" x14ac:dyDescent="0.2">
      <c r="A1144" t="s">
        <v>75</v>
      </c>
      <c r="B1144">
        <v>2020</v>
      </c>
      <c r="C1144" t="s">
        <v>956</v>
      </c>
      <c r="D1144" t="s">
        <v>1689</v>
      </c>
      <c r="E1144" t="s">
        <v>29</v>
      </c>
      <c r="F1144" t="s">
        <v>30</v>
      </c>
      <c r="G1144">
        <v>0</v>
      </c>
      <c r="H1144">
        <v>2</v>
      </c>
      <c r="I1144">
        <v>0</v>
      </c>
      <c r="J1144">
        <v>0</v>
      </c>
      <c r="K1144">
        <v>0</v>
      </c>
      <c r="L1144">
        <v>0</v>
      </c>
      <c r="M1144">
        <v>2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 t="s">
        <v>31</v>
      </c>
      <c r="Z1144">
        <v>55</v>
      </c>
      <c r="AA1144">
        <v>0</v>
      </c>
    </row>
    <row r="1145" spans="1:27" x14ac:dyDescent="0.2">
      <c r="A1145" t="s">
        <v>75</v>
      </c>
      <c r="B1145">
        <v>2020</v>
      </c>
      <c r="C1145" t="s">
        <v>956</v>
      </c>
      <c r="D1145" t="s">
        <v>1690</v>
      </c>
      <c r="E1145" t="s">
        <v>29</v>
      </c>
      <c r="F1145" t="s">
        <v>30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363</v>
      </c>
      <c r="N1145">
        <v>0</v>
      </c>
      <c r="O1145">
        <v>40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 t="s">
        <v>31</v>
      </c>
      <c r="Z1145">
        <v>55</v>
      </c>
      <c r="AA1145">
        <v>0</v>
      </c>
    </row>
    <row r="1146" spans="1:27" x14ac:dyDescent="0.2">
      <c r="A1146" t="s">
        <v>75</v>
      </c>
      <c r="B1146">
        <v>2020</v>
      </c>
      <c r="C1146" t="s">
        <v>956</v>
      </c>
      <c r="D1146" t="s">
        <v>449</v>
      </c>
      <c r="E1146" t="s">
        <v>29</v>
      </c>
      <c r="F1146" t="s">
        <v>30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 t="s">
        <v>31</v>
      </c>
      <c r="Z1146">
        <v>55</v>
      </c>
      <c r="AA1146">
        <v>0</v>
      </c>
    </row>
    <row r="1147" spans="1:27" x14ac:dyDescent="0.2">
      <c r="A1147" t="s">
        <v>928</v>
      </c>
      <c r="B1147">
        <v>2020</v>
      </c>
      <c r="C1147" t="s">
        <v>1691</v>
      </c>
      <c r="D1147" t="s">
        <v>1692</v>
      </c>
      <c r="E1147" t="s">
        <v>29</v>
      </c>
      <c r="F1147" t="s">
        <v>41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1</v>
      </c>
      <c r="T1147">
        <v>0</v>
      </c>
      <c r="U1147">
        <v>0</v>
      </c>
      <c r="V1147">
        <v>0</v>
      </c>
      <c r="W1147">
        <v>0</v>
      </c>
      <c r="X1147">
        <v>0</v>
      </c>
      <c r="Y1147" t="s">
        <v>51</v>
      </c>
      <c r="Z1147">
        <v>50</v>
      </c>
      <c r="AA1147">
        <v>0</v>
      </c>
    </row>
    <row r="1148" spans="1:27" x14ac:dyDescent="0.2">
      <c r="A1148" t="s">
        <v>928</v>
      </c>
      <c r="B1148">
        <v>2020</v>
      </c>
      <c r="C1148" t="s">
        <v>1693</v>
      </c>
      <c r="D1148" t="s">
        <v>1628</v>
      </c>
      <c r="E1148" t="s">
        <v>29</v>
      </c>
      <c r="F1148" t="s">
        <v>41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1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 t="s">
        <v>51</v>
      </c>
      <c r="Z1148">
        <v>50</v>
      </c>
      <c r="AA1148">
        <v>0</v>
      </c>
    </row>
    <row r="1149" spans="1:27" x14ac:dyDescent="0.2">
      <c r="A1149" t="s">
        <v>928</v>
      </c>
      <c r="B1149">
        <v>2020</v>
      </c>
      <c r="C1149" t="s">
        <v>1694</v>
      </c>
      <c r="D1149" t="s">
        <v>1413</v>
      </c>
      <c r="E1149" t="s">
        <v>29</v>
      </c>
      <c r="F1149" t="s">
        <v>41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1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 t="s">
        <v>51</v>
      </c>
      <c r="Z1149">
        <v>50</v>
      </c>
      <c r="AA1149">
        <v>0</v>
      </c>
    </row>
    <row r="1150" spans="1:27" x14ac:dyDescent="0.2">
      <c r="A1150" t="s">
        <v>600</v>
      </c>
      <c r="B1150">
        <v>2022</v>
      </c>
      <c r="C1150">
        <v>4105009</v>
      </c>
      <c r="D1150" t="s">
        <v>974</v>
      </c>
      <c r="E1150" t="s">
        <v>29</v>
      </c>
      <c r="F1150" t="s">
        <v>30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 t="s">
        <v>51</v>
      </c>
      <c r="AA1150">
        <v>0</v>
      </c>
    </row>
    <row r="1151" spans="1:27" x14ac:dyDescent="0.2">
      <c r="A1151" t="s">
        <v>600</v>
      </c>
      <c r="B1151">
        <v>2022</v>
      </c>
      <c r="C1151" s="2" t="s">
        <v>1695</v>
      </c>
      <c r="D1151" t="s">
        <v>1696</v>
      </c>
      <c r="E1151" t="s">
        <v>29</v>
      </c>
      <c r="F1151" t="s">
        <v>30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19</v>
      </c>
      <c r="V1151">
        <v>0</v>
      </c>
      <c r="W1151">
        <v>0</v>
      </c>
      <c r="X1151">
        <v>0</v>
      </c>
      <c r="Y1151" t="s">
        <v>51</v>
      </c>
      <c r="AA1151">
        <v>0</v>
      </c>
    </row>
    <row r="1152" spans="1:27" x14ac:dyDescent="0.2">
      <c r="A1152" t="s">
        <v>600</v>
      </c>
      <c r="B1152">
        <v>2022</v>
      </c>
      <c r="C1152">
        <v>4022028</v>
      </c>
      <c r="D1152" t="s">
        <v>1697</v>
      </c>
      <c r="E1152" t="s">
        <v>29</v>
      </c>
      <c r="F1152" t="s">
        <v>30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82</v>
      </c>
      <c r="T1152">
        <v>0</v>
      </c>
      <c r="U1152">
        <v>47</v>
      </c>
      <c r="V1152">
        <v>0</v>
      </c>
      <c r="W1152">
        <v>0</v>
      </c>
      <c r="X1152">
        <v>0</v>
      </c>
      <c r="Y1152" t="s">
        <v>31</v>
      </c>
      <c r="AA1152">
        <v>0</v>
      </c>
    </row>
    <row r="1153" spans="1:27" x14ac:dyDescent="0.2">
      <c r="A1153" t="s">
        <v>1316</v>
      </c>
      <c r="B1153">
        <v>2018</v>
      </c>
      <c r="C1153">
        <v>58801129</v>
      </c>
      <c r="D1153" t="s">
        <v>1698</v>
      </c>
      <c r="E1153" t="s">
        <v>29</v>
      </c>
      <c r="F1153" t="s">
        <v>30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845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 t="s">
        <v>31</v>
      </c>
      <c r="AA1153">
        <v>0</v>
      </c>
    </row>
    <row r="1154" spans="1:27" x14ac:dyDescent="0.2">
      <c r="A1154" t="s">
        <v>75</v>
      </c>
      <c r="B1154">
        <v>2020</v>
      </c>
      <c r="C1154" t="s">
        <v>956</v>
      </c>
      <c r="D1154" t="s">
        <v>1699</v>
      </c>
      <c r="E1154" t="s">
        <v>29</v>
      </c>
      <c r="F1154" t="s">
        <v>30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19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 t="s">
        <v>31</v>
      </c>
      <c r="Z1154">
        <v>55</v>
      </c>
      <c r="AA1154">
        <v>0</v>
      </c>
    </row>
    <row r="1155" spans="1:27" x14ac:dyDescent="0.2">
      <c r="A1155" t="s">
        <v>75</v>
      </c>
      <c r="B1155">
        <v>2020</v>
      </c>
      <c r="C1155" t="s">
        <v>956</v>
      </c>
      <c r="D1155" t="s">
        <v>169</v>
      </c>
      <c r="E1155" t="s">
        <v>29</v>
      </c>
      <c r="F1155" t="s">
        <v>30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53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 t="s">
        <v>31</v>
      </c>
      <c r="Z1155">
        <v>55</v>
      </c>
      <c r="AA1155">
        <v>0</v>
      </c>
    </row>
    <row r="1156" spans="1:27" x14ac:dyDescent="0.2">
      <c r="A1156" t="s">
        <v>321</v>
      </c>
      <c r="B1156">
        <v>2019</v>
      </c>
      <c r="C1156">
        <v>4275005016</v>
      </c>
      <c r="D1156" t="s">
        <v>1700</v>
      </c>
      <c r="E1156" t="s">
        <v>29</v>
      </c>
      <c r="F1156" t="s">
        <v>30</v>
      </c>
      <c r="G1156">
        <v>3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3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 t="s">
        <v>51</v>
      </c>
      <c r="Z1156">
        <v>55</v>
      </c>
      <c r="AA1156">
        <v>0</v>
      </c>
    </row>
    <row r="1157" spans="1:27" x14ac:dyDescent="0.2">
      <c r="A1157" t="s">
        <v>75</v>
      </c>
      <c r="B1157">
        <v>2020</v>
      </c>
      <c r="C1157" t="s">
        <v>956</v>
      </c>
      <c r="D1157" t="s">
        <v>1701</v>
      </c>
      <c r="E1157" t="s">
        <v>29</v>
      </c>
      <c r="F1157" t="s">
        <v>30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2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 t="s">
        <v>31</v>
      </c>
      <c r="Z1157">
        <v>55</v>
      </c>
      <c r="AA1157">
        <v>0</v>
      </c>
    </row>
    <row r="1158" spans="1:27" x14ac:dyDescent="0.2">
      <c r="A1158" t="s">
        <v>75</v>
      </c>
      <c r="B1158">
        <v>2020</v>
      </c>
      <c r="C1158" t="s">
        <v>956</v>
      </c>
      <c r="D1158" t="s">
        <v>486</v>
      </c>
      <c r="E1158" t="s">
        <v>29</v>
      </c>
      <c r="F1158" t="s">
        <v>30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5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 t="s">
        <v>31</v>
      </c>
      <c r="Z1158">
        <v>55</v>
      </c>
      <c r="AA1158">
        <v>0</v>
      </c>
    </row>
    <row r="1159" spans="1:27" x14ac:dyDescent="0.2">
      <c r="A1159" t="s">
        <v>75</v>
      </c>
      <c r="B1159">
        <v>2020</v>
      </c>
      <c r="C1159" t="s">
        <v>956</v>
      </c>
      <c r="D1159" t="s">
        <v>1702</v>
      </c>
      <c r="E1159" t="s">
        <v>29</v>
      </c>
      <c r="F1159" t="s">
        <v>30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1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 t="s">
        <v>31</v>
      </c>
      <c r="Z1159">
        <v>55</v>
      </c>
      <c r="AA1159">
        <v>0</v>
      </c>
    </row>
    <row r="1160" spans="1:27" x14ac:dyDescent="0.2">
      <c r="A1160" t="s">
        <v>75</v>
      </c>
      <c r="B1160">
        <v>2020</v>
      </c>
      <c r="C1160" t="s">
        <v>956</v>
      </c>
      <c r="D1160" t="s">
        <v>1703</v>
      </c>
      <c r="E1160" t="s">
        <v>29</v>
      </c>
      <c r="F1160" t="s">
        <v>30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41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 t="s">
        <v>31</v>
      </c>
      <c r="Z1160">
        <v>55</v>
      </c>
      <c r="AA1160">
        <v>0</v>
      </c>
    </row>
    <row r="1161" spans="1:27" x14ac:dyDescent="0.2">
      <c r="A1161" t="s">
        <v>75</v>
      </c>
      <c r="B1161">
        <v>2020</v>
      </c>
      <c r="C1161" t="s">
        <v>956</v>
      </c>
      <c r="D1161" t="s">
        <v>484</v>
      </c>
      <c r="E1161" t="s">
        <v>29</v>
      </c>
      <c r="F1161" t="s">
        <v>30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2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 t="s">
        <v>31</v>
      </c>
      <c r="Z1161">
        <v>55</v>
      </c>
      <c r="AA1161">
        <v>0</v>
      </c>
    </row>
    <row r="1162" spans="1:27" x14ac:dyDescent="0.2">
      <c r="A1162" t="s">
        <v>1206</v>
      </c>
      <c r="B1162">
        <v>2018</v>
      </c>
      <c r="C1162">
        <v>6700290420</v>
      </c>
      <c r="D1162" t="s">
        <v>1704</v>
      </c>
      <c r="E1162" t="s">
        <v>29</v>
      </c>
      <c r="F1162" t="s">
        <v>30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3</v>
      </c>
      <c r="N1162">
        <v>0</v>
      </c>
      <c r="O1162">
        <v>0</v>
      </c>
      <c r="P1162">
        <v>0</v>
      </c>
      <c r="Q1162">
        <v>0</v>
      </c>
      <c r="R1162">
        <v>37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 t="s">
        <v>31</v>
      </c>
      <c r="AA1162">
        <v>0</v>
      </c>
    </row>
    <row r="1163" spans="1:27" x14ac:dyDescent="0.2">
      <c r="A1163" t="s">
        <v>321</v>
      </c>
      <c r="B1163">
        <v>2019</v>
      </c>
      <c r="C1163">
        <v>4289002006</v>
      </c>
      <c r="D1163" t="s">
        <v>1705</v>
      </c>
      <c r="E1163" t="s">
        <v>29</v>
      </c>
      <c r="F1163" t="s">
        <v>30</v>
      </c>
      <c r="G1163">
        <v>13</v>
      </c>
      <c r="H1163">
        <v>0</v>
      </c>
      <c r="I1163">
        <v>21</v>
      </c>
      <c r="J1163">
        <v>0</v>
      </c>
      <c r="K1163">
        <v>3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 t="s">
        <v>51</v>
      </c>
      <c r="Z1163">
        <v>55</v>
      </c>
      <c r="AA1163">
        <v>0</v>
      </c>
    </row>
    <row r="1164" spans="1:27" x14ac:dyDescent="0.2">
      <c r="A1164" t="s">
        <v>1706</v>
      </c>
      <c r="B1164">
        <v>2023</v>
      </c>
      <c r="C1164">
        <v>216090034</v>
      </c>
      <c r="D1164" t="s">
        <v>1707</v>
      </c>
      <c r="E1164" t="s">
        <v>29</v>
      </c>
      <c r="F1164" t="s">
        <v>30</v>
      </c>
      <c r="G1164">
        <v>43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 t="s">
        <v>31</v>
      </c>
      <c r="AA1164">
        <v>0</v>
      </c>
    </row>
    <row r="1165" spans="1:27" x14ac:dyDescent="0.2">
      <c r="A1165" t="s">
        <v>75</v>
      </c>
      <c r="B1165">
        <v>2022</v>
      </c>
      <c r="C1165">
        <v>4240212100</v>
      </c>
      <c r="D1165" t="s">
        <v>1708</v>
      </c>
      <c r="E1165" t="s">
        <v>29</v>
      </c>
      <c r="F1165" t="s">
        <v>30</v>
      </c>
      <c r="G1165">
        <v>2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 t="s">
        <v>31</v>
      </c>
      <c r="Z1165">
        <v>55</v>
      </c>
      <c r="AA1165">
        <v>50</v>
      </c>
    </row>
    <row r="1166" spans="1:27" x14ac:dyDescent="0.2">
      <c r="A1166" t="s">
        <v>75</v>
      </c>
      <c r="B1166">
        <v>2022</v>
      </c>
      <c r="C1166">
        <v>4231540200</v>
      </c>
      <c r="D1166" t="s">
        <v>1709</v>
      </c>
      <c r="E1166" t="s">
        <v>29</v>
      </c>
      <c r="F1166" t="s">
        <v>30</v>
      </c>
      <c r="G1166">
        <v>4</v>
      </c>
      <c r="H1166">
        <v>0</v>
      </c>
      <c r="I1166">
        <v>4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 t="s">
        <v>31</v>
      </c>
      <c r="Z1166">
        <v>55</v>
      </c>
      <c r="AA1166">
        <v>60</v>
      </c>
    </row>
    <row r="1167" spans="1:27" x14ac:dyDescent="0.2">
      <c r="A1167" t="s">
        <v>75</v>
      </c>
      <c r="B1167">
        <v>2022</v>
      </c>
      <c r="C1167">
        <v>4520563400</v>
      </c>
      <c r="D1167" t="s">
        <v>1710</v>
      </c>
      <c r="E1167" t="s">
        <v>29</v>
      </c>
      <c r="F1167" t="s">
        <v>30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4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 t="s">
        <v>31</v>
      </c>
      <c r="Z1167">
        <v>55</v>
      </c>
      <c r="AA1167">
        <v>20</v>
      </c>
    </row>
    <row r="1168" spans="1:27" x14ac:dyDescent="0.2">
      <c r="A1168" t="s">
        <v>75</v>
      </c>
      <c r="B1168">
        <v>2022</v>
      </c>
      <c r="C1168">
        <v>5344112100</v>
      </c>
      <c r="D1168" t="s">
        <v>1711</v>
      </c>
      <c r="E1168" t="s">
        <v>29</v>
      </c>
      <c r="F1168" t="s">
        <v>30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2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 t="s">
        <v>31</v>
      </c>
      <c r="Z1168">
        <v>55</v>
      </c>
      <c r="AA1168">
        <v>100</v>
      </c>
    </row>
    <row r="1169" spans="1:27" x14ac:dyDescent="0.2">
      <c r="A1169" t="s">
        <v>75</v>
      </c>
      <c r="B1169">
        <v>2022</v>
      </c>
      <c r="C1169">
        <v>6782511300</v>
      </c>
      <c r="D1169" t="s">
        <v>1712</v>
      </c>
      <c r="E1169" t="s">
        <v>29</v>
      </c>
      <c r="F1169" t="s">
        <v>30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132</v>
      </c>
      <c r="N1169">
        <v>0</v>
      </c>
      <c r="O1169">
        <v>43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 t="s">
        <v>31</v>
      </c>
      <c r="Z1169">
        <v>55</v>
      </c>
      <c r="AA1169">
        <v>100</v>
      </c>
    </row>
    <row r="1170" spans="1:27" x14ac:dyDescent="0.2">
      <c r="A1170" t="s">
        <v>1309</v>
      </c>
      <c r="B1170">
        <v>2021</v>
      </c>
      <c r="C1170" t="s">
        <v>1310</v>
      </c>
      <c r="E1170" t="s">
        <v>29</v>
      </c>
      <c r="F1170" t="s">
        <v>30</v>
      </c>
      <c r="G1170">
        <v>40</v>
      </c>
      <c r="H1170">
        <v>0</v>
      </c>
      <c r="I1170">
        <v>41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 t="s">
        <v>31</v>
      </c>
      <c r="AA1170">
        <v>0</v>
      </c>
    </row>
    <row r="1171" spans="1:27" x14ac:dyDescent="0.2">
      <c r="A1171" t="s">
        <v>1706</v>
      </c>
      <c r="B1171">
        <v>2023</v>
      </c>
      <c r="C1171">
        <v>208022041</v>
      </c>
      <c r="D1171" t="s">
        <v>1713</v>
      </c>
      <c r="E1171" t="s">
        <v>29</v>
      </c>
      <c r="F1171" t="s">
        <v>41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5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 t="s">
        <v>51</v>
      </c>
      <c r="Z1171">
        <v>20</v>
      </c>
      <c r="AA1171">
        <v>0</v>
      </c>
    </row>
    <row r="1172" spans="1:27" x14ac:dyDescent="0.2">
      <c r="A1172" t="s">
        <v>1706</v>
      </c>
      <c r="B1172">
        <v>2023</v>
      </c>
      <c r="C1172">
        <v>216090034</v>
      </c>
      <c r="D1172" t="s">
        <v>1707</v>
      </c>
      <c r="E1172" t="s">
        <v>29</v>
      </c>
      <c r="F1172" t="s">
        <v>41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 t="s">
        <v>31</v>
      </c>
      <c r="AA1172">
        <v>0</v>
      </c>
    </row>
    <row r="1173" spans="1:27" x14ac:dyDescent="0.2">
      <c r="A1173" t="s">
        <v>1418</v>
      </c>
      <c r="B1173">
        <v>2020</v>
      </c>
      <c r="C1173" t="s">
        <v>1714</v>
      </c>
      <c r="D1173" t="s">
        <v>1715</v>
      </c>
      <c r="E1173" t="s">
        <v>29</v>
      </c>
      <c r="F1173" t="s">
        <v>30</v>
      </c>
      <c r="G1173">
        <v>3</v>
      </c>
      <c r="H1173">
        <v>0</v>
      </c>
      <c r="I1173">
        <v>52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 t="s">
        <v>31</v>
      </c>
      <c r="Z1173">
        <v>55</v>
      </c>
      <c r="AA1173">
        <v>0</v>
      </c>
    </row>
    <row r="1174" spans="1:27" x14ac:dyDescent="0.2">
      <c r="A1174" t="s">
        <v>1247</v>
      </c>
      <c r="B1174">
        <v>2022</v>
      </c>
      <c r="C1174">
        <v>125071015</v>
      </c>
      <c r="D1174" t="s">
        <v>1716</v>
      </c>
      <c r="E1174" t="s">
        <v>29</v>
      </c>
      <c r="F1174" t="s">
        <v>30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7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 t="s">
        <v>31</v>
      </c>
      <c r="Z1174">
        <v>55</v>
      </c>
      <c r="AA1174">
        <v>37.5</v>
      </c>
    </row>
    <row r="1175" spans="1:27" x14ac:dyDescent="0.2">
      <c r="A1175" t="s">
        <v>670</v>
      </c>
      <c r="B1175">
        <v>2023</v>
      </c>
      <c r="C1175">
        <v>4020016005</v>
      </c>
      <c r="D1175" t="s">
        <v>1717</v>
      </c>
      <c r="E1175" t="s">
        <v>29</v>
      </c>
      <c r="F1175" t="s">
        <v>30</v>
      </c>
      <c r="G1175">
        <v>0</v>
      </c>
      <c r="H1175">
        <v>0</v>
      </c>
      <c r="I1175">
        <v>1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 t="s">
        <v>31</v>
      </c>
      <c r="AA1175">
        <v>10</v>
      </c>
    </row>
    <row r="1176" spans="1:27" x14ac:dyDescent="0.2">
      <c r="A1176" t="s">
        <v>1247</v>
      </c>
      <c r="B1176">
        <v>2022</v>
      </c>
      <c r="C1176">
        <v>10510021</v>
      </c>
      <c r="D1176" t="s">
        <v>1718</v>
      </c>
      <c r="E1176" t="s">
        <v>29</v>
      </c>
      <c r="F1176" t="s">
        <v>30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 t="s">
        <v>31</v>
      </c>
      <c r="Z1176">
        <v>55</v>
      </c>
      <c r="AA1176" s="2" t="s">
        <v>1719</v>
      </c>
    </row>
    <row r="1177" spans="1:27" x14ac:dyDescent="0.2">
      <c r="A1177" t="s">
        <v>324</v>
      </c>
      <c r="B1177">
        <v>2023</v>
      </c>
      <c r="C1177">
        <v>25166230</v>
      </c>
      <c r="D1177" t="s">
        <v>1720</v>
      </c>
      <c r="E1177" t="s">
        <v>29</v>
      </c>
      <c r="F1177" t="s">
        <v>30</v>
      </c>
      <c r="G1177">
        <v>0</v>
      </c>
      <c r="H1177">
        <v>0</v>
      </c>
      <c r="I1177">
        <v>35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35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 t="s">
        <v>31</v>
      </c>
      <c r="Z1177">
        <v>55</v>
      </c>
      <c r="AA1177">
        <v>20</v>
      </c>
    </row>
    <row r="1178" spans="1:27" x14ac:dyDescent="0.2">
      <c r="A1178" t="s">
        <v>1721</v>
      </c>
      <c r="B1178">
        <v>2021</v>
      </c>
      <c r="C1178" t="s">
        <v>1722</v>
      </c>
      <c r="D1178" t="s">
        <v>1723</v>
      </c>
      <c r="E1178" t="s">
        <v>29</v>
      </c>
      <c r="F1178" t="s">
        <v>30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102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 t="s">
        <v>31</v>
      </c>
      <c r="AA1178">
        <v>100</v>
      </c>
    </row>
    <row r="1179" spans="1:27" x14ac:dyDescent="0.2">
      <c r="A1179" t="s">
        <v>324</v>
      </c>
      <c r="B1179">
        <v>2023</v>
      </c>
      <c r="C1179" s="2" t="s">
        <v>1724</v>
      </c>
      <c r="D1179" t="s">
        <v>1725</v>
      </c>
      <c r="E1179" t="s">
        <v>29</v>
      </c>
      <c r="F1179" t="s">
        <v>30</v>
      </c>
      <c r="G1179">
        <v>0</v>
      </c>
      <c r="H1179">
        <v>0</v>
      </c>
      <c r="I1179">
        <v>0</v>
      </c>
      <c r="J1179">
        <v>0</v>
      </c>
      <c r="K1179">
        <v>15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15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15</v>
      </c>
      <c r="X1179">
        <v>0</v>
      </c>
      <c r="Y1179" t="s">
        <v>31</v>
      </c>
      <c r="Z1179">
        <v>55</v>
      </c>
      <c r="AA1179">
        <v>35</v>
      </c>
    </row>
    <row r="1180" spans="1:27" x14ac:dyDescent="0.2">
      <c r="A1180" t="s">
        <v>703</v>
      </c>
      <c r="B1180">
        <v>2021</v>
      </c>
      <c r="C1180" t="s">
        <v>1726</v>
      </c>
      <c r="D1180" t="s">
        <v>1727</v>
      </c>
      <c r="E1180" t="s">
        <v>29</v>
      </c>
      <c r="F1180" t="s">
        <v>30</v>
      </c>
      <c r="G1180">
        <v>0</v>
      </c>
      <c r="H1180">
        <v>0</v>
      </c>
      <c r="I1180">
        <v>63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 t="s">
        <v>31</v>
      </c>
      <c r="Z1180">
        <v>1000</v>
      </c>
      <c r="AA1180">
        <v>47</v>
      </c>
    </row>
    <row r="1181" spans="1:27" x14ac:dyDescent="0.2">
      <c r="A1181" t="s">
        <v>379</v>
      </c>
      <c r="B1181">
        <v>2019</v>
      </c>
      <c r="C1181" t="s">
        <v>1728</v>
      </c>
      <c r="D1181" t="s">
        <v>1729</v>
      </c>
      <c r="E1181" t="s">
        <v>29</v>
      </c>
      <c r="F1181" t="s">
        <v>30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30</v>
      </c>
      <c r="N1181">
        <v>0</v>
      </c>
      <c r="O1181">
        <v>29</v>
      </c>
      <c r="P1181">
        <v>0</v>
      </c>
      <c r="Q1181">
        <v>1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 t="s">
        <v>51</v>
      </c>
      <c r="Z1181">
        <v>55</v>
      </c>
      <c r="AA1181">
        <v>0</v>
      </c>
    </row>
    <row r="1182" spans="1:27" x14ac:dyDescent="0.2">
      <c r="A1182" t="s">
        <v>75</v>
      </c>
      <c r="B1182">
        <v>2018</v>
      </c>
      <c r="C1182">
        <v>5395222600</v>
      </c>
      <c r="D1182" t="s">
        <v>1730</v>
      </c>
      <c r="E1182" t="s">
        <v>29</v>
      </c>
      <c r="F1182" t="s">
        <v>30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4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 t="s">
        <v>31</v>
      </c>
      <c r="AA1182">
        <v>0</v>
      </c>
    </row>
    <row r="1183" spans="1:27" x14ac:dyDescent="0.2">
      <c r="A1183" t="s">
        <v>75</v>
      </c>
      <c r="B1183">
        <v>2018</v>
      </c>
      <c r="C1183">
        <v>4464112500</v>
      </c>
      <c r="D1183" t="s">
        <v>1731</v>
      </c>
      <c r="E1183" t="s">
        <v>29</v>
      </c>
      <c r="F1183" t="s">
        <v>30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2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 t="s">
        <v>31</v>
      </c>
      <c r="AA1183">
        <v>0</v>
      </c>
    </row>
    <row r="1184" spans="1:27" x14ac:dyDescent="0.2">
      <c r="A1184" t="s">
        <v>75</v>
      </c>
      <c r="B1184">
        <v>2018</v>
      </c>
      <c r="C1184">
        <v>6450407500</v>
      </c>
      <c r="D1184" t="s">
        <v>1732</v>
      </c>
      <c r="E1184" t="s">
        <v>29</v>
      </c>
      <c r="F1184" t="s">
        <v>30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2</v>
      </c>
      <c r="N1184">
        <v>0</v>
      </c>
      <c r="O1184">
        <v>12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 t="s">
        <v>51</v>
      </c>
      <c r="AA1184">
        <v>0</v>
      </c>
    </row>
    <row r="1185" spans="1:27" x14ac:dyDescent="0.2">
      <c r="A1185" t="s">
        <v>75</v>
      </c>
      <c r="B1185">
        <v>2018</v>
      </c>
      <c r="C1185">
        <v>6380802000</v>
      </c>
      <c r="D1185" t="s">
        <v>1733</v>
      </c>
      <c r="E1185" t="s">
        <v>29</v>
      </c>
      <c r="F1185" t="s">
        <v>30</v>
      </c>
      <c r="G1185">
        <v>50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50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 t="s">
        <v>31</v>
      </c>
      <c r="AA1185">
        <v>0</v>
      </c>
    </row>
    <row r="1186" spans="1:27" x14ac:dyDescent="0.2">
      <c r="A1186" t="s">
        <v>75</v>
      </c>
      <c r="B1186">
        <v>2018</v>
      </c>
      <c r="C1186">
        <v>5330722700</v>
      </c>
      <c r="D1186" t="s">
        <v>1734</v>
      </c>
      <c r="E1186" t="s">
        <v>29</v>
      </c>
      <c r="F1186" t="s">
        <v>30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3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 t="s">
        <v>31</v>
      </c>
      <c r="AA1186">
        <v>0</v>
      </c>
    </row>
    <row r="1187" spans="1:27" x14ac:dyDescent="0.2">
      <c r="A1187" t="s">
        <v>75</v>
      </c>
      <c r="B1187">
        <v>2018</v>
      </c>
      <c r="C1187">
        <v>5343520100</v>
      </c>
      <c r="D1187" t="s">
        <v>1735</v>
      </c>
      <c r="E1187" t="s">
        <v>29</v>
      </c>
      <c r="F1187" t="s">
        <v>30</v>
      </c>
      <c r="G1187">
        <v>19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 t="s">
        <v>51</v>
      </c>
      <c r="AA1187">
        <v>0</v>
      </c>
    </row>
    <row r="1188" spans="1:27" x14ac:dyDescent="0.2">
      <c r="A1188" t="s">
        <v>894</v>
      </c>
      <c r="B1188">
        <v>2018</v>
      </c>
      <c r="C1188" s="2" t="s">
        <v>1736</v>
      </c>
      <c r="D1188" t="s">
        <v>1737</v>
      </c>
      <c r="E1188" t="s">
        <v>29</v>
      </c>
      <c r="F1188" t="s">
        <v>41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1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 t="s">
        <v>51</v>
      </c>
      <c r="AA1188">
        <v>0</v>
      </c>
    </row>
    <row r="1189" spans="1:27" x14ac:dyDescent="0.2">
      <c r="A1189" t="s">
        <v>670</v>
      </c>
      <c r="B1189">
        <v>2023</v>
      </c>
      <c r="C1189">
        <v>4015010029</v>
      </c>
      <c r="D1189" t="s">
        <v>1738</v>
      </c>
      <c r="E1189" t="s">
        <v>29</v>
      </c>
      <c r="F1189" t="s">
        <v>30</v>
      </c>
      <c r="G1189">
        <v>69</v>
      </c>
      <c r="H1189">
        <v>0</v>
      </c>
      <c r="I1189">
        <v>40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 t="s">
        <v>31</v>
      </c>
      <c r="AA1189">
        <v>100</v>
      </c>
    </row>
    <row r="1190" spans="1:27" x14ac:dyDescent="0.2">
      <c r="A1190" t="s">
        <v>1515</v>
      </c>
      <c r="B1190">
        <v>2023</v>
      </c>
      <c r="C1190">
        <v>1620023030</v>
      </c>
      <c r="D1190" t="s">
        <v>1739</v>
      </c>
      <c r="E1190" t="s">
        <v>29</v>
      </c>
      <c r="F1190" t="s">
        <v>30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10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 t="s">
        <v>31</v>
      </c>
      <c r="Z1190">
        <v>55</v>
      </c>
      <c r="AA1190">
        <v>0</v>
      </c>
    </row>
    <row r="1191" spans="1:27" x14ac:dyDescent="0.2">
      <c r="A1191" t="s">
        <v>1241</v>
      </c>
      <c r="B1191">
        <v>2022</v>
      </c>
      <c r="C1191">
        <v>266130023</v>
      </c>
      <c r="D1191" t="s">
        <v>1740</v>
      </c>
      <c r="E1191" t="s">
        <v>29</v>
      </c>
      <c r="F1191" t="s">
        <v>30</v>
      </c>
      <c r="G1191">
        <v>17</v>
      </c>
      <c r="H1191">
        <v>0</v>
      </c>
      <c r="I1191">
        <v>47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 t="s">
        <v>31</v>
      </c>
      <c r="Z1191">
        <v>55</v>
      </c>
      <c r="AA1191">
        <v>0</v>
      </c>
    </row>
    <row r="1192" spans="1:27" x14ac:dyDescent="0.2">
      <c r="A1192" t="s">
        <v>1241</v>
      </c>
      <c r="B1192">
        <v>2022</v>
      </c>
      <c r="C1192" t="s">
        <v>1647</v>
      </c>
      <c r="D1192" t="s">
        <v>1741</v>
      </c>
      <c r="E1192" t="s">
        <v>29</v>
      </c>
      <c r="F1192" t="s">
        <v>30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13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 t="s">
        <v>31</v>
      </c>
      <c r="Z1192">
        <v>55</v>
      </c>
      <c r="AA1192">
        <v>0</v>
      </c>
    </row>
    <row r="1193" spans="1:27" x14ac:dyDescent="0.2">
      <c r="A1193" t="s">
        <v>1241</v>
      </c>
      <c r="B1193">
        <v>2022</v>
      </c>
      <c r="C1193" t="s">
        <v>1647</v>
      </c>
      <c r="D1193" t="s">
        <v>1742</v>
      </c>
      <c r="E1193" t="s">
        <v>29</v>
      </c>
      <c r="F1193" t="s">
        <v>30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13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 t="s">
        <v>31</v>
      </c>
      <c r="Z1193">
        <v>55</v>
      </c>
      <c r="AA1193">
        <v>0</v>
      </c>
    </row>
    <row r="1194" spans="1:27" x14ac:dyDescent="0.2">
      <c r="A1194" t="s">
        <v>928</v>
      </c>
      <c r="B1194">
        <v>2020</v>
      </c>
      <c r="C1194" t="s">
        <v>1743</v>
      </c>
      <c r="D1194" t="s">
        <v>1672</v>
      </c>
      <c r="E1194" t="s">
        <v>29</v>
      </c>
      <c r="F1194" t="s">
        <v>41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1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 t="s">
        <v>51</v>
      </c>
      <c r="Z1194">
        <v>50</v>
      </c>
      <c r="AA1194">
        <v>0</v>
      </c>
    </row>
    <row r="1195" spans="1:27" x14ac:dyDescent="0.2">
      <c r="A1195" t="s">
        <v>1057</v>
      </c>
      <c r="B1195">
        <v>2022</v>
      </c>
      <c r="C1195">
        <v>13200501610000</v>
      </c>
      <c r="D1195" t="s">
        <v>1533</v>
      </c>
      <c r="E1195" t="s">
        <v>29</v>
      </c>
      <c r="F1195" t="s">
        <v>30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10</v>
      </c>
      <c r="N1195">
        <v>0</v>
      </c>
      <c r="O1195">
        <v>20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 t="s">
        <v>31</v>
      </c>
      <c r="Z1195">
        <v>55</v>
      </c>
      <c r="AA1195">
        <v>0</v>
      </c>
    </row>
    <row r="1196" spans="1:27" x14ac:dyDescent="0.2">
      <c r="A1196" t="s">
        <v>43</v>
      </c>
      <c r="B1196">
        <v>2018</v>
      </c>
      <c r="C1196">
        <v>5530001004</v>
      </c>
      <c r="D1196" t="s">
        <v>1744</v>
      </c>
      <c r="E1196" t="s">
        <v>29</v>
      </c>
      <c r="F1196" t="s">
        <v>30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6</v>
      </c>
      <c r="N1196">
        <v>0</v>
      </c>
      <c r="O1196">
        <v>0</v>
      </c>
      <c r="P1196">
        <v>0</v>
      </c>
      <c r="Q1196">
        <v>6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 t="s">
        <v>31</v>
      </c>
      <c r="Z1196">
        <v>1000</v>
      </c>
      <c r="AA1196">
        <v>0</v>
      </c>
    </row>
    <row r="1197" spans="1:27" x14ac:dyDescent="0.2">
      <c r="A1197" t="s">
        <v>43</v>
      </c>
      <c r="B1197">
        <v>2018</v>
      </c>
      <c r="C1197">
        <v>5530015029</v>
      </c>
      <c r="D1197" t="s">
        <v>1745</v>
      </c>
      <c r="E1197" t="s">
        <v>29</v>
      </c>
      <c r="F1197" t="s">
        <v>41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1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 t="s">
        <v>31</v>
      </c>
      <c r="Z1197">
        <v>1000</v>
      </c>
      <c r="AA1197">
        <v>0</v>
      </c>
    </row>
    <row r="1198" spans="1:27" x14ac:dyDescent="0.2">
      <c r="A1198" t="s">
        <v>600</v>
      </c>
      <c r="B1198">
        <v>2021</v>
      </c>
      <c r="C1198">
        <v>3956008</v>
      </c>
      <c r="D1198" t="s">
        <v>1746</v>
      </c>
      <c r="E1198" t="s">
        <v>29</v>
      </c>
      <c r="F1198" t="s">
        <v>30</v>
      </c>
      <c r="G1198">
        <v>20</v>
      </c>
      <c r="H1198">
        <v>0</v>
      </c>
      <c r="I1198">
        <v>29</v>
      </c>
      <c r="J1198">
        <v>0</v>
      </c>
      <c r="K1198">
        <v>23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 t="s">
        <v>31</v>
      </c>
      <c r="Z1198">
        <v>1000</v>
      </c>
      <c r="AA1198">
        <v>34</v>
      </c>
    </row>
    <row r="1199" spans="1:27" x14ac:dyDescent="0.2">
      <c r="A1199" t="s">
        <v>600</v>
      </c>
      <c r="B1199">
        <v>2021</v>
      </c>
      <c r="C1199">
        <v>1438016</v>
      </c>
      <c r="D1199" t="s">
        <v>1747</v>
      </c>
      <c r="E1199" t="s">
        <v>29</v>
      </c>
      <c r="F1199" t="s">
        <v>30</v>
      </c>
      <c r="G1199">
        <v>30</v>
      </c>
      <c r="H1199">
        <v>0</v>
      </c>
      <c r="I1199">
        <v>67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 t="s">
        <v>31</v>
      </c>
      <c r="Z1199">
        <v>1000</v>
      </c>
      <c r="AA1199">
        <v>363</v>
      </c>
    </row>
    <row r="1200" spans="1:27" x14ac:dyDescent="0.2">
      <c r="A1200" t="s">
        <v>600</v>
      </c>
      <c r="B1200">
        <v>2021</v>
      </c>
      <c r="C1200" s="2" t="s">
        <v>1748</v>
      </c>
      <c r="D1200" t="s">
        <v>1749</v>
      </c>
      <c r="E1200" t="s">
        <v>29</v>
      </c>
      <c r="F1200" t="s">
        <v>30</v>
      </c>
      <c r="G1200">
        <v>0</v>
      </c>
      <c r="H1200">
        <v>0</v>
      </c>
      <c r="I1200">
        <v>2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 t="s">
        <v>31</v>
      </c>
      <c r="Z1200">
        <v>1000</v>
      </c>
      <c r="AA1200">
        <v>140</v>
      </c>
    </row>
    <row r="1201" spans="1:27" x14ac:dyDescent="0.2">
      <c r="A1201" t="s">
        <v>600</v>
      </c>
      <c r="B1201">
        <v>2021</v>
      </c>
      <c r="C1201" t="s">
        <v>1750</v>
      </c>
      <c r="D1201" t="s">
        <v>1751</v>
      </c>
      <c r="E1201" t="s">
        <v>29</v>
      </c>
      <c r="F1201" t="s">
        <v>30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2</v>
      </c>
      <c r="N1201">
        <v>0</v>
      </c>
      <c r="O1201">
        <v>4</v>
      </c>
      <c r="P1201">
        <v>0</v>
      </c>
      <c r="Q1201">
        <v>2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 t="s">
        <v>51</v>
      </c>
      <c r="Z1201">
        <v>1000</v>
      </c>
      <c r="AA1201">
        <v>0</v>
      </c>
    </row>
    <row r="1202" spans="1:27" x14ac:dyDescent="0.2">
      <c r="A1202" t="s">
        <v>600</v>
      </c>
      <c r="B1202">
        <v>2021</v>
      </c>
      <c r="C1202">
        <v>3521056</v>
      </c>
      <c r="D1202" t="s">
        <v>1752</v>
      </c>
      <c r="E1202" t="s">
        <v>29</v>
      </c>
      <c r="F1202" t="s">
        <v>30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22</v>
      </c>
      <c r="X1202">
        <v>0</v>
      </c>
      <c r="Y1202" t="s">
        <v>51</v>
      </c>
      <c r="Z1202">
        <v>1000</v>
      </c>
      <c r="AA1202">
        <v>0</v>
      </c>
    </row>
    <row r="1203" spans="1:27" x14ac:dyDescent="0.2">
      <c r="A1203" t="s">
        <v>600</v>
      </c>
      <c r="B1203">
        <v>2021</v>
      </c>
      <c r="C1203" s="2" t="s">
        <v>1753</v>
      </c>
      <c r="D1203" t="s">
        <v>1754</v>
      </c>
      <c r="E1203" t="s">
        <v>29</v>
      </c>
      <c r="F1203" t="s">
        <v>30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49</v>
      </c>
      <c r="T1203">
        <v>0</v>
      </c>
      <c r="U1203">
        <v>65</v>
      </c>
      <c r="V1203">
        <v>0</v>
      </c>
      <c r="W1203">
        <v>10</v>
      </c>
      <c r="X1203">
        <v>0</v>
      </c>
      <c r="Y1203" t="s">
        <v>51</v>
      </c>
      <c r="Z1203">
        <v>1000</v>
      </c>
      <c r="AA1203">
        <v>0</v>
      </c>
    </row>
    <row r="1204" spans="1:27" x14ac:dyDescent="0.2">
      <c r="A1204" t="s">
        <v>1609</v>
      </c>
      <c r="B1204">
        <v>2022</v>
      </c>
      <c r="C1204">
        <v>1922641</v>
      </c>
      <c r="D1204" t="s">
        <v>1755</v>
      </c>
      <c r="E1204" t="s">
        <v>29</v>
      </c>
      <c r="F1204" t="s">
        <v>30</v>
      </c>
      <c r="G1204">
        <v>53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53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 t="s">
        <v>51</v>
      </c>
      <c r="Z1204">
        <v>55</v>
      </c>
      <c r="AA1204">
        <v>0</v>
      </c>
    </row>
    <row r="1205" spans="1:27" x14ac:dyDescent="0.2">
      <c r="A1205" t="s">
        <v>1327</v>
      </c>
      <c r="B1205">
        <v>2022</v>
      </c>
      <c r="C1205" t="s">
        <v>1756</v>
      </c>
      <c r="D1205" t="s">
        <v>1757</v>
      </c>
      <c r="E1205" t="s">
        <v>29</v>
      </c>
      <c r="F1205" t="s">
        <v>30</v>
      </c>
      <c r="G1205">
        <v>1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 t="s">
        <v>51</v>
      </c>
      <c r="AA1205">
        <v>0</v>
      </c>
    </row>
    <row r="1206" spans="1:27" x14ac:dyDescent="0.2">
      <c r="A1206" t="s">
        <v>1527</v>
      </c>
      <c r="B1206">
        <v>2023</v>
      </c>
      <c r="C1206">
        <v>77660021</v>
      </c>
      <c r="D1206" t="s">
        <v>1758</v>
      </c>
      <c r="E1206" t="s">
        <v>29</v>
      </c>
      <c r="F1206" t="s">
        <v>30</v>
      </c>
      <c r="G1206">
        <v>66</v>
      </c>
      <c r="H1206">
        <v>0</v>
      </c>
      <c r="I1206">
        <v>154</v>
      </c>
      <c r="J1206">
        <v>2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 t="s">
        <v>31</v>
      </c>
      <c r="Z1206">
        <v>55</v>
      </c>
      <c r="AA1206">
        <v>0</v>
      </c>
    </row>
    <row r="1207" spans="1:27" x14ac:dyDescent="0.2">
      <c r="A1207" t="s">
        <v>1176</v>
      </c>
      <c r="B1207">
        <v>2022</v>
      </c>
      <c r="C1207" t="s">
        <v>1759</v>
      </c>
      <c r="D1207" t="s">
        <v>1760</v>
      </c>
      <c r="E1207" t="s">
        <v>29</v>
      </c>
      <c r="F1207" t="s">
        <v>30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10</v>
      </c>
      <c r="T1207">
        <v>12</v>
      </c>
      <c r="U1207">
        <v>27</v>
      </c>
      <c r="V1207">
        <v>25</v>
      </c>
      <c r="W1207">
        <v>0</v>
      </c>
      <c r="X1207">
        <v>1</v>
      </c>
      <c r="Y1207" t="s">
        <v>31</v>
      </c>
      <c r="Z1207">
        <v>55</v>
      </c>
      <c r="AA1207">
        <v>0</v>
      </c>
    </row>
    <row r="1208" spans="1:27" x14ac:dyDescent="0.2">
      <c r="A1208" t="s">
        <v>1316</v>
      </c>
      <c r="B1208">
        <v>2022</v>
      </c>
      <c r="C1208" t="s">
        <v>1761</v>
      </c>
      <c r="D1208" t="s">
        <v>1762</v>
      </c>
      <c r="E1208" t="s">
        <v>29</v>
      </c>
      <c r="F1208" t="s">
        <v>30</v>
      </c>
      <c r="G1208">
        <v>12</v>
      </c>
      <c r="H1208">
        <v>0</v>
      </c>
      <c r="I1208">
        <v>0</v>
      </c>
      <c r="J1208">
        <v>0</v>
      </c>
      <c r="K1208">
        <v>7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 t="s">
        <v>31</v>
      </c>
      <c r="Z1208">
        <v>55</v>
      </c>
      <c r="AA1208">
        <v>27.5</v>
      </c>
    </row>
    <row r="1209" spans="1:27" x14ac:dyDescent="0.2">
      <c r="A1209" t="s">
        <v>560</v>
      </c>
      <c r="B1209">
        <v>2022</v>
      </c>
      <c r="C1209" t="s">
        <v>1763</v>
      </c>
      <c r="D1209" t="s">
        <v>1764</v>
      </c>
      <c r="E1209" t="s">
        <v>29</v>
      </c>
      <c r="F1209" t="s">
        <v>30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1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 t="s">
        <v>31</v>
      </c>
      <c r="Z1209">
        <v>55</v>
      </c>
      <c r="AA1209">
        <v>10</v>
      </c>
    </row>
    <row r="1210" spans="1:27" x14ac:dyDescent="0.2">
      <c r="A1210" t="s">
        <v>1247</v>
      </c>
      <c r="B1210">
        <v>2022</v>
      </c>
      <c r="C1210">
        <v>10041001</v>
      </c>
      <c r="D1210" t="s">
        <v>1765</v>
      </c>
      <c r="E1210" t="s">
        <v>29</v>
      </c>
      <c r="F1210" t="s">
        <v>30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51</v>
      </c>
      <c r="N1210">
        <v>0</v>
      </c>
      <c r="O1210">
        <v>12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 t="s">
        <v>31</v>
      </c>
      <c r="Z1210">
        <v>55</v>
      </c>
      <c r="AA1210">
        <v>35</v>
      </c>
    </row>
    <row r="1211" spans="1:27" x14ac:dyDescent="0.2">
      <c r="A1211" t="s">
        <v>1247</v>
      </c>
      <c r="B1211">
        <v>2022</v>
      </c>
      <c r="C1211">
        <v>125071015</v>
      </c>
      <c r="D1211" t="s">
        <v>1766</v>
      </c>
      <c r="E1211" t="s">
        <v>29</v>
      </c>
      <c r="F1211" t="s">
        <v>30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7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 t="s">
        <v>31</v>
      </c>
      <c r="Z1211">
        <v>55</v>
      </c>
      <c r="AA1211">
        <v>37.5</v>
      </c>
    </row>
    <row r="1212" spans="1:27" x14ac:dyDescent="0.2">
      <c r="A1212" t="s">
        <v>1247</v>
      </c>
      <c r="B1212">
        <v>2022</v>
      </c>
      <c r="C1212">
        <v>182520088</v>
      </c>
      <c r="D1212" t="s">
        <v>1767</v>
      </c>
      <c r="E1212" t="s">
        <v>29</v>
      </c>
      <c r="F1212" t="s">
        <v>30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25</v>
      </c>
      <c r="T1212">
        <v>0</v>
      </c>
      <c r="U1212">
        <v>0</v>
      </c>
      <c r="V1212">
        <v>0</v>
      </c>
      <c r="W1212">
        <v>0</v>
      </c>
      <c r="X1212">
        <v>0</v>
      </c>
      <c r="Y1212" t="s">
        <v>31</v>
      </c>
      <c r="AA1212">
        <v>35</v>
      </c>
    </row>
    <row r="1213" spans="1:27" x14ac:dyDescent="0.2">
      <c r="A1213" t="s">
        <v>1247</v>
      </c>
      <c r="B1213">
        <v>2022</v>
      </c>
      <c r="C1213">
        <v>125111037</v>
      </c>
      <c r="D1213" t="s">
        <v>1768</v>
      </c>
      <c r="E1213" t="s">
        <v>29</v>
      </c>
      <c r="F1213" t="s">
        <v>30</v>
      </c>
      <c r="G1213">
        <v>0</v>
      </c>
      <c r="H1213">
        <v>0</v>
      </c>
      <c r="I1213">
        <v>75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 t="s">
        <v>31</v>
      </c>
      <c r="AA1213">
        <v>32</v>
      </c>
    </row>
    <row r="1214" spans="1:27" x14ac:dyDescent="0.2">
      <c r="A1214" t="s">
        <v>1769</v>
      </c>
      <c r="B1214">
        <v>2022</v>
      </c>
      <c r="C1214" t="s">
        <v>1770</v>
      </c>
      <c r="D1214" t="s">
        <v>1771</v>
      </c>
      <c r="E1214" t="s">
        <v>29</v>
      </c>
      <c r="F1214" t="s">
        <v>30</v>
      </c>
      <c r="G1214">
        <v>12</v>
      </c>
      <c r="H1214">
        <v>0</v>
      </c>
      <c r="I1214">
        <v>12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 t="s">
        <v>31</v>
      </c>
      <c r="AA1214">
        <v>50</v>
      </c>
    </row>
    <row r="1215" spans="1:27" x14ac:dyDescent="0.2">
      <c r="A1215" t="s">
        <v>533</v>
      </c>
      <c r="B1215">
        <v>2020</v>
      </c>
      <c r="C1215" t="s">
        <v>1772</v>
      </c>
      <c r="D1215" t="s">
        <v>1773</v>
      </c>
      <c r="E1215" t="s">
        <v>29</v>
      </c>
      <c r="F1215" t="s">
        <v>41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2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 t="s">
        <v>31</v>
      </c>
      <c r="Z1215">
        <v>50</v>
      </c>
      <c r="AA1215">
        <v>0</v>
      </c>
    </row>
    <row r="1216" spans="1:27" x14ac:dyDescent="0.2">
      <c r="A1216" t="s">
        <v>1057</v>
      </c>
      <c r="B1216">
        <v>2022</v>
      </c>
      <c r="C1216">
        <v>13200501610000</v>
      </c>
      <c r="D1216" t="s">
        <v>1532</v>
      </c>
      <c r="E1216" t="s">
        <v>29</v>
      </c>
      <c r="F1216" t="s">
        <v>30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10</v>
      </c>
      <c r="N1216">
        <v>0</v>
      </c>
      <c r="O1216">
        <v>22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 t="s">
        <v>31</v>
      </c>
      <c r="Z1216">
        <v>55</v>
      </c>
      <c r="AA1216">
        <v>0</v>
      </c>
    </row>
    <row r="1217" spans="1:27" x14ac:dyDescent="0.2">
      <c r="A1217" t="s">
        <v>1057</v>
      </c>
      <c r="B1217">
        <v>2022</v>
      </c>
      <c r="C1217">
        <v>13200501610000</v>
      </c>
      <c r="D1217" t="s">
        <v>1532</v>
      </c>
      <c r="E1217" t="s">
        <v>29</v>
      </c>
      <c r="F1217" t="s">
        <v>30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10</v>
      </c>
      <c r="N1217">
        <v>0</v>
      </c>
      <c r="O1217">
        <v>22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 t="s">
        <v>31</v>
      </c>
      <c r="Z1217">
        <v>55</v>
      </c>
      <c r="AA1217">
        <v>0</v>
      </c>
    </row>
    <row r="1218" spans="1:27" x14ac:dyDescent="0.2">
      <c r="A1218" t="s">
        <v>1057</v>
      </c>
      <c r="B1218">
        <v>2022</v>
      </c>
      <c r="C1218">
        <v>13200501610000</v>
      </c>
      <c r="D1218" t="s">
        <v>1533</v>
      </c>
      <c r="E1218" t="s">
        <v>29</v>
      </c>
      <c r="F1218" t="s">
        <v>30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10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 t="s">
        <v>31</v>
      </c>
      <c r="Z1218">
        <v>55</v>
      </c>
      <c r="AA1218">
        <v>0</v>
      </c>
    </row>
    <row r="1219" spans="1:27" x14ac:dyDescent="0.2">
      <c r="A1219" t="s">
        <v>600</v>
      </c>
      <c r="B1219">
        <v>2021</v>
      </c>
      <c r="C1219">
        <v>3516009</v>
      </c>
      <c r="D1219" t="s">
        <v>1774</v>
      </c>
      <c r="E1219" t="s">
        <v>29</v>
      </c>
      <c r="F1219" t="s">
        <v>30</v>
      </c>
      <c r="G1219">
        <v>20</v>
      </c>
      <c r="H1219">
        <v>0</v>
      </c>
      <c r="I1219">
        <v>7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 t="s">
        <v>31</v>
      </c>
      <c r="Z1219">
        <v>1000</v>
      </c>
      <c r="AA1219">
        <v>135</v>
      </c>
    </row>
    <row r="1220" spans="1:27" x14ac:dyDescent="0.2">
      <c r="A1220" t="s">
        <v>600</v>
      </c>
      <c r="B1220">
        <v>2021</v>
      </c>
      <c r="C1220" s="2" t="s">
        <v>1775</v>
      </c>
      <c r="D1220" t="s">
        <v>1776</v>
      </c>
      <c r="E1220" t="s">
        <v>29</v>
      </c>
      <c r="F1220" t="s">
        <v>30</v>
      </c>
      <c r="G1220">
        <v>0</v>
      </c>
      <c r="H1220">
        <v>0</v>
      </c>
      <c r="I1220">
        <v>17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 t="s">
        <v>51</v>
      </c>
      <c r="Z1220">
        <v>1000</v>
      </c>
      <c r="AA1220">
        <v>0</v>
      </c>
    </row>
    <row r="1221" spans="1:27" x14ac:dyDescent="0.2">
      <c r="A1221" t="s">
        <v>600</v>
      </c>
      <c r="B1221">
        <v>2021</v>
      </c>
      <c r="C1221">
        <v>6956004</v>
      </c>
      <c r="D1221" t="s">
        <v>1777</v>
      </c>
      <c r="E1221" t="s">
        <v>29</v>
      </c>
      <c r="F1221" t="s">
        <v>30</v>
      </c>
      <c r="G1221">
        <v>0</v>
      </c>
      <c r="H1221">
        <v>0</v>
      </c>
      <c r="I1221">
        <v>8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 t="s">
        <v>31</v>
      </c>
      <c r="Z1221">
        <v>1000</v>
      </c>
      <c r="AA1221">
        <v>0</v>
      </c>
    </row>
    <row r="1222" spans="1:27" x14ac:dyDescent="0.2">
      <c r="A1222" t="s">
        <v>600</v>
      </c>
      <c r="B1222">
        <v>2021</v>
      </c>
      <c r="C1222" t="s">
        <v>1778</v>
      </c>
      <c r="D1222" t="s">
        <v>1779</v>
      </c>
      <c r="E1222" t="s">
        <v>29</v>
      </c>
      <c r="F1222" t="s">
        <v>30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1</v>
      </c>
      <c r="N1222">
        <v>0</v>
      </c>
      <c r="O1222">
        <v>4</v>
      </c>
      <c r="P1222">
        <v>0</v>
      </c>
      <c r="Q1222">
        <v>2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 t="s">
        <v>51</v>
      </c>
      <c r="Z1222">
        <v>1000</v>
      </c>
      <c r="AA1222">
        <v>0</v>
      </c>
    </row>
    <row r="1223" spans="1:27" x14ac:dyDescent="0.2">
      <c r="A1223" t="s">
        <v>600</v>
      </c>
      <c r="B1223">
        <v>2021</v>
      </c>
      <c r="C1223">
        <v>3755054</v>
      </c>
      <c r="D1223" t="s">
        <v>1780</v>
      </c>
      <c r="E1223" t="s">
        <v>29</v>
      </c>
      <c r="F1223" t="s">
        <v>41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6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 t="s">
        <v>51</v>
      </c>
      <c r="Z1223">
        <v>1000</v>
      </c>
      <c r="AA1223">
        <v>0</v>
      </c>
    </row>
    <row r="1224" spans="1:27" x14ac:dyDescent="0.2">
      <c r="A1224" t="s">
        <v>600</v>
      </c>
      <c r="B1224">
        <v>2021</v>
      </c>
      <c r="C1224" t="s">
        <v>1781</v>
      </c>
      <c r="D1224" t="s">
        <v>1782</v>
      </c>
      <c r="E1224" t="s">
        <v>29</v>
      </c>
      <c r="F1224" t="s">
        <v>30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1</v>
      </c>
      <c r="N1224">
        <v>0</v>
      </c>
      <c r="O1224">
        <v>3</v>
      </c>
      <c r="P1224">
        <v>0</v>
      </c>
      <c r="Q1224">
        <v>1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 t="s">
        <v>51</v>
      </c>
      <c r="Z1224">
        <v>1000</v>
      </c>
      <c r="AA1224">
        <v>0</v>
      </c>
    </row>
    <row r="1225" spans="1:27" x14ac:dyDescent="0.2">
      <c r="A1225" t="s">
        <v>600</v>
      </c>
      <c r="B1225">
        <v>2021</v>
      </c>
      <c r="C1225" s="2" t="s">
        <v>1783</v>
      </c>
      <c r="D1225" t="s">
        <v>1784</v>
      </c>
      <c r="E1225" t="s">
        <v>29</v>
      </c>
      <c r="F1225" t="s">
        <v>41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1</v>
      </c>
      <c r="N1225">
        <v>0</v>
      </c>
      <c r="O1225">
        <v>2</v>
      </c>
      <c r="P1225">
        <v>0</v>
      </c>
      <c r="Q1225">
        <v>1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 t="s">
        <v>51</v>
      </c>
      <c r="Z1225">
        <v>1000</v>
      </c>
      <c r="AA1225">
        <v>0</v>
      </c>
    </row>
    <row r="1226" spans="1:27" x14ac:dyDescent="0.2">
      <c r="A1226" t="s">
        <v>600</v>
      </c>
      <c r="B1226">
        <v>2021</v>
      </c>
      <c r="C1226" t="s">
        <v>1785</v>
      </c>
      <c r="D1226" t="s">
        <v>1786</v>
      </c>
      <c r="E1226" t="s">
        <v>29</v>
      </c>
      <c r="F1226" t="s">
        <v>41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1</v>
      </c>
      <c r="N1226">
        <v>0</v>
      </c>
      <c r="O1226">
        <v>2</v>
      </c>
      <c r="P1226">
        <v>0</v>
      </c>
      <c r="Q1226">
        <v>1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 t="s">
        <v>51</v>
      </c>
      <c r="Z1226">
        <v>1000</v>
      </c>
      <c r="AA1226">
        <v>0</v>
      </c>
    </row>
    <row r="1227" spans="1:27" x14ac:dyDescent="0.2">
      <c r="A1227" t="s">
        <v>928</v>
      </c>
      <c r="B1227">
        <v>2020</v>
      </c>
      <c r="C1227" t="s">
        <v>1787</v>
      </c>
      <c r="D1227" t="s">
        <v>930</v>
      </c>
      <c r="E1227" t="s">
        <v>29</v>
      </c>
      <c r="F1227" t="s">
        <v>41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1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 t="s">
        <v>51</v>
      </c>
      <c r="Z1227">
        <v>50</v>
      </c>
      <c r="AA1227">
        <v>0</v>
      </c>
    </row>
    <row r="1228" spans="1:27" x14ac:dyDescent="0.2">
      <c r="A1228" t="s">
        <v>928</v>
      </c>
      <c r="B1228">
        <v>2020</v>
      </c>
      <c r="C1228" t="s">
        <v>1693</v>
      </c>
      <c r="D1228" t="s">
        <v>934</v>
      </c>
      <c r="E1228" t="s">
        <v>29</v>
      </c>
      <c r="F1228" t="s">
        <v>41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1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 t="s">
        <v>51</v>
      </c>
      <c r="Z1228">
        <v>50</v>
      </c>
      <c r="AA1228">
        <v>0</v>
      </c>
    </row>
    <row r="1229" spans="1:27" x14ac:dyDescent="0.2">
      <c r="A1229" t="s">
        <v>600</v>
      </c>
      <c r="B1229">
        <v>2021</v>
      </c>
      <c r="C1229">
        <v>3552012</v>
      </c>
      <c r="D1229" t="s">
        <v>1788</v>
      </c>
      <c r="E1229" t="s">
        <v>29</v>
      </c>
      <c r="F1229" t="s">
        <v>30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87</v>
      </c>
      <c r="T1229">
        <v>0</v>
      </c>
      <c r="U1229">
        <v>55</v>
      </c>
      <c r="V1229">
        <v>0</v>
      </c>
      <c r="W1229">
        <v>0</v>
      </c>
      <c r="X1229">
        <v>0</v>
      </c>
      <c r="Y1229" t="s">
        <v>51</v>
      </c>
      <c r="Z1229">
        <v>1000</v>
      </c>
      <c r="AA1229">
        <v>0</v>
      </c>
    </row>
    <row r="1230" spans="1:27" x14ac:dyDescent="0.2">
      <c r="A1230" t="s">
        <v>600</v>
      </c>
      <c r="B1230">
        <v>2021</v>
      </c>
      <c r="C1230">
        <v>3553008</v>
      </c>
      <c r="D1230" t="s">
        <v>1789</v>
      </c>
      <c r="E1230" t="s">
        <v>29</v>
      </c>
      <c r="F1230" t="s">
        <v>30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80</v>
      </c>
      <c r="V1230">
        <v>0</v>
      </c>
      <c r="W1230">
        <v>0</v>
      </c>
      <c r="X1230">
        <v>0</v>
      </c>
      <c r="Y1230" t="s">
        <v>51</v>
      </c>
      <c r="Z1230">
        <v>1000</v>
      </c>
      <c r="AA1230">
        <v>0</v>
      </c>
    </row>
    <row r="1231" spans="1:27" x14ac:dyDescent="0.2">
      <c r="A1231" t="s">
        <v>600</v>
      </c>
      <c r="B1231">
        <v>2021</v>
      </c>
      <c r="C1231">
        <v>2393040</v>
      </c>
      <c r="D1231" t="s">
        <v>1790</v>
      </c>
      <c r="E1231" t="s">
        <v>29</v>
      </c>
      <c r="F1231" t="s">
        <v>30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1</v>
      </c>
      <c r="T1231">
        <v>0</v>
      </c>
      <c r="U1231">
        <v>1</v>
      </c>
      <c r="V1231">
        <v>0</v>
      </c>
      <c r="W1231">
        <v>1</v>
      </c>
      <c r="X1231">
        <v>0</v>
      </c>
      <c r="Y1231" t="s">
        <v>51</v>
      </c>
      <c r="Z1231">
        <v>1000</v>
      </c>
      <c r="AA1231">
        <v>0</v>
      </c>
    </row>
    <row r="1232" spans="1:27" x14ac:dyDescent="0.2">
      <c r="A1232" t="s">
        <v>1316</v>
      </c>
      <c r="B1232">
        <v>2022</v>
      </c>
      <c r="C1232" t="s">
        <v>1791</v>
      </c>
      <c r="D1232" t="s">
        <v>1792</v>
      </c>
      <c r="E1232" t="s">
        <v>29</v>
      </c>
      <c r="F1232" t="s">
        <v>41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11</v>
      </c>
      <c r="N1232">
        <v>0</v>
      </c>
      <c r="O1232">
        <v>1</v>
      </c>
      <c r="P1232">
        <v>0</v>
      </c>
      <c r="Q1232">
        <v>7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 t="s">
        <v>31</v>
      </c>
      <c r="Z1232">
        <v>55</v>
      </c>
      <c r="AA1232">
        <v>25</v>
      </c>
    </row>
    <row r="1233" spans="1:27" x14ac:dyDescent="0.2">
      <c r="A1233" t="s">
        <v>1793</v>
      </c>
      <c r="B1233">
        <v>2022</v>
      </c>
      <c r="C1233" t="s">
        <v>1794</v>
      </c>
      <c r="D1233" t="s">
        <v>1795</v>
      </c>
      <c r="E1233" t="s">
        <v>29</v>
      </c>
      <c r="F1233" t="s">
        <v>30</v>
      </c>
      <c r="G1233">
        <v>40</v>
      </c>
      <c r="H1233">
        <v>0</v>
      </c>
      <c r="I1233">
        <v>126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 t="s">
        <v>31</v>
      </c>
      <c r="Z1233">
        <v>55</v>
      </c>
      <c r="AA1233">
        <v>24</v>
      </c>
    </row>
    <row r="1234" spans="1:27" x14ac:dyDescent="0.2">
      <c r="A1234" t="s">
        <v>1316</v>
      </c>
      <c r="B1234">
        <v>2022</v>
      </c>
      <c r="C1234" t="s">
        <v>1796</v>
      </c>
      <c r="D1234" t="s">
        <v>1797</v>
      </c>
      <c r="E1234" t="s">
        <v>29</v>
      </c>
      <c r="F1234" t="s">
        <v>30</v>
      </c>
      <c r="G1234">
        <v>83</v>
      </c>
      <c r="H1234">
        <v>0</v>
      </c>
      <c r="I1234">
        <v>0</v>
      </c>
      <c r="J1234">
        <v>0</v>
      </c>
      <c r="K1234">
        <v>29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 t="s">
        <v>31</v>
      </c>
      <c r="Z1234">
        <v>1000</v>
      </c>
      <c r="AA1234">
        <v>35</v>
      </c>
    </row>
    <row r="1235" spans="1:27" x14ac:dyDescent="0.2">
      <c r="A1235" t="s">
        <v>1316</v>
      </c>
      <c r="B1235">
        <v>2022</v>
      </c>
      <c r="C1235" t="s">
        <v>1322</v>
      </c>
      <c r="D1235" t="s">
        <v>1798</v>
      </c>
      <c r="E1235" t="s">
        <v>29</v>
      </c>
      <c r="F1235" t="s">
        <v>30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18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 t="s">
        <v>31</v>
      </c>
      <c r="Z1235">
        <v>1000</v>
      </c>
      <c r="AA1235">
        <v>35</v>
      </c>
    </row>
    <row r="1236" spans="1:27" x14ac:dyDescent="0.2">
      <c r="A1236" t="s">
        <v>1057</v>
      </c>
      <c r="B1236">
        <v>2022</v>
      </c>
      <c r="C1236" t="s">
        <v>1799</v>
      </c>
      <c r="D1236" t="s">
        <v>1800</v>
      </c>
      <c r="E1236" t="s">
        <v>29</v>
      </c>
      <c r="F1236" t="s">
        <v>30</v>
      </c>
      <c r="G1236">
        <v>68</v>
      </c>
      <c r="H1236">
        <v>0</v>
      </c>
      <c r="I1236">
        <v>15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 t="s">
        <v>31</v>
      </c>
      <c r="Z1236">
        <v>55</v>
      </c>
      <c r="AA1236">
        <v>80</v>
      </c>
    </row>
    <row r="1237" spans="1:27" x14ac:dyDescent="0.2">
      <c r="A1237" t="s">
        <v>1057</v>
      </c>
      <c r="B1237">
        <v>2022</v>
      </c>
      <c r="C1237">
        <v>13200501610000</v>
      </c>
      <c r="D1237" t="s">
        <v>1532</v>
      </c>
      <c r="E1237" t="s">
        <v>29</v>
      </c>
      <c r="F1237" t="s">
        <v>30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10</v>
      </c>
      <c r="N1237">
        <v>0</v>
      </c>
      <c r="O1237">
        <v>22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 t="s">
        <v>31</v>
      </c>
      <c r="Z1237">
        <v>55</v>
      </c>
      <c r="AA1237">
        <v>0</v>
      </c>
    </row>
    <row r="1238" spans="1:27" x14ac:dyDescent="0.2">
      <c r="A1238" t="s">
        <v>587</v>
      </c>
      <c r="B1238">
        <v>2018</v>
      </c>
      <c r="C1238" t="s">
        <v>1801</v>
      </c>
      <c r="D1238" t="s">
        <v>1566</v>
      </c>
      <c r="E1238" t="s">
        <v>29</v>
      </c>
      <c r="F1238" t="s">
        <v>41</v>
      </c>
      <c r="G1238">
        <v>0</v>
      </c>
      <c r="H1238">
        <v>0</v>
      </c>
      <c r="I1238">
        <v>2</v>
      </c>
      <c r="J1238">
        <v>0</v>
      </c>
      <c r="K1238">
        <v>2</v>
      </c>
      <c r="L1238">
        <v>20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 t="s">
        <v>51</v>
      </c>
      <c r="AA1238">
        <v>0</v>
      </c>
    </row>
    <row r="1239" spans="1:27" x14ac:dyDescent="0.2">
      <c r="A1239" t="s">
        <v>753</v>
      </c>
      <c r="B1239">
        <v>2021</v>
      </c>
      <c r="C1239">
        <v>6220728400</v>
      </c>
      <c r="D1239" t="s">
        <v>1682</v>
      </c>
      <c r="E1239" t="s">
        <v>29</v>
      </c>
      <c r="F1239" t="s">
        <v>30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12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 t="s">
        <v>51</v>
      </c>
      <c r="Z1239">
        <v>55</v>
      </c>
      <c r="AA1239">
        <v>0</v>
      </c>
    </row>
    <row r="1240" spans="1:27" x14ac:dyDescent="0.2">
      <c r="A1240" t="s">
        <v>753</v>
      </c>
      <c r="B1240">
        <v>2021</v>
      </c>
      <c r="C1240">
        <v>6220728400</v>
      </c>
      <c r="D1240" t="s">
        <v>1682</v>
      </c>
      <c r="E1240" t="s">
        <v>29</v>
      </c>
      <c r="F1240" t="s">
        <v>30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18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 t="s">
        <v>51</v>
      </c>
      <c r="Z1240">
        <v>55</v>
      </c>
      <c r="AA1240">
        <v>0</v>
      </c>
    </row>
    <row r="1241" spans="1:27" ht="102" x14ac:dyDescent="0.2">
      <c r="A1241" t="s">
        <v>1802</v>
      </c>
      <c r="B1241">
        <v>2023</v>
      </c>
      <c r="C1241" t="s">
        <v>1803</v>
      </c>
      <c r="D1241" s="1" t="s">
        <v>1804</v>
      </c>
      <c r="E1241" t="s">
        <v>29</v>
      </c>
      <c r="F1241" t="s">
        <v>30</v>
      </c>
      <c r="G1241">
        <v>8</v>
      </c>
      <c r="H1241">
        <v>0</v>
      </c>
      <c r="I1241">
        <v>0</v>
      </c>
      <c r="J1241">
        <v>0</v>
      </c>
      <c r="K1241">
        <v>6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 t="s">
        <v>51</v>
      </c>
      <c r="Z1241">
        <v>45</v>
      </c>
      <c r="AA1241">
        <v>0</v>
      </c>
    </row>
    <row r="1242" spans="1:27" x14ac:dyDescent="0.2">
      <c r="A1242" t="s">
        <v>1805</v>
      </c>
      <c r="B1242">
        <v>2022</v>
      </c>
      <c r="C1242">
        <v>8310019013</v>
      </c>
      <c r="D1242" t="s">
        <v>1806</v>
      </c>
      <c r="E1242" t="s">
        <v>29</v>
      </c>
      <c r="F1242" t="s">
        <v>30</v>
      </c>
      <c r="G1242">
        <v>33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 t="s">
        <v>31</v>
      </c>
      <c r="Z1242">
        <v>55</v>
      </c>
      <c r="AA1242">
        <v>80</v>
      </c>
    </row>
    <row r="1243" spans="1:27" x14ac:dyDescent="0.2">
      <c r="A1243" t="s">
        <v>1311</v>
      </c>
      <c r="B1243">
        <v>2020</v>
      </c>
      <c r="C1243" t="s">
        <v>1807</v>
      </c>
      <c r="D1243" t="s">
        <v>1808</v>
      </c>
      <c r="E1243" t="s">
        <v>29</v>
      </c>
      <c r="F1243" t="s">
        <v>30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6</v>
      </c>
      <c r="N1243">
        <v>0</v>
      </c>
      <c r="O1243">
        <v>13</v>
      </c>
      <c r="P1243">
        <v>0</v>
      </c>
      <c r="Q1243">
        <v>12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 t="s">
        <v>51</v>
      </c>
      <c r="Z1243">
        <v>55</v>
      </c>
      <c r="AA1243">
        <v>0</v>
      </c>
    </row>
    <row r="1244" spans="1:27" x14ac:dyDescent="0.2">
      <c r="A1244" t="s">
        <v>1311</v>
      </c>
      <c r="B1244">
        <v>2020</v>
      </c>
      <c r="C1244" t="s">
        <v>1807</v>
      </c>
      <c r="D1244" t="s">
        <v>1808</v>
      </c>
      <c r="E1244" t="s">
        <v>29</v>
      </c>
      <c r="F1244" t="s">
        <v>30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2</v>
      </c>
      <c r="N1244">
        <v>0</v>
      </c>
      <c r="O1244">
        <v>4</v>
      </c>
      <c r="P1244">
        <v>0</v>
      </c>
      <c r="Q1244">
        <v>5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 t="s">
        <v>51</v>
      </c>
      <c r="Z1244">
        <v>55</v>
      </c>
      <c r="AA1244">
        <v>0</v>
      </c>
    </row>
    <row r="1245" spans="1:27" x14ac:dyDescent="0.2">
      <c r="A1245" t="s">
        <v>1311</v>
      </c>
      <c r="B1245">
        <v>2020</v>
      </c>
      <c r="C1245" t="s">
        <v>1807</v>
      </c>
      <c r="D1245" t="s">
        <v>1808</v>
      </c>
      <c r="E1245" t="s">
        <v>29</v>
      </c>
      <c r="F1245" t="s">
        <v>30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4</v>
      </c>
      <c r="N1245">
        <v>0</v>
      </c>
      <c r="O1245">
        <v>5</v>
      </c>
      <c r="P1245">
        <v>0</v>
      </c>
      <c r="Q1245">
        <v>12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 t="s">
        <v>51</v>
      </c>
      <c r="Z1245">
        <v>55</v>
      </c>
      <c r="AA1245">
        <v>0</v>
      </c>
    </row>
    <row r="1246" spans="1:27" x14ac:dyDescent="0.2">
      <c r="A1246" t="s">
        <v>1057</v>
      </c>
      <c r="B1246">
        <v>2022</v>
      </c>
      <c r="C1246">
        <v>13200501610000</v>
      </c>
      <c r="D1246" t="s">
        <v>1533</v>
      </c>
      <c r="E1246" t="s">
        <v>29</v>
      </c>
      <c r="F1246" t="s">
        <v>30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10</v>
      </c>
      <c r="N1246">
        <v>0</v>
      </c>
      <c r="O1246">
        <v>37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 t="s">
        <v>31</v>
      </c>
      <c r="Z1246">
        <v>55</v>
      </c>
      <c r="AA1246">
        <v>0</v>
      </c>
    </row>
    <row r="1247" spans="1:27" x14ac:dyDescent="0.2">
      <c r="A1247" t="s">
        <v>1057</v>
      </c>
      <c r="B1247">
        <v>2022</v>
      </c>
      <c r="C1247">
        <v>13200501610000</v>
      </c>
      <c r="D1247" t="s">
        <v>1533</v>
      </c>
      <c r="E1247" t="s">
        <v>29</v>
      </c>
      <c r="F1247" t="s">
        <v>30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10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 t="s">
        <v>31</v>
      </c>
      <c r="Z1247">
        <v>55</v>
      </c>
      <c r="AA1247">
        <v>0</v>
      </c>
    </row>
    <row r="1248" spans="1:27" x14ac:dyDescent="0.2">
      <c r="A1248" t="s">
        <v>1809</v>
      </c>
      <c r="B1248">
        <v>2022</v>
      </c>
      <c r="C1248" t="s">
        <v>1810</v>
      </c>
      <c r="D1248" t="s">
        <v>1811</v>
      </c>
      <c r="E1248" t="s">
        <v>29</v>
      </c>
      <c r="F1248" t="s">
        <v>30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12</v>
      </c>
      <c r="P1248">
        <v>0</v>
      </c>
      <c r="Q1248">
        <v>66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 t="s">
        <v>51</v>
      </c>
      <c r="AA1248">
        <v>0</v>
      </c>
    </row>
    <row r="1249" spans="1:27" x14ac:dyDescent="0.2">
      <c r="A1249" t="s">
        <v>302</v>
      </c>
      <c r="B1249">
        <v>2022</v>
      </c>
      <c r="C1249" t="s">
        <v>1812</v>
      </c>
      <c r="D1249" t="s">
        <v>1813</v>
      </c>
      <c r="E1249" t="s">
        <v>29</v>
      </c>
      <c r="F1249" t="s">
        <v>30</v>
      </c>
      <c r="G1249">
        <v>0</v>
      </c>
      <c r="H1249">
        <v>0</v>
      </c>
      <c r="I1249">
        <v>138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 t="s">
        <v>31</v>
      </c>
      <c r="Z1249">
        <v>55</v>
      </c>
      <c r="AA1249">
        <v>222</v>
      </c>
    </row>
    <row r="1250" spans="1:27" x14ac:dyDescent="0.2">
      <c r="A1250" t="s">
        <v>1805</v>
      </c>
      <c r="B1250">
        <v>2023</v>
      </c>
      <c r="C1250">
        <v>8310019013</v>
      </c>
      <c r="D1250" t="s">
        <v>1814</v>
      </c>
      <c r="E1250" t="s">
        <v>29</v>
      </c>
      <c r="F1250" t="s">
        <v>30</v>
      </c>
      <c r="G1250">
        <v>32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 t="s">
        <v>31</v>
      </c>
      <c r="Z1250">
        <v>55</v>
      </c>
      <c r="AA1250">
        <v>80</v>
      </c>
    </row>
    <row r="1251" spans="1:27" x14ac:dyDescent="0.2">
      <c r="A1251" t="s">
        <v>753</v>
      </c>
      <c r="B1251">
        <v>2021</v>
      </c>
      <c r="C1251">
        <v>5734504100</v>
      </c>
      <c r="D1251" t="s">
        <v>1815</v>
      </c>
      <c r="E1251" t="s">
        <v>29</v>
      </c>
      <c r="F1251" t="s">
        <v>30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3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 t="s">
        <v>31</v>
      </c>
      <c r="Z1251">
        <v>55</v>
      </c>
      <c r="AA1251">
        <v>0</v>
      </c>
    </row>
    <row r="1252" spans="1:27" x14ac:dyDescent="0.2">
      <c r="A1252" t="s">
        <v>600</v>
      </c>
      <c r="B1252">
        <v>2022</v>
      </c>
      <c r="C1252">
        <v>1735021</v>
      </c>
      <c r="D1252" t="s">
        <v>1816</v>
      </c>
      <c r="E1252" t="s">
        <v>29</v>
      </c>
      <c r="F1252" t="s">
        <v>30</v>
      </c>
      <c r="G1252">
        <v>1</v>
      </c>
      <c r="H1252">
        <v>0</v>
      </c>
      <c r="I1252">
        <v>1</v>
      </c>
      <c r="J1252">
        <v>0</v>
      </c>
      <c r="K1252">
        <v>1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 t="s">
        <v>31</v>
      </c>
      <c r="AA1252">
        <v>100</v>
      </c>
    </row>
    <row r="1253" spans="1:27" x14ac:dyDescent="0.2">
      <c r="A1253" t="s">
        <v>600</v>
      </c>
      <c r="B1253">
        <v>2022</v>
      </c>
      <c r="C1253" t="s">
        <v>1817</v>
      </c>
      <c r="D1253" t="s">
        <v>1818</v>
      </c>
      <c r="E1253" t="s">
        <v>29</v>
      </c>
      <c r="F1253" t="s">
        <v>30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58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 t="s">
        <v>51</v>
      </c>
      <c r="AA1253">
        <v>0</v>
      </c>
    </row>
    <row r="1254" spans="1:27" x14ac:dyDescent="0.2">
      <c r="A1254" t="s">
        <v>600</v>
      </c>
      <c r="B1254">
        <v>2022</v>
      </c>
      <c r="C1254">
        <v>8901002</v>
      </c>
      <c r="D1254" t="s">
        <v>1819</v>
      </c>
      <c r="E1254" t="s">
        <v>29</v>
      </c>
      <c r="F1254" t="s">
        <v>30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7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 t="s">
        <v>51</v>
      </c>
      <c r="AA1254">
        <v>0</v>
      </c>
    </row>
    <row r="1255" spans="1:27" x14ac:dyDescent="0.2">
      <c r="A1255" t="s">
        <v>600</v>
      </c>
      <c r="B1255">
        <v>2022</v>
      </c>
      <c r="C1255" t="s">
        <v>1820</v>
      </c>
      <c r="D1255" t="s">
        <v>1821</v>
      </c>
      <c r="E1255" t="s">
        <v>29</v>
      </c>
      <c r="F1255" t="s">
        <v>30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10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 t="s">
        <v>51</v>
      </c>
      <c r="AA1255">
        <v>0</v>
      </c>
    </row>
    <row r="1256" spans="1:27" x14ac:dyDescent="0.2">
      <c r="A1256" t="s">
        <v>600</v>
      </c>
      <c r="B1256">
        <v>2022</v>
      </c>
      <c r="C1256" s="2" t="s">
        <v>1822</v>
      </c>
      <c r="D1256" t="s">
        <v>1823</v>
      </c>
      <c r="E1256" t="s">
        <v>29</v>
      </c>
      <c r="F1256" t="s">
        <v>41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13</v>
      </c>
      <c r="X1256">
        <v>0</v>
      </c>
      <c r="Y1256" t="s">
        <v>51</v>
      </c>
      <c r="AA1256">
        <v>0</v>
      </c>
    </row>
    <row r="1257" spans="1:27" x14ac:dyDescent="0.2">
      <c r="A1257" t="s">
        <v>600</v>
      </c>
      <c r="B1257">
        <v>2022</v>
      </c>
      <c r="C1257">
        <v>3505027</v>
      </c>
      <c r="D1257" t="s">
        <v>1824</v>
      </c>
      <c r="E1257" t="s">
        <v>29</v>
      </c>
      <c r="F1257" t="s">
        <v>30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96</v>
      </c>
      <c r="V1257">
        <v>0</v>
      </c>
      <c r="W1257">
        <v>0</v>
      </c>
      <c r="X1257">
        <v>0</v>
      </c>
      <c r="Y1257" t="s">
        <v>51</v>
      </c>
      <c r="AA1257">
        <v>0</v>
      </c>
    </row>
    <row r="1258" spans="1:27" x14ac:dyDescent="0.2">
      <c r="A1258" t="s">
        <v>600</v>
      </c>
      <c r="B1258">
        <v>2022</v>
      </c>
      <c r="C1258">
        <v>3505008</v>
      </c>
      <c r="D1258" t="s">
        <v>1594</v>
      </c>
      <c r="E1258" t="s">
        <v>29</v>
      </c>
      <c r="F1258" t="s">
        <v>30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58</v>
      </c>
      <c r="V1258">
        <v>0</v>
      </c>
      <c r="W1258">
        <v>0</v>
      </c>
      <c r="X1258">
        <v>0</v>
      </c>
      <c r="Y1258" t="s">
        <v>51</v>
      </c>
      <c r="AA1258">
        <v>0</v>
      </c>
    </row>
    <row r="1259" spans="1:27" x14ac:dyDescent="0.2">
      <c r="A1259" t="s">
        <v>75</v>
      </c>
      <c r="B1259">
        <v>2022</v>
      </c>
      <c r="C1259">
        <v>4462320700</v>
      </c>
      <c r="D1259" t="s">
        <v>1825</v>
      </c>
      <c r="E1259" t="s">
        <v>29</v>
      </c>
      <c r="F1259" t="s">
        <v>30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4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 t="s">
        <v>31</v>
      </c>
      <c r="Z1259">
        <v>55</v>
      </c>
      <c r="AA1259">
        <v>100</v>
      </c>
    </row>
    <row r="1260" spans="1:27" x14ac:dyDescent="0.2">
      <c r="A1260" t="s">
        <v>402</v>
      </c>
      <c r="B1260">
        <v>2022</v>
      </c>
      <c r="C1260" t="s">
        <v>701</v>
      </c>
      <c r="D1260" t="s">
        <v>702</v>
      </c>
      <c r="E1260" t="s">
        <v>29</v>
      </c>
      <c r="F1260" t="s">
        <v>30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7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 t="s">
        <v>31</v>
      </c>
      <c r="AA1260">
        <v>35</v>
      </c>
    </row>
    <row r="1261" spans="1:27" x14ac:dyDescent="0.2">
      <c r="A1261" t="s">
        <v>600</v>
      </c>
      <c r="B1261">
        <v>2022</v>
      </c>
      <c r="C1261">
        <v>8901002</v>
      </c>
      <c r="D1261" t="s">
        <v>1819</v>
      </c>
      <c r="E1261" t="s">
        <v>29</v>
      </c>
      <c r="F1261" t="s">
        <v>30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24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 t="s">
        <v>51</v>
      </c>
      <c r="AA1261">
        <v>0</v>
      </c>
    </row>
    <row r="1262" spans="1:27" x14ac:dyDescent="0.2">
      <c r="A1262" t="s">
        <v>600</v>
      </c>
      <c r="B1262">
        <v>2022</v>
      </c>
      <c r="C1262">
        <v>3753148</v>
      </c>
      <c r="D1262" t="s">
        <v>1826</v>
      </c>
      <c r="E1262" t="s">
        <v>29</v>
      </c>
      <c r="F1262" t="s">
        <v>30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12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 t="s">
        <v>51</v>
      </c>
      <c r="AA1262">
        <v>0</v>
      </c>
    </row>
    <row r="1263" spans="1:27" x14ac:dyDescent="0.2">
      <c r="A1263" t="s">
        <v>600</v>
      </c>
      <c r="B1263">
        <v>2022</v>
      </c>
      <c r="C1263">
        <v>6956004</v>
      </c>
      <c r="D1263" t="s">
        <v>1827</v>
      </c>
      <c r="E1263" t="s">
        <v>29</v>
      </c>
      <c r="F1263" t="s">
        <v>30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8</v>
      </c>
      <c r="P1263">
        <v>0</v>
      </c>
      <c r="Q1263">
        <v>3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 t="s">
        <v>31</v>
      </c>
      <c r="AA1263">
        <v>0</v>
      </c>
    </row>
    <row r="1264" spans="1:27" x14ac:dyDescent="0.2">
      <c r="A1264" t="s">
        <v>600</v>
      </c>
      <c r="B1264">
        <v>2022</v>
      </c>
      <c r="C1264">
        <v>3728019</v>
      </c>
      <c r="D1264" t="s">
        <v>1828</v>
      </c>
      <c r="E1264" t="s">
        <v>29</v>
      </c>
      <c r="F1264" t="s">
        <v>30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17</v>
      </c>
      <c r="X1264">
        <v>0</v>
      </c>
      <c r="Y1264" t="s">
        <v>51</v>
      </c>
      <c r="AA1264">
        <v>0</v>
      </c>
    </row>
    <row r="1265" spans="1:27" x14ac:dyDescent="0.2">
      <c r="A1265" t="s">
        <v>600</v>
      </c>
      <c r="B1265">
        <v>2022</v>
      </c>
      <c r="C1265">
        <v>3591024</v>
      </c>
      <c r="D1265" t="s">
        <v>1829</v>
      </c>
      <c r="E1265" t="s">
        <v>29</v>
      </c>
      <c r="F1265" t="s">
        <v>30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11</v>
      </c>
      <c r="V1265">
        <v>0</v>
      </c>
      <c r="W1265">
        <v>0</v>
      </c>
      <c r="X1265">
        <v>0</v>
      </c>
      <c r="Y1265" t="s">
        <v>31</v>
      </c>
      <c r="AA1265">
        <v>35</v>
      </c>
    </row>
    <row r="1266" spans="1:27" x14ac:dyDescent="0.2">
      <c r="A1266" t="s">
        <v>600</v>
      </c>
      <c r="B1266">
        <v>2022</v>
      </c>
      <c r="C1266">
        <v>3502108</v>
      </c>
      <c r="D1266" t="s">
        <v>1830</v>
      </c>
      <c r="E1266" t="s">
        <v>29</v>
      </c>
      <c r="F1266" t="s">
        <v>41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3</v>
      </c>
      <c r="X1266">
        <v>0</v>
      </c>
      <c r="Y1266" t="s">
        <v>51</v>
      </c>
      <c r="AA1266">
        <v>0</v>
      </c>
    </row>
    <row r="1267" spans="1:27" x14ac:dyDescent="0.2">
      <c r="A1267" t="s">
        <v>1231</v>
      </c>
      <c r="B1267">
        <v>2023</v>
      </c>
      <c r="C1267">
        <v>694310006</v>
      </c>
      <c r="D1267" t="s">
        <v>1232</v>
      </c>
      <c r="E1267" t="s">
        <v>29</v>
      </c>
      <c r="F1267" t="s">
        <v>30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13</v>
      </c>
      <c r="N1267">
        <v>0</v>
      </c>
      <c r="O1267">
        <v>1</v>
      </c>
      <c r="P1267">
        <v>0</v>
      </c>
      <c r="Q1267">
        <v>1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 t="s">
        <v>31</v>
      </c>
      <c r="Z1267">
        <v>55</v>
      </c>
      <c r="AA1267">
        <v>12.5</v>
      </c>
    </row>
    <row r="1268" spans="1:27" x14ac:dyDescent="0.2">
      <c r="A1268" t="s">
        <v>1231</v>
      </c>
      <c r="B1268">
        <v>2023</v>
      </c>
      <c r="C1268">
        <v>694310006</v>
      </c>
      <c r="D1268" t="s">
        <v>1232</v>
      </c>
      <c r="E1268" t="s">
        <v>29</v>
      </c>
      <c r="F1268" t="s">
        <v>30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13</v>
      </c>
      <c r="N1268">
        <v>0</v>
      </c>
      <c r="O1268">
        <v>1</v>
      </c>
      <c r="P1268">
        <v>0</v>
      </c>
      <c r="Q1268">
        <v>1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 t="s">
        <v>31</v>
      </c>
      <c r="Z1268">
        <v>55</v>
      </c>
      <c r="AA1268">
        <v>12.5</v>
      </c>
    </row>
    <row r="1269" spans="1:27" x14ac:dyDescent="0.2">
      <c r="A1269" t="s">
        <v>1231</v>
      </c>
      <c r="B1269">
        <v>2023</v>
      </c>
      <c r="C1269">
        <v>694190087</v>
      </c>
      <c r="D1269" t="s">
        <v>1831</v>
      </c>
      <c r="E1269" t="s">
        <v>29</v>
      </c>
      <c r="F1269" t="s">
        <v>30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1</v>
      </c>
      <c r="N1269">
        <v>0</v>
      </c>
      <c r="O1269">
        <v>1</v>
      </c>
      <c r="P1269">
        <v>0</v>
      </c>
      <c r="Q1269">
        <v>1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 t="s">
        <v>51</v>
      </c>
      <c r="Z1269">
        <v>55</v>
      </c>
      <c r="AA1269">
        <v>0</v>
      </c>
    </row>
    <row r="1270" spans="1:27" x14ac:dyDescent="0.2">
      <c r="A1270" t="s">
        <v>1231</v>
      </c>
      <c r="B1270">
        <v>2023</v>
      </c>
      <c r="C1270">
        <v>694520019</v>
      </c>
      <c r="D1270" t="s">
        <v>1832</v>
      </c>
      <c r="E1270" t="s">
        <v>29</v>
      </c>
      <c r="F1270" t="s">
        <v>30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2</v>
      </c>
      <c r="N1270">
        <v>0</v>
      </c>
      <c r="O1270">
        <v>10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 t="s">
        <v>51</v>
      </c>
      <c r="Z1270">
        <v>55</v>
      </c>
      <c r="AA1270">
        <v>0</v>
      </c>
    </row>
    <row r="1271" spans="1:27" x14ac:dyDescent="0.2">
      <c r="A1271" t="s">
        <v>1231</v>
      </c>
      <c r="B1271">
        <v>2023</v>
      </c>
      <c r="C1271">
        <v>694520019</v>
      </c>
      <c r="D1271" t="s">
        <v>1832</v>
      </c>
      <c r="E1271" t="s">
        <v>29</v>
      </c>
      <c r="F1271" t="s">
        <v>30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2</v>
      </c>
      <c r="N1271">
        <v>0</v>
      </c>
      <c r="O1271">
        <v>10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 t="s">
        <v>51</v>
      </c>
      <c r="Z1271">
        <v>55</v>
      </c>
      <c r="AA1271">
        <v>0</v>
      </c>
    </row>
    <row r="1272" spans="1:27" x14ac:dyDescent="0.2">
      <c r="A1272" t="s">
        <v>1231</v>
      </c>
      <c r="B1272">
        <v>2023</v>
      </c>
      <c r="C1272">
        <v>694520019</v>
      </c>
      <c r="D1272" t="s">
        <v>1832</v>
      </c>
      <c r="E1272" t="s">
        <v>29</v>
      </c>
      <c r="F1272" t="s">
        <v>30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5</v>
      </c>
      <c r="N1272">
        <v>0</v>
      </c>
      <c r="O1272">
        <v>18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 t="s">
        <v>51</v>
      </c>
      <c r="Z1272">
        <v>55</v>
      </c>
      <c r="AA1272">
        <v>0</v>
      </c>
    </row>
    <row r="1273" spans="1:27" x14ac:dyDescent="0.2">
      <c r="A1273" t="s">
        <v>75</v>
      </c>
      <c r="B1273">
        <v>2022</v>
      </c>
      <c r="C1273">
        <v>3506110100</v>
      </c>
      <c r="D1273" t="s">
        <v>1833</v>
      </c>
      <c r="E1273" t="s">
        <v>29</v>
      </c>
      <c r="F1273" t="s">
        <v>30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2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 t="s">
        <v>31</v>
      </c>
      <c r="Z1273">
        <v>55</v>
      </c>
      <c r="AA1273">
        <v>100</v>
      </c>
    </row>
    <row r="1274" spans="1:27" x14ac:dyDescent="0.2">
      <c r="A1274" t="s">
        <v>1449</v>
      </c>
      <c r="B1274">
        <v>2023</v>
      </c>
      <c r="C1274" t="s">
        <v>1834</v>
      </c>
      <c r="D1274" t="s">
        <v>1835</v>
      </c>
      <c r="E1274" t="s">
        <v>29</v>
      </c>
      <c r="F1274" t="s">
        <v>30</v>
      </c>
      <c r="G1274">
        <v>1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 t="s">
        <v>31</v>
      </c>
      <c r="AA1274">
        <v>28</v>
      </c>
    </row>
    <row r="1275" spans="1:27" x14ac:dyDescent="0.2">
      <c r="A1275" t="s">
        <v>1449</v>
      </c>
      <c r="B1275">
        <v>2023</v>
      </c>
      <c r="C1275" t="s">
        <v>1836</v>
      </c>
      <c r="D1275" t="s">
        <v>1837</v>
      </c>
      <c r="E1275" t="s">
        <v>29</v>
      </c>
      <c r="F1275" t="s">
        <v>30</v>
      </c>
      <c r="G1275">
        <v>2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2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 t="s">
        <v>31</v>
      </c>
      <c r="Z1275">
        <v>1000</v>
      </c>
      <c r="AA1275">
        <v>20</v>
      </c>
    </row>
    <row r="1276" spans="1:27" x14ac:dyDescent="0.2">
      <c r="A1276" t="s">
        <v>1449</v>
      </c>
      <c r="B1276">
        <v>2023</v>
      </c>
      <c r="C1276" t="s">
        <v>1838</v>
      </c>
      <c r="D1276" t="s">
        <v>1839</v>
      </c>
      <c r="E1276" t="s">
        <v>29</v>
      </c>
      <c r="F1276" t="s">
        <v>30</v>
      </c>
      <c r="G1276">
        <v>7</v>
      </c>
      <c r="H1276">
        <v>0</v>
      </c>
      <c r="I1276">
        <v>1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 t="s">
        <v>31</v>
      </c>
      <c r="AA1276">
        <v>20</v>
      </c>
    </row>
    <row r="1277" spans="1:27" x14ac:dyDescent="0.2">
      <c r="A1277" t="s">
        <v>1241</v>
      </c>
      <c r="B1277">
        <v>2022</v>
      </c>
      <c r="C1277" t="s">
        <v>1647</v>
      </c>
      <c r="D1277" t="s">
        <v>1840</v>
      </c>
      <c r="E1277" t="s">
        <v>29</v>
      </c>
      <c r="F1277" t="s">
        <v>30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10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 t="s">
        <v>31</v>
      </c>
      <c r="Z1277">
        <v>55</v>
      </c>
      <c r="AA1277">
        <v>0</v>
      </c>
    </row>
    <row r="1278" spans="1:27" x14ac:dyDescent="0.2">
      <c r="A1278" t="s">
        <v>1241</v>
      </c>
      <c r="B1278">
        <v>2022</v>
      </c>
      <c r="C1278" t="s">
        <v>1647</v>
      </c>
      <c r="D1278" t="s">
        <v>1841</v>
      </c>
      <c r="E1278" t="s">
        <v>29</v>
      </c>
      <c r="F1278" t="s">
        <v>30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13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 t="s">
        <v>31</v>
      </c>
      <c r="Z1278">
        <v>55</v>
      </c>
      <c r="AA1278">
        <v>0</v>
      </c>
    </row>
    <row r="1279" spans="1:27" x14ac:dyDescent="0.2">
      <c r="A1279" t="s">
        <v>1241</v>
      </c>
      <c r="B1279">
        <v>2022</v>
      </c>
      <c r="C1279" t="s">
        <v>1647</v>
      </c>
      <c r="D1279" t="s">
        <v>1842</v>
      </c>
      <c r="E1279" t="s">
        <v>29</v>
      </c>
      <c r="F1279" t="s">
        <v>30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13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 t="s">
        <v>31</v>
      </c>
      <c r="Z1279">
        <v>55</v>
      </c>
      <c r="AA1279">
        <v>0</v>
      </c>
    </row>
    <row r="1280" spans="1:27" x14ac:dyDescent="0.2">
      <c r="A1280" t="s">
        <v>321</v>
      </c>
      <c r="B1280">
        <v>2019</v>
      </c>
      <c r="C1280">
        <v>4283030022</v>
      </c>
      <c r="D1280" t="s">
        <v>1843</v>
      </c>
      <c r="E1280" t="s">
        <v>29</v>
      </c>
      <c r="F1280" t="s">
        <v>30</v>
      </c>
      <c r="G1280">
        <v>0</v>
      </c>
      <c r="H1280">
        <v>0</v>
      </c>
      <c r="I1280">
        <v>39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39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 t="s">
        <v>51</v>
      </c>
      <c r="Z1280">
        <v>55</v>
      </c>
      <c r="AA1280">
        <v>0</v>
      </c>
    </row>
    <row r="1281" spans="1:27" x14ac:dyDescent="0.2">
      <c r="A1281" t="s">
        <v>321</v>
      </c>
      <c r="B1281">
        <v>2019</v>
      </c>
      <c r="C1281">
        <v>4266016051</v>
      </c>
      <c r="D1281" t="s">
        <v>1844</v>
      </c>
      <c r="E1281" t="s">
        <v>29</v>
      </c>
      <c r="F1281" t="s">
        <v>30</v>
      </c>
      <c r="G1281">
        <v>0</v>
      </c>
      <c r="H1281">
        <v>0</v>
      </c>
      <c r="I1281">
        <v>1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 t="s">
        <v>51</v>
      </c>
      <c r="Z1281">
        <v>55</v>
      </c>
      <c r="AA1281">
        <v>0</v>
      </c>
    </row>
    <row r="1282" spans="1:27" x14ac:dyDescent="0.2">
      <c r="A1282" t="s">
        <v>1845</v>
      </c>
      <c r="B1282">
        <v>2022</v>
      </c>
      <c r="C1282" t="s">
        <v>1846</v>
      </c>
      <c r="D1282" t="s">
        <v>1847</v>
      </c>
      <c r="E1282" t="s">
        <v>29</v>
      </c>
      <c r="F1282" t="s">
        <v>41</v>
      </c>
      <c r="G1282">
        <v>0</v>
      </c>
      <c r="H1282">
        <v>0</v>
      </c>
      <c r="I1282">
        <v>2</v>
      </c>
      <c r="J1282">
        <v>0</v>
      </c>
      <c r="K1282">
        <v>4</v>
      </c>
      <c r="L1282">
        <v>0</v>
      </c>
      <c r="M1282">
        <v>0</v>
      </c>
      <c r="N1282">
        <v>0</v>
      </c>
      <c r="O1282">
        <v>2</v>
      </c>
      <c r="P1282">
        <v>0</v>
      </c>
      <c r="Q1282">
        <v>4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 t="s">
        <v>51</v>
      </c>
      <c r="Z1282">
        <v>45</v>
      </c>
      <c r="AA1282">
        <v>0</v>
      </c>
    </row>
    <row r="1283" spans="1:27" x14ac:dyDescent="0.2">
      <c r="A1283" t="s">
        <v>1367</v>
      </c>
      <c r="B1283">
        <v>2022</v>
      </c>
      <c r="C1283" t="s">
        <v>1848</v>
      </c>
      <c r="D1283" t="s">
        <v>1849</v>
      </c>
      <c r="E1283" t="s">
        <v>29</v>
      </c>
      <c r="F1283" t="s">
        <v>30</v>
      </c>
      <c r="G1283">
        <v>0</v>
      </c>
      <c r="H1283">
        <v>0</v>
      </c>
      <c r="I1283">
        <v>3</v>
      </c>
      <c r="J1283">
        <v>0</v>
      </c>
      <c r="K1283">
        <v>1</v>
      </c>
      <c r="L1283">
        <v>0</v>
      </c>
      <c r="M1283">
        <v>0</v>
      </c>
      <c r="N1283">
        <v>0</v>
      </c>
      <c r="O1283">
        <v>3</v>
      </c>
      <c r="P1283">
        <v>0</v>
      </c>
      <c r="Q1283">
        <v>1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 t="s">
        <v>31</v>
      </c>
      <c r="AA1283">
        <v>24</v>
      </c>
    </row>
    <row r="1284" spans="1:27" x14ac:dyDescent="0.2">
      <c r="A1284" t="s">
        <v>1449</v>
      </c>
      <c r="B1284">
        <v>2018</v>
      </c>
      <c r="C1284" t="s">
        <v>1850</v>
      </c>
      <c r="D1284" t="s">
        <v>1851</v>
      </c>
      <c r="E1284" t="s">
        <v>29</v>
      </c>
      <c r="F1284" t="s">
        <v>30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 t="s">
        <v>51</v>
      </c>
      <c r="AA1284">
        <v>0</v>
      </c>
    </row>
    <row r="1285" spans="1:27" x14ac:dyDescent="0.2">
      <c r="A1285" t="s">
        <v>600</v>
      </c>
      <c r="B1285">
        <v>2023</v>
      </c>
      <c r="C1285">
        <v>3750086</v>
      </c>
      <c r="D1285" t="s">
        <v>1852</v>
      </c>
      <c r="E1285" t="s">
        <v>29</v>
      </c>
      <c r="F1285" t="s">
        <v>30</v>
      </c>
      <c r="G1285">
        <v>49</v>
      </c>
      <c r="H1285">
        <v>0</v>
      </c>
      <c r="I1285">
        <v>17</v>
      </c>
      <c r="J1285">
        <v>0</v>
      </c>
      <c r="K1285">
        <v>18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 t="s">
        <v>31</v>
      </c>
      <c r="Z1285">
        <v>99</v>
      </c>
      <c r="AA1285" s="2" t="s">
        <v>1853</v>
      </c>
    </row>
    <row r="1286" spans="1:27" x14ac:dyDescent="0.2">
      <c r="A1286" t="s">
        <v>600</v>
      </c>
      <c r="B1286">
        <v>2023</v>
      </c>
      <c r="C1286" s="2" t="s">
        <v>1854</v>
      </c>
      <c r="D1286" t="s">
        <v>1855</v>
      </c>
      <c r="E1286" t="s">
        <v>29</v>
      </c>
      <c r="F1286" t="s">
        <v>30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30</v>
      </c>
      <c r="N1286">
        <v>0</v>
      </c>
      <c r="O1286">
        <v>80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 t="s">
        <v>31</v>
      </c>
      <c r="Z1286">
        <v>99</v>
      </c>
      <c r="AA1286">
        <v>33</v>
      </c>
    </row>
    <row r="1287" spans="1:27" x14ac:dyDescent="0.2">
      <c r="A1287" t="s">
        <v>600</v>
      </c>
      <c r="B1287">
        <v>2023</v>
      </c>
      <c r="C1287" t="s">
        <v>1856</v>
      </c>
      <c r="D1287" t="s">
        <v>1857</v>
      </c>
      <c r="E1287" t="s">
        <v>29</v>
      </c>
      <c r="F1287" t="s">
        <v>30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67</v>
      </c>
      <c r="N1287">
        <v>0</v>
      </c>
      <c r="O1287">
        <v>30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 t="s">
        <v>31</v>
      </c>
      <c r="Z1287">
        <v>99</v>
      </c>
      <c r="AA1287">
        <v>100</v>
      </c>
    </row>
    <row r="1288" spans="1:27" x14ac:dyDescent="0.2">
      <c r="A1288" t="s">
        <v>600</v>
      </c>
      <c r="B1288">
        <v>2023</v>
      </c>
      <c r="C1288">
        <v>3732100</v>
      </c>
      <c r="D1288" t="s">
        <v>1858</v>
      </c>
      <c r="E1288" t="s">
        <v>29</v>
      </c>
      <c r="F1288" t="s">
        <v>30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102</v>
      </c>
      <c r="V1288">
        <v>0</v>
      </c>
      <c r="W1288">
        <v>99</v>
      </c>
      <c r="X1288">
        <v>0</v>
      </c>
      <c r="Y1288" t="s">
        <v>31</v>
      </c>
      <c r="Z1288">
        <v>99</v>
      </c>
      <c r="AA1288" s="2" t="s">
        <v>1859</v>
      </c>
    </row>
    <row r="1289" spans="1:27" x14ac:dyDescent="0.2">
      <c r="A1289" t="s">
        <v>600</v>
      </c>
      <c r="B1289">
        <v>2023</v>
      </c>
      <c r="C1289" t="s">
        <v>1817</v>
      </c>
      <c r="D1289" t="s">
        <v>1818</v>
      </c>
      <c r="E1289" t="s">
        <v>29</v>
      </c>
      <c r="F1289" t="s">
        <v>30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 t="s">
        <v>51</v>
      </c>
      <c r="Z1289">
        <v>99</v>
      </c>
      <c r="AA1289">
        <v>0</v>
      </c>
    </row>
    <row r="1290" spans="1:27" x14ac:dyDescent="0.2">
      <c r="A1290" t="s">
        <v>600</v>
      </c>
      <c r="B1290">
        <v>2023</v>
      </c>
      <c r="C1290" s="2" t="s">
        <v>1860</v>
      </c>
      <c r="D1290" t="s">
        <v>1861</v>
      </c>
      <c r="E1290" t="s">
        <v>29</v>
      </c>
      <c r="F1290" t="s">
        <v>30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 t="s">
        <v>51</v>
      </c>
      <c r="Z1290">
        <v>99</v>
      </c>
      <c r="AA1290">
        <v>0</v>
      </c>
    </row>
    <row r="1291" spans="1:27" ht="68" x14ac:dyDescent="0.2">
      <c r="A1291" t="s">
        <v>1541</v>
      </c>
      <c r="B1291">
        <v>2023</v>
      </c>
      <c r="C1291" t="s">
        <v>1542</v>
      </c>
      <c r="D1291" s="1" t="s">
        <v>1862</v>
      </c>
      <c r="E1291" t="s">
        <v>29</v>
      </c>
      <c r="F1291" t="s">
        <v>30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10</v>
      </c>
      <c r="P1291">
        <v>0</v>
      </c>
      <c r="Q1291">
        <v>14</v>
      </c>
      <c r="R1291">
        <v>0</v>
      </c>
      <c r="S1291">
        <v>0</v>
      </c>
      <c r="T1291">
        <v>0</v>
      </c>
      <c r="U1291">
        <v>10</v>
      </c>
      <c r="V1291">
        <v>0</v>
      </c>
      <c r="W1291">
        <v>14</v>
      </c>
      <c r="X1291">
        <v>0</v>
      </c>
      <c r="Y1291" t="s">
        <v>31</v>
      </c>
      <c r="Z1291">
        <v>55</v>
      </c>
      <c r="AA1291">
        <v>10</v>
      </c>
    </row>
    <row r="1292" spans="1:27" x14ac:dyDescent="0.2">
      <c r="A1292" t="s">
        <v>753</v>
      </c>
      <c r="B1292">
        <v>2021</v>
      </c>
      <c r="C1292">
        <v>5701404800</v>
      </c>
      <c r="D1292" t="s">
        <v>1863</v>
      </c>
      <c r="E1292" t="s">
        <v>29</v>
      </c>
      <c r="F1292" t="s">
        <v>30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9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 t="s">
        <v>31</v>
      </c>
      <c r="Z1292">
        <v>55</v>
      </c>
      <c r="AA1292">
        <v>0</v>
      </c>
    </row>
    <row r="1293" spans="1:27" x14ac:dyDescent="0.2">
      <c r="A1293" t="s">
        <v>547</v>
      </c>
      <c r="B1293">
        <v>2020</v>
      </c>
      <c r="C1293">
        <v>4261014012</v>
      </c>
      <c r="D1293" t="s">
        <v>1864</v>
      </c>
      <c r="E1293" t="s">
        <v>29</v>
      </c>
      <c r="F1293" t="s">
        <v>30</v>
      </c>
      <c r="G1293">
        <v>4</v>
      </c>
      <c r="H1293">
        <v>0</v>
      </c>
      <c r="I1293">
        <v>2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 t="s">
        <v>31</v>
      </c>
      <c r="Z1293">
        <v>55</v>
      </c>
      <c r="AA1293">
        <v>0</v>
      </c>
    </row>
    <row r="1294" spans="1:27" x14ac:dyDescent="0.2">
      <c r="A1294" t="s">
        <v>547</v>
      </c>
      <c r="B1294">
        <v>2020</v>
      </c>
      <c r="C1294">
        <v>4256015014</v>
      </c>
      <c r="D1294" t="s">
        <v>1865</v>
      </c>
      <c r="E1294" t="s">
        <v>29</v>
      </c>
      <c r="F1294" t="s">
        <v>30</v>
      </c>
      <c r="G1294">
        <v>5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 t="s">
        <v>31</v>
      </c>
      <c r="Z1294">
        <v>55</v>
      </c>
      <c r="AA1294">
        <v>0</v>
      </c>
    </row>
    <row r="1295" spans="1:27" x14ac:dyDescent="0.2">
      <c r="A1295" t="s">
        <v>547</v>
      </c>
      <c r="B1295">
        <v>2020</v>
      </c>
      <c r="C1295">
        <v>6012010018</v>
      </c>
      <c r="D1295" t="s">
        <v>1866</v>
      </c>
      <c r="E1295" t="s">
        <v>29</v>
      </c>
      <c r="F1295" t="s">
        <v>30</v>
      </c>
      <c r="G1295">
        <v>0</v>
      </c>
      <c r="H1295">
        <v>0</v>
      </c>
      <c r="I1295">
        <v>96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 t="s">
        <v>31</v>
      </c>
      <c r="Z1295">
        <v>55</v>
      </c>
      <c r="AA1295">
        <v>0</v>
      </c>
    </row>
    <row r="1296" spans="1:27" x14ac:dyDescent="0.2">
      <c r="A1296" t="s">
        <v>547</v>
      </c>
      <c r="B1296">
        <v>2020</v>
      </c>
      <c r="C1296">
        <v>4262009001</v>
      </c>
      <c r="D1296" t="s">
        <v>1867</v>
      </c>
      <c r="E1296" t="s">
        <v>29</v>
      </c>
      <c r="F1296" t="s">
        <v>30</v>
      </c>
      <c r="G1296">
        <v>9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 t="s">
        <v>31</v>
      </c>
      <c r="Z1296">
        <v>55</v>
      </c>
      <c r="AA1296">
        <v>0</v>
      </c>
    </row>
    <row r="1297" spans="1:27" x14ac:dyDescent="0.2">
      <c r="A1297" t="s">
        <v>547</v>
      </c>
      <c r="B1297">
        <v>2020</v>
      </c>
      <c r="C1297">
        <v>2239006044</v>
      </c>
      <c r="D1297" t="s">
        <v>1868</v>
      </c>
      <c r="E1297" t="s">
        <v>29</v>
      </c>
      <c r="F1297" t="s">
        <v>30</v>
      </c>
      <c r="G1297">
        <v>4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 t="s">
        <v>31</v>
      </c>
      <c r="Z1297">
        <v>55</v>
      </c>
      <c r="AA1297">
        <v>0</v>
      </c>
    </row>
    <row r="1298" spans="1:27" x14ac:dyDescent="0.2">
      <c r="A1298" t="s">
        <v>547</v>
      </c>
      <c r="B1298">
        <v>2020</v>
      </c>
      <c r="C1298">
        <v>2424011004</v>
      </c>
      <c r="D1298" t="s">
        <v>1869</v>
      </c>
      <c r="E1298" t="s">
        <v>29</v>
      </c>
      <c r="F1298" t="s">
        <v>30</v>
      </c>
      <c r="G1298">
        <v>6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 t="s">
        <v>31</v>
      </c>
      <c r="Z1298">
        <v>55</v>
      </c>
      <c r="AA1298">
        <v>0</v>
      </c>
    </row>
    <row r="1299" spans="1:27" x14ac:dyDescent="0.2">
      <c r="A1299" t="s">
        <v>547</v>
      </c>
      <c r="B1299">
        <v>2020</v>
      </c>
      <c r="C1299">
        <v>4260032036</v>
      </c>
      <c r="D1299" t="s">
        <v>1870</v>
      </c>
      <c r="E1299" t="s">
        <v>29</v>
      </c>
      <c r="F1299" t="s">
        <v>30</v>
      </c>
      <c r="G1299">
        <v>32</v>
      </c>
      <c r="H1299">
        <v>0</v>
      </c>
      <c r="I1299">
        <v>28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 t="s">
        <v>31</v>
      </c>
      <c r="Z1299">
        <v>55</v>
      </c>
      <c r="AA1299">
        <v>0</v>
      </c>
    </row>
    <row r="1300" spans="1:27" x14ac:dyDescent="0.2">
      <c r="A1300" t="s">
        <v>1247</v>
      </c>
      <c r="B1300">
        <v>2022</v>
      </c>
      <c r="C1300">
        <v>10510021</v>
      </c>
      <c r="D1300" t="s">
        <v>1871</v>
      </c>
      <c r="E1300" t="s">
        <v>29</v>
      </c>
      <c r="F1300" t="s">
        <v>30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 t="s">
        <v>31</v>
      </c>
      <c r="Z1300">
        <v>55</v>
      </c>
      <c r="AA1300" s="2" t="s">
        <v>1719</v>
      </c>
    </row>
    <row r="1301" spans="1:27" x14ac:dyDescent="0.2">
      <c r="A1301" t="s">
        <v>547</v>
      </c>
      <c r="B1301">
        <v>2020</v>
      </c>
      <c r="C1301">
        <v>4286027008</v>
      </c>
      <c r="D1301" t="s">
        <v>1872</v>
      </c>
      <c r="E1301" t="s">
        <v>29</v>
      </c>
      <c r="F1301" t="s">
        <v>30</v>
      </c>
      <c r="G1301">
        <v>0</v>
      </c>
      <c r="H1301">
        <v>0</v>
      </c>
      <c r="I1301">
        <v>1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 t="s">
        <v>31</v>
      </c>
      <c r="Z1301">
        <v>55</v>
      </c>
      <c r="AA1301">
        <v>0</v>
      </c>
    </row>
    <row r="1302" spans="1:27" x14ac:dyDescent="0.2">
      <c r="A1302" t="s">
        <v>547</v>
      </c>
      <c r="B1302">
        <v>2020</v>
      </c>
      <c r="C1302">
        <v>5547016909</v>
      </c>
      <c r="D1302" t="s">
        <v>1873</v>
      </c>
      <c r="E1302" t="s">
        <v>29</v>
      </c>
      <c r="F1302" t="s">
        <v>30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61</v>
      </c>
      <c r="N1302">
        <v>0</v>
      </c>
      <c r="O1302">
        <v>90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 t="s">
        <v>31</v>
      </c>
      <c r="Z1302">
        <v>55</v>
      </c>
      <c r="AA1302">
        <v>0</v>
      </c>
    </row>
    <row r="1303" spans="1:27" x14ac:dyDescent="0.2">
      <c r="A1303" t="s">
        <v>547</v>
      </c>
      <c r="B1303">
        <v>2020</v>
      </c>
      <c r="C1303">
        <v>5093011013</v>
      </c>
      <c r="D1303" t="s">
        <v>1874</v>
      </c>
      <c r="E1303" t="s">
        <v>29</v>
      </c>
      <c r="F1303" t="s">
        <v>30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15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 t="s">
        <v>31</v>
      </c>
      <c r="Z1303">
        <v>55</v>
      </c>
      <c r="AA1303">
        <v>0</v>
      </c>
    </row>
    <row r="1304" spans="1:27" x14ac:dyDescent="0.2">
      <c r="A1304" t="s">
        <v>547</v>
      </c>
      <c r="B1304">
        <v>2020</v>
      </c>
      <c r="C1304">
        <v>2284001016</v>
      </c>
      <c r="D1304" t="s">
        <v>1875</v>
      </c>
      <c r="E1304" t="s">
        <v>29</v>
      </c>
      <c r="F1304" t="s">
        <v>30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4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 t="s">
        <v>31</v>
      </c>
      <c r="Z1304">
        <v>55</v>
      </c>
      <c r="AA1304">
        <v>0</v>
      </c>
    </row>
    <row r="1305" spans="1:27" x14ac:dyDescent="0.2">
      <c r="A1305" t="s">
        <v>457</v>
      </c>
      <c r="B1305">
        <v>2023</v>
      </c>
      <c r="C1305" t="s">
        <v>1876</v>
      </c>
      <c r="D1305" t="s">
        <v>1877</v>
      </c>
      <c r="E1305" t="s">
        <v>29</v>
      </c>
      <c r="F1305" t="s">
        <v>30</v>
      </c>
      <c r="G1305">
        <v>0</v>
      </c>
      <c r="H1305">
        <v>0</v>
      </c>
      <c r="I1305">
        <v>17</v>
      </c>
      <c r="J1305">
        <v>0</v>
      </c>
      <c r="K1305">
        <v>0</v>
      </c>
      <c r="L1305">
        <v>155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 t="s">
        <v>31</v>
      </c>
      <c r="Z1305">
        <v>55</v>
      </c>
      <c r="AA1305">
        <v>10</v>
      </c>
    </row>
    <row r="1306" spans="1:27" x14ac:dyDescent="0.2">
      <c r="A1306" t="s">
        <v>1077</v>
      </c>
      <c r="B1306">
        <v>2022</v>
      </c>
      <c r="C1306">
        <v>2362603700</v>
      </c>
      <c r="D1306" t="s">
        <v>1878</v>
      </c>
      <c r="E1306" t="s">
        <v>29</v>
      </c>
      <c r="F1306" t="s">
        <v>30</v>
      </c>
      <c r="G1306">
        <v>4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 t="s">
        <v>31</v>
      </c>
      <c r="Z1306">
        <v>55</v>
      </c>
      <c r="AA1306">
        <v>10</v>
      </c>
    </row>
    <row r="1307" spans="1:27" x14ac:dyDescent="0.2">
      <c r="A1307" t="s">
        <v>1879</v>
      </c>
      <c r="B1307">
        <v>2021</v>
      </c>
      <c r="C1307" t="s">
        <v>1880</v>
      </c>
      <c r="D1307" t="s">
        <v>1881</v>
      </c>
      <c r="E1307" t="s">
        <v>29</v>
      </c>
      <c r="F1307" t="s">
        <v>30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15</v>
      </c>
      <c r="N1307">
        <v>0</v>
      </c>
      <c r="O1307">
        <v>14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 t="s">
        <v>31</v>
      </c>
      <c r="Z1307">
        <v>55</v>
      </c>
      <c r="AA1307">
        <v>0</v>
      </c>
    </row>
    <row r="1308" spans="1:27" x14ac:dyDescent="0.2">
      <c r="A1308" t="s">
        <v>622</v>
      </c>
      <c r="B1308">
        <v>2023</v>
      </c>
      <c r="C1308" t="s">
        <v>1882</v>
      </c>
      <c r="D1308" t="s">
        <v>1883</v>
      </c>
      <c r="E1308" t="s">
        <v>29</v>
      </c>
      <c r="F1308" t="s">
        <v>30</v>
      </c>
      <c r="G1308">
        <v>10</v>
      </c>
      <c r="H1308">
        <v>0</v>
      </c>
      <c r="I1308">
        <v>93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 t="s">
        <v>31</v>
      </c>
      <c r="AA1308">
        <v>24</v>
      </c>
    </row>
    <row r="1309" spans="1:27" x14ac:dyDescent="0.2">
      <c r="A1309" t="s">
        <v>1515</v>
      </c>
      <c r="B1309">
        <v>2023</v>
      </c>
      <c r="C1309">
        <v>1620023030</v>
      </c>
      <c r="D1309" t="s">
        <v>1884</v>
      </c>
      <c r="E1309" t="s">
        <v>29</v>
      </c>
      <c r="F1309" t="s">
        <v>30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15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 t="s">
        <v>31</v>
      </c>
      <c r="Z1309">
        <v>55</v>
      </c>
      <c r="AA1309">
        <v>0</v>
      </c>
    </row>
    <row r="1310" spans="1:27" x14ac:dyDescent="0.2">
      <c r="A1310" t="s">
        <v>227</v>
      </c>
      <c r="B1310">
        <v>2019</v>
      </c>
      <c r="C1310" t="s">
        <v>1885</v>
      </c>
      <c r="D1310" t="s">
        <v>1886</v>
      </c>
      <c r="E1310" t="s">
        <v>29</v>
      </c>
      <c r="F1310" t="s">
        <v>41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3</v>
      </c>
      <c r="P1310">
        <v>0</v>
      </c>
      <c r="Q1310">
        <v>7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 t="s">
        <v>51</v>
      </c>
      <c r="Z1310">
        <v>45</v>
      </c>
      <c r="AA1310">
        <v>0</v>
      </c>
    </row>
    <row r="1311" spans="1:27" x14ac:dyDescent="0.2">
      <c r="A1311" t="s">
        <v>1255</v>
      </c>
      <c r="B1311">
        <v>2022</v>
      </c>
      <c r="C1311" s="2" t="s">
        <v>1256</v>
      </c>
      <c r="D1311" t="s">
        <v>1887</v>
      </c>
      <c r="E1311" t="s">
        <v>29</v>
      </c>
      <c r="F1311" t="s">
        <v>30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5</v>
      </c>
      <c r="T1311">
        <v>0</v>
      </c>
      <c r="U1311">
        <v>19</v>
      </c>
      <c r="V1311">
        <v>0</v>
      </c>
      <c r="W1311">
        <v>0</v>
      </c>
      <c r="X1311">
        <v>0</v>
      </c>
      <c r="Y1311" t="s">
        <v>31</v>
      </c>
      <c r="AA1311">
        <v>0</v>
      </c>
    </row>
    <row r="1312" spans="1:27" x14ac:dyDescent="0.2">
      <c r="A1312" t="s">
        <v>876</v>
      </c>
      <c r="B1312">
        <v>2020</v>
      </c>
      <c r="C1312">
        <v>41208061</v>
      </c>
      <c r="D1312" t="s">
        <v>878</v>
      </c>
      <c r="E1312" t="s">
        <v>29</v>
      </c>
      <c r="F1312" t="s">
        <v>41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1</v>
      </c>
      <c r="T1312">
        <v>0</v>
      </c>
      <c r="U1312">
        <v>1</v>
      </c>
      <c r="V1312">
        <v>0</v>
      </c>
      <c r="W1312">
        <v>0</v>
      </c>
      <c r="X1312">
        <v>0</v>
      </c>
      <c r="Y1312" t="s">
        <v>31</v>
      </c>
      <c r="Z1312">
        <v>0</v>
      </c>
      <c r="AA1312">
        <v>0</v>
      </c>
    </row>
    <row r="1313" spans="1:27" x14ac:dyDescent="0.2">
      <c r="A1313" t="s">
        <v>457</v>
      </c>
      <c r="B1313">
        <v>2023</v>
      </c>
      <c r="C1313" t="s">
        <v>720</v>
      </c>
      <c r="D1313" t="s">
        <v>1888</v>
      </c>
      <c r="E1313" t="s">
        <v>29</v>
      </c>
      <c r="F1313" t="s">
        <v>30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8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 t="s">
        <v>31</v>
      </c>
      <c r="Z1313">
        <v>55</v>
      </c>
      <c r="AA1313">
        <v>100</v>
      </c>
    </row>
    <row r="1314" spans="1:27" x14ac:dyDescent="0.2">
      <c r="A1314" t="s">
        <v>1247</v>
      </c>
      <c r="B1314">
        <v>2022</v>
      </c>
      <c r="C1314">
        <v>125071015</v>
      </c>
      <c r="D1314" t="s">
        <v>1889</v>
      </c>
      <c r="E1314" t="s">
        <v>29</v>
      </c>
      <c r="F1314" t="s">
        <v>30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7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 t="s">
        <v>31</v>
      </c>
      <c r="Z1314">
        <v>55</v>
      </c>
      <c r="AA1314">
        <v>37.5</v>
      </c>
    </row>
    <row r="1315" spans="1:27" x14ac:dyDescent="0.2">
      <c r="A1315" t="s">
        <v>1247</v>
      </c>
      <c r="B1315">
        <v>2022</v>
      </c>
      <c r="C1315">
        <v>10510021</v>
      </c>
      <c r="D1315" t="s">
        <v>1890</v>
      </c>
      <c r="E1315" t="s">
        <v>29</v>
      </c>
      <c r="F1315" t="s">
        <v>30</v>
      </c>
      <c r="G1315">
        <v>0</v>
      </c>
      <c r="H1315">
        <v>0</v>
      </c>
      <c r="I1315">
        <v>21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21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 t="s">
        <v>31</v>
      </c>
      <c r="Z1315">
        <v>55</v>
      </c>
      <c r="AA1315" s="2" t="s">
        <v>1719</v>
      </c>
    </row>
    <row r="1316" spans="1:27" x14ac:dyDescent="0.2">
      <c r="A1316" t="s">
        <v>1247</v>
      </c>
      <c r="B1316">
        <v>2022</v>
      </c>
      <c r="C1316">
        <v>10510021</v>
      </c>
      <c r="D1316" t="s">
        <v>1891</v>
      </c>
      <c r="E1316" t="s">
        <v>29</v>
      </c>
      <c r="F1316" t="s">
        <v>30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 t="s">
        <v>31</v>
      </c>
      <c r="Z1316">
        <v>55</v>
      </c>
      <c r="AA1316" s="2" t="s">
        <v>1719</v>
      </c>
    </row>
    <row r="1317" spans="1:27" x14ac:dyDescent="0.2">
      <c r="A1317" t="s">
        <v>1247</v>
      </c>
      <c r="B1317">
        <v>2022</v>
      </c>
      <c r="C1317">
        <v>10510021</v>
      </c>
      <c r="D1317" t="s">
        <v>1892</v>
      </c>
      <c r="E1317" t="s">
        <v>29</v>
      </c>
      <c r="F1317" t="s">
        <v>30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 t="s">
        <v>31</v>
      </c>
      <c r="Z1317">
        <v>55</v>
      </c>
      <c r="AA1317" s="2" t="s">
        <v>1719</v>
      </c>
    </row>
    <row r="1318" spans="1:27" x14ac:dyDescent="0.2">
      <c r="A1318" t="s">
        <v>792</v>
      </c>
      <c r="B1318">
        <v>2021</v>
      </c>
      <c r="C1318">
        <v>37529114</v>
      </c>
      <c r="D1318" t="s">
        <v>1893</v>
      </c>
      <c r="E1318" t="s">
        <v>29</v>
      </c>
      <c r="F1318" t="s">
        <v>30</v>
      </c>
      <c r="G1318">
        <v>0</v>
      </c>
      <c r="H1318">
        <v>0</v>
      </c>
      <c r="I1318">
        <v>27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 t="s">
        <v>31</v>
      </c>
      <c r="Z1318">
        <v>55</v>
      </c>
      <c r="AA1318">
        <v>0</v>
      </c>
    </row>
    <row r="1319" spans="1:27" x14ac:dyDescent="0.2">
      <c r="A1319" t="s">
        <v>600</v>
      </c>
      <c r="B1319">
        <v>2021</v>
      </c>
      <c r="C1319">
        <v>1069013</v>
      </c>
      <c r="D1319" t="s">
        <v>1894</v>
      </c>
      <c r="E1319" t="s">
        <v>29</v>
      </c>
      <c r="F1319" t="s">
        <v>41</v>
      </c>
      <c r="G1319">
        <v>0</v>
      </c>
      <c r="H1319">
        <v>0</v>
      </c>
      <c r="I1319">
        <v>5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 t="s">
        <v>31</v>
      </c>
      <c r="Z1319">
        <v>1000</v>
      </c>
      <c r="AA1319">
        <v>221</v>
      </c>
    </row>
    <row r="1320" spans="1:27" x14ac:dyDescent="0.2">
      <c r="A1320" t="s">
        <v>600</v>
      </c>
      <c r="B1320">
        <v>2021</v>
      </c>
      <c r="C1320">
        <v>5311035</v>
      </c>
      <c r="D1320" t="s">
        <v>1895</v>
      </c>
      <c r="E1320" t="s">
        <v>29</v>
      </c>
      <c r="F1320" t="s">
        <v>30</v>
      </c>
      <c r="G1320">
        <v>0</v>
      </c>
      <c r="H1320">
        <v>0</v>
      </c>
      <c r="I1320">
        <v>3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 t="s">
        <v>31</v>
      </c>
      <c r="Z1320">
        <v>1000</v>
      </c>
      <c r="AA1320">
        <v>221</v>
      </c>
    </row>
    <row r="1321" spans="1:27" x14ac:dyDescent="0.2">
      <c r="A1321" t="s">
        <v>600</v>
      </c>
      <c r="B1321">
        <v>2021</v>
      </c>
      <c r="C1321">
        <v>6955014</v>
      </c>
      <c r="D1321" t="s">
        <v>1896</v>
      </c>
      <c r="E1321" t="s">
        <v>29</v>
      </c>
      <c r="F1321" t="s">
        <v>30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 t="s">
        <v>31</v>
      </c>
      <c r="Z1321">
        <v>1000</v>
      </c>
      <c r="AA1321">
        <v>0</v>
      </c>
    </row>
    <row r="1322" spans="1:27" x14ac:dyDescent="0.2">
      <c r="A1322" t="s">
        <v>600</v>
      </c>
      <c r="B1322">
        <v>2021</v>
      </c>
      <c r="C1322">
        <v>3703040</v>
      </c>
      <c r="D1322" t="s">
        <v>1140</v>
      </c>
      <c r="E1322" t="s">
        <v>29</v>
      </c>
      <c r="F1322" t="s">
        <v>30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6</v>
      </c>
      <c r="N1322">
        <v>0</v>
      </c>
      <c r="O1322">
        <v>21</v>
      </c>
      <c r="P1322">
        <v>0</v>
      </c>
      <c r="Q1322">
        <v>7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 t="s">
        <v>51</v>
      </c>
      <c r="Z1322">
        <v>1000</v>
      </c>
      <c r="AA1322">
        <v>0</v>
      </c>
    </row>
    <row r="1323" spans="1:27" x14ac:dyDescent="0.2">
      <c r="A1323" t="s">
        <v>600</v>
      </c>
      <c r="B1323">
        <v>2021</v>
      </c>
      <c r="C1323">
        <v>6973039</v>
      </c>
      <c r="D1323" t="s">
        <v>1897</v>
      </c>
      <c r="E1323" t="s">
        <v>29</v>
      </c>
      <c r="F1323" t="s">
        <v>30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89</v>
      </c>
      <c r="N1323">
        <v>0</v>
      </c>
      <c r="O1323">
        <v>29</v>
      </c>
      <c r="P1323">
        <v>0</v>
      </c>
      <c r="Q1323">
        <v>12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 t="s">
        <v>31</v>
      </c>
      <c r="Z1323">
        <v>1000</v>
      </c>
      <c r="AA1323">
        <v>133</v>
      </c>
    </row>
    <row r="1324" spans="1:27" x14ac:dyDescent="0.2">
      <c r="A1324" t="s">
        <v>600</v>
      </c>
      <c r="B1324">
        <v>2021</v>
      </c>
      <c r="C1324" t="s">
        <v>1898</v>
      </c>
      <c r="D1324" t="s">
        <v>1899</v>
      </c>
      <c r="E1324" t="s">
        <v>29</v>
      </c>
      <c r="F1324" t="s">
        <v>41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11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 t="s">
        <v>51</v>
      </c>
      <c r="Z1324">
        <v>1000</v>
      </c>
      <c r="AA1324">
        <v>0</v>
      </c>
    </row>
    <row r="1325" spans="1:27" x14ac:dyDescent="0.2">
      <c r="A1325" t="s">
        <v>600</v>
      </c>
      <c r="B1325">
        <v>2021</v>
      </c>
      <c r="C1325">
        <v>3502108</v>
      </c>
      <c r="D1325" t="s">
        <v>1830</v>
      </c>
      <c r="E1325" t="s">
        <v>29</v>
      </c>
      <c r="F1325" t="s">
        <v>41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3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 t="s">
        <v>51</v>
      </c>
      <c r="Z1325">
        <v>1000</v>
      </c>
      <c r="AA1325">
        <v>0</v>
      </c>
    </row>
    <row r="1326" spans="1:27" x14ac:dyDescent="0.2">
      <c r="A1326" t="s">
        <v>600</v>
      </c>
      <c r="B1326">
        <v>2021</v>
      </c>
      <c r="C1326">
        <v>3725089</v>
      </c>
      <c r="D1326" t="s">
        <v>1900</v>
      </c>
      <c r="E1326" t="s">
        <v>29</v>
      </c>
      <c r="F1326" t="s">
        <v>30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36</v>
      </c>
      <c r="X1326">
        <v>0</v>
      </c>
      <c r="Y1326" t="s">
        <v>51</v>
      </c>
      <c r="Z1326">
        <v>1000</v>
      </c>
      <c r="AA1326">
        <v>0</v>
      </c>
    </row>
    <row r="1327" spans="1:27" x14ac:dyDescent="0.2">
      <c r="A1327" t="s">
        <v>600</v>
      </c>
      <c r="B1327">
        <v>2021</v>
      </c>
      <c r="C1327">
        <v>3614062</v>
      </c>
      <c r="D1327" t="s">
        <v>1901</v>
      </c>
      <c r="E1327" t="s">
        <v>29</v>
      </c>
      <c r="F1327" t="s">
        <v>30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5</v>
      </c>
      <c r="T1327">
        <v>0</v>
      </c>
      <c r="U1327">
        <v>17</v>
      </c>
      <c r="V1327">
        <v>0</v>
      </c>
      <c r="W1327">
        <v>6</v>
      </c>
      <c r="X1327">
        <v>0</v>
      </c>
      <c r="Y1327" t="s">
        <v>51</v>
      </c>
      <c r="Z1327">
        <v>1000</v>
      </c>
      <c r="AA1327">
        <v>0</v>
      </c>
    </row>
    <row r="1328" spans="1:27" x14ac:dyDescent="0.2">
      <c r="A1328" t="s">
        <v>600</v>
      </c>
      <c r="B1328">
        <v>2021</v>
      </c>
      <c r="C1328">
        <v>2081001</v>
      </c>
      <c r="D1328" t="s">
        <v>1902</v>
      </c>
      <c r="E1328" t="s">
        <v>29</v>
      </c>
      <c r="F1328" t="s">
        <v>30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1</v>
      </c>
      <c r="T1328">
        <v>0</v>
      </c>
      <c r="U1328">
        <v>1</v>
      </c>
      <c r="V1328">
        <v>0</v>
      </c>
      <c r="W1328">
        <v>1</v>
      </c>
      <c r="X1328">
        <v>0</v>
      </c>
      <c r="Y1328" t="s">
        <v>51</v>
      </c>
      <c r="Z1328">
        <v>1000</v>
      </c>
      <c r="AA1328">
        <v>0</v>
      </c>
    </row>
    <row r="1329" spans="1:27" x14ac:dyDescent="0.2">
      <c r="A1329" t="s">
        <v>1609</v>
      </c>
      <c r="B1329">
        <v>2022</v>
      </c>
      <c r="C1329">
        <v>1824120</v>
      </c>
      <c r="D1329" t="s">
        <v>1903</v>
      </c>
      <c r="E1329" t="s">
        <v>29</v>
      </c>
      <c r="F1329" t="s">
        <v>30</v>
      </c>
      <c r="G1329">
        <v>10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 t="s">
        <v>51</v>
      </c>
      <c r="Z1329">
        <v>55</v>
      </c>
      <c r="AA1329">
        <v>0</v>
      </c>
    </row>
    <row r="1330" spans="1:27" x14ac:dyDescent="0.2">
      <c r="A1330" t="s">
        <v>1609</v>
      </c>
      <c r="B1330">
        <v>2022</v>
      </c>
      <c r="C1330">
        <v>1649102</v>
      </c>
      <c r="D1330" t="s">
        <v>1904</v>
      </c>
      <c r="E1330" t="s">
        <v>29</v>
      </c>
      <c r="F1330" t="s">
        <v>30</v>
      </c>
      <c r="G1330">
        <v>72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72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 t="s">
        <v>31</v>
      </c>
      <c r="Z1330">
        <v>55</v>
      </c>
      <c r="AA1330">
        <v>69</v>
      </c>
    </row>
    <row r="1331" spans="1:27" x14ac:dyDescent="0.2">
      <c r="A1331" t="s">
        <v>1706</v>
      </c>
      <c r="B1331">
        <v>2022</v>
      </c>
      <c r="C1331" t="s">
        <v>1905</v>
      </c>
      <c r="D1331" t="s">
        <v>1906</v>
      </c>
      <c r="E1331" t="s">
        <v>29</v>
      </c>
      <c r="F1331" t="s">
        <v>41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 t="s">
        <v>31</v>
      </c>
      <c r="AA1331">
        <v>20</v>
      </c>
    </row>
    <row r="1332" spans="1:27" x14ac:dyDescent="0.2">
      <c r="A1332" t="s">
        <v>1255</v>
      </c>
      <c r="B1332">
        <v>2022</v>
      </c>
      <c r="C1332" s="2" t="s">
        <v>1256</v>
      </c>
      <c r="D1332" t="s">
        <v>1907</v>
      </c>
      <c r="E1332" t="s">
        <v>29</v>
      </c>
      <c r="F1332" t="s">
        <v>30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5</v>
      </c>
      <c r="T1332">
        <v>0</v>
      </c>
      <c r="U1332">
        <v>19</v>
      </c>
      <c r="V1332">
        <v>0</v>
      </c>
      <c r="W1332">
        <v>0</v>
      </c>
      <c r="X1332">
        <v>0</v>
      </c>
      <c r="Y1332" t="s">
        <v>31</v>
      </c>
      <c r="AA1332">
        <v>0</v>
      </c>
    </row>
    <row r="1333" spans="1:27" x14ac:dyDescent="0.2">
      <c r="A1333" t="s">
        <v>1255</v>
      </c>
      <c r="B1333">
        <v>2022</v>
      </c>
      <c r="C1333" s="2" t="s">
        <v>1256</v>
      </c>
      <c r="D1333" t="s">
        <v>1908</v>
      </c>
      <c r="E1333" t="s">
        <v>29</v>
      </c>
      <c r="F1333" t="s">
        <v>30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5</v>
      </c>
      <c r="T1333">
        <v>0</v>
      </c>
      <c r="U1333">
        <v>18</v>
      </c>
      <c r="V1333">
        <v>0</v>
      </c>
      <c r="W1333">
        <v>0</v>
      </c>
      <c r="X1333">
        <v>0</v>
      </c>
      <c r="Y1333" t="s">
        <v>31</v>
      </c>
      <c r="AA1333">
        <v>0</v>
      </c>
    </row>
    <row r="1334" spans="1:27" x14ac:dyDescent="0.2">
      <c r="A1334" t="s">
        <v>1226</v>
      </c>
      <c r="B1334">
        <v>2021</v>
      </c>
      <c r="C1334" t="s">
        <v>1909</v>
      </c>
      <c r="D1334" t="s">
        <v>1910</v>
      </c>
      <c r="E1334" t="s">
        <v>29</v>
      </c>
      <c r="F1334" t="s">
        <v>41</v>
      </c>
      <c r="G1334">
        <v>0</v>
      </c>
      <c r="H1334">
        <v>0</v>
      </c>
      <c r="I1334">
        <v>0</v>
      </c>
      <c r="J1334">
        <v>0</v>
      </c>
      <c r="K1334">
        <v>10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 t="s">
        <v>51</v>
      </c>
      <c r="AA1334">
        <v>0</v>
      </c>
    </row>
    <row r="1335" spans="1:27" x14ac:dyDescent="0.2">
      <c r="A1335" t="s">
        <v>600</v>
      </c>
      <c r="B1335">
        <v>2021</v>
      </c>
      <c r="C1335">
        <v>3965022</v>
      </c>
      <c r="D1335" t="s">
        <v>1911</v>
      </c>
      <c r="E1335" t="s">
        <v>29</v>
      </c>
      <c r="F1335" t="s">
        <v>30</v>
      </c>
      <c r="G1335">
        <v>14</v>
      </c>
      <c r="H1335">
        <v>0</v>
      </c>
      <c r="I1335">
        <v>4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 t="s">
        <v>31</v>
      </c>
      <c r="Z1335">
        <v>1000</v>
      </c>
      <c r="AA1335">
        <v>132</v>
      </c>
    </row>
    <row r="1336" spans="1:27" x14ac:dyDescent="0.2">
      <c r="A1336" t="s">
        <v>600</v>
      </c>
      <c r="B1336">
        <v>2021</v>
      </c>
      <c r="C1336">
        <v>6055001</v>
      </c>
      <c r="D1336" t="s">
        <v>1912</v>
      </c>
      <c r="E1336" t="s">
        <v>29</v>
      </c>
      <c r="F1336" t="s">
        <v>30</v>
      </c>
      <c r="G1336">
        <v>3</v>
      </c>
      <c r="H1336">
        <v>0</v>
      </c>
      <c r="I1336">
        <v>4</v>
      </c>
      <c r="J1336">
        <v>0</v>
      </c>
      <c r="K1336">
        <v>4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 t="s">
        <v>51</v>
      </c>
      <c r="Z1336">
        <v>1000</v>
      </c>
      <c r="AA1336">
        <v>0</v>
      </c>
    </row>
    <row r="1337" spans="1:27" x14ac:dyDescent="0.2">
      <c r="A1337" t="s">
        <v>600</v>
      </c>
      <c r="B1337">
        <v>2021</v>
      </c>
      <c r="C1337">
        <v>5338053</v>
      </c>
      <c r="D1337" t="s">
        <v>1913</v>
      </c>
      <c r="E1337" t="s">
        <v>29</v>
      </c>
      <c r="F1337" t="s">
        <v>30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 t="s">
        <v>31</v>
      </c>
      <c r="Z1337">
        <v>1000</v>
      </c>
      <c r="AA1337">
        <v>135</v>
      </c>
    </row>
    <row r="1338" spans="1:27" x14ac:dyDescent="0.2">
      <c r="A1338" t="s">
        <v>600</v>
      </c>
      <c r="B1338">
        <v>2021</v>
      </c>
      <c r="C1338">
        <v>3732100</v>
      </c>
      <c r="D1338" t="s">
        <v>1858</v>
      </c>
      <c r="E1338" t="s">
        <v>29</v>
      </c>
      <c r="F1338" t="s">
        <v>30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102</v>
      </c>
      <c r="P1338">
        <v>0</v>
      </c>
      <c r="Q1338">
        <v>99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 t="s">
        <v>31</v>
      </c>
      <c r="Z1338">
        <v>1000</v>
      </c>
      <c r="AA1338">
        <v>54</v>
      </c>
    </row>
    <row r="1339" spans="1:27" x14ac:dyDescent="0.2">
      <c r="A1339" t="s">
        <v>600</v>
      </c>
      <c r="B1339">
        <v>2021</v>
      </c>
      <c r="C1339">
        <v>3610010</v>
      </c>
      <c r="D1339" t="s">
        <v>1914</v>
      </c>
      <c r="E1339" t="s">
        <v>29</v>
      </c>
      <c r="F1339" t="s">
        <v>41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2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 t="s">
        <v>51</v>
      </c>
      <c r="Z1339">
        <v>1000</v>
      </c>
      <c r="AA1339">
        <v>0</v>
      </c>
    </row>
    <row r="1340" spans="1:27" x14ac:dyDescent="0.2">
      <c r="A1340" t="s">
        <v>600</v>
      </c>
      <c r="B1340">
        <v>2021</v>
      </c>
      <c r="C1340">
        <v>3702390</v>
      </c>
      <c r="D1340" t="s">
        <v>1915</v>
      </c>
      <c r="E1340" t="s">
        <v>29</v>
      </c>
      <c r="F1340" t="s">
        <v>30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12</v>
      </c>
      <c r="T1340">
        <v>0</v>
      </c>
      <c r="U1340">
        <v>41</v>
      </c>
      <c r="V1340">
        <v>0</v>
      </c>
      <c r="W1340">
        <v>14</v>
      </c>
      <c r="X1340">
        <v>0</v>
      </c>
      <c r="Y1340" t="s">
        <v>51</v>
      </c>
      <c r="Z1340">
        <v>1000</v>
      </c>
      <c r="AA1340">
        <v>0</v>
      </c>
    </row>
    <row r="1341" spans="1:27" x14ac:dyDescent="0.2">
      <c r="A1341" t="s">
        <v>600</v>
      </c>
      <c r="B1341">
        <v>2021</v>
      </c>
      <c r="C1341">
        <v>3780044</v>
      </c>
      <c r="D1341" t="s">
        <v>1916</v>
      </c>
      <c r="E1341" t="s">
        <v>29</v>
      </c>
      <c r="F1341" t="s">
        <v>30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30</v>
      </c>
      <c r="V1341">
        <v>0</v>
      </c>
      <c r="W1341">
        <v>0</v>
      </c>
      <c r="X1341">
        <v>0</v>
      </c>
      <c r="Y1341" t="s">
        <v>51</v>
      </c>
      <c r="Z1341">
        <v>1000</v>
      </c>
      <c r="AA1341">
        <v>0</v>
      </c>
    </row>
    <row r="1342" spans="1:27" x14ac:dyDescent="0.2">
      <c r="A1342" t="s">
        <v>600</v>
      </c>
      <c r="B1342">
        <v>2021</v>
      </c>
      <c r="C1342">
        <v>8711020</v>
      </c>
      <c r="D1342" t="s">
        <v>1917</v>
      </c>
      <c r="E1342" t="s">
        <v>29</v>
      </c>
      <c r="F1342" t="s">
        <v>30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68</v>
      </c>
      <c r="T1342">
        <v>0</v>
      </c>
      <c r="U1342">
        <v>83</v>
      </c>
      <c r="V1342">
        <v>0</v>
      </c>
      <c r="W1342">
        <v>0</v>
      </c>
      <c r="X1342">
        <v>0</v>
      </c>
      <c r="Y1342" t="s">
        <v>51</v>
      </c>
      <c r="Z1342">
        <v>1000</v>
      </c>
      <c r="AA1342">
        <v>0</v>
      </c>
    </row>
    <row r="1343" spans="1:27" x14ac:dyDescent="0.2">
      <c r="A1343" t="s">
        <v>600</v>
      </c>
      <c r="B1343">
        <v>2021</v>
      </c>
      <c r="C1343" s="2" t="s">
        <v>1918</v>
      </c>
      <c r="D1343" t="s">
        <v>1919</v>
      </c>
      <c r="E1343" t="s">
        <v>29</v>
      </c>
      <c r="F1343" t="s">
        <v>30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20</v>
      </c>
      <c r="V1343">
        <v>0</v>
      </c>
      <c r="W1343">
        <v>0</v>
      </c>
      <c r="X1343">
        <v>0</v>
      </c>
      <c r="Y1343" t="s">
        <v>51</v>
      </c>
      <c r="Z1343">
        <v>1000</v>
      </c>
      <c r="AA1343">
        <v>0</v>
      </c>
    </row>
    <row r="1344" spans="1:27" x14ac:dyDescent="0.2">
      <c r="A1344" t="s">
        <v>533</v>
      </c>
      <c r="B1344">
        <v>2023</v>
      </c>
      <c r="C1344" t="s">
        <v>1920</v>
      </c>
      <c r="D1344" t="s">
        <v>1921</v>
      </c>
      <c r="E1344" t="s">
        <v>29</v>
      </c>
      <c r="F1344" t="s">
        <v>41</v>
      </c>
      <c r="G1344">
        <v>0</v>
      </c>
      <c r="H1344">
        <v>0</v>
      </c>
      <c r="I1344">
        <v>1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1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 t="s">
        <v>31</v>
      </c>
      <c r="AA1344">
        <v>20</v>
      </c>
    </row>
    <row r="1345" spans="1:27" x14ac:dyDescent="0.2">
      <c r="A1345" t="s">
        <v>533</v>
      </c>
      <c r="B1345">
        <v>2023</v>
      </c>
      <c r="C1345" t="s">
        <v>1922</v>
      </c>
      <c r="D1345" t="s">
        <v>1923</v>
      </c>
      <c r="E1345" t="s">
        <v>29</v>
      </c>
      <c r="F1345" t="s">
        <v>41</v>
      </c>
      <c r="G1345">
        <v>0</v>
      </c>
      <c r="H1345">
        <v>0</v>
      </c>
      <c r="I1345">
        <v>0</v>
      </c>
      <c r="J1345">
        <v>0</v>
      </c>
      <c r="K1345">
        <v>1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1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 t="s">
        <v>31</v>
      </c>
      <c r="AA1345">
        <v>20</v>
      </c>
    </row>
    <row r="1346" spans="1:27" x14ac:dyDescent="0.2">
      <c r="A1346" t="s">
        <v>1316</v>
      </c>
      <c r="B1346">
        <v>2022</v>
      </c>
      <c r="C1346" t="s">
        <v>1322</v>
      </c>
      <c r="D1346" t="s">
        <v>1924</v>
      </c>
      <c r="E1346" t="s">
        <v>29</v>
      </c>
      <c r="F1346" t="s">
        <v>30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18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 t="s">
        <v>31</v>
      </c>
      <c r="Z1346">
        <v>1000</v>
      </c>
      <c r="AA1346">
        <v>35</v>
      </c>
    </row>
    <row r="1347" spans="1:27" x14ac:dyDescent="0.2">
      <c r="A1347" t="s">
        <v>1316</v>
      </c>
      <c r="B1347">
        <v>2022</v>
      </c>
      <c r="C1347" t="s">
        <v>1322</v>
      </c>
      <c r="D1347" t="s">
        <v>1925</v>
      </c>
      <c r="E1347" t="s">
        <v>29</v>
      </c>
      <c r="F1347" t="s">
        <v>30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17</v>
      </c>
      <c r="N1347">
        <v>0</v>
      </c>
      <c r="O1347">
        <v>1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 t="s">
        <v>31</v>
      </c>
      <c r="Z1347">
        <v>1000</v>
      </c>
      <c r="AA1347">
        <v>35</v>
      </c>
    </row>
    <row r="1348" spans="1:27" x14ac:dyDescent="0.2">
      <c r="A1348" t="s">
        <v>1327</v>
      </c>
      <c r="B1348">
        <v>2022</v>
      </c>
      <c r="C1348" t="s">
        <v>1926</v>
      </c>
      <c r="D1348" t="s">
        <v>1927</v>
      </c>
      <c r="E1348" t="s">
        <v>29</v>
      </c>
      <c r="F1348" t="s">
        <v>41</v>
      </c>
      <c r="G1348">
        <v>0</v>
      </c>
      <c r="H1348">
        <v>0</v>
      </c>
      <c r="I1348">
        <v>0</v>
      </c>
      <c r="J1348">
        <v>0</v>
      </c>
      <c r="K1348">
        <v>36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 t="s">
        <v>31</v>
      </c>
      <c r="AA1348">
        <v>15</v>
      </c>
    </row>
    <row r="1349" spans="1:27" x14ac:dyDescent="0.2">
      <c r="A1349" t="s">
        <v>533</v>
      </c>
      <c r="B1349">
        <v>2023</v>
      </c>
      <c r="C1349" t="s">
        <v>1928</v>
      </c>
      <c r="D1349" t="s">
        <v>1929</v>
      </c>
      <c r="E1349" t="s">
        <v>29</v>
      </c>
      <c r="F1349" t="s">
        <v>41</v>
      </c>
      <c r="G1349">
        <v>0</v>
      </c>
      <c r="H1349">
        <v>0</v>
      </c>
      <c r="I1349">
        <v>0</v>
      </c>
      <c r="J1349">
        <v>0</v>
      </c>
      <c r="K1349">
        <v>2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2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2</v>
      </c>
      <c r="X1349">
        <v>0</v>
      </c>
      <c r="Y1349" t="s">
        <v>31</v>
      </c>
      <c r="Z1349">
        <v>1000</v>
      </c>
      <c r="AA1349">
        <v>20</v>
      </c>
    </row>
    <row r="1350" spans="1:27" x14ac:dyDescent="0.2">
      <c r="A1350" t="s">
        <v>1316</v>
      </c>
      <c r="B1350">
        <v>2022</v>
      </c>
      <c r="C1350" t="s">
        <v>1322</v>
      </c>
      <c r="D1350" t="s">
        <v>1930</v>
      </c>
      <c r="E1350" t="s">
        <v>29</v>
      </c>
      <c r="F1350" t="s">
        <v>30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16</v>
      </c>
      <c r="P1350">
        <v>0</v>
      </c>
      <c r="Q1350">
        <v>2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 t="s">
        <v>31</v>
      </c>
      <c r="Z1350">
        <v>1000</v>
      </c>
      <c r="AA1350">
        <v>35</v>
      </c>
    </row>
    <row r="1351" spans="1:27" x14ac:dyDescent="0.2">
      <c r="A1351" t="s">
        <v>1931</v>
      </c>
      <c r="B1351">
        <v>2023</v>
      </c>
      <c r="C1351" t="s">
        <v>1932</v>
      </c>
      <c r="D1351" t="s">
        <v>1933</v>
      </c>
      <c r="E1351" t="s">
        <v>29</v>
      </c>
      <c r="F1351" t="s">
        <v>30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7</v>
      </c>
      <c r="T1351">
        <v>0</v>
      </c>
      <c r="U1351">
        <v>0</v>
      </c>
      <c r="V1351">
        <v>0</v>
      </c>
      <c r="W1351">
        <v>0</v>
      </c>
      <c r="X1351">
        <v>0</v>
      </c>
      <c r="Y1351" t="s">
        <v>31</v>
      </c>
      <c r="Z1351">
        <v>55</v>
      </c>
      <c r="AA1351">
        <v>32.5</v>
      </c>
    </row>
    <row r="1352" spans="1:27" x14ac:dyDescent="0.2">
      <c r="A1352" t="s">
        <v>600</v>
      </c>
      <c r="B1352">
        <v>2022</v>
      </c>
      <c r="C1352">
        <v>5411014</v>
      </c>
      <c r="D1352" t="s">
        <v>1934</v>
      </c>
      <c r="E1352" t="s">
        <v>29</v>
      </c>
      <c r="F1352" t="s">
        <v>30</v>
      </c>
      <c r="G1352">
        <v>1</v>
      </c>
      <c r="H1352">
        <v>0</v>
      </c>
      <c r="I1352">
        <v>2</v>
      </c>
      <c r="J1352">
        <v>0</v>
      </c>
      <c r="K1352">
        <v>1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 t="s">
        <v>31</v>
      </c>
      <c r="AA1352">
        <v>100</v>
      </c>
    </row>
    <row r="1353" spans="1:27" x14ac:dyDescent="0.2">
      <c r="A1353" t="s">
        <v>600</v>
      </c>
      <c r="B1353">
        <v>2022</v>
      </c>
      <c r="C1353">
        <v>3776040</v>
      </c>
      <c r="D1353" t="s">
        <v>1935</v>
      </c>
      <c r="E1353" t="s">
        <v>29</v>
      </c>
      <c r="F1353" t="s">
        <v>30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44</v>
      </c>
      <c r="N1353">
        <v>0</v>
      </c>
      <c r="O1353">
        <v>13</v>
      </c>
      <c r="P1353">
        <v>0</v>
      </c>
      <c r="Q1353">
        <v>14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 t="s">
        <v>31</v>
      </c>
      <c r="AA1353">
        <v>42.5</v>
      </c>
    </row>
    <row r="1354" spans="1:27" x14ac:dyDescent="0.2">
      <c r="A1354" t="s">
        <v>600</v>
      </c>
      <c r="B1354">
        <v>2022</v>
      </c>
      <c r="C1354">
        <v>3953002</v>
      </c>
      <c r="D1354" t="s">
        <v>919</v>
      </c>
      <c r="E1354" t="s">
        <v>29</v>
      </c>
      <c r="F1354" t="s">
        <v>30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25</v>
      </c>
      <c r="V1354">
        <v>0</v>
      </c>
      <c r="W1354">
        <v>0</v>
      </c>
      <c r="X1354">
        <v>0</v>
      </c>
      <c r="Y1354" t="s">
        <v>51</v>
      </c>
      <c r="AA1354">
        <v>0</v>
      </c>
    </row>
    <row r="1355" spans="1:27" x14ac:dyDescent="0.2">
      <c r="A1355" t="s">
        <v>600</v>
      </c>
      <c r="B1355">
        <v>2022</v>
      </c>
      <c r="C1355">
        <v>6954039</v>
      </c>
      <c r="D1355" t="s">
        <v>1936</v>
      </c>
      <c r="E1355" t="s">
        <v>29</v>
      </c>
      <c r="F1355" t="s">
        <v>30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23</v>
      </c>
      <c r="V1355">
        <v>0</v>
      </c>
      <c r="W1355">
        <v>35</v>
      </c>
      <c r="X1355">
        <v>0</v>
      </c>
      <c r="Y1355" t="s">
        <v>51</v>
      </c>
      <c r="AA1355">
        <v>0</v>
      </c>
    </row>
    <row r="1356" spans="1:27" x14ac:dyDescent="0.2">
      <c r="A1356" t="s">
        <v>600</v>
      </c>
      <c r="B1356">
        <v>2022</v>
      </c>
      <c r="C1356" s="2" t="s">
        <v>1937</v>
      </c>
      <c r="D1356" t="s">
        <v>1938</v>
      </c>
      <c r="E1356" t="s">
        <v>29</v>
      </c>
      <c r="F1356" t="s">
        <v>30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 t="s">
        <v>51</v>
      </c>
      <c r="AA1356">
        <v>0</v>
      </c>
    </row>
    <row r="1357" spans="1:27" x14ac:dyDescent="0.2">
      <c r="A1357" t="s">
        <v>75</v>
      </c>
      <c r="B1357">
        <v>2022</v>
      </c>
      <c r="C1357">
        <v>5396012400</v>
      </c>
      <c r="D1357" t="s">
        <v>1939</v>
      </c>
      <c r="E1357" t="s">
        <v>29</v>
      </c>
      <c r="F1357" t="s">
        <v>41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1</v>
      </c>
      <c r="N1357">
        <v>0</v>
      </c>
      <c r="O1357">
        <v>0</v>
      </c>
      <c r="P1357">
        <v>0</v>
      </c>
      <c r="Q1357">
        <v>1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 t="s">
        <v>31</v>
      </c>
      <c r="Z1357">
        <v>55</v>
      </c>
      <c r="AA1357">
        <v>50</v>
      </c>
    </row>
    <row r="1358" spans="1:27" x14ac:dyDescent="0.2">
      <c r="A1358" t="s">
        <v>75</v>
      </c>
      <c r="B1358">
        <v>2022</v>
      </c>
      <c r="C1358">
        <v>4251000500</v>
      </c>
      <c r="D1358" t="s">
        <v>1940</v>
      </c>
      <c r="E1358" t="s">
        <v>29</v>
      </c>
      <c r="F1358" t="s">
        <v>30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1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 t="s">
        <v>51</v>
      </c>
      <c r="Z1358">
        <v>55</v>
      </c>
      <c r="AA1358">
        <v>0</v>
      </c>
    </row>
    <row r="1359" spans="1:27" x14ac:dyDescent="0.2">
      <c r="A1359" t="s">
        <v>75</v>
      </c>
      <c r="B1359">
        <v>2022</v>
      </c>
      <c r="C1359">
        <v>4660600400</v>
      </c>
      <c r="D1359" t="s">
        <v>1941</v>
      </c>
      <c r="E1359" t="s">
        <v>29</v>
      </c>
      <c r="F1359" t="s">
        <v>30</v>
      </c>
      <c r="G1359">
        <v>0</v>
      </c>
      <c r="H1359">
        <v>0</v>
      </c>
      <c r="I1359">
        <v>1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 t="s">
        <v>51</v>
      </c>
      <c r="Z1359">
        <v>55</v>
      </c>
      <c r="AA1359">
        <v>0</v>
      </c>
    </row>
    <row r="1360" spans="1:27" x14ac:dyDescent="0.2">
      <c r="A1360" t="s">
        <v>75</v>
      </c>
      <c r="B1360">
        <v>2022</v>
      </c>
      <c r="C1360">
        <v>5472303500</v>
      </c>
      <c r="D1360" t="s">
        <v>1942</v>
      </c>
      <c r="E1360" t="s">
        <v>29</v>
      </c>
      <c r="F1360" t="s">
        <v>30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34</v>
      </c>
      <c r="N1360">
        <v>0</v>
      </c>
      <c r="O1360">
        <v>8</v>
      </c>
      <c r="P1360">
        <v>0</v>
      </c>
      <c r="Q1360">
        <v>1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 t="s">
        <v>31</v>
      </c>
      <c r="Z1360">
        <v>55</v>
      </c>
      <c r="AA1360">
        <v>100</v>
      </c>
    </row>
    <row r="1361" spans="1:27" x14ac:dyDescent="0.2">
      <c r="A1361" t="s">
        <v>600</v>
      </c>
      <c r="B1361">
        <v>2022</v>
      </c>
      <c r="C1361" t="s">
        <v>1943</v>
      </c>
      <c r="D1361" t="s">
        <v>1944</v>
      </c>
      <c r="E1361" t="s">
        <v>29</v>
      </c>
      <c r="F1361" t="s">
        <v>30</v>
      </c>
      <c r="G1361">
        <v>0</v>
      </c>
      <c r="H1361">
        <v>0</v>
      </c>
      <c r="I1361">
        <v>73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 t="s">
        <v>31</v>
      </c>
      <c r="AA1361" s="2" t="s">
        <v>1945</v>
      </c>
    </row>
    <row r="1362" spans="1:27" x14ac:dyDescent="0.2">
      <c r="A1362" t="s">
        <v>600</v>
      </c>
      <c r="B1362">
        <v>2022</v>
      </c>
      <c r="C1362" s="2" t="s">
        <v>1946</v>
      </c>
      <c r="D1362" t="s">
        <v>1947</v>
      </c>
      <c r="E1362" t="s">
        <v>29</v>
      </c>
      <c r="F1362" t="s">
        <v>30</v>
      </c>
      <c r="G1362">
        <v>0</v>
      </c>
      <c r="H1362">
        <v>0</v>
      </c>
      <c r="I1362">
        <v>7</v>
      </c>
      <c r="J1362">
        <v>0</v>
      </c>
      <c r="K1362">
        <v>2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 t="s">
        <v>31</v>
      </c>
      <c r="AA1362" s="2" t="s">
        <v>58</v>
      </c>
    </row>
    <row r="1363" spans="1:27" x14ac:dyDescent="0.2">
      <c r="A1363" t="s">
        <v>600</v>
      </c>
      <c r="B1363">
        <v>2022</v>
      </c>
      <c r="C1363">
        <v>3753070</v>
      </c>
      <c r="D1363" t="s">
        <v>916</v>
      </c>
      <c r="E1363" t="s">
        <v>29</v>
      </c>
      <c r="F1363" t="s">
        <v>30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3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 t="s">
        <v>51</v>
      </c>
      <c r="AA1363">
        <v>0</v>
      </c>
    </row>
    <row r="1364" spans="1:27" x14ac:dyDescent="0.2">
      <c r="A1364" t="s">
        <v>600</v>
      </c>
      <c r="B1364">
        <v>2022</v>
      </c>
      <c r="C1364">
        <v>3703040</v>
      </c>
      <c r="D1364" t="s">
        <v>1140</v>
      </c>
      <c r="E1364" t="s">
        <v>29</v>
      </c>
      <c r="F1364" t="s">
        <v>30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256</v>
      </c>
      <c r="T1364">
        <v>0</v>
      </c>
      <c r="U1364">
        <v>0</v>
      </c>
      <c r="V1364">
        <v>0</v>
      </c>
      <c r="W1364">
        <v>0</v>
      </c>
      <c r="X1364">
        <v>0</v>
      </c>
      <c r="Y1364" t="s">
        <v>31</v>
      </c>
      <c r="AA1364">
        <v>0</v>
      </c>
    </row>
    <row r="1365" spans="1:27" x14ac:dyDescent="0.2">
      <c r="A1365" t="s">
        <v>600</v>
      </c>
      <c r="B1365">
        <v>2022</v>
      </c>
      <c r="C1365">
        <v>8954001</v>
      </c>
      <c r="D1365" t="s">
        <v>1948</v>
      </c>
      <c r="E1365" t="s">
        <v>29</v>
      </c>
      <c r="F1365" t="s">
        <v>41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3</v>
      </c>
      <c r="V1365">
        <v>0</v>
      </c>
      <c r="W1365">
        <v>8</v>
      </c>
      <c r="X1365">
        <v>0</v>
      </c>
      <c r="Y1365" t="s">
        <v>51</v>
      </c>
      <c r="AA1365">
        <v>0</v>
      </c>
    </row>
    <row r="1366" spans="1:27" x14ac:dyDescent="0.2">
      <c r="A1366" t="s">
        <v>600</v>
      </c>
      <c r="B1366">
        <v>2022</v>
      </c>
      <c r="C1366">
        <v>3560006</v>
      </c>
      <c r="D1366" t="s">
        <v>866</v>
      </c>
      <c r="E1366" t="s">
        <v>29</v>
      </c>
      <c r="F1366" t="s">
        <v>30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5</v>
      </c>
      <c r="X1366">
        <v>0</v>
      </c>
      <c r="Y1366" t="s">
        <v>51</v>
      </c>
      <c r="AA1366">
        <v>0</v>
      </c>
    </row>
    <row r="1367" spans="1:27" x14ac:dyDescent="0.2">
      <c r="A1367" t="s">
        <v>600</v>
      </c>
      <c r="B1367">
        <v>2022</v>
      </c>
      <c r="C1367">
        <v>3505020</v>
      </c>
      <c r="D1367" t="s">
        <v>1949</v>
      </c>
      <c r="E1367" t="s">
        <v>29</v>
      </c>
      <c r="F1367" t="s">
        <v>41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 t="s">
        <v>51</v>
      </c>
      <c r="AA1367">
        <v>0</v>
      </c>
    </row>
    <row r="1368" spans="1:27" x14ac:dyDescent="0.2">
      <c r="A1368" t="s">
        <v>600</v>
      </c>
      <c r="B1368">
        <v>2022</v>
      </c>
      <c r="C1368" s="2" t="s">
        <v>998</v>
      </c>
      <c r="D1368" t="s">
        <v>999</v>
      </c>
      <c r="E1368" t="s">
        <v>29</v>
      </c>
      <c r="F1368" t="s">
        <v>41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 t="s">
        <v>51</v>
      </c>
      <c r="AA1368">
        <v>0</v>
      </c>
    </row>
    <row r="1369" spans="1:27" ht="102" x14ac:dyDescent="0.2">
      <c r="A1369" t="s">
        <v>1950</v>
      </c>
      <c r="B1369">
        <v>2023</v>
      </c>
      <c r="C1369" t="s">
        <v>1951</v>
      </c>
      <c r="D1369" s="1" t="s">
        <v>1952</v>
      </c>
      <c r="E1369" t="s">
        <v>29</v>
      </c>
      <c r="F1369" t="s">
        <v>30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8</v>
      </c>
      <c r="P1369">
        <v>0</v>
      </c>
      <c r="Q1369">
        <v>1</v>
      </c>
      <c r="R1369">
        <v>0</v>
      </c>
      <c r="S1369">
        <v>0</v>
      </c>
      <c r="T1369">
        <v>0</v>
      </c>
      <c r="U1369">
        <v>8</v>
      </c>
      <c r="V1369">
        <v>0</v>
      </c>
      <c r="W1369">
        <v>1</v>
      </c>
      <c r="X1369">
        <v>0</v>
      </c>
      <c r="Y1369" t="s">
        <v>51</v>
      </c>
      <c r="Z1369">
        <v>55</v>
      </c>
      <c r="AA1369">
        <v>0</v>
      </c>
    </row>
    <row r="1370" spans="1:27" x14ac:dyDescent="0.2">
      <c r="A1370" t="s">
        <v>1247</v>
      </c>
      <c r="B1370">
        <v>2022</v>
      </c>
      <c r="C1370">
        <v>10121025</v>
      </c>
      <c r="D1370" t="s">
        <v>1953</v>
      </c>
      <c r="E1370" t="s">
        <v>29</v>
      </c>
      <c r="F1370" t="s">
        <v>30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53</v>
      </c>
      <c r="T1370">
        <v>0</v>
      </c>
      <c r="U1370">
        <v>0</v>
      </c>
      <c r="V1370">
        <v>0</v>
      </c>
      <c r="W1370">
        <v>0</v>
      </c>
      <c r="X1370">
        <v>0</v>
      </c>
      <c r="Y1370" t="s">
        <v>31</v>
      </c>
      <c r="AA1370">
        <v>14</v>
      </c>
    </row>
    <row r="1371" spans="1:27" x14ac:dyDescent="0.2">
      <c r="A1371" t="s">
        <v>1247</v>
      </c>
      <c r="B1371">
        <v>2022</v>
      </c>
      <c r="C1371">
        <v>10166003</v>
      </c>
      <c r="D1371" t="s">
        <v>1954</v>
      </c>
      <c r="E1371" t="s">
        <v>29</v>
      </c>
      <c r="F1371" t="s">
        <v>30</v>
      </c>
      <c r="G1371">
        <v>0</v>
      </c>
      <c r="H1371">
        <v>0</v>
      </c>
      <c r="I1371">
        <v>12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 t="s">
        <v>51</v>
      </c>
      <c r="Z1371">
        <v>55</v>
      </c>
      <c r="AA1371">
        <v>0</v>
      </c>
    </row>
    <row r="1372" spans="1:27" ht="85" x14ac:dyDescent="0.2">
      <c r="A1372" t="s">
        <v>1802</v>
      </c>
      <c r="B1372">
        <v>2023</v>
      </c>
      <c r="C1372" t="s">
        <v>1955</v>
      </c>
      <c r="D1372" s="1" t="s">
        <v>1956</v>
      </c>
      <c r="E1372" t="s">
        <v>29</v>
      </c>
      <c r="F1372" t="s">
        <v>30</v>
      </c>
      <c r="G1372">
        <v>0</v>
      </c>
      <c r="H1372">
        <v>0</v>
      </c>
      <c r="I1372">
        <v>47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 t="s">
        <v>51</v>
      </c>
      <c r="Z1372">
        <v>45</v>
      </c>
      <c r="AA1372">
        <v>0</v>
      </c>
    </row>
    <row r="1373" spans="1:27" x14ac:dyDescent="0.2">
      <c r="A1373" t="s">
        <v>1802</v>
      </c>
      <c r="B1373">
        <v>2023</v>
      </c>
      <c r="C1373" t="s">
        <v>1957</v>
      </c>
      <c r="D1373" t="s">
        <v>1958</v>
      </c>
      <c r="E1373" t="s">
        <v>29</v>
      </c>
      <c r="F1373" t="s">
        <v>41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 t="s">
        <v>51</v>
      </c>
      <c r="AA1373">
        <v>0</v>
      </c>
    </row>
    <row r="1374" spans="1:27" x14ac:dyDescent="0.2">
      <c r="A1374" t="s">
        <v>1959</v>
      </c>
      <c r="B1374">
        <v>2019</v>
      </c>
      <c r="C1374" t="s">
        <v>1960</v>
      </c>
      <c r="D1374" t="s">
        <v>1961</v>
      </c>
      <c r="E1374" t="s">
        <v>29</v>
      </c>
      <c r="F1374" t="s">
        <v>30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8</v>
      </c>
      <c r="N1374">
        <v>0</v>
      </c>
      <c r="O1374">
        <v>9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 t="s">
        <v>51</v>
      </c>
      <c r="Z1374">
        <v>1000</v>
      </c>
      <c r="AA1374">
        <v>0</v>
      </c>
    </row>
    <row r="1375" spans="1:27" x14ac:dyDescent="0.2">
      <c r="A1375" t="s">
        <v>1576</v>
      </c>
      <c r="B1375">
        <v>2023</v>
      </c>
      <c r="C1375">
        <v>1570403300</v>
      </c>
      <c r="D1375" t="s">
        <v>1962</v>
      </c>
      <c r="E1375" t="s">
        <v>29</v>
      </c>
      <c r="F1375" t="s">
        <v>30</v>
      </c>
      <c r="G1375">
        <v>43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 t="s">
        <v>31</v>
      </c>
      <c r="Z1375">
        <v>55</v>
      </c>
      <c r="AA1375">
        <v>100</v>
      </c>
    </row>
    <row r="1376" spans="1:27" x14ac:dyDescent="0.2">
      <c r="A1376" t="s">
        <v>457</v>
      </c>
      <c r="B1376">
        <v>2023</v>
      </c>
      <c r="C1376" t="s">
        <v>1963</v>
      </c>
      <c r="D1376" t="s">
        <v>1964</v>
      </c>
      <c r="E1376" t="s">
        <v>29</v>
      </c>
      <c r="F1376" t="s">
        <v>30</v>
      </c>
      <c r="G1376">
        <v>0</v>
      </c>
      <c r="H1376">
        <v>0</v>
      </c>
      <c r="I1376">
        <v>12</v>
      </c>
      <c r="J1376">
        <v>0</v>
      </c>
      <c r="K1376">
        <v>0</v>
      </c>
      <c r="L1376">
        <v>132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 t="s">
        <v>31</v>
      </c>
      <c r="Z1376">
        <v>55</v>
      </c>
      <c r="AA1376">
        <v>20</v>
      </c>
    </row>
    <row r="1377" spans="1:27" x14ac:dyDescent="0.2">
      <c r="A1377" t="s">
        <v>457</v>
      </c>
      <c r="B1377">
        <v>2023</v>
      </c>
      <c r="C1377" t="s">
        <v>720</v>
      </c>
      <c r="D1377" t="s">
        <v>1888</v>
      </c>
      <c r="E1377" t="s">
        <v>29</v>
      </c>
      <c r="F1377" t="s">
        <v>30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8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 t="s">
        <v>31</v>
      </c>
      <c r="Z1377">
        <v>55</v>
      </c>
      <c r="AA1377">
        <v>100</v>
      </c>
    </row>
    <row r="1378" spans="1:27" x14ac:dyDescent="0.2">
      <c r="A1378" t="s">
        <v>1706</v>
      </c>
      <c r="B1378">
        <v>2022</v>
      </c>
      <c r="C1378">
        <v>208022041</v>
      </c>
      <c r="D1378" t="s">
        <v>1713</v>
      </c>
      <c r="E1378" t="s">
        <v>29</v>
      </c>
      <c r="F1378" t="s">
        <v>41</v>
      </c>
      <c r="G1378">
        <v>0</v>
      </c>
      <c r="H1378">
        <v>0</v>
      </c>
      <c r="I1378">
        <v>0</v>
      </c>
      <c r="J1378">
        <v>0</v>
      </c>
      <c r="K1378">
        <v>5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 t="s">
        <v>51</v>
      </c>
      <c r="Z1378">
        <v>20</v>
      </c>
      <c r="AA1378">
        <v>0</v>
      </c>
    </row>
    <row r="1379" spans="1:27" x14ac:dyDescent="0.2">
      <c r="A1379" t="s">
        <v>1255</v>
      </c>
      <c r="B1379">
        <v>2022</v>
      </c>
      <c r="C1379" s="2" t="s">
        <v>1256</v>
      </c>
      <c r="D1379" t="s">
        <v>1965</v>
      </c>
      <c r="E1379" t="s">
        <v>29</v>
      </c>
      <c r="F1379" t="s">
        <v>30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23</v>
      </c>
      <c r="T1379">
        <v>0</v>
      </c>
      <c r="U1379">
        <v>64</v>
      </c>
      <c r="V1379">
        <v>0</v>
      </c>
      <c r="W1379">
        <v>0</v>
      </c>
      <c r="X1379">
        <v>0</v>
      </c>
      <c r="Y1379" t="s">
        <v>31</v>
      </c>
      <c r="AA1379">
        <v>0</v>
      </c>
    </row>
    <row r="1380" spans="1:27" x14ac:dyDescent="0.2">
      <c r="A1380" t="s">
        <v>1255</v>
      </c>
      <c r="B1380">
        <v>2022</v>
      </c>
      <c r="C1380" s="2" t="s">
        <v>1256</v>
      </c>
      <c r="D1380" t="s">
        <v>1966</v>
      </c>
      <c r="E1380" t="s">
        <v>29</v>
      </c>
      <c r="F1380" t="s">
        <v>30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5</v>
      </c>
      <c r="T1380">
        <v>0</v>
      </c>
      <c r="U1380">
        <v>18</v>
      </c>
      <c r="V1380">
        <v>0</v>
      </c>
      <c r="W1380">
        <v>0</v>
      </c>
      <c r="X1380">
        <v>0</v>
      </c>
      <c r="Y1380" t="s">
        <v>31</v>
      </c>
      <c r="AA1380">
        <v>0</v>
      </c>
    </row>
    <row r="1381" spans="1:27" x14ac:dyDescent="0.2">
      <c r="A1381" t="s">
        <v>1255</v>
      </c>
      <c r="B1381">
        <v>2022</v>
      </c>
      <c r="C1381" s="2" t="s">
        <v>1256</v>
      </c>
      <c r="D1381" t="s">
        <v>1967</v>
      </c>
      <c r="E1381" t="s">
        <v>29</v>
      </c>
      <c r="F1381" t="s">
        <v>30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5</v>
      </c>
      <c r="T1381">
        <v>0</v>
      </c>
      <c r="U1381">
        <v>19</v>
      </c>
      <c r="V1381">
        <v>0</v>
      </c>
      <c r="W1381">
        <v>0</v>
      </c>
      <c r="X1381">
        <v>0</v>
      </c>
      <c r="Y1381" t="s">
        <v>31</v>
      </c>
      <c r="AA1381">
        <v>0</v>
      </c>
    </row>
    <row r="1382" spans="1:27" x14ac:dyDescent="0.2">
      <c r="A1382" t="s">
        <v>1255</v>
      </c>
      <c r="B1382">
        <v>2022</v>
      </c>
      <c r="C1382" s="2" t="s">
        <v>1256</v>
      </c>
      <c r="D1382" t="s">
        <v>1968</v>
      </c>
      <c r="E1382" t="s">
        <v>29</v>
      </c>
      <c r="F1382" t="s">
        <v>30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5</v>
      </c>
      <c r="T1382">
        <v>0</v>
      </c>
      <c r="U1382">
        <v>19</v>
      </c>
      <c r="V1382">
        <v>0</v>
      </c>
      <c r="W1382">
        <v>0</v>
      </c>
      <c r="X1382">
        <v>0</v>
      </c>
      <c r="Y1382" t="s">
        <v>31</v>
      </c>
      <c r="AA1382">
        <v>0</v>
      </c>
    </row>
    <row r="1383" spans="1:27" x14ac:dyDescent="0.2">
      <c r="A1383" t="s">
        <v>1255</v>
      </c>
      <c r="B1383">
        <v>2022</v>
      </c>
      <c r="C1383" s="2" t="s">
        <v>1256</v>
      </c>
      <c r="D1383" t="s">
        <v>1969</v>
      </c>
      <c r="E1383" t="s">
        <v>29</v>
      </c>
      <c r="F1383" t="s">
        <v>30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5</v>
      </c>
      <c r="T1383">
        <v>0</v>
      </c>
      <c r="U1383">
        <v>19</v>
      </c>
      <c r="V1383">
        <v>0</v>
      </c>
      <c r="W1383">
        <v>0</v>
      </c>
      <c r="X1383">
        <v>0</v>
      </c>
      <c r="Y1383" t="s">
        <v>31</v>
      </c>
      <c r="AA1383">
        <v>0</v>
      </c>
    </row>
    <row r="1384" spans="1:27" x14ac:dyDescent="0.2">
      <c r="A1384" t="s">
        <v>1255</v>
      </c>
      <c r="B1384">
        <v>2022</v>
      </c>
      <c r="C1384" s="2" t="s">
        <v>1256</v>
      </c>
      <c r="D1384" t="s">
        <v>1970</v>
      </c>
      <c r="E1384" t="s">
        <v>29</v>
      </c>
      <c r="F1384" t="s">
        <v>30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23</v>
      </c>
      <c r="T1384">
        <v>0</v>
      </c>
      <c r="U1384">
        <v>66</v>
      </c>
      <c r="V1384">
        <v>0</v>
      </c>
      <c r="W1384">
        <v>0</v>
      </c>
      <c r="X1384">
        <v>0</v>
      </c>
      <c r="Y1384" t="s">
        <v>31</v>
      </c>
      <c r="AA1384">
        <v>0</v>
      </c>
    </row>
    <row r="1385" spans="1:27" x14ac:dyDescent="0.2">
      <c r="A1385" t="s">
        <v>600</v>
      </c>
      <c r="B1385">
        <v>2021</v>
      </c>
      <c r="C1385">
        <v>6959019</v>
      </c>
      <c r="D1385" t="s">
        <v>1971</v>
      </c>
      <c r="E1385" t="s">
        <v>29</v>
      </c>
      <c r="F1385" t="s">
        <v>30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74</v>
      </c>
      <c r="N1385">
        <v>0</v>
      </c>
      <c r="O1385">
        <v>29</v>
      </c>
      <c r="P1385">
        <v>0</v>
      </c>
      <c r="Q1385">
        <v>32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 t="s">
        <v>31</v>
      </c>
      <c r="Z1385">
        <v>1000</v>
      </c>
      <c r="AA1385">
        <v>0</v>
      </c>
    </row>
    <row r="1386" spans="1:27" x14ac:dyDescent="0.2">
      <c r="A1386" t="s">
        <v>600</v>
      </c>
      <c r="B1386">
        <v>2021</v>
      </c>
      <c r="C1386" s="2" t="s">
        <v>1972</v>
      </c>
      <c r="D1386" t="s">
        <v>1973</v>
      </c>
      <c r="E1386" t="s">
        <v>29</v>
      </c>
      <c r="F1386" t="s">
        <v>41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5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 t="s">
        <v>31</v>
      </c>
      <c r="Z1386">
        <v>1000</v>
      </c>
      <c r="AA1386">
        <v>123.3</v>
      </c>
    </row>
    <row r="1387" spans="1:27" x14ac:dyDescent="0.2">
      <c r="A1387" t="s">
        <v>1231</v>
      </c>
      <c r="B1387">
        <v>2023</v>
      </c>
      <c r="C1387">
        <v>694310006</v>
      </c>
      <c r="D1387" t="s">
        <v>1232</v>
      </c>
      <c r="E1387" t="s">
        <v>29</v>
      </c>
      <c r="F1387" t="s">
        <v>30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21</v>
      </c>
      <c r="N1387">
        <v>0</v>
      </c>
      <c r="O1387">
        <v>2</v>
      </c>
      <c r="P1387">
        <v>0</v>
      </c>
      <c r="Q1387">
        <v>2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 t="s">
        <v>31</v>
      </c>
      <c r="Z1387">
        <v>55</v>
      </c>
      <c r="AA1387">
        <v>12.5</v>
      </c>
    </row>
    <row r="1388" spans="1:27" x14ac:dyDescent="0.2">
      <c r="A1388" t="s">
        <v>1231</v>
      </c>
      <c r="B1388">
        <v>2023</v>
      </c>
      <c r="C1388">
        <v>694190087</v>
      </c>
      <c r="D1388" t="s">
        <v>1831</v>
      </c>
      <c r="E1388" t="s">
        <v>29</v>
      </c>
      <c r="F1388" t="s">
        <v>30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1</v>
      </c>
      <c r="N1388">
        <v>0</v>
      </c>
      <c r="O1388">
        <v>1</v>
      </c>
      <c r="P1388">
        <v>0</v>
      </c>
      <c r="Q1388">
        <v>1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 t="s">
        <v>51</v>
      </c>
      <c r="Z1388">
        <v>55</v>
      </c>
      <c r="AA1388">
        <v>0</v>
      </c>
    </row>
    <row r="1389" spans="1:27" x14ac:dyDescent="0.2">
      <c r="A1389" t="s">
        <v>1231</v>
      </c>
      <c r="B1389">
        <v>2023</v>
      </c>
      <c r="C1389">
        <v>694190087</v>
      </c>
      <c r="D1389" t="s">
        <v>1831</v>
      </c>
      <c r="E1389" t="s">
        <v>29</v>
      </c>
      <c r="F1389" t="s">
        <v>30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1</v>
      </c>
      <c r="N1389">
        <v>0</v>
      </c>
      <c r="O1389">
        <v>1</v>
      </c>
      <c r="P1389">
        <v>0</v>
      </c>
      <c r="Q1389">
        <v>1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 t="s">
        <v>51</v>
      </c>
      <c r="Z1389">
        <v>55</v>
      </c>
      <c r="AA1389">
        <v>0</v>
      </c>
    </row>
    <row r="1390" spans="1:27" x14ac:dyDescent="0.2">
      <c r="A1390" t="s">
        <v>1231</v>
      </c>
      <c r="B1390">
        <v>2023</v>
      </c>
      <c r="C1390">
        <v>694190087</v>
      </c>
      <c r="D1390" t="s">
        <v>1831</v>
      </c>
      <c r="E1390" t="s">
        <v>29</v>
      </c>
      <c r="F1390" t="s">
        <v>30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2</v>
      </c>
      <c r="N1390">
        <v>0</v>
      </c>
      <c r="O1390">
        <v>2</v>
      </c>
      <c r="P1390">
        <v>0</v>
      </c>
      <c r="Q1390">
        <v>2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 t="s">
        <v>51</v>
      </c>
      <c r="Z1390">
        <v>55</v>
      </c>
      <c r="AA1390">
        <v>0</v>
      </c>
    </row>
    <row r="1391" spans="1:27" x14ac:dyDescent="0.2">
      <c r="A1391" t="s">
        <v>1231</v>
      </c>
      <c r="B1391">
        <v>2023</v>
      </c>
      <c r="C1391">
        <v>694190087</v>
      </c>
      <c r="D1391" t="s">
        <v>1831</v>
      </c>
      <c r="E1391" t="s">
        <v>29</v>
      </c>
      <c r="F1391" t="s">
        <v>30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2</v>
      </c>
      <c r="N1391">
        <v>0</v>
      </c>
      <c r="O1391">
        <v>2</v>
      </c>
      <c r="P1391">
        <v>0</v>
      </c>
      <c r="Q1391">
        <v>2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 t="s">
        <v>51</v>
      </c>
      <c r="Z1391">
        <v>55</v>
      </c>
      <c r="AA1391">
        <v>0</v>
      </c>
    </row>
    <row r="1392" spans="1:27" x14ac:dyDescent="0.2">
      <c r="A1392" t="s">
        <v>600</v>
      </c>
      <c r="B1392">
        <v>2021</v>
      </c>
      <c r="C1392" s="2" t="s">
        <v>1974</v>
      </c>
      <c r="D1392" t="s">
        <v>1975</v>
      </c>
      <c r="E1392" t="s">
        <v>29</v>
      </c>
      <c r="F1392" t="s">
        <v>30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6</v>
      </c>
      <c r="T1392">
        <v>0</v>
      </c>
      <c r="U1392">
        <v>20</v>
      </c>
      <c r="V1392">
        <v>0</v>
      </c>
      <c r="W1392">
        <v>7</v>
      </c>
      <c r="X1392">
        <v>0</v>
      </c>
      <c r="Y1392" t="s">
        <v>51</v>
      </c>
      <c r="Z1392">
        <v>1000</v>
      </c>
      <c r="AA1392">
        <v>0</v>
      </c>
    </row>
    <row r="1393" spans="1:27" x14ac:dyDescent="0.2">
      <c r="A1393" t="s">
        <v>600</v>
      </c>
      <c r="B1393">
        <v>2021</v>
      </c>
      <c r="C1393">
        <v>3571031</v>
      </c>
      <c r="D1393" t="s">
        <v>1976</v>
      </c>
      <c r="E1393" t="s">
        <v>29</v>
      </c>
      <c r="F1393" t="s">
        <v>30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29</v>
      </c>
      <c r="T1393">
        <v>0</v>
      </c>
      <c r="U1393">
        <v>97</v>
      </c>
      <c r="V1393">
        <v>0</v>
      </c>
      <c r="W1393">
        <v>0</v>
      </c>
      <c r="X1393">
        <v>0</v>
      </c>
      <c r="Y1393" t="s">
        <v>51</v>
      </c>
      <c r="Z1393">
        <v>1000</v>
      </c>
      <c r="AA1393">
        <v>0</v>
      </c>
    </row>
    <row r="1394" spans="1:27" x14ac:dyDescent="0.2">
      <c r="A1394" t="s">
        <v>600</v>
      </c>
      <c r="B1394">
        <v>2021</v>
      </c>
      <c r="C1394" s="2" t="s">
        <v>1977</v>
      </c>
      <c r="D1394" t="s">
        <v>1978</v>
      </c>
      <c r="E1394" t="s">
        <v>29</v>
      </c>
      <c r="F1394" t="s">
        <v>30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8</v>
      </c>
      <c r="V1394">
        <v>0</v>
      </c>
      <c r="W1394">
        <v>0</v>
      </c>
      <c r="X1394">
        <v>0</v>
      </c>
      <c r="Y1394" t="s">
        <v>51</v>
      </c>
      <c r="Z1394">
        <v>1000</v>
      </c>
      <c r="AA1394">
        <v>0</v>
      </c>
    </row>
    <row r="1395" spans="1:27" x14ac:dyDescent="0.2">
      <c r="A1395" t="s">
        <v>600</v>
      </c>
      <c r="B1395">
        <v>2021</v>
      </c>
      <c r="C1395">
        <v>6522064</v>
      </c>
      <c r="D1395" t="s">
        <v>1979</v>
      </c>
      <c r="E1395" t="s">
        <v>29</v>
      </c>
      <c r="F1395" t="s">
        <v>30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44</v>
      </c>
      <c r="T1395">
        <v>0</v>
      </c>
      <c r="U1395">
        <v>0</v>
      </c>
      <c r="V1395">
        <v>0</v>
      </c>
      <c r="W1395">
        <v>0</v>
      </c>
      <c r="X1395">
        <v>0</v>
      </c>
      <c r="Y1395" t="s">
        <v>31</v>
      </c>
      <c r="Z1395">
        <v>1000</v>
      </c>
      <c r="AA1395">
        <v>150</v>
      </c>
    </row>
    <row r="1396" spans="1:27" x14ac:dyDescent="0.2">
      <c r="A1396" t="s">
        <v>600</v>
      </c>
      <c r="B1396">
        <v>2021</v>
      </c>
      <c r="C1396">
        <v>3730004</v>
      </c>
      <c r="D1396" t="s">
        <v>1980</v>
      </c>
      <c r="E1396" t="s">
        <v>29</v>
      </c>
      <c r="F1396" t="s">
        <v>30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5</v>
      </c>
      <c r="V1396">
        <v>0</v>
      </c>
      <c r="W1396">
        <v>0</v>
      </c>
      <c r="X1396">
        <v>0</v>
      </c>
      <c r="Y1396" t="s">
        <v>51</v>
      </c>
      <c r="Z1396">
        <v>1000</v>
      </c>
      <c r="AA1396">
        <v>0</v>
      </c>
    </row>
    <row r="1397" spans="1:27" x14ac:dyDescent="0.2">
      <c r="A1397" t="s">
        <v>600</v>
      </c>
      <c r="B1397">
        <v>2021</v>
      </c>
      <c r="C1397">
        <v>3736120</v>
      </c>
      <c r="D1397" t="s">
        <v>1981</v>
      </c>
      <c r="E1397" t="s">
        <v>29</v>
      </c>
      <c r="F1397" t="s">
        <v>30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13</v>
      </c>
      <c r="T1397">
        <v>0</v>
      </c>
      <c r="U1397">
        <v>44</v>
      </c>
      <c r="V1397">
        <v>0</v>
      </c>
      <c r="W1397">
        <v>15</v>
      </c>
      <c r="X1397">
        <v>0</v>
      </c>
      <c r="Y1397" t="s">
        <v>51</v>
      </c>
      <c r="Z1397">
        <v>1000</v>
      </c>
      <c r="AA1397">
        <v>0</v>
      </c>
    </row>
    <row r="1398" spans="1:27" x14ac:dyDescent="0.2">
      <c r="A1398" t="s">
        <v>1982</v>
      </c>
      <c r="B1398">
        <v>2023</v>
      </c>
      <c r="C1398" t="s">
        <v>1983</v>
      </c>
      <c r="D1398" t="s">
        <v>1984</v>
      </c>
      <c r="E1398" t="s">
        <v>29</v>
      </c>
      <c r="F1398" t="s">
        <v>30</v>
      </c>
      <c r="G1398">
        <v>33</v>
      </c>
      <c r="H1398">
        <v>0</v>
      </c>
      <c r="I1398">
        <v>15</v>
      </c>
      <c r="J1398">
        <v>0</v>
      </c>
      <c r="K1398">
        <v>0</v>
      </c>
      <c r="L1398">
        <v>0</v>
      </c>
      <c r="M1398">
        <v>33</v>
      </c>
      <c r="N1398">
        <v>0</v>
      </c>
      <c r="O1398">
        <v>15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 t="s">
        <v>31</v>
      </c>
      <c r="Z1398">
        <v>55</v>
      </c>
      <c r="AA1398" s="2" t="s">
        <v>1985</v>
      </c>
    </row>
    <row r="1399" spans="1:27" x14ac:dyDescent="0.2">
      <c r="A1399" t="s">
        <v>1986</v>
      </c>
      <c r="B1399">
        <v>2022</v>
      </c>
      <c r="C1399">
        <v>16040105000</v>
      </c>
      <c r="D1399" t="s">
        <v>1987</v>
      </c>
      <c r="E1399" t="s">
        <v>29</v>
      </c>
      <c r="F1399" t="s">
        <v>30</v>
      </c>
      <c r="G1399">
        <v>0</v>
      </c>
      <c r="H1399">
        <v>0</v>
      </c>
      <c r="I1399">
        <v>12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12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 t="s">
        <v>31</v>
      </c>
      <c r="Z1399">
        <v>55</v>
      </c>
      <c r="AA1399">
        <v>0</v>
      </c>
    </row>
    <row r="1400" spans="1:27" x14ac:dyDescent="0.2">
      <c r="A1400" t="s">
        <v>1988</v>
      </c>
      <c r="B1400">
        <v>2021</v>
      </c>
      <c r="C1400" t="s">
        <v>1989</v>
      </c>
      <c r="D1400" t="s">
        <v>1990</v>
      </c>
      <c r="E1400" t="s">
        <v>29</v>
      </c>
      <c r="F1400" t="s">
        <v>30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11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 t="s">
        <v>31</v>
      </c>
      <c r="AA1400">
        <v>28</v>
      </c>
    </row>
    <row r="1401" spans="1:27" x14ac:dyDescent="0.2">
      <c r="A1401" t="s">
        <v>321</v>
      </c>
      <c r="B1401">
        <v>2019</v>
      </c>
      <c r="C1401">
        <v>4275006023</v>
      </c>
      <c r="D1401" t="s">
        <v>1991</v>
      </c>
      <c r="E1401" t="s">
        <v>29</v>
      </c>
      <c r="F1401" t="s">
        <v>30</v>
      </c>
      <c r="G1401">
        <v>2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2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 t="s">
        <v>51</v>
      </c>
      <c r="Z1401">
        <v>55</v>
      </c>
      <c r="AA1401">
        <v>0</v>
      </c>
    </row>
    <row r="1402" spans="1:27" x14ac:dyDescent="0.2">
      <c r="A1402" t="s">
        <v>321</v>
      </c>
      <c r="B1402">
        <v>2019</v>
      </c>
      <c r="C1402">
        <v>4267019030</v>
      </c>
      <c r="D1402" t="s">
        <v>1992</v>
      </c>
      <c r="E1402" t="s">
        <v>29</v>
      </c>
      <c r="F1402" t="s">
        <v>30</v>
      </c>
      <c r="G1402">
        <v>4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4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 t="s">
        <v>51</v>
      </c>
      <c r="Z1402">
        <v>55</v>
      </c>
      <c r="AA1402">
        <v>0</v>
      </c>
    </row>
    <row r="1403" spans="1:27" x14ac:dyDescent="0.2">
      <c r="A1403" t="s">
        <v>1247</v>
      </c>
      <c r="B1403">
        <v>2022</v>
      </c>
      <c r="C1403">
        <v>125521008</v>
      </c>
      <c r="D1403" t="s">
        <v>1993</v>
      </c>
      <c r="E1403" t="s">
        <v>29</v>
      </c>
      <c r="F1403" t="s">
        <v>30</v>
      </c>
      <c r="G1403">
        <v>24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15</v>
      </c>
      <c r="N1403">
        <v>0</v>
      </c>
      <c r="O1403">
        <v>9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 t="s">
        <v>51</v>
      </c>
      <c r="Z1403">
        <v>55</v>
      </c>
      <c r="AA1403">
        <v>0</v>
      </c>
    </row>
    <row r="1404" spans="1:27" x14ac:dyDescent="0.2">
      <c r="A1404" t="s">
        <v>1247</v>
      </c>
      <c r="B1404">
        <v>2022</v>
      </c>
      <c r="C1404">
        <v>10510021</v>
      </c>
      <c r="D1404" t="s">
        <v>1994</v>
      </c>
      <c r="E1404" t="s">
        <v>29</v>
      </c>
      <c r="F1404" t="s">
        <v>30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 t="s">
        <v>31</v>
      </c>
      <c r="Z1404">
        <v>55</v>
      </c>
      <c r="AA1404" s="2" t="s">
        <v>1719</v>
      </c>
    </row>
    <row r="1405" spans="1:27" x14ac:dyDescent="0.2">
      <c r="A1405" t="s">
        <v>1247</v>
      </c>
      <c r="B1405">
        <v>2022</v>
      </c>
      <c r="C1405">
        <v>44021071</v>
      </c>
      <c r="D1405" t="s">
        <v>1995</v>
      </c>
      <c r="E1405" t="s">
        <v>29</v>
      </c>
      <c r="F1405" t="s">
        <v>30</v>
      </c>
      <c r="G1405">
        <v>0</v>
      </c>
      <c r="H1405">
        <v>0</v>
      </c>
      <c r="I1405">
        <v>160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 t="s">
        <v>51</v>
      </c>
      <c r="Z1405">
        <v>55</v>
      </c>
      <c r="AA1405">
        <v>0</v>
      </c>
    </row>
    <row r="1406" spans="1:27" ht="68" x14ac:dyDescent="0.2">
      <c r="A1406" t="s">
        <v>1541</v>
      </c>
      <c r="B1406">
        <v>2022</v>
      </c>
      <c r="C1406" t="s">
        <v>1996</v>
      </c>
      <c r="D1406" s="1" t="s">
        <v>1997</v>
      </c>
      <c r="E1406" t="s">
        <v>29</v>
      </c>
      <c r="F1406" t="s">
        <v>30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66</v>
      </c>
      <c r="N1406">
        <v>0</v>
      </c>
      <c r="O1406">
        <v>25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 t="s">
        <v>31</v>
      </c>
      <c r="Z1406">
        <v>55</v>
      </c>
      <c r="AA1406">
        <v>100</v>
      </c>
    </row>
    <row r="1407" spans="1:27" x14ac:dyDescent="0.2">
      <c r="A1407" t="s">
        <v>1500</v>
      </c>
      <c r="B1407">
        <v>2023</v>
      </c>
      <c r="C1407">
        <v>6201023034</v>
      </c>
      <c r="D1407" t="s">
        <v>1998</v>
      </c>
      <c r="E1407" t="s">
        <v>29</v>
      </c>
      <c r="F1407" t="s">
        <v>30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62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 t="s">
        <v>31</v>
      </c>
      <c r="Z1407">
        <v>55</v>
      </c>
      <c r="AA1407">
        <v>85</v>
      </c>
    </row>
    <row r="1408" spans="1:27" x14ac:dyDescent="0.2">
      <c r="A1408" t="s">
        <v>1999</v>
      </c>
      <c r="B1408">
        <v>2023</v>
      </c>
      <c r="C1408" t="s">
        <v>2000</v>
      </c>
      <c r="D1408" t="s">
        <v>2001</v>
      </c>
      <c r="E1408" t="s">
        <v>29</v>
      </c>
      <c r="F1408" t="s">
        <v>41</v>
      </c>
      <c r="G1408">
        <v>56</v>
      </c>
      <c r="H1408">
        <v>0</v>
      </c>
      <c r="I1408">
        <v>27</v>
      </c>
      <c r="J1408">
        <v>0</v>
      </c>
      <c r="K1408">
        <v>0</v>
      </c>
      <c r="L1408">
        <v>0</v>
      </c>
      <c r="M1408">
        <v>34</v>
      </c>
      <c r="N1408">
        <v>0</v>
      </c>
      <c r="O1408">
        <v>13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 t="s">
        <v>31</v>
      </c>
      <c r="Z1408">
        <v>55</v>
      </c>
      <c r="AA1408">
        <v>0</v>
      </c>
    </row>
    <row r="1409" spans="1:27" x14ac:dyDescent="0.2">
      <c r="A1409" t="s">
        <v>1449</v>
      </c>
      <c r="B1409">
        <v>2023</v>
      </c>
      <c r="C1409" t="s">
        <v>2002</v>
      </c>
      <c r="D1409" t="s">
        <v>2003</v>
      </c>
      <c r="E1409" t="s">
        <v>29</v>
      </c>
      <c r="F1409" t="s">
        <v>30</v>
      </c>
      <c r="G1409">
        <v>32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 t="s">
        <v>31</v>
      </c>
      <c r="AA1409">
        <v>46.25</v>
      </c>
    </row>
    <row r="1410" spans="1:27" x14ac:dyDescent="0.2">
      <c r="A1410" t="s">
        <v>1449</v>
      </c>
      <c r="B1410">
        <v>2023</v>
      </c>
      <c r="C1410" t="s">
        <v>2004</v>
      </c>
      <c r="D1410" t="s">
        <v>2005</v>
      </c>
      <c r="E1410" t="s">
        <v>29</v>
      </c>
      <c r="F1410" t="s">
        <v>30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5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 t="s">
        <v>31</v>
      </c>
      <c r="Z1410">
        <v>1000</v>
      </c>
      <c r="AA1410">
        <v>35</v>
      </c>
    </row>
    <row r="1411" spans="1:27" x14ac:dyDescent="0.2">
      <c r="A1411" t="s">
        <v>2006</v>
      </c>
      <c r="B1411">
        <v>2023</v>
      </c>
      <c r="C1411">
        <v>6262422200</v>
      </c>
      <c r="D1411" t="s">
        <v>2007</v>
      </c>
      <c r="E1411" t="s">
        <v>29</v>
      </c>
      <c r="F1411" t="s">
        <v>30</v>
      </c>
      <c r="G1411">
        <v>0</v>
      </c>
      <c r="H1411">
        <v>0</v>
      </c>
      <c r="I1411">
        <v>1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 t="s">
        <v>31</v>
      </c>
      <c r="AA1411">
        <v>20</v>
      </c>
    </row>
    <row r="1412" spans="1:27" x14ac:dyDescent="0.2">
      <c r="A1412" t="s">
        <v>1010</v>
      </c>
      <c r="B1412">
        <v>2023</v>
      </c>
      <c r="C1412" t="s">
        <v>2008</v>
      </c>
      <c r="D1412" t="s">
        <v>2009</v>
      </c>
      <c r="E1412" t="s">
        <v>29</v>
      </c>
      <c r="F1412" t="s">
        <v>30</v>
      </c>
      <c r="G1412">
        <v>1</v>
      </c>
      <c r="H1412">
        <v>0</v>
      </c>
      <c r="I1412">
        <v>1</v>
      </c>
      <c r="J1412">
        <v>0</v>
      </c>
      <c r="K1412">
        <v>1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 t="s">
        <v>51</v>
      </c>
      <c r="Z1412">
        <v>55</v>
      </c>
      <c r="AA1412">
        <v>0</v>
      </c>
    </row>
    <row r="1413" spans="1:27" x14ac:dyDescent="0.2">
      <c r="A1413" t="s">
        <v>1982</v>
      </c>
      <c r="B1413">
        <v>2023</v>
      </c>
      <c r="C1413" t="s">
        <v>2010</v>
      </c>
      <c r="D1413" t="s">
        <v>2011</v>
      </c>
      <c r="E1413" t="s">
        <v>29</v>
      </c>
      <c r="F1413" t="s">
        <v>30</v>
      </c>
      <c r="G1413">
        <v>58</v>
      </c>
      <c r="H1413">
        <v>0</v>
      </c>
      <c r="I1413">
        <v>30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 t="s">
        <v>31</v>
      </c>
      <c r="Z1413">
        <v>55</v>
      </c>
      <c r="AA1413">
        <v>15.6</v>
      </c>
    </row>
    <row r="1414" spans="1:27" x14ac:dyDescent="0.2">
      <c r="A1414" t="s">
        <v>1449</v>
      </c>
      <c r="B1414">
        <v>2018</v>
      </c>
      <c r="C1414" t="s">
        <v>2012</v>
      </c>
      <c r="D1414" t="s">
        <v>2013</v>
      </c>
      <c r="E1414" t="s">
        <v>29</v>
      </c>
      <c r="F1414" t="s">
        <v>30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 t="s">
        <v>51</v>
      </c>
      <c r="AA1414">
        <v>0</v>
      </c>
    </row>
    <row r="1415" spans="1:27" x14ac:dyDescent="0.2">
      <c r="A1415" t="s">
        <v>1449</v>
      </c>
      <c r="B1415">
        <v>2018</v>
      </c>
      <c r="C1415" t="s">
        <v>2014</v>
      </c>
      <c r="D1415" t="s">
        <v>2015</v>
      </c>
      <c r="E1415" t="s">
        <v>29</v>
      </c>
      <c r="F1415" t="s">
        <v>30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 t="s">
        <v>51</v>
      </c>
      <c r="AA1415">
        <v>0</v>
      </c>
    </row>
    <row r="1416" spans="1:27" x14ac:dyDescent="0.2">
      <c r="A1416" t="s">
        <v>600</v>
      </c>
      <c r="B1416">
        <v>2023</v>
      </c>
      <c r="C1416">
        <v>3703029</v>
      </c>
      <c r="D1416" t="s">
        <v>2016</v>
      </c>
      <c r="E1416" t="s">
        <v>29</v>
      </c>
      <c r="F1416" t="s">
        <v>41</v>
      </c>
      <c r="G1416">
        <v>0</v>
      </c>
      <c r="H1416">
        <v>0</v>
      </c>
      <c r="I1416">
        <v>7</v>
      </c>
      <c r="J1416">
        <v>0</v>
      </c>
      <c r="K1416">
        <v>3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 t="s">
        <v>31</v>
      </c>
      <c r="Z1416">
        <v>99</v>
      </c>
      <c r="AA1416" s="2" t="s">
        <v>2017</v>
      </c>
    </row>
    <row r="1417" spans="1:27" x14ac:dyDescent="0.2">
      <c r="A1417" t="s">
        <v>600</v>
      </c>
      <c r="B1417">
        <v>2023</v>
      </c>
      <c r="C1417" s="2" t="s">
        <v>2018</v>
      </c>
      <c r="D1417" t="s">
        <v>2019</v>
      </c>
      <c r="E1417" t="s">
        <v>29</v>
      </c>
      <c r="F1417" t="s">
        <v>41</v>
      </c>
      <c r="G1417">
        <v>0</v>
      </c>
      <c r="H1417">
        <v>0</v>
      </c>
      <c r="I1417">
        <v>1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 t="s">
        <v>31</v>
      </c>
      <c r="Z1417">
        <v>99</v>
      </c>
      <c r="AA1417">
        <v>11.1</v>
      </c>
    </row>
    <row r="1418" spans="1:27" x14ac:dyDescent="0.2">
      <c r="A1418" t="s">
        <v>600</v>
      </c>
      <c r="B1418">
        <v>2023</v>
      </c>
      <c r="C1418" t="s">
        <v>2020</v>
      </c>
      <c r="D1418" t="s">
        <v>2021</v>
      </c>
      <c r="E1418" t="s">
        <v>29</v>
      </c>
      <c r="F1418" t="s">
        <v>30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64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64</v>
      </c>
      <c r="X1418">
        <v>0</v>
      </c>
      <c r="Y1418" t="s">
        <v>51</v>
      </c>
      <c r="Z1418">
        <v>99</v>
      </c>
      <c r="AA1418">
        <v>0</v>
      </c>
    </row>
    <row r="1419" spans="1:27" x14ac:dyDescent="0.2">
      <c r="A1419" t="s">
        <v>600</v>
      </c>
      <c r="B1419">
        <v>2021</v>
      </c>
      <c r="C1419" s="2" t="s">
        <v>1854</v>
      </c>
      <c r="D1419" t="s">
        <v>2022</v>
      </c>
      <c r="E1419" t="s">
        <v>29</v>
      </c>
      <c r="F1419" t="s">
        <v>30</v>
      </c>
      <c r="G1419">
        <v>0</v>
      </c>
      <c r="H1419">
        <v>0</v>
      </c>
      <c r="I1419">
        <v>110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 t="s">
        <v>31</v>
      </c>
      <c r="Z1419">
        <v>1000</v>
      </c>
      <c r="AA1419">
        <v>0</v>
      </c>
    </row>
    <row r="1420" spans="1:27" x14ac:dyDescent="0.2">
      <c r="A1420" t="s">
        <v>600</v>
      </c>
      <c r="B1420">
        <v>2021</v>
      </c>
      <c r="C1420">
        <v>4224032</v>
      </c>
      <c r="D1420" t="s">
        <v>2023</v>
      </c>
      <c r="E1420" t="s">
        <v>29</v>
      </c>
      <c r="F1420" t="s">
        <v>30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 t="s">
        <v>31</v>
      </c>
      <c r="Z1420">
        <v>1000</v>
      </c>
      <c r="AA1420">
        <v>500</v>
      </c>
    </row>
    <row r="1421" spans="1:27" x14ac:dyDescent="0.2">
      <c r="A1421" t="s">
        <v>600</v>
      </c>
      <c r="B1421">
        <v>2021</v>
      </c>
      <c r="C1421" t="s">
        <v>988</v>
      </c>
      <c r="D1421" t="s">
        <v>989</v>
      </c>
      <c r="E1421" t="s">
        <v>29</v>
      </c>
      <c r="F1421" t="s">
        <v>30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11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 t="s">
        <v>51</v>
      </c>
      <c r="Z1421">
        <v>1000</v>
      </c>
      <c r="AA1421">
        <v>0</v>
      </c>
    </row>
    <row r="1422" spans="1:27" x14ac:dyDescent="0.2">
      <c r="A1422" t="s">
        <v>600</v>
      </c>
      <c r="B1422">
        <v>2021</v>
      </c>
      <c r="C1422" t="s">
        <v>2024</v>
      </c>
      <c r="D1422" t="s">
        <v>2025</v>
      </c>
      <c r="E1422" t="s">
        <v>29</v>
      </c>
      <c r="F1422" t="s">
        <v>30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1</v>
      </c>
      <c r="N1422">
        <v>0</v>
      </c>
      <c r="O1422">
        <v>4</v>
      </c>
      <c r="P1422">
        <v>0</v>
      </c>
      <c r="Q1422">
        <v>2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 t="s">
        <v>51</v>
      </c>
      <c r="Z1422">
        <v>1000</v>
      </c>
      <c r="AA1422">
        <v>0</v>
      </c>
    </row>
    <row r="1423" spans="1:27" x14ac:dyDescent="0.2">
      <c r="A1423" t="s">
        <v>1500</v>
      </c>
      <c r="B1423">
        <v>2023</v>
      </c>
      <c r="C1423">
        <v>5232020002</v>
      </c>
      <c r="D1423" t="s">
        <v>2026</v>
      </c>
      <c r="E1423" t="s">
        <v>29</v>
      </c>
      <c r="F1423" t="s">
        <v>30</v>
      </c>
      <c r="G1423">
        <v>0</v>
      </c>
      <c r="H1423">
        <v>0</v>
      </c>
      <c r="I1423">
        <v>46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 t="s">
        <v>31</v>
      </c>
      <c r="Z1423">
        <v>55</v>
      </c>
      <c r="AA1423">
        <v>370</v>
      </c>
    </row>
    <row r="1424" spans="1:27" x14ac:dyDescent="0.2">
      <c r="A1424" t="s">
        <v>1367</v>
      </c>
      <c r="B1424">
        <v>2023</v>
      </c>
      <c r="C1424" t="s">
        <v>2027</v>
      </c>
      <c r="D1424" t="s">
        <v>2028</v>
      </c>
      <c r="E1424" t="s">
        <v>29</v>
      </c>
      <c r="F1424" t="s">
        <v>30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28</v>
      </c>
      <c r="V1424">
        <v>0</v>
      </c>
      <c r="W1424">
        <v>0</v>
      </c>
      <c r="X1424">
        <v>0</v>
      </c>
      <c r="Y1424" t="s">
        <v>51</v>
      </c>
      <c r="Z1424">
        <v>90</v>
      </c>
      <c r="AA1424">
        <v>0</v>
      </c>
    </row>
    <row r="1425" spans="1:27" x14ac:dyDescent="0.2">
      <c r="A1425" t="s">
        <v>1367</v>
      </c>
      <c r="B1425">
        <v>2023</v>
      </c>
      <c r="C1425" t="s">
        <v>2029</v>
      </c>
      <c r="D1425" t="s">
        <v>2030</v>
      </c>
      <c r="E1425" t="s">
        <v>29</v>
      </c>
      <c r="F1425" t="s">
        <v>30</v>
      </c>
      <c r="G1425">
        <v>0</v>
      </c>
      <c r="H1425">
        <v>0</v>
      </c>
      <c r="I1425">
        <v>0</v>
      </c>
      <c r="J1425">
        <v>0</v>
      </c>
      <c r="K1425">
        <v>3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 t="s">
        <v>51</v>
      </c>
      <c r="Z1425">
        <v>90</v>
      </c>
      <c r="AA1425">
        <v>0</v>
      </c>
    </row>
    <row r="1426" spans="1:27" x14ac:dyDescent="0.2">
      <c r="A1426" t="s">
        <v>1802</v>
      </c>
      <c r="B1426">
        <v>2023</v>
      </c>
      <c r="C1426" t="s">
        <v>2031</v>
      </c>
      <c r="D1426" t="s">
        <v>2032</v>
      </c>
      <c r="E1426" t="s">
        <v>29</v>
      </c>
      <c r="F1426" t="s">
        <v>41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22</v>
      </c>
      <c r="V1426">
        <v>0</v>
      </c>
      <c r="W1426">
        <v>13</v>
      </c>
      <c r="X1426">
        <v>0</v>
      </c>
      <c r="Y1426" t="s">
        <v>51</v>
      </c>
      <c r="Z1426">
        <v>1000</v>
      </c>
      <c r="AA1426">
        <v>0</v>
      </c>
    </row>
    <row r="1427" spans="1:27" x14ac:dyDescent="0.2">
      <c r="A1427" t="s">
        <v>1576</v>
      </c>
      <c r="B1427">
        <v>2023</v>
      </c>
      <c r="C1427">
        <v>1432050400</v>
      </c>
      <c r="D1427" t="s">
        <v>2033</v>
      </c>
      <c r="E1427" t="s">
        <v>29</v>
      </c>
      <c r="F1427" t="s">
        <v>30</v>
      </c>
      <c r="G1427">
        <v>0</v>
      </c>
      <c r="H1427">
        <v>0</v>
      </c>
      <c r="I1427">
        <v>2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 t="s">
        <v>31</v>
      </c>
      <c r="Z1427">
        <v>55</v>
      </c>
      <c r="AA1427">
        <v>10</v>
      </c>
    </row>
    <row r="1428" spans="1:27" x14ac:dyDescent="0.2">
      <c r="A1428" t="s">
        <v>302</v>
      </c>
      <c r="B1428">
        <v>2022</v>
      </c>
      <c r="C1428" t="s">
        <v>2034</v>
      </c>
      <c r="D1428" t="s">
        <v>2035</v>
      </c>
      <c r="E1428" t="s">
        <v>29</v>
      </c>
      <c r="F1428" t="s">
        <v>30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6</v>
      </c>
      <c r="T1428">
        <v>0</v>
      </c>
      <c r="U1428">
        <v>10</v>
      </c>
      <c r="V1428">
        <v>0</v>
      </c>
      <c r="W1428">
        <v>20</v>
      </c>
      <c r="X1428">
        <v>0</v>
      </c>
      <c r="Y1428" t="s">
        <v>31</v>
      </c>
      <c r="Z1428">
        <v>55</v>
      </c>
      <c r="AA1428">
        <v>35</v>
      </c>
    </row>
    <row r="1429" spans="1:27" x14ac:dyDescent="0.2">
      <c r="A1429" t="s">
        <v>1576</v>
      </c>
      <c r="B1429">
        <v>2023</v>
      </c>
      <c r="C1429">
        <v>1610302300</v>
      </c>
      <c r="D1429" t="s">
        <v>2036</v>
      </c>
      <c r="E1429" t="s">
        <v>29</v>
      </c>
      <c r="F1429" t="s">
        <v>30</v>
      </c>
      <c r="G1429">
        <v>33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 t="s">
        <v>31</v>
      </c>
      <c r="Z1429">
        <v>55</v>
      </c>
      <c r="AA1429">
        <v>50</v>
      </c>
    </row>
    <row r="1430" spans="1:27" x14ac:dyDescent="0.2">
      <c r="A1430" t="s">
        <v>1576</v>
      </c>
      <c r="B1430">
        <v>2023</v>
      </c>
      <c r="C1430">
        <v>1532641400</v>
      </c>
      <c r="D1430" t="s">
        <v>2037</v>
      </c>
      <c r="E1430" t="s">
        <v>29</v>
      </c>
      <c r="F1430" t="s">
        <v>30</v>
      </c>
      <c r="G1430">
        <v>1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 t="s">
        <v>31</v>
      </c>
      <c r="AA1430">
        <v>20</v>
      </c>
    </row>
    <row r="1431" spans="1:27" x14ac:dyDescent="0.2">
      <c r="A1431" t="s">
        <v>1231</v>
      </c>
      <c r="B1431">
        <v>2023</v>
      </c>
      <c r="C1431">
        <v>694310006</v>
      </c>
      <c r="D1431" t="s">
        <v>1232</v>
      </c>
      <c r="E1431" t="s">
        <v>29</v>
      </c>
      <c r="F1431" t="s">
        <v>30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13</v>
      </c>
      <c r="N1431">
        <v>0</v>
      </c>
      <c r="O1431">
        <v>1</v>
      </c>
      <c r="P1431">
        <v>0</v>
      </c>
      <c r="Q1431">
        <v>1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 t="s">
        <v>31</v>
      </c>
      <c r="Z1431">
        <v>55</v>
      </c>
      <c r="AA1431">
        <v>12.5</v>
      </c>
    </row>
    <row r="1432" spans="1:27" x14ac:dyDescent="0.2">
      <c r="A1432" t="s">
        <v>1231</v>
      </c>
      <c r="B1432">
        <v>2023</v>
      </c>
      <c r="C1432">
        <v>694190087</v>
      </c>
      <c r="D1432" t="s">
        <v>1831</v>
      </c>
      <c r="E1432" t="s">
        <v>29</v>
      </c>
      <c r="F1432" t="s">
        <v>30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1</v>
      </c>
      <c r="N1432">
        <v>0</v>
      </c>
      <c r="O1432">
        <v>1</v>
      </c>
      <c r="P1432">
        <v>0</v>
      </c>
      <c r="Q1432">
        <v>1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 t="s">
        <v>51</v>
      </c>
      <c r="Z1432">
        <v>55</v>
      </c>
      <c r="AA1432">
        <v>0</v>
      </c>
    </row>
    <row r="1433" spans="1:27" x14ac:dyDescent="0.2">
      <c r="A1433" t="s">
        <v>1231</v>
      </c>
      <c r="B1433">
        <v>2023</v>
      </c>
      <c r="C1433">
        <v>694190087</v>
      </c>
      <c r="D1433" t="s">
        <v>1831</v>
      </c>
      <c r="E1433" t="s">
        <v>29</v>
      </c>
      <c r="F1433" t="s">
        <v>30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2</v>
      </c>
      <c r="N1433">
        <v>0</v>
      </c>
      <c r="O1433">
        <v>2</v>
      </c>
      <c r="P1433">
        <v>0</v>
      </c>
      <c r="Q1433">
        <v>2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 t="s">
        <v>51</v>
      </c>
      <c r="Z1433">
        <v>55</v>
      </c>
      <c r="AA1433">
        <v>0</v>
      </c>
    </row>
    <row r="1434" spans="1:27" x14ac:dyDescent="0.2">
      <c r="A1434" t="s">
        <v>1231</v>
      </c>
      <c r="B1434">
        <v>2023</v>
      </c>
      <c r="C1434">
        <v>694520019</v>
      </c>
      <c r="D1434" t="s">
        <v>1832</v>
      </c>
      <c r="E1434" t="s">
        <v>29</v>
      </c>
      <c r="F1434" t="s">
        <v>30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4</v>
      </c>
      <c r="N1434">
        <v>0</v>
      </c>
      <c r="O1434">
        <v>18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 t="s">
        <v>51</v>
      </c>
      <c r="Z1434">
        <v>55</v>
      </c>
      <c r="AA1434">
        <v>0</v>
      </c>
    </row>
    <row r="1435" spans="1:27" x14ac:dyDescent="0.2">
      <c r="A1435" t="s">
        <v>1231</v>
      </c>
      <c r="B1435">
        <v>2023</v>
      </c>
      <c r="C1435">
        <v>694130017</v>
      </c>
      <c r="D1435" t="s">
        <v>1433</v>
      </c>
      <c r="E1435" t="s">
        <v>29</v>
      </c>
      <c r="F1435" t="s">
        <v>30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13</v>
      </c>
      <c r="N1435">
        <v>0</v>
      </c>
      <c r="O1435">
        <v>3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 t="s">
        <v>51</v>
      </c>
      <c r="Z1435">
        <v>55</v>
      </c>
      <c r="AA1435">
        <v>0</v>
      </c>
    </row>
    <row r="1436" spans="1:27" x14ac:dyDescent="0.2">
      <c r="A1436" t="s">
        <v>1231</v>
      </c>
      <c r="B1436">
        <v>2023</v>
      </c>
      <c r="C1436">
        <v>694130017</v>
      </c>
      <c r="D1436" t="s">
        <v>1433</v>
      </c>
      <c r="E1436" t="s">
        <v>29</v>
      </c>
      <c r="F1436" t="s">
        <v>30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19</v>
      </c>
      <c r="N1436">
        <v>0</v>
      </c>
      <c r="O1436">
        <v>5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 t="s">
        <v>51</v>
      </c>
      <c r="Z1436">
        <v>55</v>
      </c>
      <c r="AA1436">
        <v>0</v>
      </c>
    </row>
    <row r="1437" spans="1:27" x14ac:dyDescent="0.2">
      <c r="A1437" t="s">
        <v>1500</v>
      </c>
      <c r="B1437">
        <v>2023</v>
      </c>
      <c r="C1437">
        <v>4036002027</v>
      </c>
      <c r="D1437" t="s">
        <v>2038</v>
      </c>
      <c r="E1437" t="s">
        <v>29</v>
      </c>
      <c r="F1437" t="s">
        <v>30</v>
      </c>
      <c r="G1437">
        <v>2</v>
      </c>
      <c r="H1437">
        <v>0</v>
      </c>
      <c r="I1437">
        <v>10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 t="s">
        <v>31</v>
      </c>
      <c r="Z1437">
        <v>55</v>
      </c>
      <c r="AA1437">
        <v>946</v>
      </c>
    </row>
    <row r="1438" spans="1:27" x14ac:dyDescent="0.2">
      <c r="A1438" t="s">
        <v>1048</v>
      </c>
      <c r="B1438">
        <v>2021</v>
      </c>
      <c r="C1438">
        <v>4900000000000</v>
      </c>
      <c r="D1438" t="s">
        <v>2039</v>
      </c>
      <c r="E1438" t="s">
        <v>29</v>
      </c>
      <c r="F1438" t="s">
        <v>30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9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 t="s">
        <v>31</v>
      </c>
      <c r="Z1438">
        <v>30</v>
      </c>
      <c r="AA1438">
        <v>16</v>
      </c>
    </row>
    <row r="1439" spans="1:27" x14ac:dyDescent="0.2">
      <c r="A1439" t="s">
        <v>1048</v>
      </c>
      <c r="B1439">
        <v>2021</v>
      </c>
      <c r="C1439">
        <v>4900000000000</v>
      </c>
      <c r="D1439" t="s">
        <v>2040</v>
      </c>
      <c r="E1439" t="s">
        <v>29</v>
      </c>
      <c r="F1439" t="s">
        <v>30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8</v>
      </c>
      <c r="N1439">
        <v>0</v>
      </c>
      <c r="O1439">
        <v>0</v>
      </c>
      <c r="P1439">
        <v>0</v>
      </c>
      <c r="Q1439">
        <v>0</v>
      </c>
      <c r="R1439">
        <v>1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 t="s">
        <v>31</v>
      </c>
      <c r="Z1439">
        <v>30</v>
      </c>
      <c r="AA1439">
        <v>16</v>
      </c>
    </row>
    <row r="1440" spans="1:27" x14ac:dyDescent="0.2">
      <c r="A1440" t="s">
        <v>1500</v>
      </c>
      <c r="B1440">
        <v>2023</v>
      </c>
      <c r="C1440">
        <v>8174019056</v>
      </c>
      <c r="D1440" t="s">
        <v>2041</v>
      </c>
      <c r="E1440" t="s">
        <v>29</v>
      </c>
      <c r="F1440" t="s">
        <v>30</v>
      </c>
      <c r="G1440">
        <v>2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 t="s">
        <v>31</v>
      </c>
      <c r="Z1440">
        <v>55</v>
      </c>
      <c r="AA1440">
        <v>60.5</v>
      </c>
    </row>
    <row r="1441" spans="1:27" x14ac:dyDescent="0.2">
      <c r="A1441" t="s">
        <v>600</v>
      </c>
      <c r="B1441">
        <v>2021</v>
      </c>
      <c r="C1441">
        <v>6311001</v>
      </c>
      <c r="D1441" t="s">
        <v>2042</v>
      </c>
      <c r="E1441" t="s">
        <v>29</v>
      </c>
      <c r="F1441" t="s">
        <v>30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126</v>
      </c>
      <c r="T1441">
        <v>0</v>
      </c>
      <c r="U1441">
        <v>41</v>
      </c>
      <c r="V1441">
        <v>0</v>
      </c>
      <c r="W1441">
        <v>0</v>
      </c>
      <c r="X1441">
        <v>0</v>
      </c>
      <c r="Y1441" t="s">
        <v>51</v>
      </c>
      <c r="Z1441">
        <v>1000</v>
      </c>
      <c r="AA1441">
        <v>0</v>
      </c>
    </row>
    <row r="1442" spans="1:27" x14ac:dyDescent="0.2">
      <c r="A1442" t="s">
        <v>600</v>
      </c>
      <c r="B1442">
        <v>2021</v>
      </c>
      <c r="C1442">
        <v>3779133</v>
      </c>
      <c r="D1442" t="s">
        <v>2043</v>
      </c>
      <c r="E1442" t="s">
        <v>29</v>
      </c>
      <c r="F1442" t="s">
        <v>30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145</v>
      </c>
      <c r="T1442">
        <v>0</v>
      </c>
      <c r="U1442">
        <v>0</v>
      </c>
      <c r="V1442">
        <v>0</v>
      </c>
      <c r="W1442">
        <v>0</v>
      </c>
      <c r="X1442">
        <v>0</v>
      </c>
      <c r="Y1442" t="s">
        <v>31</v>
      </c>
      <c r="Z1442">
        <v>1000</v>
      </c>
      <c r="AA1442">
        <v>0</v>
      </c>
    </row>
    <row r="1443" spans="1:27" x14ac:dyDescent="0.2">
      <c r="A1443" t="s">
        <v>600</v>
      </c>
      <c r="B1443">
        <v>2022</v>
      </c>
      <c r="C1443">
        <v>3780077</v>
      </c>
      <c r="D1443" t="s">
        <v>2044</v>
      </c>
      <c r="E1443" t="s">
        <v>29</v>
      </c>
      <c r="F1443" t="s">
        <v>30</v>
      </c>
      <c r="G1443">
        <v>10</v>
      </c>
      <c r="H1443">
        <v>0</v>
      </c>
      <c r="I1443">
        <v>14</v>
      </c>
      <c r="J1443">
        <v>0</v>
      </c>
      <c r="K1443">
        <v>11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 t="s">
        <v>51</v>
      </c>
      <c r="AA1443">
        <v>0</v>
      </c>
    </row>
    <row r="1444" spans="1:27" x14ac:dyDescent="0.2">
      <c r="A1444" t="s">
        <v>600</v>
      </c>
      <c r="B1444">
        <v>2022</v>
      </c>
      <c r="C1444" s="2" t="s">
        <v>2045</v>
      </c>
      <c r="D1444" t="s">
        <v>2046</v>
      </c>
      <c r="E1444" t="s">
        <v>29</v>
      </c>
      <c r="F1444" t="s">
        <v>30</v>
      </c>
      <c r="G1444">
        <v>0</v>
      </c>
      <c r="H1444">
        <v>0</v>
      </c>
      <c r="I1444">
        <v>23</v>
      </c>
      <c r="J1444">
        <v>0</v>
      </c>
      <c r="K1444">
        <v>6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 t="s">
        <v>31</v>
      </c>
      <c r="AA1444">
        <v>50</v>
      </c>
    </row>
    <row r="1445" spans="1:27" x14ac:dyDescent="0.2">
      <c r="A1445" t="s">
        <v>600</v>
      </c>
      <c r="B1445">
        <v>2022</v>
      </c>
      <c r="C1445">
        <v>1249024</v>
      </c>
      <c r="D1445" t="s">
        <v>2047</v>
      </c>
      <c r="E1445" t="s">
        <v>29</v>
      </c>
      <c r="F1445" t="s">
        <v>30</v>
      </c>
      <c r="G1445">
        <v>0</v>
      </c>
      <c r="H1445">
        <v>0</v>
      </c>
      <c r="I1445">
        <v>160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 t="s">
        <v>31</v>
      </c>
      <c r="AA1445">
        <v>50</v>
      </c>
    </row>
    <row r="1446" spans="1:27" x14ac:dyDescent="0.2">
      <c r="A1446" t="s">
        <v>600</v>
      </c>
      <c r="B1446">
        <v>2022</v>
      </c>
      <c r="C1446">
        <v>5411005</v>
      </c>
      <c r="D1446" t="s">
        <v>2048</v>
      </c>
      <c r="E1446" t="s">
        <v>29</v>
      </c>
      <c r="F1446" t="s">
        <v>30</v>
      </c>
      <c r="G1446">
        <v>8</v>
      </c>
      <c r="H1446">
        <v>0</v>
      </c>
      <c r="I1446">
        <v>12</v>
      </c>
      <c r="J1446">
        <v>0</v>
      </c>
      <c r="K1446">
        <v>10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 t="s">
        <v>31</v>
      </c>
      <c r="AA1446">
        <v>26</v>
      </c>
    </row>
    <row r="1447" spans="1:27" x14ac:dyDescent="0.2">
      <c r="A1447" t="s">
        <v>600</v>
      </c>
      <c r="B1447">
        <v>2022</v>
      </c>
      <c r="C1447">
        <v>1724038</v>
      </c>
      <c r="D1447" t="s">
        <v>2049</v>
      </c>
      <c r="E1447" t="s">
        <v>29</v>
      </c>
      <c r="F1447" t="s">
        <v>30</v>
      </c>
      <c r="G1447">
        <v>40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 t="s">
        <v>31</v>
      </c>
      <c r="AA1447">
        <v>50</v>
      </c>
    </row>
    <row r="1448" spans="1:27" x14ac:dyDescent="0.2">
      <c r="A1448" t="s">
        <v>600</v>
      </c>
      <c r="B1448">
        <v>2022</v>
      </c>
      <c r="C1448">
        <v>3555057</v>
      </c>
      <c r="D1448" t="s">
        <v>2050</v>
      </c>
      <c r="E1448" t="s">
        <v>29</v>
      </c>
      <c r="F1448" t="s">
        <v>41</v>
      </c>
      <c r="G1448">
        <v>3</v>
      </c>
      <c r="H1448">
        <v>0</v>
      </c>
      <c r="I1448">
        <v>4</v>
      </c>
      <c r="J1448">
        <v>0</v>
      </c>
      <c r="K1448">
        <v>4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 t="s">
        <v>31</v>
      </c>
      <c r="AA1448">
        <v>8</v>
      </c>
    </row>
    <row r="1449" spans="1:27" x14ac:dyDescent="0.2">
      <c r="A1449" t="s">
        <v>600</v>
      </c>
      <c r="B1449">
        <v>2022</v>
      </c>
      <c r="C1449" s="2" t="s">
        <v>2051</v>
      </c>
      <c r="D1449" t="s">
        <v>2052</v>
      </c>
      <c r="E1449" t="s">
        <v>29</v>
      </c>
      <c r="F1449" t="s">
        <v>41</v>
      </c>
      <c r="G1449">
        <v>3</v>
      </c>
      <c r="H1449">
        <v>0</v>
      </c>
      <c r="I1449">
        <v>4</v>
      </c>
      <c r="J1449">
        <v>0</v>
      </c>
      <c r="K1449">
        <v>3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 t="s">
        <v>31</v>
      </c>
      <c r="AA1449">
        <v>100</v>
      </c>
    </row>
    <row r="1450" spans="1:27" x14ac:dyDescent="0.2">
      <c r="A1450" t="s">
        <v>600</v>
      </c>
      <c r="B1450">
        <v>2022</v>
      </c>
      <c r="C1450">
        <v>8903004</v>
      </c>
      <c r="D1450" t="s">
        <v>2053</v>
      </c>
      <c r="E1450" t="s">
        <v>29</v>
      </c>
      <c r="F1450" t="s">
        <v>30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9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 t="s">
        <v>51</v>
      </c>
      <c r="AA1450">
        <v>0</v>
      </c>
    </row>
    <row r="1451" spans="1:27" x14ac:dyDescent="0.2">
      <c r="A1451" t="s">
        <v>600</v>
      </c>
      <c r="B1451">
        <v>2022</v>
      </c>
      <c r="C1451" s="2" t="s">
        <v>2054</v>
      </c>
      <c r="D1451" t="s">
        <v>2055</v>
      </c>
      <c r="E1451" t="s">
        <v>29</v>
      </c>
      <c r="F1451" t="s">
        <v>30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48</v>
      </c>
      <c r="N1451">
        <v>0</v>
      </c>
      <c r="O1451">
        <v>21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 t="s">
        <v>31</v>
      </c>
      <c r="AA1451">
        <v>100</v>
      </c>
    </row>
    <row r="1452" spans="1:27" x14ac:dyDescent="0.2">
      <c r="A1452" t="s">
        <v>75</v>
      </c>
      <c r="B1452">
        <v>2022</v>
      </c>
      <c r="C1452">
        <v>4453321700</v>
      </c>
      <c r="D1452" t="s">
        <v>2056</v>
      </c>
      <c r="E1452" t="s">
        <v>29</v>
      </c>
      <c r="F1452" t="s">
        <v>30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10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 t="s">
        <v>31</v>
      </c>
      <c r="Z1452">
        <v>55</v>
      </c>
      <c r="AA1452">
        <v>32.5</v>
      </c>
    </row>
    <row r="1453" spans="1:27" x14ac:dyDescent="0.2">
      <c r="A1453" t="s">
        <v>75</v>
      </c>
      <c r="B1453">
        <v>2022</v>
      </c>
      <c r="C1453">
        <v>4455011000</v>
      </c>
      <c r="D1453" t="s">
        <v>2057</v>
      </c>
      <c r="E1453" t="s">
        <v>29</v>
      </c>
      <c r="F1453" t="s">
        <v>30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10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 t="s">
        <v>31</v>
      </c>
      <c r="Z1453">
        <v>55</v>
      </c>
      <c r="AA1453">
        <v>100</v>
      </c>
    </row>
    <row r="1454" spans="1:27" x14ac:dyDescent="0.2">
      <c r="A1454" t="s">
        <v>904</v>
      </c>
      <c r="B1454">
        <v>2021</v>
      </c>
      <c r="C1454" t="s">
        <v>2058</v>
      </c>
      <c r="D1454" t="s">
        <v>2059</v>
      </c>
      <c r="E1454" t="s">
        <v>29</v>
      </c>
      <c r="F1454" t="s">
        <v>30</v>
      </c>
      <c r="G1454">
        <v>1</v>
      </c>
      <c r="H1454">
        <v>0</v>
      </c>
      <c r="I1454">
        <v>0</v>
      </c>
      <c r="J1454">
        <v>0</v>
      </c>
      <c r="K1454">
        <v>0</v>
      </c>
      <c r="L1454">
        <v>10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 t="s">
        <v>31</v>
      </c>
      <c r="Z1454">
        <v>55</v>
      </c>
      <c r="AA1454" s="2" t="s">
        <v>358</v>
      </c>
    </row>
    <row r="1455" spans="1:27" x14ac:dyDescent="0.2">
      <c r="A1455" t="s">
        <v>904</v>
      </c>
      <c r="B1455">
        <v>2021</v>
      </c>
      <c r="C1455" t="s">
        <v>2060</v>
      </c>
      <c r="D1455" t="s">
        <v>2061</v>
      </c>
      <c r="E1455" t="s">
        <v>29</v>
      </c>
      <c r="F1455" t="s">
        <v>30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3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 t="s">
        <v>51</v>
      </c>
      <c r="Z1455">
        <v>30</v>
      </c>
      <c r="AA1455">
        <v>0</v>
      </c>
    </row>
    <row r="1456" spans="1:27" x14ac:dyDescent="0.2">
      <c r="A1456" t="s">
        <v>533</v>
      </c>
      <c r="B1456">
        <v>2023</v>
      </c>
      <c r="C1456" t="s">
        <v>2062</v>
      </c>
      <c r="D1456" t="s">
        <v>2063</v>
      </c>
      <c r="E1456" t="s">
        <v>29</v>
      </c>
      <c r="F1456" t="s">
        <v>41</v>
      </c>
      <c r="G1456">
        <v>0</v>
      </c>
      <c r="H1456">
        <v>0</v>
      </c>
      <c r="I1456">
        <v>0</v>
      </c>
      <c r="J1456">
        <v>0</v>
      </c>
      <c r="K1456">
        <v>1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1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 t="s">
        <v>31</v>
      </c>
      <c r="AA1456">
        <v>20</v>
      </c>
    </row>
    <row r="1457" spans="1:27" x14ac:dyDescent="0.2">
      <c r="A1457" t="s">
        <v>533</v>
      </c>
      <c r="B1457">
        <v>2023</v>
      </c>
      <c r="C1457" t="s">
        <v>2064</v>
      </c>
      <c r="D1457" t="s">
        <v>2065</v>
      </c>
      <c r="E1457" t="s">
        <v>29</v>
      </c>
      <c r="F1457" t="s">
        <v>41</v>
      </c>
      <c r="G1457">
        <v>0</v>
      </c>
      <c r="H1457">
        <v>0</v>
      </c>
      <c r="I1457">
        <v>0</v>
      </c>
      <c r="J1457">
        <v>0</v>
      </c>
      <c r="K1457">
        <v>1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1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1</v>
      </c>
      <c r="X1457">
        <v>0</v>
      </c>
      <c r="Y1457" t="s">
        <v>31</v>
      </c>
      <c r="Z1457">
        <v>1000</v>
      </c>
      <c r="AA1457">
        <v>20</v>
      </c>
    </row>
    <row r="1458" spans="1:27" x14ac:dyDescent="0.2">
      <c r="A1458" t="s">
        <v>1802</v>
      </c>
      <c r="B1458">
        <v>2023</v>
      </c>
      <c r="C1458" t="s">
        <v>2066</v>
      </c>
      <c r="D1458" t="s">
        <v>2067</v>
      </c>
      <c r="E1458" t="s">
        <v>29</v>
      </c>
      <c r="F1458" t="s">
        <v>41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2</v>
      </c>
      <c r="N1458">
        <v>0</v>
      </c>
      <c r="O1458">
        <v>0</v>
      </c>
      <c r="P1458">
        <v>0</v>
      </c>
      <c r="Q1458">
        <v>1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 t="s">
        <v>51</v>
      </c>
      <c r="Z1458">
        <v>45</v>
      </c>
      <c r="AA1458">
        <v>0</v>
      </c>
    </row>
    <row r="1459" spans="1:27" x14ac:dyDescent="0.2">
      <c r="A1459" t="s">
        <v>1500</v>
      </c>
      <c r="B1459">
        <v>2023</v>
      </c>
      <c r="C1459">
        <v>7344002009</v>
      </c>
      <c r="D1459" t="s">
        <v>2068</v>
      </c>
      <c r="E1459" t="s">
        <v>29</v>
      </c>
      <c r="F1459" t="s">
        <v>30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30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 t="s">
        <v>31</v>
      </c>
      <c r="Z1459">
        <v>55</v>
      </c>
      <c r="AA1459">
        <v>0</v>
      </c>
    </row>
    <row r="1460" spans="1:27" x14ac:dyDescent="0.2">
      <c r="A1460" t="s">
        <v>457</v>
      </c>
      <c r="B1460">
        <v>2023</v>
      </c>
      <c r="C1460" t="s">
        <v>2069</v>
      </c>
      <c r="D1460" t="s">
        <v>2070</v>
      </c>
      <c r="E1460" t="s">
        <v>29</v>
      </c>
      <c r="F1460" t="s">
        <v>30</v>
      </c>
      <c r="G1460">
        <v>0</v>
      </c>
      <c r="H1460">
        <v>0</v>
      </c>
      <c r="I1460">
        <v>0</v>
      </c>
      <c r="J1460">
        <v>0</v>
      </c>
      <c r="K1460">
        <v>34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 t="s">
        <v>31</v>
      </c>
      <c r="AA1460">
        <v>100</v>
      </c>
    </row>
    <row r="1461" spans="1:27" x14ac:dyDescent="0.2">
      <c r="A1461" t="s">
        <v>457</v>
      </c>
      <c r="B1461">
        <v>2023</v>
      </c>
      <c r="C1461" t="s">
        <v>720</v>
      </c>
      <c r="D1461" t="s">
        <v>1888</v>
      </c>
      <c r="E1461" t="s">
        <v>29</v>
      </c>
      <c r="F1461" t="s">
        <v>30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8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 t="s">
        <v>31</v>
      </c>
      <c r="Z1461">
        <v>55</v>
      </c>
      <c r="AA1461">
        <v>100</v>
      </c>
    </row>
    <row r="1462" spans="1:27" x14ac:dyDescent="0.2">
      <c r="A1462" t="s">
        <v>1500</v>
      </c>
      <c r="B1462">
        <v>2023</v>
      </c>
      <c r="C1462">
        <v>4038020018</v>
      </c>
      <c r="D1462" t="s">
        <v>2071</v>
      </c>
      <c r="E1462" t="s">
        <v>29</v>
      </c>
      <c r="F1462" t="s">
        <v>30</v>
      </c>
      <c r="G1462">
        <v>0</v>
      </c>
      <c r="H1462">
        <v>0</v>
      </c>
      <c r="I1462">
        <v>6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 t="s">
        <v>31</v>
      </c>
      <c r="Z1462">
        <v>55</v>
      </c>
      <c r="AA1462">
        <v>786</v>
      </c>
    </row>
    <row r="1463" spans="1:27" x14ac:dyDescent="0.2">
      <c r="A1463" t="s">
        <v>1576</v>
      </c>
      <c r="B1463">
        <v>2023</v>
      </c>
      <c r="C1463">
        <v>1471070900</v>
      </c>
      <c r="D1463" t="s">
        <v>2072</v>
      </c>
      <c r="E1463" t="s">
        <v>29</v>
      </c>
      <c r="F1463" t="s">
        <v>30</v>
      </c>
      <c r="G1463">
        <v>1</v>
      </c>
      <c r="H1463">
        <v>0</v>
      </c>
      <c r="I1463">
        <v>16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 t="s">
        <v>31</v>
      </c>
      <c r="Z1463">
        <v>55</v>
      </c>
      <c r="AA1463">
        <v>10</v>
      </c>
    </row>
    <row r="1464" spans="1:27" x14ac:dyDescent="0.2">
      <c r="A1464" t="s">
        <v>1805</v>
      </c>
      <c r="B1464">
        <v>2023</v>
      </c>
      <c r="C1464">
        <v>8305020003</v>
      </c>
      <c r="D1464" t="s">
        <v>2073</v>
      </c>
      <c r="E1464" t="s">
        <v>29</v>
      </c>
      <c r="F1464" t="s">
        <v>30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16</v>
      </c>
      <c r="X1464">
        <v>0</v>
      </c>
      <c r="Y1464" t="s">
        <v>51</v>
      </c>
      <c r="AA1464">
        <v>0</v>
      </c>
    </row>
    <row r="1465" spans="1:27" x14ac:dyDescent="0.2">
      <c r="A1465" t="s">
        <v>1231</v>
      </c>
      <c r="B1465">
        <v>2023</v>
      </c>
      <c r="C1465">
        <v>694310006</v>
      </c>
      <c r="D1465" t="s">
        <v>1232</v>
      </c>
      <c r="E1465" t="s">
        <v>29</v>
      </c>
      <c r="F1465" t="s">
        <v>30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21</v>
      </c>
      <c r="N1465">
        <v>0</v>
      </c>
      <c r="O1465">
        <v>2</v>
      </c>
      <c r="P1465">
        <v>0</v>
      </c>
      <c r="Q1465">
        <v>2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 t="s">
        <v>31</v>
      </c>
      <c r="Z1465">
        <v>55</v>
      </c>
      <c r="AA1465">
        <v>12.5</v>
      </c>
    </row>
    <row r="1466" spans="1:27" x14ac:dyDescent="0.2">
      <c r="A1466" t="s">
        <v>1231</v>
      </c>
      <c r="B1466">
        <v>2023</v>
      </c>
      <c r="C1466">
        <v>694310006</v>
      </c>
      <c r="D1466" t="s">
        <v>1232</v>
      </c>
      <c r="E1466" t="s">
        <v>29</v>
      </c>
      <c r="F1466" t="s">
        <v>30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21</v>
      </c>
      <c r="N1466">
        <v>0</v>
      </c>
      <c r="O1466">
        <v>2</v>
      </c>
      <c r="P1466">
        <v>0</v>
      </c>
      <c r="Q1466">
        <v>2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 t="s">
        <v>31</v>
      </c>
      <c r="Z1466">
        <v>55</v>
      </c>
      <c r="AA1466">
        <v>12.5</v>
      </c>
    </row>
    <row r="1467" spans="1:27" x14ac:dyDescent="0.2">
      <c r="A1467" t="s">
        <v>1231</v>
      </c>
      <c r="B1467">
        <v>2023</v>
      </c>
      <c r="C1467">
        <v>694310006</v>
      </c>
      <c r="D1467" t="s">
        <v>1232</v>
      </c>
      <c r="E1467" t="s">
        <v>29</v>
      </c>
      <c r="F1467" t="s">
        <v>30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21</v>
      </c>
      <c r="N1467">
        <v>0</v>
      </c>
      <c r="O1467">
        <v>2</v>
      </c>
      <c r="P1467">
        <v>0</v>
      </c>
      <c r="Q1467">
        <v>2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 t="s">
        <v>31</v>
      </c>
      <c r="Z1467">
        <v>55</v>
      </c>
      <c r="AA1467">
        <v>12.5</v>
      </c>
    </row>
    <row r="1468" spans="1:27" x14ac:dyDescent="0.2">
      <c r="A1468" t="s">
        <v>1231</v>
      </c>
      <c r="B1468">
        <v>2023</v>
      </c>
      <c r="C1468">
        <v>694190087</v>
      </c>
      <c r="D1468" t="s">
        <v>1831</v>
      </c>
      <c r="E1468" t="s">
        <v>29</v>
      </c>
      <c r="F1468" t="s">
        <v>30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1</v>
      </c>
      <c r="N1468">
        <v>0</v>
      </c>
      <c r="O1468">
        <v>1</v>
      </c>
      <c r="P1468">
        <v>0</v>
      </c>
      <c r="Q1468">
        <v>1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 t="s">
        <v>51</v>
      </c>
      <c r="Z1468">
        <v>55</v>
      </c>
      <c r="AA1468">
        <v>0</v>
      </c>
    </row>
    <row r="1469" spans="1:27" x14ac:dyDescent="0.2">
      <c r="A1469" t="s">
        <v>1231</v>
      </c>
      <c r="B1469">
        <v>2023</v>
      </c>
      <c r="C1469">
        <v>694190087</v>
      </c>
      <c r="D1469" t="s">
        <v>1831</v>
      </c>
      <c r="E1469" t="s">
        <v>29</v>
      </c>
      <c r="F1469" t="s">
        <v>30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1</v>
      </c>
      <c r="N1469">
        <v>0</v>
      </c>
      <c r="O1469">
        <v>1</v>
      </c>
      <c r="P1469">
        <v>0</v>
      </c>
      <c r="Q1469">
        <v>1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 t="s">
        <v>51</v>
      </c>
      <c r="Z1469">
        <v>55</v>
      </c>
      <c r="AA1469">
        <v>0</v>
      </c>
    </row>
    <row r="1470" spans="1:27" x14ac:dyDescent="0.2">
      <c r="A1470" t="s">
        <v>1231</v>
      </c>
      <c r="B1470">
        <v>2023</v>
      </c>
      <c r="C1470">
        <v>694130017</v>
      </c>
      <c r="D1470" t="s">
        <v>1433</v>
      </c>
      <c r="E1470" t="s">
        <v>29</v>
      </c>
      <c r="F1470" t="s">
        <v>30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19</v>
      </c>
      <c r="N1470">
        <v>0</v>
      </c>
      <c r="O1470">
        <v>5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 t="s">
        <v>51</v>
      </c>
      <c r="Z1470">
        <v>55</v>
      </c>
      <c r="AA1470">
        <v>0</v>
      </c>
    </row>
    <row r="1471" spans="1:27" x14ac:dyDescent="0.2">
      <c r="A1471" t="s">
        <v>1231</v>
      </c>
      <c r="B1471">
        <v>2023</v>
      </c>
      <c r="C1471">
        <v>694130017</v>
      </c>
      <c r="D1471" t="s">
        <v>1433</v>
      </c>
      <c r="E1471" t="s">
        <v>29</v>
      </c>
      <c r="F1471" t="s">
        <v>30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19</v>
      </c>
      <c r="N1471">
        <v>0</v>
      </c>
      <c r="O1471">
        <v>5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 t="s">
        <v>51</v>
      </c>
      <c r="Z1471">
        <v>55</v>
      </c>
      <c r="AA1471">
        <v>0</v>
      </c>
    </row>
    <row r="1472" spans="1:27" x14ac:dyDescent="0.2">
      <c r="A1472" t="s">
        <v>1048</v>
      </c>
      <c r="B1472">
        <v>2021</v>
      </c>
      <c r="C1472">
        <v>4900000000000</v>
      </c>
      <c r="D1472" t="s">
        <v>2074</v>
      </c>
      <c r="E1472" t="s">
        <v>29</v>
      </c>
      <c r="F1472" t="s">
        <v>30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20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 t="s">
        <v>31</v>
      </c>
      <c r="Z1472">
        <v>30</v>
      </c>
      <c r="AA1472">
        <v>16</v>
      </c>
    </row>
    <row r="1473" spans="1:27" x14ac:dyDescent="0.2">
      <c r="A1473" t="s">
        <v>1500</v>
      </c>
      <c r="B1473">
        <v>2023</v>
      </c>
      <c r="C1473">
        <v>8511029003</v>
      </c>
      <c r="D1473" t="s">
        <v>2075</v>
      </c>
      <c r="E1473" t="s">
        <v>29</v>
      </c>
      <c r="F1473" t="s">
        <v>30</v>
      </c>
      <c r="G1473">
        <v>0</v>
      </c>
      <c r="H1473">
        <v>0</v>
      </c>
      <c r="I1473">
        <v>93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 t="s">
        <v>31</v>
      </c>
      <c r="Z1473">
        <v>55</v>
      </c>
      <c r="AA1473">
        <v>280</v>
      </c>
    </row>
    <row r="1474" spans="1:27" x14ac:dyDescent="0.2">
      <c r="A1474" t="s">
        <v>1500</v>
      </c>
      <c r="B1474">
        <v>2023</v>
      </c>
      <c r="C1474">
        <v>5329012001</v>
      </c>
      <c r="D1474" t="s">
        <v>2076</v>
      </c>
      <c r="E1474" t="s">
        <v>29</v>
      </c>
      <c r="F1474" t="s">
        <v>30</v>
      </c>
      <c r="G1474">
        <v>2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 t="s">
        <v>31</v>
      </c>
      <c r="Z1474">
        <v>55</v>
      </c>
      <c r="AA1474">
        <v>55</v>
      </c>
    </row>
    <row r="1475" spans="1:27" x14ac:dyDescent="0.2">
      <c r="A1475" t="s">
        <v>1802</v>
      </c>
      <c r="B1475">
        <v>2023</v>
      </c>
      <c r="C1475" t="s">
        <v>2077</v>
      </c>
      <c r="D1475" t="s">
        <v>2078</v>
      </c>
      <c r="E1475" t="s">
        <v>29</v>
      </c>
      <c r="F1475" t="s">
        <v>41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27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 t="s">
        <v>51</v>
      </c>
      <c r="Z1475">
        <v>45</v>
      </c>
      <c r="AA1475">
        <v>0</v>
      </c>
    </row>
    <row r="1476" spans="1:27" x14ac:dyDescent="0.2">
      <c r="A1476" t="s">
        <v>1805</v>
      </c>
      <c r="B1476">
        <v>2023</v>
      </c>
      <c r="C1476">
        <v>8313008028</v>
      </c>
      <c r="D1476" t="s">
        <v>2079</v>
      </c>
      <c r="E1476" t="s">
        <v>29</v>
      </c>
      <c r="F1476" t="s">
        <v>41</v>
      </c>
      <c r="G1476">
        <v>0</v>
      </c>
      <c r="H1476">
        <v>0</v>
      </c>
      <c r="I1476">
        <v>0</v>
      </c>
      <c r="J1476">
        <v>0</v>
      </c>
      <c r="K1476">
        <v>19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 t="s">
        <v>51</v>
      </c>
      <c r="Z1476">
        <v>30</v>
      </c>
      <c r="AA1476">
        <v>0</v>
      </c>
    </row>
    <row r="1477" spans="1:27" x14ac:dyDescent="0.2">
      <c r="A1477" t="s">
        <v>1609</v>
      </c>
      <c r="B1477">
        <v>2023</v>
      </c>
      <c r="C1477" s="2" t="s">
        <v>2080</v>
      </c>
      <c r="D1477" t="s">
        <v>2081</v>
      </c>
      <c r="E1477" t="s">
        <v>29</v>
      </c>
      <c r="F1477" t="s">
        <v>41</v>
      </c>
      <c r="G1477">
        <v>0</v>
      </c>
      <c r="H1477">
        <v>0</v>
      </c>
      <c r="I1477">
        <v>3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3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 t="s">
        <v>51</v>
      </c>
      <c r="Z1477">
        <v>45</v>
      </c>
      <c r="AA1477">
        <v>0</v>
      </c>
    </row>
    <row r="1478" spans="1:27" x14ac:dyDescent="0.2">
      <c r="A1478" t="s">
        <v>1449</v>
      </c>
      <c r="B1478">
        <v>2023</v>
      </c>
      <c r="C1478" t="s">
        <v>2082</v>
      </c>
      <c r="D1478" t="s">
        <v>2083</v>
      </c>
      <c r="E1478" t="s">
        <v>29</v>
      </c>
      <c r="F1478" t="s">
        <v>30</v>
      </c>
      <c r="G1478">
        <v>23</v>
      </c>
      <c r="H1478">
        <v>0</v>
      </c>
      <c r="I1478">
        <v>2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 t="s">
        <v>31</v>
      </c>
      <c r="AA1478">
        <v>50</v>
      </c>
    </row>
    <row r="1479" spans="1:27" x14ac:dyDescent="0.2">
      <c r="A1479" t="s">
        <v>1449</v>
      </c>
      <c r="B1479">
        <v>2023</v>
      </c>
      <c r="C1479" t="s">
        <v>2084</v>
      </c>
      <c r="D1479" t="s">
        <v>2085</v>
      </c>
      <c r="E1479" t="s">
        <v>29</v>
      </c>
      <c r="F1479" t="s">
        <v>30</v>
      </c>
      <c r="G1479">
        <v>9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 t="s">
        <v>31</v>
      </c>
      <c r="AA1479">
        <v>20</v>
      </c>
    </row>
    <row r="1480" spans="1:27" x14ac:dyDescent="0.2">
      <c r="A1480" t="s">
        <v>1449</v>
      </c>
      <c r="B1480">
        <v>2023</v>
      </c>
      <c r="C1480" t="s">
        <v>2086</v>
      </c>
      <c r="D1480" t="s">
        <v>2087</v>
      </c>
      <c r="E1480" t="s">
        <v>29</v>
      </c>
      <c r="F1480" t="s">
        <v>30</v>
      </c>
      <c r="G1480">
        <v>3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3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 t="s">
        <v>31</v>
      </c>
      <c r="Z1480">
        <v>1000</v>
      </c>
      <c r="AA1480">
        <v>50</v>
      </c>
    </row>
    <row r="1481" spans="1:27" x14ac:dyDescent="0.2">
      <c r="A1481" t="s">
        <v>1449</v>
      </c>
      <c r="B1481">
        <v>2023</v>
      </c>
      <c r="C1481" t="s">
        <v>2088</v>
      </c>
      <c r="D1481" t="s">
        <v>2089</v>
      </c>
      <c r="E1481" t="s">
        <v>29</v>
      </c>
      <c r="F1481" t="s">
        <v>30</v>
      </c>
      <c r="G1481">
        <v>14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6</v>
      </c>
      <c r="T1481">
        <v>0</v>
      </c>
      <c r="U1481">
        <v>0</v>
      </c>
      <c r="V1481">
        <v>0</v>
      </c>
      <c r="W1481">
        <v>0</v>
      </c>
      <c r="X1481">
        <v>0</v>
      </c>
      <c r="Y1481" t="s">
        <v>31</v>
      </c>
      <c r="Z1481">
        <v>1000</v>
      </c>
      <c r="AA1481">
        <v>35</v>
      </c>
    </row>
    <row r="1482" spans="1:27" x14ac:dyDescent="0.2">
      <c r="A1482" t="s">
        <v>1449</v>
      </c>
      <c r="B1482">
        <v>2023</v>
      </c>
      <c r="C1482" t="s">
        <v>2090</v>
      </c>
      <c r="D1482" t="s">
        <v>2091</v>
      </c>
      <c r="E1482" t="s">
        <v>29</v>
      </c>
      <c r="F1482" t="s">
        <v>30</v>
      </c>
      <c r="G1482">
        <v>7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7</v>
      </c>
      <c r="T1482">
        <v>0</v>
      </c>
      <c r="U1482">
        <v>0</v>
      </c>
      <c r="V1482">
        <v>0</v>
      </c>
      <c r="W1482">
        <v>0</v>
      </c>
      <c r="X1482">
        <v>0</v>
      </c>
      <c r="Y1482" t="s">
        <v>31</v>
      </c>
      <c r="Z1482">
        <v>1000</v>
      </c>
      <c r="AA1482">
        <v>35</v>
      </c>
    </row>
    <row r="1483" spans="1:27" x14ac:dyDescent="0.2">
      <c r="A1483" t="s">
        <v>1449</v>
      </c>
      <c r="B1483">
        <v>2023</v>
      </c>
      <c r="C1483" t="s">
        <v>2092</v>
      </c>
      <c r="D1483" t="s">
        <v>2093</v>
      </c>
      <c r="E1483" t="s">
        <v>29</v>
      </c>
      <c r="F1483" t="s">
        <v>30</v>
      </c>
      <c r="G1483">
        <v>5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5</v>
      </c>
      <c r="T1483">
        <v>0</v>
      </c>
      <c r="U1483">
        <v>0</v>
      </c>
      <c r="V1483">
        <v>0</v>
      </c>
      <c r="W1483">
        <v>0</v>
      </c>
      <c r="X1483">
        <v>0</v>
      </c>
      <c r="Y1483" t="s">
        <v>31</v>
      </c>
      <c r="Z1483">
        <v>1000</v>
      </c>
      <c r="AA1483">
        <v>25</v>
      </c>
    </row>
    <row r="1484" spans="1:27" x14ac:dyDescent="0.2">
      <c r="A1484" t="s">
        <v>1231</v>
      </c>
      <c r="B1484">
        <v>2023</v>
      </c>
      <c r="C1484">
        <v>694310006</v>
      </c>
      <c r="D1484" t="s">
        <v>1232</v>
      </c>
      <c r="E1484" t="s">
        <v>29</v>
      </c>
      <c r="F1484" t="s">
        <v>30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21</v>
      </c>
      <c r="N1484">
        <v>0</v>
      </c>
      <c r="O1484">
        <v>2</v>
      </c>
      <c r="P1484">
        <v>0</v>
      </c>
      <c r="Q1484">
        <v>2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 t="s">
        <v>31</v>
      </c>
      <c r="Z1484">
        <v>55</v>
      </c>
      <c r="AA1484">
        <v>12.5</v>
      </c>
    </row>
    <row r="1485" spans="1:27" x14ac:dyDescent="0.2">
      <c r="A1485" t="s">
        <v>1231</v>
      </c>
      <c r="B1485">
        <v>2023</v>
      </c>
      <c r="C1485">
        <v>694310006</v>
      </c>
      <c r="D1485" t="s">
        <v>1232</v>
      </c>
      <c r="E1485" t="s">
        <v>29</v>
      </c>
      <c r="F1485" t="s">
        <v>30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21</v>
      </c>
      <c r="N1485">
        <v>0</v>
      </c>
      <c r="O1485">
        <v>2</v>
      </c>
      <c r="P1485">
        <v>0</v>
      </c>
      <c r="Q1485">
        <v>2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 t="s">
        <v>31</v>
      </c>
      <c r="Z1485">
        <v>55</v>
      </c>
      <c r="AA1485">
        <v>12.5</v>
      </c>
    </row>
    <row r="1486" spans="1:27" x14ac:dyDescent="0.2">
      <c r="A1486" t="s">
        <v>1231</v>
      </c>
      <c r="B1486">
        <v>2023</v>
      </c>
      <c r="C1486">
        <v>694190087</v>
      </c>
      <c r="D1486" t="s">
        <v>1831</v>
      </c>
      <c r="E1486" t="s">
        <v>29</v>
      </c>
      <c r="F1486" t="s">
        <v>30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2</v>
      </c>
      <c r="N1486">
        <v>0</v>
      </c>
      <c r="O1486">
        <v>2</v>
      </c>
      <c r="P1486">
        <v>0</v>
      </c>
      <c r="Q1486">
        <v>2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 t="s">
        <v>51</v>
      </c>
      <c r="Z1486">
        <v>55</v>
      </c>
      <c r="AA1486">
        <v>0</v>
      </c>
    </row>
    <row r="1487" spans="1:27" x14ac:dyDescent="0.2">
      <c r="A1487" t="s">
        <v>1231</v>
      </c>
      <c r="B1487">
        <v>2023</v>
      </c>
      <c r="C1487">
        <v>694190087</v>
      </c>
      <c r="D1487" t="s">
        <v>1831</v>
      </c>
      <c r="E1487" t="s">
        <v>29</v>
      </c>
      <c r="F1487" t="s">
        <v>30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1</v>
      </c>
      <c r="N1487">
        <v>0</v>
      </c>
      <c r="O1487">
        <v>1</v>
      </c>
      <c r="P1487">
        <v>0</v>
      </c>
      <c r="Q1487">
        <v>1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 t="s">
        <v>51</v>
      </c>
      <c r="Z1487">
        <v>55</v>
      </c>
      <c r="AA1487">
        <v>0</v>
      </c>
    </row>
    <row r="1488" spans="1:27" x14ac:dyDescent="0.2">
      <c r="A1488" t="s">
        <v>1231</v>
      </c>
      <c r="B1488">
        <v>2023</v>
      </c>
      <c r="C1488">
        <v>694520019</v>
      </c>
      <c r="D1488" t="s">
        <v>1832</v>
      </c>
      <c r="E1488" t="s">
        <v>29</v>
      </c>
      <c r="F1488" t="s">
        <v>30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2</v>
      </c>
      <c r="N1488">
        <v>0</v>
      </c>
      <c r="O1488">
        <v>10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 t="s">
        <v>51</v>
      </c>
      <c r="Z1488">
        <v>55</v>
      </c>
      <c r="AA1488">
        <v>0</v>
      </c>
    </row>
    <row r="1489" spans="1:27" x14ac:dyDescent="0.2">
      <c r="A1489" t="s">
        <v>1231</v>
      </c>
      <c r="B1489">
        <v>2023</v>
      </c>
      <c r="C1489">
        <v>694520019</v>
      </c>
      <c r="D1489" t="s">
        <v>1832</v>
      </c>
      <c r="E1489" t="s">
        <v>29</v>
      </c>
      <c r="F1489" t="s">
        <v>30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5</v>
      </c>
      <c r="N1489">
        <v>0</v>
      </c>
      <c r="O1489">
        <v>18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 t="s">
        <v>51</v>
      </c>
      <c r="Z1489">
        <v>55</v>
      </c>
      <c r="AA1489">
        <v>0</v>
      </c>
    </row>
    <row r="1490" spans="1:27" x14ac:dyDescent="0.2">
      <c r="A1490" t="s">
        <v>1231</v>
      </c>
      <c r="B1490">
        <v>2023</v>
      </c>
      <c r="C1490">
        <v>694130017</v>
      </c>
      <c r="D1490" t="s">
        <v>1433</v>
      </c>
      <c r="E1490" t="s">
        <v>29</v>
      </c>
      <c r="F1490" t="s">
        <v>30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13</v>
      </c>
      <c r="N1490">
        <v>0</v>
      </c>
      <c r="O1490">
        <v>3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 t="s">
        <v>51</v>
      </c>
      <c r="Z1490">
        <v>55</v>
      </c>
      <c r="AA1490">
        <v>0</v>
      </c>
    </row>
    <row r="1491" spans="1:27" x14ac:dyDescent="0.2">
      <c r="A1491" t="s">
        <v>1509</v>
      </c>
      <c r="B1491">
        <v>2022</v>
      </c>
      <c r="C1491">
        <v>1560180485</v>
      </c>
      <c r="D1491" t="s">
        <v>2094</v>
      </c>
      <c r="E1491" t="s">
        <v>29</v>
      </c>
      <c r="F1491" t="s">
        <v>30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12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 t="s">
        <v>31</v>
      </c>
      <c r="Z1491">
        <v>1000</v>
      </c>
      <c r="AA1491">
        <v>80</v>
      </c>
    </row>
    <row r="1492" spans="1:27" x14ac:dyDescent="0.2">
      <c r="A1492" t="s">
        <v>1509</v>
      </c>
      <c r="B1492">
        <v>2022</v>
      </c>
      <c r="C1492">
        <v>1560180485</v>
      </c>
      <c r="D1492" t="s">
        <v>2095</v>
      </c>
      <c r="E1492" t="s">
        <v>29</v>
      </c>
      <c r="F1492" t="s">
        <v>30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12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 t="s">
        <v>31</v>
      </c>
      <c r="Z1492">
        <v>1000</v>
      </c>
      <c r="AA1492">
        <v>80</v>
      </c>
    </row>
    <row r="1493" spans="1:27" x14ac:dyDescent="0.2">
      <c r="A1493" t="s">
        <v>1959</v>
      </c>
      <c r="B1493">
        <v>2023</v>
      </c>
      <c r="C1493" t="s">
        <v>2096</v>
      </c>
      <c r="D1493" t="s">
        <v>2097</v>
      </c>
      <c r="E1493" t="s">
        <v>29</v>
      </c>
      <c r="F1493" t="s">
        <v>30</v>
      </c>
      <c r="G1493">
        <v>100</v>
      </c>
      <c r="H1493">
        <v>0</v>
      </c>
      <c r="I1493">
        <v>50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 t="s">
        <v>51</v>
      </c>
      <c r="Z1493">
        <v>1000</v>
      </c>
      <c r="AA1493">
        <v>0</v>
      </c>
    </row>
    <row r="1494" spans="1:27" x14ac:dyDescent="0.2">
      <c r="A1494" t="s">
        <v>1449</v>
      </c>
      <c r="B1494">
        <v>2023</v>
      </c>
      <c r="C1494" t="s">
        <v>1850</v>
      </c>
      <c r="D1494" t="s">
        <v>2098</v>
      </c>
      <c r="E1494" t="s">
        <v>29</v>
      </c>
      <c r="F1494" t="s">
        <v>30</v>
      </c>
      <c r="G1494">
        <v>17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 t="s">
        <v>31</v>
      </c>
      <c r="AA1494">
        <v>50</v>
      </c>
    </row>
    <row r="1495" spans="1:27" x14ac:dyDescent="0.2">
      <c r="A1495" t="s">
        <v>1449</v>
      </c>
      <c r="B1495">
        <v>2023</v>
      </c>
      <c r="C1495" t="s">
        <v>2099</v>
      </c>
      <c r="D1495" t="s">
        <v>2100</v>
      </c>
      <c r="E1495" t="s">
        <v>29</v>
      </c>
      <c r="F1495" t="s">
        <v>30</v>
      </c>
      <c r="G1495">
        <v>79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 t="s">
        <v>31</v>
      </c>
      <c r="Z1495">
        <v>55</v>
      </c>
      <c r="AA1495">
        <v>110</v>
      </c>
    </row>
    <row r="1496" spans="1:27" x14ac:dyDescent="0.2">
      <c r="A1496" t="s">
        <v>2006</v>
      </c>
      <c r="B1496">
        <v>2023</v>
      </c>
      <c r="C1496">
        <v>6262212400</v>
      </c>
      <c r="D1496" t="s">
        <v>2101</v>
      </c>
      <c r="E1496" t="s">
        <v>29</v>
      </c>
      <c r="F1496" t="s">
        <v>30</v>
      </c>
      <c r="G1496">
        <v>2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 t="s">
        <v>31</v>
      </c>
      <c r="AA1496">
        <v>50</v>
      </c>
    </row>
    <row r="1497" spans="1:27" x14ac:dyDescent="0.2">
      <c r="A1497" t="s">
        <v>2102</v>
      </c>
      <c r="B1497">
        <v>2023</v>
      </c>
      <c r="C1497">
        <v>13519250</v>
      </c>
      <c r="D1497" t="s">
        <v>2103</v>
      </c>
      <c r="E1497" t="s">
        <v>29</v>
      </c>
      <c r="F1497" t="s">
        <v>30</v>
      </c>
      <c r="G1497">
        <v>0</v>
      </c>
      <c r="H1497">
        <v>0</v>
      </c>
      <c r="I1497">
        <v>55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 t="s">
        <v>31</v>
      </c>
      <c r="AA1497" s="2" t="s">
        <v>2104</v>
      </c>
    </row>
    <row r="1498" spans="1:27" x14ac:dyDescent="0.2">
      <c r="A1498" t="s">
        <v>353</v>
      </c>
      <c r="B1498">
        <v>2021</v>
      </c>
      <c r="C1498">
        <v>2121100100</v>
      </c>
      <c r="D1498" t="s">
        <v>2105</v>
      </c>
      <c r="E1498" t="s">
        <v>29</v>
      </c>
      <c r="F1498" t="s">
        <v>30</v>
      </c>
      <c r="G1498">
        <v>0</v>
      </c>
      <c r="H1498">
        <v>0</v>
      </c>
      <c r="I1498">
        <v>42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 t="s">
        <v>51</v>
      </c>
      <c r="AA1498">
        <v>0</v>
      </c>
    </row>
    <row r="1499" spans="1:27" x14ac:dyDescent="0.2">
      <c r="A1499" t="s">
        <v>1515</v>
      </c>
      <c r="B1499">
        <v>2021</v>
      </c>
      <c r="C1499" t="s">
        <v>2106</v>
      </c>
      <c r="D1499" t="s">
        <v>2107</v>
      </c>
      <c r="E1499" t="s">
        <v>29</v>
      </c>
      <c r="F1499" t="s">
        <v>30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2</v>
      </c>
      <c r="X1499">
        <v>0</v>
      </c>
      <c r="Y1499" t="s">
        <v>51</v>
      </c>
      <c r="Z1499">
        <v>55</v>
      </c>
      <c r="AA1499">
        <v>0</v>
      </c>
    </row>
    <row r="1500" spans="1:27" x14ac:dyDescent="0.2">
      <c r="A1500" t="s">
        <v>1316</v>
      </c>
      <c r="B1500">
        <v>2022</v>
      </c>
      <c r="C1500" t="s">
        <v>1322</v>
      </c>
      <c r="D1500" t="s">
        <v>2108</v>
      </c>
      <c r="E1500" t="s">
        <v>29</v>
      </c>
      <c r="F1500" t="s">
        <v>30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18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 t="s">
        <v>31</v>
      </c>
      <c r="Z1500">
        <v>1000</v>
      </c>
      <c r="AA1500">
        <v>35</v>
      </c>
    </row>
    <row r="1501" spans="1:27" x14ac:dyDescent="0.2">
      <c r="A1501" t="s">
        <v>1624</v>
      </c>
      <c r="B1501">
        <v>2023</v>
      </c>
      <c r="C1501" t="s">
        <v>2109</v>
      </c>
      <c r="D1501" t="s">
        <v>2110</v>
      </c>
      <c r="E1501" t="s">
        <v>29</v>
      </c>
      <c r="F1501" t="s">
        <v>30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20</v>
      </c>
      <c r="N1501">
        <v>0</v>
      </c>
      <c r="O1501">
        <v>79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 t="s">
        <v>31</v>
      </c>
      <c r="AA1501">
        <v>46</v>
      </c>
    </row>
    <row r="1502" spans="1:27" x14ac:dyDescent="0.2">
      <c r="A1502" t="s">
        <v>1624</v>
      </c>
      <c r="B1502">
        <v>2023</v>
      </c>
      <c r="C1502" t="s">
        <v>2111</v>
      </c>
      <c r="D1502" t="s">
        <v>2112</v>
      </c>
      <c r="E1502" t="s">
        <v>29</v>
      </c>
      <c r="F1502" t="s">
        <v>41</v>
      </c>
      <c r="G1502">
        <v>0</v>
      </c>
      <c r="H1502">
        <v>0</v>
      </c>
      <c r="I1502">
        <v>6</v>
      </c>
      <c r="J1502">
        <v>0</v>
      </c>
      <c r="K1502">
        <v>3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 t="s">
        <v>31</v>
      </c>
      <c r="AA1502">
        <v>0</v>
      </c>
    </row>
    <row r="1503" spans="1:27" x14ac:dyDescent="0.2">
      <c r="A1503" t="s">
        <v>2113</v>
      </c>
      <c r="B1503">
        <v>2023</v>
      </c>
      <c r="C1503" t="s">
        <v>2114</v>
      </c>
      <c r="D1503" t="s">
        <v>2115</v>
      </c>
      <c r="E1503" t="s">
        <v>29</v>
      </c>
      <c r="F1503" t="s">
        <v>30</v>
      </c>
      <c r="G1503">
        <v>2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2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 t="s">
        <v>31</v>
      </c>
      <c r="AA1503">
        <v>0</v>
      </c>
    </row>
    <row r="1504" spans="1:27" x14ac:dyDescent="0.2">
      <c r="A1504" t="s">
        <v>1311</v>
      </c>
      <c r="B1504">
        <v>2021</v>
      </c>
      <c r="C1504" t="s">
        <v>2116</v>
      </c>
      <c r="D1504" t="s">
        <v>1313</v>
      </c>
      <c r="E1504" t="s">
        <v>29</v>
      </c>
      <c r="F1504" t="s">
        <v>30</v>
      </c>
      <c r="G1504">
        <v>8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8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 t="s">
        <v>31</v>
      </c>
      <c r="Z1504">
        <v>55</v>
      </c>
      <c r="AA1504">
        <v>17</v>
      </c>
    </row>
    <row r="1505" spans="1:27" x14ac:dyDescent="0.2">
      <c r="A1505" t="s">
        <v>2117</v>
      </c>
      <c r="B1505">
        <v>2019</v>
      </c>
      <c r="C1505" t="s">
        <v>2118</v>
      </c>
      <c r="D1505" t="s">
        <v>2119</v>
      </c>
      <c r="E1505" t="s">
        <v>29</v>
      </c>
      <c r="F1505" t="s">
        <v>30</v>
      </c>
      <c r="G1505">
        <v>3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3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 t="s">
        <v>31</v>
      </c>
      <c r="Z1505">
        <v>55</v>
      </c>
      <c r="AA1505">
        <v>0</v>
      </c>
    </row>
    <row r="1506" spans="1:27" x14ac:dyDescent="0.2">
      <c r="A1506" t="s">
        <v>1197</v>
      </c>
      <c r="B1506">
        <v>2022</v>
      </c>
      <c r="C1506" t="s">
        <v>2120</v>
      </c>
      <c r="D1506" t="s">
        <v>2121</v>
      </c>
      <c r="E1506" t="s">
        <v>29</v>
      </c>
      <c r="F1506" t="s">
        <v>30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3</v>
      </c>
      <c r="V1506">
        <v>0</v>
      </c>
      <c r="W1506">
        <v>3</v>
      </c>
      <c r="X1506">
        <v>0</v>
      </c>
      <c r="Y1506" t="s">
        <v>51</v>
      </c>
      <c r="Z1506">
        <v>55</v>
      </c>
      <c r="AA1506">
        <v>0</v>
      </c>
    </row>
    <row r="1507" spans="1:27" x14ac:dyDescent="0.2">
      <c r="A1507" t="s">
        <v>547</v>
      </c>
      <c r="B1507">
        <v>2021</v>
      </c>
      <c r="C1507">
        <v>6074018025</v>
      </c>
      <c r="D1507" t="s">
        <v>2122</v>
      </c>
      <c r="E1507" t="s">
        <v>29</v>
      </c>
      <c r="F1507" t="s">
        <v>30</v>
      </c>
      <c r="G1507">
        <v>0</v>
      </c>
      <c r="H1507">
        <v>0</v>
      </c>
      <c r="I1507">
        <v>54</v>
      </c>
      <c r="J1507">
        <v>0</v>
      </c>
      <c r="K1507">
        <v>0</v>
      </c>
      <c r="L1507">
        <v>0</v>
      </c>
      <c r="M1507">
        <v>54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 t="s">
        <v>31</v>
      </c>
      <c r="Z1507">
        <v>55</v>
      </c>
      <c r="AA1507">
        <v>45</v>
      </c>
    </row>
    <row r="1508" spans="1:27" x14ac:dyDescent="0.2">
      <c r="A1508" t="s">
        <v>547</v>
      </c>
      <c r="B1508">
        <v>2021</v>
      </c>
      <c r="C1508">
        <v>2317013004</v>
      </c>
      <c r="D1508" t="s">
        <v>2123</v>
      </c>
      <c r="E1508" t="s">
        <v>29</v>
      </c>
      <c r="F1508" t="s">
        <v>30</v>
      </c>
      <c r="G1508">
        <v>3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 t="s">
        <v>31</v>
      </c>
      <c r="Z1508">
        <v>55</v>
      </c>
      <c r="AA1508">
        <v>0</v>
      </c>
    </row>
    <row r="1509" spans="1:27" x14ac:dyDescent="0.2">
      <c r="A1509" t="s">
        <v>547</v>
      </c>
      <c r="B1509">
        <v>2021</v>
      </c>
      <c r="C1509">
        <v>4103021029</v>
      </c>
      <c r="D1509" t="s">
        <v>2124</v>
      </c>
      <c r="E1509" t="s">
        <v>29</v>
      </c>
      <c r="F1509" t="s">
        <v>30</v>
      </c>
      <c r="G1509">
        <v>2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2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 t="s">
        <v>31</v>
      </c>
      <c r="Z1509">
        <v>55</v>
      </c>
      <c r="AA1509">
        <v>35</v>
      </c>
    </row>
    <row r="1510" spans="1:27" x14ac:dyDescent="0.2">
      <c r="A1510" t="s">
        <v>547</v>
      </c>
      <c r="B1510">
        <v>2021</v>
      </c>
      <c r="C1510">
        <v>2114004023</v>
      </c>
      <c r="D1510" t="s">
        <v>2125</v>
      </c>
      <c r="E1510" t="s">
        <v>29</v>
      </c>
      <c r="F1510" t="s">
        <v>30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4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 t="s">
        <v>31</v>
      </c>
      <c r="Z1510">
        <v>55</v>
      </c>
      <c r="AA1510" s="2" t="s">
        <v>2126</v>
      </c>
    </row>
    <row r="1511" spans="1:27" x14ac:dyDescent="0.2">
      <c r="A1511" t="s">
        <v>547</v>
      </c>
      <c r="B1511">
        <v>2021</v>
      </c>
      <c r="C1511">
        <v>2747011051</v>
      </c>
      <c r="D1511" t="s">
        <v>2127</v>
      </c>
      <c r="E1511" t="s">
        <v>29</v>
      </c>
      <c r="F1511" t="s">
        <v>30</v>
      </c>
      <c r="G1511">
        <v>0</v>
      </c>
      <c r="H1511">
        <v>0</v>
      </c>
      <c r="I1511">
        <v>99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 t="s">
        <v>31</v>
      </c>
      <c r="Z1511">
        <v>55</v>
      </c>
      <c r="AA1511">
        <v>0</v>
      </c>
    </row>
    <row r="1512" spans="1:27" x14ac:dyDescent="0.2">
      <c r="A1512" t="s">
        <v>547</v>
      </c>
      <c r="B1512">
        <v>2021</v>
      </c>
      <c r="C1512">
        <v>4257006033</v>
      </c>
      <c r="D1512" t="s">
        <v>2128</v>
      </c>
      <c r="E1512" t="s">
        <v>29</v>
      </c>
      <c r="F1512" t="s">
        <v>30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6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 t="s">
        <v>31</v>
      </c>
      <c r="Z1512">
        <v>55</v>
      </c>
      <c r="AA1512">
        <v>0</v>
      </c>
    </row>
    <row r="1513" spans="1:27" x14ac:dyDescent="0.2">
      <c r="A1513" t="s">
        <v>547</v>
      </c>
      <c r="B1513">
        <v>2021</v>
      </c>
      <c r="C1513">
        <v>4262009002</v>
      </c>
      <c r="D1513" t="s">
        <v>2129</v>
      </c>
      <c r="E1513" t="s">
        <v>29</v>
      </c>
      <c r="F1513" t="s">
        <v>30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9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 t="s">
        <v>31</v>
      </c>
      <c r="Z1513">
        <v>55</v>
      </c>
      <c r="AA1513">
        <v>35</v>
      </c>
    </row>
    <row r="1514" spans="1:27" x14ac:dyDescent="0.2">
      <c r="A1514" t="s">
        <v>547</v>
      </c>
      <c r="B1514">
        <v>2021</v>
      </c>
      <c r="C1514">
        <v>5154005007</v>
      </c>
      <c r="D1514" t="s">
        <v>2130</v>
      </c>
      <c r="E1514" t="s">
        <v>29</v>
      </c>
      <c r="F1514" t="s">
        <v>30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2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 t="s">
        <v>31</v>
      </c>
      <c r="Z1514">
        <v>55</v>
      </c>
      <c r="AA1514">
        <v>0</v>
      </c>
    </row>
    <row r="1515" spans="1:27" x14ac:dyDescent="0.2">
      <c r="A1515" t="s">
        <v>1449</v>
      </c>
      <c r="B1515">
        <v>2018</v>
      </c>
      <c r="C1515" t="s">
        <v>2131</v>
      </c>
      <c r="D1515" t="s">
        <v>2132</v>
      </c>
      <c r="E1515" t="s">
        <v>29</v>
      </c>
      <c r="F1515" t="s">
        <v>30</v>
      </c>
      <c r="G1515">
        <v>53</v>
      </c>
      <c r="H1515">
        <v>0</v>
      </c>
      <c r="I1515">
        <v>54</v>
      </c>
      <c r="J1515">
        <v>0</v>
      </c>
      <c r="K1515">
        <v>34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 t="s">
        <v>31</v>
      </c>
      <c r="Z1515">
        <v>55</v>
      </c>
      <c r="AA1515">
        <v>0</v>
      </c>
    </row>
    <row r="1516" spans="1:27" x14ac:dyDescent="0.2">
      <c r="A1516" t="s">
        <v>600</v>
      </c>
      <c r="B1516">
        <v>2023</v>
      </c>
      <c r="C1516">
        <v>3948002</v>
      </c>
      <c r="D1516" t="s">
        <v>2133</v>
      </c>
      <c r="E1516" t="s">
        <v>29</v>
      </c>
      <c r="F1516" t="s">
        <v>30</v>
      </c>
      <c r="G1516">
        <v>6</v>
      </c>
      <c r="H1516">
        <v>0</v>
      </c>
      <c r="I1516">
        <v>1</v>
      </c>
      <c r="J1516">
        <v>0</v>
      </c>
      <c r="K1516">
        <v>2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 t="s">
        <v>31</v>
      </c>
      <c r="Z1516">
        <v>99</v>
      </c>
      <c r="AA1516" s="2" t="s">
        <v>2134</v>
      </c>
    </row>
    <row r="1517" spans="1:27" x14ac:dyDescent="0.2">
      <c r="A1517" t="s">
        <v>600</v>
      </c>
      <c r="B1517">
        <v>2023</v>
      </c>
      <c r="C1517" s="2" t="s">
        <v>2135</v>
      </c>
      <c r="D1517" t="s">
        <v>2136</v>
      </c>
      <c r="E1517" t="s">
        <v>29</v>
      </c>
      <c r="F1517" t="s">
        <v>30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33</v>
      </c>
      <c r="P1517">
        <v>0</v>
      </c>
      <c r="Q1517">
        <v>17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 t="s">
        <v>51</v>
      </c>
      <c r="Z1517">
        <v>99</v>
      </c>
      <c r="AA1517">
        <v>0</v>
      </c>
    </row>
    <row r="1518" spans="1:27" x14ac:dyDescent="0.2">
      <c r="A1518" t="s">
        <v>1845</v>
      </c>
      <c r="B1518">
        <v>2022</v>
      </c>
      <c r="C1518" t="s">
        <v>2137</v>
      </c>
      <c r="D1518" t="s">
        <v>2138</v>
      </c>
      <c r="E1518" t="s">
        <v>29</v>
      </c>
      <c r="F1518" t="s">
        <v>30</v>
      </c>
      <c r="G1518">
        <v>0</v>
      </c>
      <c r="H1518">
        <v>0</v>
      </c>
      <c r="I1518">
        <v>0</v>
      </c>
      <c r="J1518">
        <v>0</v>
      </c>
      <c r="K1518">
        <v>10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10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 t="s">
        <v>51</v>
      </c>
      <c r="Z1518">
        <v>55</v>
      </c>
      <c r="AA1518">
        <v>0</v>
      </c>
    </row>
    <row r="1519" spans="1:27" x14ac:dyDescent="0.2">
      <c r="A1519" t="s">
        <v>1449</v>
      </c>
      <c r="B1519">
        <v>2023</v>
      </c>
      <c r="C1519" t="s">
        <v>2139</v>
      </c>
      <c r="D1519" t="s">
        <v>2140</v>
      </c>
      <c r="E1519" t="s">
        <v>29</v>
      </c>
      <c r="F1519" t="s">
        <v>30</v>
      </c>
      <c r="G1519">
        <v>12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 t="s">
        <v>31</v>
      </c>
      <c r="AA1519">
        <v>43</v>
      </c>
    </row>
    <row r="1520" spans="1:27" x14ac:dyDescent="0.2">
      <c r="A1520" t="s">
        <v>1449</v>
      </c>
      <c r="B1520">
        <v>2023</v>
      </c>
      <c r="C1520" t="s">
        <v>2141</v>
      </c>
      <c r="D1520" t="s">
        <v>2142</v>
      </c>
      <c r="E1520" t="s">
        <v>29</v>
      </c>
      <c r="F1520" t="s">
        <v>30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4</v>
      </c>
      <c r="T1520">
        <v>0</v>
      </c>
      <c r="U1520">
        <v>0</v>
      </c>
      <c r="V1520">
        <v>0</v>
      </c>
      <c r="W1520">
        <v>0</v>
      </c>
      <c r="X1520">
        <v>0</v>
      </c>
      <c r="Y1520" t="s">
        <v>31</v>
      </c>
      <c r="Z1520">
        <v>1000</v>
      </c>
      <c r="AA1520">
        <v>33</v>
      </c>
    </row>
    <row r="1521" spans="1:27" x14ac:dyDescent="0.2">
      <c r="A1521" t="s">
        <v>1449</v>
      </c>
      <c r="B1521">
        <v>2023</v>
      </c>
      <c r="C1521" t="s">
        <v>2143</v>
      </c>
      <c r="D1521" t="s">
        <v>2144</v>
      </c>
      <c r="E1521" t="s">
        <v>29</v>
      </c>
      <c r="F1521" t="s">
        <v>30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13</v>
      </c>
      <c r="N1521">
        <v>0</v>
      </c>
      <c r="O1521">
        <v>25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 t="s">
        <v>31</v>
      </c>
      <c r="Z1521">
        <v>55</v>
      </c>
      <c r="AA1521">
        <v>35</v>
      </c>
    </row>
    <row r="1522" spans="1:27" x14ac:dyDescent="0.2">
      <c r="A1522" t="s">
        <v>1367</v>
      </c>
      <c r="B1522">
        <v>2022</v>
      </c>
      <c r="C1522" t="s">
        <v>2145</v>
      </c>
      <c r="D1522" t="s">
        <v>2146</v>
      </c>
      <c r="E1522" t="s">
        <v>29</v>
      </c>
      <c r="F1522" t="s">
        <v>30</v>
      </c>
      <c r="G1522">
        <v>0</v>
      </c>
      <c r="H1522">
        <v>0</v>
      </c>
      <c r="I1522">
        <v>0</v>
      </c>
      <c r="J1522">
        <v>0</v>
      </c>
      <c r="K1522">
        <v>2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2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 t="s">
        <v>51</v>
      </c>
      <c r="AA1522">
        <v>0</v>
      </c>
    </row>
    <row r="1523" spans="1:27" x14ac:dyDescent="0.2">
      <c r="A1523" t="s">
        <v>600</v>
      </c>
      <c r="B1523">
        <v>2023</v>
      </c>
      <c r="C1523">
        <v>3777107</v>
      </c>
      <c r="D1523" t="s">
        <v>2147</v>
      </c>
      <c r="E1523" t="s">
        <v>29</v>
      </c>
      <c r="F1523" t="s">
        <v>30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 t="s">
        <v>51</v>
      </c>
      <c r="AA1523">
        <v>0</v>
      </c>
    </row>
    <row r="1524" spans="1:27" x14ac:dyDescent="0.2">
      <c r="A1524" t="s">
        <v>1449</v>
      </c>
      <c r="B1524">
        <v>2018</v>
      </c>
      <c r="C1524" t="s">
        <v>2148</v>
      </c>
      <c r="D1524" t="s">
        <v>2149</v>
      </c>
      <c r="E1524" t="s">
        <v>29</v>
      </c>
      <c r="F1524" t="s">
        <v>30</v>
      </c>
      <c r="G1524">
        <v>0</v>
      </c>
      <c r="H1524">
        <v>0</v>
      </c>
      <c r="I1524">
        <v>35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 t="s">
        <v>31</v>
      </c>
      <c r="Z1524">
        <v>55</v>
      </c>
      <c r="AA1524">
        <v>0</v>
      </c>
    </row>
    <row r="1525" spans="1:27" x14ac:dyDescent="0.2">
      <c r="A1525" t="s">
        <v>1449</v>
      </c>
      <c r="B1525">
        <v>2018</v>
      </c>
      <c r="C1525" t="s">
        <v>2150</v>
      </c>
      <c r="D1525" t="s">
        <v>2151</v>
      </c>
      <c r="E1525" t="s">
        <v>29</v>
      </c>
      <c r="F1525" t="s">
        <v>30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 t="s">
        <v>51</v>
      </c>
      <c r="AA1525">
        <v>0</v>
      </c>
    </row>
    <row r="1526" spans="1:27" x14ac:dyDescent="0.2">
      <c r="A1526" t="s">
        <v>2152</v>
      </c>
      <c r="B1526">
        <v>2022</v>
      </c>
      <c r="C1526">
        <v>178411017</v>
      </c>
      <c r="D1526" t="s">
        <v>2153</v>
      </c>
      <c r="E1526" t="s">
        <v>29</v>
      </c>
      <c r="F1526" t="s">
        <v>30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11</v>
      </c>
      <c r="T1526">
        <v>0</v>
      </c>
      <c r="U1526">
        <v>0</v>
      </c>
      <c r="V1526">
        <v>0</v>
      </c>
      <c r="W1526">
        <v>0</v>
      </c>
      <c r="X1526">
        <v>0</v>
      </c>
      <c r="Y1526" t="s">
        <v>31</v>
      </c>
      <c r="Z1526">
        <v>55</v>
      </c>
      <c r="AA1526">
        <v>35</v>
      </c>
    </row>
    <row r="1527" spans="1:27" x14ac:dyDescent="0.2">
      <c r="A1527" t="s">
        <v>600</v>
      </c>
      <c r="B1527">
        <v>2023</v>
      </c>
      <c r="C1527">
        <v>3148001</v>
      </c>
      <c r="D1527" t="s">
        <v>2154</v>
      </c>
      <c r="E1527" t="s">
        <v>29</v>
      </c>
      <c r="F1527" t="s">
        <v>30</v>
      </c>
      <c r="G1527">
        <v>0</v>
      </c>
      <c r="H1527">
        <v>0</v>
      </c>
      <c r="I1527">
        <v>12</v>
      </c>
      <c r="J1527">
        <v>0</v>
      </c>
      <c r="K1527">
        <v>5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 t="s">
        <v>51</v>
      </c>
      <c r="Z1527">
        <v>99</v>
      </c>
      <c r="AA1527">
        <v>0</v>
      </c>
    </row>
    <row r="1528" spans="1:27" x14ac:dyDescent="0.2">
      <c r="A1528" t="s">
        <v>1509</v>
      </c>
      <c r="B1528">
        <v>2022</v>
      </c>
      <c r="C1528">
        <v>1560180485</v>
      </c>
      <c r="D1528" t="s">
        <v>2155</v>
      </c>
      <c r="E1528" t="s">
        <v>29</v>
      </c>
      <c r="F1528" t="s">
        <v>30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12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 t="s">
        <v>31</v>
      </c>
      <c r="Z1528">
        <v>1000</v>
      </c>
      <c r="AA1528">
        <v>80</v>
      </c>
    </row>
    <row r="1529" spans="1:27" x14ac:dyDescent="0.2">
      <c r="A1529" t="s">
        <v>1509</v>
      </c>
      <c r="B1529">
        <v>2022</v>
      </c>
      <c r="C1529">
        <v>1560180485</v>
      </c>
      <c r="D1529" t="s">
        <v>2156</v>
      </c>
      <c r="E1529" t="s">
        <v>29</v>
      </c>
      <c r="F1529" t="s">
        <v>30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8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 t="s">
        <v>31</v>
      </c>
      <c r="Z1529">
        <v>1000</v>
      </c>
      <c r="AA1529">
        <v>80</v>
      </c>
    </row>
    <row r="1530" spans="1:27" x14ac:dyDescent="0.2">
      <c r="A1530" t="s">
        <v>600</v>
      </c>
      <c r="B1530">
        <v>2022</v>
      </c>
      <c r="C1530" s="2" t="s">
        <v>2157</v>
      </c>
      <c r="D1530" t="s">
        <v>2158</v>
      </c>
      <c r="E1530" t="s">
        <v>29</v>
      </c>
      <c r="F1530" t="s">
        <v>30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25</v>
      </c>
      <c r="V1530">
        <v>0</v>
      </c>
      <c r="W1530">
        <v>0</v>
      </c>
      <c r="X1530">
        <v>0</v>
      </c>
      <c r="Y1530" t="s">
        <v>51</v>
      </c>
      <c r="AA1530">
        <v>0</v>
      </c>
    </row>
    <row r="1531" spans="1:27" x14ac:dyDescent="0.2">
      <c r="A1531" t="s">
        <v>600</v>
      </c>
      <c r="B1531">
        <v>2022</v>
      </c>
      <c r="C1531">
        <v>3548033</v>
      </c>
      <c r="D1531" t="s">
        <v>2159</v>
      </c>
      <c r="E1531" t="s">
        <v>29</v>
      </c>
      <c r="F1531" t="s">
        <v>41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4</v>
      </c>
      <c r="X1531">
        <v>0</v>
      </c>
      <c r="Y1531" t="s">
        <v>51</v>
      </c>
      <c r="AA1531">
        <v>0</v>
      </c>
    </row>
    <row r="1532" spans="1:27" x14ac:dyDescent="0.2">
      <c r="A1532" t="s">
        <v>1449</v>
      </c>
      <c r="B1532">
        <v>2018</v>
      </c>
      <c r="C1532" t="s">
        <v>2160</v>
      </c>
      <c r="D1532" t="s">
        <v>2161</v>
      </c>
      <c r="E1532" t="s">
        <v>29</v>
      </c>
      <c r="F1532" t="s">
        <v>30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 t="s">
        <v>51</v>
      </c>
      <c r="AA1532">
        <v>0</v>
      </c>
    </row>
    <row r="1533" spans="1:27" x14ac:dyDescent="0.2">
      <c r="A1533" t="s">
        <v>1449</v>
      </c>
      <c r="B1533">
        <v>2018</v>
      </c>
      <c r="C1533" t="s">
        <v>2162</v>
      </c>
      <c r="D1533" t="s">
        <v>2163</v>
      </c>
      <c r="E1533" t="s">
        <v>29</v>
      </c>
      <c r="F1533" t="s">
        <v>30</v>
      </c>
      <c r="G1533">
        <v>45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 t="s">
        <v>51</v>
      </c>
      <c r="AA1533">
        <v>0</v>
      </c>
    </row>
    <row r="1534" spans="1:27" x14ac:dyDescent="0.2">
      <c r="A1534" t="s">
        <v>1449</v>
      </c>
      <c r="B1534">
        <v>2018</v>
      </c>
      <c r="C1534" t="s">
        <v>2164</v>
      </c>
      <c r="D1534" t="s">
        <v>2165</v>
      </c>
      <c r="E1534" t="s">
        <v>29</v>
      </c>
      <c r="F1534" t="s">
        <v>30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 t="s">
        <v>51</v>
      </c>
      <c r="AA1534">
        <v>0</v>
      </c>
    </row>
    <row r="1535" spans="1:27" x14ac:dyDescent="0.2">
      <c r="A1535" t="s">
        <v>1449</v>
      </c>
      <c r="B1535">
        <v>2018</v>
      </c>
      <c r="C1535" t="s">
        <v>2166</v>
      </c>
      <c r="D1535" t="s">
        <v>2167</v>
      </c>
      <c r="E1535" t="s">
        <v>29</v>
      </c>
      <c r="F1535" t="s">
        <v>30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1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 t="s">
        <v>31</v>
      </c>
      <c r="AA1535">
        <v>0</v>
      </c>
    </row>
    <row r="1536" spans="1:27" x14ac:dyDescent="0.2">
      <c r="A1536" t="s">
        <v>1449</v>
      </c>
      <c r="B1536">
        <v>2018</v>
      </c>
      <c r="C1536" t="s">
        <v>2168</v>
      </c>
      <c r="D1536" t="s">
        <v>2169</v>
      </c>
      <c r="E1536" t="s">
        <v>29</v>
      </c>
      <c r="F1536" t="s">
        <v>30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 t="s">
        <v>51</v>
      </c>
      <c r="AA1536">
        <v>0</v>
      </c>
    </row>
    <row r="1537" spans="1:27" x14ac:dyDescent="0.2">
      <c r="A1537" t="s">
        <v>600</v>
      </c>
      <c r="B1537">
        <v>2023</v>
      </c>
      <c r="C1537">
        <v>6954018</v>
      </c>
      <c r="D1537" t="s">
        <v>1293</v>
      </c>
      <c r="E1537" t="s">
        <v>29</v>
      </c>
      <c r="F1537" t="s">
        <v>30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34</v>
      </c>
      <c r="V1537">
        <v>0</v>
      </c>
      <c r="W1537">
        <v>14</v>
      </c>
      <c r="X1537">
        <v>0</v>
      </c>
      <c r="Y1537" t="s">
        <v>31</v>
      </c>
      <c r="Z1537">
        <v>99</v>
      </c>
      <c r="AA1537">
        <v>135</v>
      </c>
    </row>
    <row r="1538" spans="1:27" x14ac:dyDescent="0.2">
      <c r="A1538" t="s">
        <v>600</v>
      </c>
      <c r="B1538">
        <v>2023</v>
      </c>
      <c r="C1538" s="2" t="s">
        <v>2170</v>
      </c>
      <c r="D1538" t="s">
        <v>2171</v>
      </c>
      <c r="E1538" t="s">
        <v>29</v>
      </c>
      <c r="F1538" t="s">
        <v>30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121</v>
      </c>
      <c r="T1538">
        <v>0</v>
      </c>
      <c r="U1538">
        <v>0</v>
      </c>
      <c r="V1538">
        <v>0</v>
      </c>
      <c r="W1538">
        <v>0</v>
      </c>
      <c r="X1538">
        <v>0</v>
      </c>
      <c r="Y1538" t="s">
        <v>31</v>
      </c>
      <c r="Z1538">
        <v>99</v>
      </c>
      <c r="AA1538">
        <v>35</v>
      </c>
    </row>
    <row r="1539" spans="1:27" ht="255" x14ac:dyDescent="0.2">
      <c r="A1539" t="s">
        <v>260</v>
      </c>
      <c r="B1539">
        <v>2020</v>
      </c>
      <c r="C1539" t="s">
        <v>2172</v>
      </c>
      <c r="D1539" s="1" t="s">
        <v>2173</v>
      </c>
      <c r="E1539" t="s">
        <v>29</v>
      </c>
      <c r="F1539" t="s">
        <v>30</v>
      </c>
      <c r="G1539">
        <v>24</v>
      </c>
      <c r="H1539">
        <v>0</v>
      </c>
      <c r="I1539">
        <v>23</v>
      </c>
      <c r="J1539">
        <v>0</v>
      </c>
      <c r="K1539">
        <v>0</v>
      </c>
      <c r="L1539">
        <v>0</v>
      </c>
      <c r="M1539">
        <v>24</v>
      </c>
      <c r="N1539">
        <v>0</v>
      </c>
      <c r="O1539">
        <v>23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 t="s">
        <v>51</v>
      </c>
      <c r="Z1539">
        <v>1000</v>
      </c>
      <c r="AA1539">
        <v>0</v>
      </c>
    </row>
    <row r="1540" spans="1:27" x14ac:dyDescent="0.2">
      <c r="A1540" t="s">
        <v>547</v>
      </c>
      <c r="B1540">
        <v>2021</v>
      </c>
      <c r="C1540">
        <v>5147011024</v>
      </c>
      <c r="D1540" t="s">
        <v>796</v>
      </c>
      <c r="E1540" t="s">
        <v>29</v>
      </c>
      <c r="F1540" t="s">
        <v>30</v>
      </c>
      <c r="G1540">
        <v>94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 t="s">
        <v>31</v>
      </c>
      <c r="Z1540">
        <v>55</v>
      </c>
      <c r="AA1540">
        <v>0</v>
      </c>
    </row>
    <row r="1541" spans="1:27" x14ac:dyDescent="0.2">
      <c r="A1541" t="s">
        <v>547</v>
      </c>
      <c r="B1541">
        <v>2021</v>
      </c>
      <c r="C1541">
        <v>5024008025</v>
      </c>
      <c r="D1541" t="s">
        <v>2174</v>
      </c>
      <c r="E1541" t="s">
        <v>29</v>
      </c>
      <c r="F1541" t="s">
        <v>30</v>
      </c>
      <c r="G1541">
        <v>6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 t="s">
        <v>31</v>
      </c>
      <c r="Z1541">
        <v>55</v>
      </c>
      <c r="AA1541">
        <v>35</v>
      </c>
    </row>
    <row r="1542" spans="1:27" x14ac:dyDescent="0.2">
      <c r="A1542" t="s">
        <v>600</v>
      </c>
      <c r="B1542">
        <v>2023</v>
      </c>
      <c r="C1542" s="2" t="s">
        <v>2175</v>
      </c>
      <c r="D1542" t="s">
        <v>2176</v>
      </c>
      <c r="E1542" t="s">
        <v>29</v>
      </c>
      <c r="F1542" t="s">
        <v>30</v>
      </c>
      <c r="G1542">
        <v>7</v>
      </c>
      <c r="H1542">
        <v>0</v>
      </c>
      <c r="I1542">
        <v>9</v>
      </c>
      <c r="J1542">
        <v>0</v>
      </c>
      <c r="K1542">
        <v>8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 t="s">
        <v>31</v>
      </c>
      <c r="Z1542">
        <v>99</v>
      </c>
      <c r="AA1542" s="2" t="s">
        <v>2177</v>
      </c>
    </row>
    <row r="1543" spans="1:27" x14ac:dyDescent="0.2">
      <c r="A1543" t="s">
        <v>600</v>
      </c>
      <c r="B1543">
        <v>2023</v>
      </c>
      <c r="C1543">
        <v>3537074</v>
      </c>
      <c r="D1543" t="s">
        <v>2178</v>
      </c>
      <c r="E1543" t="s">
        <v>29</v>
      </c>
      <c r="F1543" t="s">
        <v>41</v>
      </c>
      <c r="G1543">
        <v>2</v>
      </c>
      <c r="H1543">
        <v>0</v>
      </c>
      <c r="I1543">
        <v>2</v>
      </c>
      <c r="J1543">
        <v>0</v>
      </c>
      <c r="K1543">
        <v>1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 t="s">
        <v>31</v>
      </c>
      <c r="Z1543">
        <v>99</v>
      </c>
      <c r="AA1543" s="2" t="s">
        <v>2179</v>
      </c>
    </row>
    <row r="1544" spans="1:27" x14ac:dyDescent="0.2">
      <c r="A1544" t="s">
        <v>600</v>
      </c>
      <c r="B1544">
        <v>2023</v>
      </c>
      <c r="C1544">
        <v>3726101</v>
      </c>
      <c r="D1544" t="s">
        <v>2180</v>
      </c>
      <c r="E1544" t="s">
        <v>29</v>
      </c>
      <c r="F1544" t="s">
        <v>30</v>
      </c>
      <c r="G1544">
        <v>0</v>
      </c>
      <c r="H1544">
        <v>0</v>
      </c>
      <c r="I1544">
        <v>2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 t="s">
        <v>31</v>
      </c>
      <c r="Z1544">
        <v>99</v>
      </c>
      <c r="AA1544">
        <v>37.5</v>
      </c>
    </row>
    <row r="1545" spans="1:27" x14ac:dyDescent="0.2">
      <c r="A1545" t="s">
        <v>75</v>
      </c>
      <c r="B1545">
        <v>2022</v>
      </c>
      <c r="C1545">
        <v>5303730100</v>
      </c>
      <c r="D1545" t="s">
        <v>2181</v>
      </c>
      <c r="E1545" t="s">
        <v>29</v>
      </c>
      <c r="F1545" t="s">
        <v>41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 t="s">
        <v>31</v>
      </c>
      <c r="Z1545">
        <v>55</v>
      </c>
      <c r="AA1545">
        <v>100</v>
      </c>
    </row>
    <row r="1546" spans="1:27" x14ac:dyDescent="0.2">
      <c r="A1546" t="s">
        <v>1418</v>
      </c>
      <c r="B1546">
        <v>2022</v>
      </c>
      <c r="C1546" t="s">
        <v>2182</v>
      </c>
      <c r="D1546" t="s">
        <v>2183</v>
      </c>
      <c r="E1546" t="s">
        <v>29</v>
      </c>
      <c r="F1546" t="s">
        <v>30</v>
      </c>
      <c r="G1546">
        <v>87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 t="s">
        <v>31</v>
      </c>
      <c r="Z1546">
        <v>55</v>
      </c>
      <c r="AA1546">
        <v>0</v>
      </c>
    </row>
    <row r="1547" spans="1:27" x14ac:dyDescent="0.2">
      <c r="A1547" t="s">
        <v>600</v>
      </c>
      <c r="B1547">
        <v>2023</v>
      </c>
      <c r="C1547" s="2" t="s">
        <v>1972</v>
      </c>
      <c r="D1547" t="s">
        <v>1973</v>
      </c>
      <c r="E1547" t="s">
        <v>29</v>
      </c>
      <c r="F1547" t="s">
        <v>41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7</v>
      </c>
      <c r="X1547">
        <v>0</v>
      </c>
      <c r="Y1547" t="s">
        <v>31</v>
      </c>
      <c r="Z1547">
        <v>99</v>
      </c>
      <c r="AA1547">
        <v>23</v>
      </c>
    </row>
    <row r="1548" spans="1:27" x14ac:dyDescent="0.2">
      <c r="A1548" t="s">
        <v>2184</v>
      </c>
      <c r="B1548">
        <v>2022</v>
      </c>
      <c r="C1548" t="s">
        <v>2185</v>
      </c>
      <c r="D1548" t="s">
        <v>2186</v>
      </c>
      <c r="E1548" t="s">
        <v>29</v>
      </c>
      <c r="F1548" t="s">
        <v>30</v>
      </c>
      <c r="G1548">
        <v>32</v>
      </c>
      <c r="H1548">
        <v>0</v>
      </c>
      <c r="I1548">
        <v>29</v>
      </c>
      <c r="J1548">
        <v>0</v>
      </c>
      <c r="K1548">
        <v>0</v>
      </c>
      <c r="L1548">
        <v>0</v>
      </c>
      <c r="M1548">
        <v>32</v>
      </c>
      <c r="N1548">
        <v>0</v>
      </c>
      <c r="O1548">
        <v>29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 t="s">
        <v>31</v>
      </c>
      <c r="Z1548">
        <v>1000</v>
      </c>
      <c r="AA1548">
        <v>27</v>
      </c>
    </row>
    <row r="1549" spans="1:27" x14ac:dyDescent="0.2">
      <c r="A1549" t="s">
        <v>876</v>
      </c>
      <c r="B1549">
        <v>2022</v>
      </c>
      <c r="C1549">
        <v>41208065</v>
      </c>
      <c r="D1549" t="s">
        <v>877</v>
      </c>
      <c r="E1549" t="s">
        <v>29</v>
      </c>
      <c r="F1549" t="s">
        <v>30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7</v>
      </c>
      <c r="T1549">
        <v>0</v>
      </c>
      <c r="U1549">
        <v>0</v>
      </c>
      <c r="V1549">
        <v>0</v>
      </c>
      <c r="W1549">
        <v>0</v>
      </c>
      <c r="X1549">
        <v>0</v>
      </c>
      <c r="Y1549" t="s">
        <v>31</v>
      </c>
      <c r="Z1549">
        <v>55</v>
      </c>
      <c r="AA1549">
        <v>25</v>
      </c>
    </row>
    <row r="1550" spans="1:27" x14ac:dyDescent="0.2">
      <c r="A1550" t="s">
        <v>876</v>
      </c>
      <c r="B1550">
        <v>2022</v>
      </c>
      <c r="C1550">
        <v>41230045</v>
      </c>
      <c r="D1550" t="s">
        <v>2187</v>
      </c>
      <c r="E1550" t="s">
        <v>29</v>
      </c>
      <c r="F1550" t="s">
        <v>41</v>
      </c>
      <c r="G1550">
        <v>0</v>
      </c>
      <c r="H1550">
        <v>0</v>
      </c>
      <c r="I1550">
        <v>0</v>
      </c>
      <c r="J1550">
        <v>0</v>
      </c>
      <c r="K1550">
        <v>1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 t="s">
        <v>31</v>
      </c>
      <c r="Z1550">
        <v>45</v>
      </c>
      <c r="AA1550">
        <v>0</v>
      </c>
    </row>
    <row r="1551" spans="1:27" x14ac:dyDescent="0.2">
      <c r="A1551" t="s">
        <v>1367</v>
      </c>
      <c r="B1551">
        <v>2023</v>
      </c>
      <c r="C1551" t="s">
        <v>2188</v>
      </c>
      <c r="D1551" t="s">
        <v>2189</v>
      </c>
      <c r="E1551" t="s">
        <v>29</v>
      </c>
      <c r="F1551" t="s">
        <v>30</v>
      </c>
      <c r="G1551">
        <v>1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 t="s">
        <v>31</v>
      </c>
      <c r="Z1551">
        <v>55</v>
      </c>
      <c r="AA1551">
        <v>20</v>
      </c>
    </row>
    <row r="1552" spans="1:27" x14ac:dyDescent="0.2">
      <c r="A1552" t="s">
        <v>533</v>
      </c>
      <c r="B1552">
        <v>2023</v>
      </c>
      <c r="C1552" t="s">
        <v>2190</v>
      </c>
      <c r="D1552" t="s">
        <v>2191</v>
      </c>
      <c r="E1552" t="s">
        <v>29</v>
      </c>
      <c r="F1552" t="s">
        <v>41</v>
      </c>
      <c r="G1552">
        <v>0</v>
      </c>
      <c r="H1552">
        <v>0</v>
      </c>
      <c r="I1552">
        <v>0</v>
      </c>
      <c r="J1552">
        <v>0</v>
      </c>
      <c r="K1552">
        <v>1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1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 t="s">
        <v>31</v>
      </c>
      <c r="AA1552">
        <v>20</v>
      </c>
    </row>
    <row r="1553" spans="1:27" x14ac:dyDescent="0.2">
      <c r="A1553" t="s">
        <v>533</v>
      </c>
      <c r="B1553">
        <v>2023</v>
      </c>
      <c r="C1553" t="s">
        <v>2192</v>
      </c>
      <c r="D1553" t="s">
        <v>2193</v>
      </c>
      <c r="E1553" t="s">
        <v>29</v>
      </c>
      <c r="F1553" t="s">
        <v>41</v>
      </c>
      <c r="G1553">
        <v>0</v>
      </c>
      <c r="H1553">
        <v>0</v>
      </c>
      <c r="I1553">
        <v>0</v>
      </c>
      <c r="J1553">
        <v>0</v>
      </c>
      <c r="K1553">
        <v>1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1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1</v>
      </c>
      <c r="X1553">
        <v>0</v>
      </c>
      <c r="Y1553" t="s">
        <v>31</v>
      </c>
      <c r="Z1553">
        <v>1000</v>
      </c>
      <c r="AA1553">
        <v>20</v>
      </c>
    </row>
    <row r="1554" spans="1:27" x14ac:dyDescent="0.2">
      <c r="A1554" t="s">
        <v>533</v>
      </c>
      <c r="B1554">
        <v>2023</v>
      </c>
      <c r="C1554" t="s">
        <v>2194</v>
      </c>
      <c r="D1554" t="s">
        <v>698</v>
      </c>
      <c r="E1554" t="s">
        <v>29</v>
      </c>
      <c r="F1554" t="s">
        <v>30</v>
      </c>
      <c r="G1554">
        <v>16</v>
      </c>
      <c r="H1554">
        <v>0</v>
      </c>
      <c r="I1554">
        <v>12</v>
      </c>
      <c r="J1554">
        <v>0</v>
      </c>
      <c r="K1554">
        <v>21</v>
      </c>
      <c r="L1554">
        <v>0</v>
      </c>
      <c r="M1554">
        <v>16</v>
      </c>
      <c r="N1554">
        <v>0</v>
      </c>
      <c r="O1554">
        <v>12</v>
      </c>
      <c r="P1554">
        <v>0</v>
      </c>
      <c r="Q1554">
        <v>21</v>
      </c>
      <c r="R1554">
        <v>0</v>
      </c>
      <c r="S1554">
        <v>16</v>
      </c>
      <c r="T1554">
        <v>0</v>
      </c>
      <c r="U1554">
        <v>12</v>
      </c>
      <c r="V1554">
        <v>0</v>
      </c>
      <c r="W1554">
        <v>21</v>
      </c>
      <c r="X1554">
        <v>0</v>
      </c>
      <c r="Y1554" t="s">
        <v>31</v>
      </c>
      <c r="Z1554">
        <v>59</v>
      </c>
      <c r="AA1554">
        <v>20</v>
      </c>
    </row>
    <row r="1555" spans="1:27" x14ac:dyDescent="0.2">
      <c r="A1555" t="s">
        <v>600</v>
      </c>
      <c r="B1555">
        <v>2023</v>
      </c>
      <c r="C1555" s="2" t="s">
        <v>1339</v>
      </c>
      <c r="D1555" t="s">
        <v>1340</v>
      </c>
      <c r="E1555" t="s">
        <v>29</v>
      </c>
      <c r="F1555" t="s">
        <v>30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 t="s">
        <v>51</v>
      </c>
      <c r="Z1555">
        <v>99</v>
      </c>
      <c r="AA1555">
        <v>0</v>
      </c>
    </row>
    <row r="1556" spans="1:27" x14ac:dyDescent="0.2">
      <c r="A1556" t="s">
        <v>1802</v>
      </c>
      <c r="B1556">
        <v>2023</v>
      </c>
      <c r="C1556" t="s">
        <v>2195</v>
      </c>
      <c r="D1556" t="s">
        <v>2196</v>
      </c>
      <c r="E1556" t="s">
        <v>29</v>
      </c>
      <c r="F1556" t="s">
        <v>30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10</v>
      </c>
      <c r="T1556">
        <v>0</v>
      </c>
      <c r="U1556">
        <v>0</v>
      </c>
      <c r="V1556">
        <v>0</v>
      </c>
      <c r="W1556">
        <v>0</v>
      </c>
      <c r="X1556">
        <v>0</v>
      </c>
      <c r="Y1556" t="s">
        <v>51</v>
      </c>
      <c r="Z1556">
        <v>1000</v>
      </c>
      <c r="AA1556">
        <v>0</v>
      </c>
    </row>
    <row r="1557" spans="1:27" x14ac:dyDescent="0.2">
      <c r="A1557" t="s">
        <v>2197</v>
      </c>
      <c r="B1557">
        <v>2022</v>
      </c>
      <c r="C1557">
        <v>4733048</v>
      </c>
      <c r="D1557" t="s">
        <v>2198</v>
      </c>
      <c r="E1557" t="s">
        <v>29</v>
      </c>
      <c r="F1557" t="s">
        <v>30</v>
      </c>
      <c r="G1557">
        <v>0</v>
      </c>
      <c r="H1557">
        <v>0</v>
      </c>
      <c r="I1557">
        <v>12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 t="s">
        <v>31</v>
      </c>
      <c r="AA1557">
        <v>0</v>
      </c>
    </row>
    <row r="1558" spans="1:27" x14ac:dyDescent="0.2">
      <c r="A1558" t="s">
        <v>2199</v>
      </c>
      <c r="B1558">
        <v>2022</v>
      </c>
      <c r="C1558" t="s">
        <v>2200</v>
      </c>
      <c r="D1558" t="s">
        <v>2201</v>
      </c>
      <c r="E1558" t="s">
        <v>29</v>
      </c>
      <c r="F1558" t="s">
        <v>30</v>
      </c>
      <c r="G1558">
        <v>0</v>
      </c>
      <c r="H1558">
        <v>0</v>
      </c>
      <c r="I1558">
        <v>4</v>
      </c>
      <c r="J1558">
        <v>0</v>
      </c>
      <c r="K1558">
        <v>0</v>
      </c>
      <c r="L1558">
        <v>11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 t="s">
        <v>31</v>
      </c>
      <c r="AA1558">
        <v>26</v>
      </c>
    </row>
    <row r="1559" spans="1:27" x14ac:dyDescent="0.2">
      <c r="A1559" t="s">
        <v>1367</v>
      </c>
      <c r="B1559">
        <v>2023</v>
      </c>
      <c r="C1559" t="s">
        <v>1476</v>
      </c>
      <c r="D1559" t="s">
        <v>1477</v>
      </c>
      <c r="E1559" t="s">
        <v>29</v>
      </c>
      <c r="F1559" t="s">
        <v>30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1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 t="s">
        <v>31</v>
      </c>
      <c r="Z1559">
        <v>55</v>
      </c>
      <c r="AA1559">
        <v>20</v>
      </c>
    </row>
    <row r="1560" spans="1:27" x14ac:dyDescent="0.2">
      <c r="A1560" t="s">
        <v>928</v>
      </c>
      <c r="B1560">
        <v>2019</v>
      </c>
      <c r="C1560" t="s">
        <v>1597</v>
      </c>
      <c r="D1560" t="s">
        <v>1598</v>
      </c>
      <c r="E1560" t="s">
        <v>29</v>
      </c>
      <c r="F1560" t="s">
        <v>41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1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 t="s">
        <v>51</v>
      </c>
      <c r="Z1560">
        <v>50</v>
      </c>
      <c r="AA1560">
        <v>0</v>
      </c>
    </row>
    <row r="1561" spans="1:27" x14ac:dyDescent="0.2">
      <c r="A1561" t="s">
        <v>928</v>
      </c>
      <c r="B1561">
        <v>2019</v>
      </c>
      <c r="C1561" t="s">
        <v>2202</v>
      </c>
      <c r="D1561" t="s">
        <v>1300</v>
      </c>
      <c r="E1561" t="s">
        <v>29</v>
      </c>
      <c r="F1561" t="s">
        <v>41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1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 t="s">
        <v>51</v>
      </c>
      <c r="Z1561">
        <v>50</v>
      </c>
      <c r="AA1561">
        <v>0</v>
      </c>
    </row>
    <row r="1562" spans="1:27" x14ac:dyDescent="0.2">
      <c r="A1562" t="s">
        <v>928</v>
      </c>
      <c r="B1562">
        <v>2019</v>
      </c>
      <c r="C1562">
        <v>222270047</v>
      </c>
      <c r="D1562" t="s">
        <v>2203</v>
      </c>
      <c r="E1562" t="s">
        <v>29</v>
      </c>
      <c r="F1562" t="s">
        <v>30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11</v>
      </c>
      <c r="T1562">
        <v>0</v>
      </c>
      <c r="U1562">
        <v>46</v>
      </c>
      <c r="V1562">
        <v>0</v>
      </c>
      <c r="W1562">
        <v>90</v>
      </c>
      <c r="X1562">
        <v>0</v>
      </c>
      <c r="Y1562" t="s">
        <v>51</v>
      </c>
      <c r="Z1562">
        <v>20</v>
      </c>
      <c r="AA1562">
        <v>0</v>
      </c>
    </row>
    <row r="1563" spans="1:27" x14ac:dyDescent="0.2">
      <c r="A1563" t="s">
        <v>1576</v>
      </c>
      <c r="B1563">
        <v>2023</v>
      </c>
      <c r="C1563">
        <v>1471950300</v>
      </c>
      <c r="D1563" t="s">
        <v>2204</v>
      </c>
      <c r="E1563" t="s">
        <v>29</v>
      </c>
      <c r="F1563" t="s">
        <v>30</v>
      </c>
      <c r="G1563">
        <v>0</v>
      </c>
      <c r="H1563">
        <v>0</v>
      </c>
      <c r="I1563">
        <v>7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 t="s">
        <v>31</v>
      </c>
      <c r="Z1563">
        <v>55</v>
      </c>
      <c r="AA1563">
        <v>10</v>
      </c>
    </row>
    <row r="1564" spans="1:27" x14ac:dyDescent="0.2">
      <c r="A1564" t="s">
        <v>1576</v>
      </c>
      <c r="B1564">
        <v>2023</v>
      </c>
      <c r="C1564">
        <v>1510104400</v>
      </c>
      <c r="D1564" t="s">
        <v>2205</v>
      </c>
      <c r="E1564" t="s">
        <v>29</v>
      </c>
      <c r="F1564" t="s">
        <v>30</v>
      </c>
      <c r="G1564">
        <v>60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60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 t="s">
        <v>31</v>
      </c>
      <c r="Z1564">
        <v>55</v>
      </c>
      <c r="AA1564">
        <v>286</v>
      </c>
    </row>
    <row r="1565" spans="1:27" x14ac:dyDescent="0.2">
      <c r="A1565" t="s">
        <v>1500</v>
      </c>
      <c r="B1565">
        <v>2020</v>
      </c>
      <c r="C1565">
        <v>5755030035</v>
      </c>
      <c r="D1565" t="s">
        <v>2206</v>
      </c>
      <c r="E1565" t="s">
        <v>29</v>
      </c>
      <c r="F1565" t="s">
        <v>30</v>
      </c>
      <c r="G1565">
        <v>5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 t="s">
        <v>31</v>
      </c>
      <c r="Z1565">
        <v>55</v>
      </c>
      <c r="AA1565">
        <v>0</v>
      </c>
    </row>
    <row r="1566" spans="1:27" x14ac:dyDescent="0.2">
      <c r="A1566" t="s">
        <v>1429</v>
      </c>
      <c r="B1566">
        <v>2023</v>
      </c>
      <c r="C1566" t="s">
        <v>2207</v>
      </c>
      <c r="D1566" t="s">
        <v>2208</v>
      </c>
      <c r="E1566" t="s">
        <v>29</v>
      </c>
      <c r="F1566" t="s">
        <v>30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36</v>
      </c>
      <c r="N1566">
        <v>0</v>
      </c>
      <c r="O1566">
        <v>43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 t="s">
        <v>31</v>
      </c>
      <c r="Z1566">
        <v>55</v>
      </c>
      <c r="AA1566">
        <v>35</v>
      </c>
    </row>
    <row r="1567" spans="1:27" x14ac:dyDescent="0.2">
      <c r="A1567" t="s">
        <v>1231</v>
      </c>
      <c r="B1567">
        <v>2023</v>
      </c>
      <c r="C1567">
        <v>694310006</v>
      </c>
      <c r="D1567" t="s">
        <v>1232</v>
      </c>
      <c r="E1567" t="s">
        <v>29</v>
      </c>
      <c r="F1567" t="s">
        <v>30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13</v>
      </c>
      <c r="N1567">
        <v>0</v>
      </c>
      <c r="O1567">
        <v>1</v>
      </c>
      <c r="P1567">
        <v>0</v>
      </c>
      <c r="Q1567">
        <v>1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 t="s">
        <v>31</v>
      </c>
      <c r="Z1567">
        <v>55</v>
      </c>
      <c r="AA1567">
        <v>12.5</v>
      </c>
    </row>
    <row r="1568" spans="1:27" x14ac:dyDescent="0.2">
      <c r="A1568" t="s">
        <v>1231</v>
      </c>
      <c r="B1568">
        <v>2023</v>
      </c>
      <c r="C1568">
        <v>694190087</v>
      </c>
      <c r="D1568" t="s">
        <v>1831</v>
      </c>
      <c r="E1568" t="s">
        <v>29</v>
      </c>
      <c r="F1568" t="s">
        <v>30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2</v>
      </c>
      <c r="N1568">
        <v>0</v>
      </c>
      <c r="O1568">
        <v>2</v>
      </c>
      <c r="P1568">
        <v>0</v>
      </c>
      <c r="Q1568">
        <v>2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 t="s">
        <v>51</v>
      </c>
      <c r="Z1568">
        <v>55</v>
      </c>
      <c r="AA1568">
        <v>0</v>
      </c>
    </row>
    <row r="1569" spans="1:27" x14ac:dyDescent="0.2">
      <c r="A1569" t="s">
        <v>1500</v>
      </c>
      <c r="B1569">
        <v>2023</v>
      </c>
      <c r="C1569">
        <v>6086020063</v>
      </c>
      <c r="D1569" t="s">
        <v>2209</v>
      </c>
      <c r="E1569" t="s">
        <v>29</v>
      </c>
      <c r="F1569" t="s">
        <v>30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66</v>
      </c>
      <c r="V1569">
        <v>0</v>
      </c>
      <c r="W1569">
        <v>0</v>
      </c>
      <c r="X1569">
        <v>0</v>
      </c>
      <c r="Y1569" t="s">
        <v>31</v>
      </c>
      <c r="Z1569">
        <v>55</v>
      </c>
      <c r="AA1569">
        <v>126</v>
      </c>
    </row>
    <row r="1570" spans="1:27" x14ac:dyDescent="0.2">
      <c r="A1570" t="s">
        <v>1231</v>
      </c>
      <c r="B1570">
        <v>2023</v>
      </c>
      <c r="C1570">
        <v>694190087</v>
      </c>
      <c r="D1570" t="s">
        <v>1831</v>
      </c>
      <c r="E1570" t="s">
        <v>29</v>
      </c>
      <c r="F1570" t="s">
        <v>30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1</v>
      </c>
      <c r="N1570">
        <v>0</v>
      </c>
      <c r="O1570">
        <v>1</v>
      </c>
      <c r="P1570">
        <v>0</v>
      </c>
      <c r="Q1570">
        <v>1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 t="s">
        <v>51</v>
      </c>
      <c r="Z1570">
        <v>55</v>
      </c>
      <c r="AA1570">
        <v>0</v>
      </c>
    </row>
    <row r="1571" spans="1:27" x14ac:dyDescent="0.2">
      <c r="A1571" t="s">
        <v>1231</v>
      </c>
      <c r="B1571">
        <v>2023</v>
      </c>
      <c r="C1571">
        <v>694190087</v>
      </c>
      <c r="D1571" t="s">
        <v>1831</v>
      </c>
      <c r="E1571" t="s">
        <v>29</v>
      </c>
      <c r="F1571" t="s">
        <v>30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1</v>
      </c>
      <c r="N1571">
        <v>0</v>
      </c>
      <c r="O1571">
        <v>1</v>
      </c>
      <c r="P1571">
        <v>0</v>
      </c>
      <c r="Q1571">
        <v>1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 t="s">
        <v>51</v>
      </c>
      <c r="Z1571">
        <v>55</v>
      </c>
      <c r="AA1571">
        <v>0</v>
      </c>
    </row>
    <row r="1572" spans="1:27" x14ac:dyDescent="0.2">
      <c r="A1572" t="s">
        <v>1231</v>
      </c>
      <c r="B1572">
        <v>2023</v>
      </c>
      <c r="C1572">
        <v>694130017</v>
      </c>
      <c r="D1572" t="s">
        <v>1433</v>
      </c>
      <c r="E1572" t="s">
        <v>29</v>
      </c>
      <c r="F1572" t="s">
        <v>30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19</v>
      </c>
      <c r="N1572">
        <v>0</v>
      </c>
      <c r="O1572">
        <v>5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 t="s">
        <v>51</v>
      </c>
      <c r="Z1572">
        <v>55</v>
      </c>
      <c r="AA1572">
        <v>0</v>
      </c>
    </row>
    <row r="1573" spans="1:27" x14ac:dyDescent="0.2">
      <c r="A1573" t="s">
        <v>533</v>
      </c>
      <c r="B1573">
        <v>2023</v>
      </c>
      <c r="C1573" t="s">
        <v>2062</v>
      </c>
      <c r="D1573" t="s">
        <v>2210</v>
      </c>
      <c r="E1573" t="s">
        <v>29</v>
      </c>
      <c r="F1573" t="s">
        <v>41</v>
      </c>
      <c r="G1573">
        <v>0</v>
      </c>
      <c r="H1573">
        <v>0</v>
      </c>
      <c r="I1573">
        <v>1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1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 t="s">
        <v>31</v>
      </c>
      <c r="AA1573">
        <v>20</v>
      </c>
    </row>
    <row r="1574" spans="1:27" x14ac:dyDescent="0.2">
      <c r="A1574" t="s">
        <v>533</v>
      </c>
      <c r="B1574">
        <v>2023</v>
      </c>
      <c r="C1574" t="s">
        <v>2211</v>
      </c>
      <c r="D1574" t="s">
        <v>2212</v>
      </c>
      <c r="E1574" t="s">
        <v>29</v>
      </c>
      <c r="F1574" t="s">
        <v>41</v>
      </c>
      <c r="G1574">
        <v>0</v>
      </c>
      <c r="H1574">
        <v>0</v>
      </c>
      <c r="I1574">
        <v>0</v>
      </c>
      <c r="J1574">
        <v>0</v>
      </c>
      <c r="K1574">
        <v>1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1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 t="s">
        <v>31</v>
      </c>
      <c r="AA1574">
        <v>20</v>
      </c>
    </row>
    <row r="1575" spans="1:27" x14ac:dyDescent="0.2">
      <c r="A1575" t="s">
        <v>533</v>
      </c>
      <c r="B1575">
        <v>2023</v>
      </c>
      <c r="C1575" t="s">
        <v>538</v>
      </c>
      <c r="D1575" t="s">
        <v>539</v>
      </c>
      <c r="E1575" t="s">
        <v>29</v>
      </c>
      <c r="F1575" t="s">
        <v>41</v>
      </c>
      <c r="G1575">
        <v>1</v>
      </c>
      <c r="H1575">
        <v>0</v>
      </c>
      <c r="I1575">
        <v>0</v>
      </c>
      <c r="J1575">
        <v>0</v>
      </c>
      <c r="K1575">
        <v>1</v>
      </c>
      <c r="L1575">
        <v>0</v>
      </c>
      <c r="M1575">
        <v>1</v>
      </c>
      <c r="N1575">
        <v>0</v>
      </c>
      <c r="O1575">
        <v>0</v>
      </c>
      <c r="P1575">
        <v>0</v>
      </c>
      <c r="Q1575">
        <v>1</v>
      </c>
      <c r="R1575">
        <v>0</v>
      </c>
      <c r="S1575">
        <v>1</v>
      </c>
      <c r="T1575">
        <v>0</v>
      </c>
      <c r="U1575">
        <v>0</v>
      </c>
      <c r="V1575">
        <v>0</v>
      </c>
      <c r="W1575">
        <v>1</v>
      </c>
      <c r="X1575">
        <v>0</v>
      </c>
      <c r="Y1575" t="s">
        <v>31</v>
      </c>
      <c r="Z1575">
        <v>1000</v>
      </c>
      <c r="AA1575">
        <v>20</v>
      </c>
    </row>
    <row r="1576" spans="1:27" x14ac:dyDescent="0.2">
      <c r="A1576" t="s">
        <v>1500</v>
      </c>
      <c r="B1576">
        <v>2023</v>
      </c>
      <c r="C1576">
        <v>4038022017</v>
      </c>
      <c r="D1576" t="s">
        <v>2213</v>
      </c>
      <c r="E1576" t="s">
        <v>29</v>
      </c>
      <c r="F1576" t="s">
        <v>30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2</v>
      </c>
      <c r="V1576">
        <v>0</v>
      </c>
      <c r="W1576">
        <v>0</v>
      </c>
      <c r="X1576">
        <v>0</v>
      </c>
      <c r="Y1576" t="s">
        <v>31</v>
      </c>
      <c r="Z1576">
        <v>55</v>
      </c>
      <c r="AA1576">
        <v>20</v>
      </c>
    </row>
    <row r="1577" spans="1:27" x14ac:dyDescent="0.2">
      <c r="A1577" t="s">
        <v>1500</v>
      </c>
      <c r="B1577">
        <v>2023</v>
      </c>
      <c r="C1577">
        <v>6181023035</v>
      </c>
      <c r="D1577" t="s">
        <v>2214</v>
      </c>
      <c r="E1577" t="s">
        <v>29</v>
      </c>
      <c r="F1577" t="s">
        <v>30</v>
      </c>
      <c r="G1577">
        <v>10</v>
      </c>
      <c r="H1577">
        <v>0</v>
      </c>
      <c r="I1577">
        <v>9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 t="s">
        <v>31</v>
      </c>
      <c r="Z1577">
        <v>55</v>
      </c>
      <c r="AA1577">
        <v>260</v>
      </c>
    </row>
    <row r="1578" spans="1:27" x14ac:dyDescent="0.2">
      <c r="A1578" t="s">
        <v>1449</v>
      </c>
      <c r="B1578">
        <v>2023</v>
      </c>
      <c r="C1578" t="s">
        <v>2160</v>
      </c>
      <c r="D1578" t="s">
        <v>2215</v>
      </c>
      <c r="E1578" t="s">
        <v>29</v>
      </c>
      <c r="F1578" t="s">
        <v>30</v>
      </c>
      <c r="G1578">
        <v>6</v>
      </c>
      <c r="H1578">
        <v>0</v>
      </c>
      <c r="I1578">
        <v>37</v>
      </c>
      <c r="J1578">
        <v>0</v>
      </c>
      <c r="K1578">
        <v>10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 t="s">
        <v>31</v>
      </c>
      <c r="Z1578">
        <v>55</v>
      </c>
      <c r="AA1578">
        <v>80</v>
      </c>
    </row>
    <row r="1579" spans="1:27" x14ac:dyDescent="0.2">
      <c r="A1579" t="s">
        <v>1449</v>
      </c>
      <c r="B1579">
        <v>2023</v>
      </c>
      <c r="C1579" t="s">
        <v>2216</v>
      </c>
      <c r="D1579" t="s">
        <v>2217</v>
      </c>
      <c r="E1579" t="s">
        <v>29</v>
      </c>
      <c r="F1579" t="s">
        <v>30</v>
      </c>
      <c r="G1579">
        <v>21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 t="s">
        <v>31</v>
      </c>
      <c r="AA1579">
        <v>50</v>
      </c>
    </row>
    <row r="1580" spans="1:27" x14ac:dyDescent="0.2">
      <c r="A1580" t="s">
        <v>2218</v>
      </c>
      <c r="B1580">
        <v>2021</v>
      </c>
      <c r="C1580" t="s">
        <v>2219</v>
      </c>
      <c r="D1580" t="s">
        <v>2220</v>
      </c>
      <c r="E1580" t="s">
        <v>29</v>
      </c>
      <c r="F1580" t="s">
        <v>30</v>
      </c>
      <c r="G1580">
        <v>0</v>
      </c>
      <c r="H1580">
        <v>0</v>
      </c>
      <c r="I1580">
        <v>11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 t="s">
        <v>31</v>
      </c>
      <c r="AA1580">
        <v>80</v>
      </c>
    </row>
    <row r="1581" spans="1:27" x14ac:dyDescent="0.2">
      <c r="A1581" t="s">
        <v>1367</v>
      </c>
      <c r="B1581">
        <v>2022</v>
      </c>
      <c r="C1581" t="s">
        <v>2221</v>
      </c>
      <c r="D1581" t="s">
        <v>2222</v>
      </c>
      <c r="E1581" t="s">
        <v>29</v>
      </c>
      <c r="F1581" t="s">
        <v>30</v>
      </c>
      <c r="G1581">
        <v>0</v>
      </c>
      <c r="H1581">
        <v>0</v>
      </c>
      <c r="I1581">
        <v>0</v>
      </c>
      <c r="J1581">
        <v>0</v>
      </c>
      <c r="K1581">
        <v>8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8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 t="s">
        <v>51</v>
      </c>
      <c r="AA1581">
        <v>0</v>
      </c>
    </row>
    <row r="1582" spans="1:27" x14ac:dyDescent="0.2">
      <c r="A1582" t="s">
        <v>1367</v>
      </c>
      <c r="B1582">
        <v>2022</v>
      </c>
      <c r="C1582" t="s">
        <v>2223</v>
      </c>
      <c r="D1582" t="s">
        <v>2224</v>
      </c>
      <c r="E1582" t="s">
        <v>29</v>
      </c>
      <c r="F1582" t="s">
        <v>30</v>
      </c>
      <c r="G1582">
        <v>24</v>
      </c>
      <c r="H1582">
        <v>0</v>
      </c>
      <c r="I1582">
        <v>24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 t="s">
        <v>31</v>
      </c>
      <c r="Z1582">
        <v>1000</v>
      </c>
      <c r="AA1582">
        <v>100</v>
      </c>
    </row>
    <row r="1583" spans="1:27" x14ac:dyDescent="0.2">
      <c r="A1583" t="s">
        <v>1500</v>
      </c>
      <c r="B1583">
        <v>2023</v>
      </c>
      <c r="C1583" t="s">
        <v>2225</v>
      </c>
      <c r="D1583" t="s">
        <v>2226</v>
      </c>
      <c r="E1583" t="s">
        <v>29</v>
      </c>
      <c r="F1583" t="s">
        <v>30</v>
      </c>
      <c r="G1583">
        <v>0</v>
      </c>
      <c r="H1583">
        <v>0</v>
      </c>
      <c r="I1583">
        <v>50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 t="s">
        <v>31</v>
      </c>
      <c r="Z1583">
        <v>55</v>
      </c>
      <c r="AA1583">
        <v>37</v>
      </c>
    </row>
    <row r="1584" spans="1:27" x14ac:dyDescent="0.2">
      <c r="A1584" t="s">
        <v>1449</v>
      </c>
      <c r="B1584">
        <v>2018</v>
      </c>
      <c r="C1584" t="s">
        <v>2227</v>
      </c>
      <c r="D1584" t="s">
        <v>2228</v>
      </c>
      <c r="E1584" t="s">
        <v>29</v>
      </c>
      <c r="F1584" t="s">
        <v>30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 t="s">
        <v>51</v>
      </c>
      <c r="AA1584">
        <v>0</v>
      </c>
    </row>
    <row r="1585" spans="1:27" x14ac:dyDescent="0.2">
      <c r="A1585" t="s">
        <v>1449</v>
      </c>
      <c r="B1585">
        <v>2018</v>
      </c>
      <c r="C1585" t="s">
        <v>2229</v>
      </c>
      <c r="D1585" t="s">
        <v>2230</v>
      </c>
      <c r="E1585" t="s">
        <v>29</v>
      </c>
      <c r="F1585" t="s">
        <v>30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 t="s">
        <v>51</v>
      </c>
      <c r="AA1585">
        <v>0</v>
      </c>
    </row>
    <row r="1586" spans="1:27" x14ac:dyDescent="0.2">
      <c r="A1586" t="s">
        <v>1449</v>
      </c>
      <c r="B1586">
        <v>2018</v>
      </c>
      <c r="C1586" t="s">
        <v>2231</v>
      </c>
      <c r="D1586" t="s">
        <v>2232</v>
      </c>
      <c r="E1586" t="s">
        <v>29</v>
      </c>
      <c r="F1586" t="s">
        <v>30</v>
      </c>
      <c r="G1586">
        <v>11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 t="s">
        <v>31</v>
      </c>
      <c r="AA1586">
        <v>0</v>
      </c>
    </row>
    <row r="1587" spans="1:27" x14ac:dyDescent="0.2">
      <c r="A1587" t="s">
        <v>600</v>
      </c>
      <c r="B1587">
        <v>2023</v>
      </c>
      <c r="C1587">
        <v>6526012</v>
      </c>
      <c r="D1587" t="s">
        <v>2233</v>
      </c>
      <c r="E1587" t="s">
        <v>29</v>
      </c>
      <c r="F1587" t="s">
        <v>30</v>
      </c>
      <c r="G1587">
        <v>2</v>
      </c>
      <c r="H1587">
        <v>0</v>
      </c>
      <c r="I1587">
        <v>2</v>
      </c>
      <c r="J1587">
        <v>0</v>
      </c>
      <c r="K1587">
        <v>2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 t="s">
        <v>31</v>
      </c>
      <c r="Z1587">
        <v>99</v>
      </c>
      <c r="AA1587" s="2" t="s">
        <v>2234</v>
      </c>
    </row>
    <row r="1588" spans="1:27" x14ac:dyDescent="0.2">
      <c r="A1588" t="s">
        <v>600</v>
      </c>
      <c r="B1588">
        <v>2023</v>
      </c>
      <c r="C1588">
        <v>5869014</v>
      </c>
      <c r="D1588" t="s">
        <v>2235</v>
      </c>
      <c r="E1588" t="s">
        <v>29</v>
      </c>
      <c r="F1588" t="s">
        <v>30</v>
      </c>
      <c r="G1588">
        <v>0</v>
      </c>
      <c r="H1588">
        <v>0</v>
      </c>
      <c r="I1588">
        <v>4</v>
      </c>
      <c r="J1588">
        <v>0</v>
      </c>
      <c r="K1588">
        <v>4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 t="s">
        <v>51</v>
      </c>
      <c r="Z1588">
        <v>99</v>
      </c>
      <c r="AA1588">
        <v>0</v>
      </c>
    </row>
    <row r="1589" spans="1:27" x14ac:dyDescent="0.2">
      <c r="A1589" t="s">
        <v>600</v>
      </c>
      <c r="B1589">
        <v>2023</v>
      </c>
      <c r="C1589" t="s">
        <v>988</v>
      </c>
      <c r="D1589" t="s">
        <v>989</v>
      </c>
      <c r="E1589" t="s">
        <v>29</v>
      </c>
      <c r="F1589" t="s">
        <v>30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11</v>
      </c>
      <c r="V1589">
        <v>0</v>
      </c>
      <c r="W1589">
        <v>0</v>
      </c>
      <c r="X1589">
        <v>0</v>
      </c>
      <c r="Y1589" t="s">
        <v>51</v>
      </c>
      <c r="Z1589">
        <v>99</v>
      </c>
      <c r="AA1589">
        <v>0</v>
      </c>
    </row>
    <row r="1590" spans="1:27" x14ac:dyDescent="0.2">
      <c r="A1590" t="s">
        <v>600</v>
      </c>
      <c r="B1590">
        <v>2023</v>
      </c>
      <c r="C1590" s="2" t="s">
        <v>966</v>
      </c>
      <c r="D1590" t="s">
        <v>2236</v>
      </c>
      <c r="E1590" t="s">
        <v>29</v>
      </c>
      <c r="F1590" t="s">
        <v>41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 t="s">
        <v>51</v>
      </c>
      <c r="Z1590">
        <v>99</v>
      </c>
      <c r="AA1590">
        <v>0</v>
      </c>
    </row>
    <row r="1591" spans="1:27" x14ac:dyDescent="0.2">
      <c r="A1591" t="s">
        <v>600</v>
      </c>
      <c r="B1591">
        <v>2023</v>
      </c>
      <c r="C1591" s="2" t="s">
        <v>1695</v>
      </c>
      <c r="D1591" t="s">
        <v>1696</v>
      </c>
      <c r="E1591" t="s">
        <v>29</v>
      </c>
      <c r="F1591" t="s">
        <v>30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 t="s">
        <v>51</v>
      </c>
      <c r="Z1591">
        <v>99</v>
      </c>
      <c r="AA1591">
        <v>0</v>
      </c>
    </row>
    <row r="1592" spans="1:27" x14ac:dyDescent="0.2">
      <c r="A1592" t="s">
        <v>1188</v>
      </c>
      <c r="B1592">
        <v>2021</v>
      </c>
      <c r="C1592" t="s">
        <v>1370</v>
      </c>
      <c r="D1592" t="s">
        <v>1371</v>
      </c>
      <c r="E1592" t="s">
        <v>29</v>
      </c>
      <c r="F1592" t="s">
        <v>30</v>
      </c>
      <c r="G1592">
        <v>20</v>
      </c>
      <c r="H1592">
        <v>0</v>
      </c>
      <c r="I1592">
        <v>79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 t="s">
        <v>31</v>
      </c>
      <c r="Z1592">
        <v>55</v>
      </c>
      <c r="AA1592">
        <v>100</v>
      </c>
    </row>
    <row r="1593" spans="1:27" x14ac:dyDescent="0.2">
      <c r="A1593" t="s">
        <v>1188</v>
      </c>
      <c r="B1593">
        <v>2021</v>
      </c>
      <c r="C1593" t="s">
        <v>1189</v>
      </c>
      <c r="D1593" t="s">
        <v>1190</v>
      </c>
      <c r="E1593" t="s">
        <v>29</v>
      </c>
      <c r="F1593" t="s">
        <v>30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36</v>
      </c>
      <c r="N1593">
        <v>0</v>
      </c>
      <c r="O1593">
        <v>83</v>
      </c>
      <c r="P1593">
        <v>0</v>
      </c>
      <c r="Q1593">
        <v>0</v>
      </c>
      <c r="R1593">
        <v>1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 t="s">
        <v>31</v>
      </c>
      <c r="Z1593">
        <v>55</v>
      </c>
      <c r="AA1593">
        <v>100</v>
      </c>
    </row>
    <row r="1594" spans="1:27" x14ac:dyDescent="0.2">
      <c r="A1594" t="s">
        <v>457</v>
      </c>
      <c r="B1594">
        <v>2023</v>
      </c>
      <c r="C1594" t="s">
        <v>2237</v>
      </c>
      <c r="D1594" t="s">
        <v>2238</v>
      </c>
      <c r="E1594" t="s">
        <v>29</v>
      </c>
      <c r="F1594" t="s">
        <v>30</v>
      </c>
      <c r="G1594">
        <v>0</v>
      </c>
      <c r="H1594">
        <v>0</v>
      </c>
      <c r="I1594">
        <v>3</v>
      </c>
      <c r="J1594">
        <v>0</v>
      </c>
      <c r="K1594">
        <v>0</v>
      </c>
      <c r="L1594">
        <v>13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 t="s">
        <v>31</v>
      </c>
      <c r="Z1594">
        <v>55</v>
      </c>
      <c r="AA1594">
        <v>32</v>
      </c>
    </row>
    <row r="1595" spans="1:27" x14ac:dyDescent="0.2">
      <c r="A1595" t="s">
        <v>1500</v>
      </c>
      <c r="B1595">
        <v>2023</v>
      </c>
      <c r="C1595">
        <v>4147009021</v>
      </c>
      <c r="D1595" t="s">
        <v>2239</v>
      </c>
      <c r="E1595" t="s">
        <v>29</v>
      </c>
      <c r="F1595" t="s">
        <v>30</v>
      </c>
      <c r="G1595">
        <v>10</v>
      </c>
      <c r="H1595">
        <v>0</v>
      </c>
      <c r="I1595">
        <v>6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 t="s">
        <v>31</v>
      </c>
      <c r="Z1595">
        <v>55</v>
      </c>
      <c r="AA1595">
        <v>88.5</v>
      </c>
    </row>
    <row r="1596" spans="1:27" x14ac:dyDescent="0.2">
      <c r="A1596" t="s">
        <v>2184</v>
      </c>
      <c r="B1596">
        <v>2022</v>
      </c>
      <c r="C1596" t="s">
        <v>2240</v>
      </c>
      <c r="D1596" t="s">
        <v>2241</v>
      </c>
      <c r="E1596" t="s">
        <v>29</v>
      </c>
      <c r="F1596" t="s">
        <v>30</v>
      </c>
      <c r="G1596">
        <v>0</v>
      </c>
      <c r="H1596">
        <v>0</v>
      </c>
      <c r="I1596">
        <v>2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 t="s">
        <v>31</v>
      </c>
      <c r="Z1596">
        <v>1000</v>
      </c>
      <c r="AA1596">
        <v>50</v>
      </c>
    </row>
    <row r="1597" spans="1:27" x14ac:dyDescent="0.2">
      <c r="A1597" t="s">
        <v>1367</v>
      </c>
      <c r="B1597">
        <v>2023</v>
      </c>
      <c r="C1597" t="s">
        <v>2242</v>
      </c>
      <c r="D1597" t="s">
        <v>2243</v>
      </c>
      <c r="E1597" t="s">
        <v>29</v>
      </c>
      <c r="F1597" t="s">
        <v>30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34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 t="s">
        <v>31</v>
      </c>
      <c r="Z1597">
        <v>55</v>
      </c>
      <c r="AA1597">
        <v>50</v>
      </c>
    </row>
    <row r="1598" spans="1:27" x14ac:dyDescent="0.2">
      <c r="A1598" t="s">
        <v>1367</v>
      </c>
      <c r="B1598">
        <v>2023</v>
      </c>
      <c r="C1598" t="s">
        <v>2244</v>
      </c>
      <c r="D1598" t="s">
        <v>2245</v>
      </c>
      <c r="E1598" t="s">
        <v>29</v>
      </c>
      <c r="F1598" t="s">
        <v>30</v>
      </c>
      <c r="G1598">
        <v>2</v>
      </c>
      <c r="H1598">
        <v>0</v>
      </c>
      <c r="I1598">
        <v>0</v>
      </c>
      <c r="J1598">
        <v>0</v>
      </c>
      <c r="K1598">
        <v>1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 t="s">
        <v>31</v>
      </c>
      <c r="Z1598">
        <v>55</v>
      </c>
      <c r="AA1598">
        <v>20</v>
      </c>
    </row>
    <row r="1599" spans="1:27" x14ac:dyDescent="0.2">
      <c r="A1599" t="s">
        <v>533</v>
      </c>
      <c r="B1599">
        <v>2023</v>
      </c>
      <c r="C1599" t="s">
        <v>2062</v>
      </c>
      <c r="D1599" t="s">
        <v>2246</v>
      </c>
      <c r="E1599" t="s">
        <v>29</v>
      </c>
      <c r="F1599" t="s">
        <v>41</v>
      </c>
      <c r="G1599">
        <v>0</v>
      </c>
      <c r="H1599">
        <v>0</v>
      </c>
      <c r="I1599">
        <v>0</v>
      </c>
      <c r="J1599">
        <v>0</v>
      </c>
      <c r="K1599">
        <v>1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1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 t="s">
        <v>31</v>
      </c>
      <c r="AA1599">
        <v>20</v>
      </c>
    </row>
    <row r="1600" spans="1:27" x14ac:dyDescent="0.2">
      <c r="A1600" t="s">
        <v>533</v>
      </c>
      <c r="B1600">
        <v>2023</v>
      </c>
      <c r="C1600" t="s">
        <v>2211</v>
      </c>
      <c r="D1600" t="s">
        <v>2247</v>
      </c>
      <c r="E1600" t="s">
        <v>29</v>
      </c>
      <c r="F1600" t="s">
        <v>41</v>
      </c>
      <c r="G1600">
        <v>0</v>
      </c>
      <c r="H1600">
        <v>0</v>
      </c>
      <c r="I1600">
        <v>0</v>
      </c>
      <c r="J1600">
        <v>0</v>
      </c>
      <c r="K1600">
        <v>1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1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 t="s">
        <v>31</v>
      </c>
      <c r="AA1600">
        <v>20</v>
      </c>
    </row>
    <row r="1601" spans="1:27" x14ac:dyDescent="0.2">
      <c r="A1601" t="s">
        <v>1500</v>
      </c>
      <c r="B1601">
        <v>2023</v>
      </c>
      <c r="C1601">
        <v>4071019035</v>
      </c>
      <c r="D1601" t="s">
        <v>2248</v>
      </c>
      <c r="E1601" t="s">
        <v>29</v>
      </c>
      <c r="F1601" t="s">
        <v>30</v>
      </c>
      <c r="G1601">
        <v>0</v>
      </c>
      <c r="H1601">
        <v>0</v>
      </c>
      <c r="I1601">
        <v>31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 t="s">
        <v>31</v>
      </c>
      <c r="Z1601">
        <v>55</v>
      </c>
      <c r="AA1601" s="2" t="s">
        <v>2249</v>
      </c>
    </row>
    <row r="1602" spans="1:27" x14ac:dyDescent="0.2">
      <c r="A1602" t="s">
        <v>1500</v>
      </c>
      <c r="B1602">
        <v>2023</v>
      </c>
      <c r="C1602">
        <v>6338014024</v>
      </c>
      <c r="D1602" t="s">
        <v>2250</v>
      </c>
      <c r="E1602" t="s">
        <v>29</v>
      </c>
      <c r="F1602" t="s">
        <v>30</v>
      </c>
      <c r="G1602">
        <v>0</v>
      </c>
      <c r="H1602">
        <v>0</v>
      </c>
      <c r="I1602">
        <v>11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 t="s">
        <v>31</v>
      </c>
      <c r="Z1602">
        <v>55</v>
      </c>
      <c r="AA1602" s="2" t="s">
        <v>2251</v>
      </c>
    </row>
    <row r="1603" spans="1:27" x14ac:dyDescent="0.2">
      <c r="A1603" t="s">
        <v>1500</v>
      </c>
      <c r="B1603">
        <v>2023</v>
      </c>
      <c r="C1603">
        <v>6077011036</v>
      </c>
      <c r="D1603" t="s">
        <v>2252</v>
      </c>
      <c r="E1603" t="s">
        <v>29</v>
      </c>
      <c r="F1603" t="s">
        <v>30</v>
      </c>
      <c r="G1603">
        <v>6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 t="s">
        <v>31</v>
      </c>
      <c r="Z1603">
        <v>55</v>
      </c>
      <c r="AA1603" s="2" t="s">
        <v>2253</v>
      </c>
    </row>
    <row r="1604" spans="1:27" x14ac:dyDescent="0.2">
      <c r="A1604" t="s">
        <v>1500</v>
      </c>
      <c r="B1604">
        <v>2023</v>
      </c>
      <c r="C1604">
        <v>8571010042</v>
      </c>
      <c r="D1604" t="s">
        <v>2254</v>
      </c>
      <c r="E1604" t="s">
        <v>29</v>
      </c>
      <c r="F1604" t="s">
        <v>30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8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 t="s">
        <v>31</v>
      </c>
      <c r="Z1604">
        <v>55</v>
      </c>
      <c r="AA1604">
        <v>40.5</v>
      </c>
    </row>
    <row r="1605" spans="1:27" x14ac:dyDescent="0.2">
      <c r="A1605" t="s">
        <v>1500</v>
      </c>
      <c r="B1605">
        <v>2023</v>
      </c>
      <c r="C1605">
        <v>3103010047</v>
      </c>
      <c r="D1605" t="s">
        <v>2255</v>
      </c>
      <c r="E1605" t="s">
        <v>29</v>
      </c>
      <c r="F1605" t="s">
        <v>30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35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 t="s">
        <v>31</v>
      </c>
      <c r="Z1605">
        <v>55</v>
      </c>
      <c r="AA1605">
        <v>89</v>
      </c>
    </row>
    <row r="1606" spans="1:27" x14ac:dyDescent="0.2">
      <c r="A1606" t="s">
        <v>376</v>
      </c>
      <c r="B1606">
        <v>2022</v>
      </c>
      <c r="C1606" t="s">
        <v>2256</v>
      </c>
      <c r="D1606" t="s">
        <v>2257</v>
      </c>
      <c r="E1606" t="s">
        <v>29</v>
      </c>
      <c r="F1606" t="s">
        <v>41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 t="s">
        <v>31</v>
      </c>
      <c r="AA1606">
        <v>0</v>
      </c>
    </row>
    <row r="1607" spans="1:27" x14ac:dyDescent="0.2">
      <c r="A1607" t="s">
        <v>376</v>
      </c>
      <c r="B1607">
        <v>2022</v>
      </c>
      <c r="C1607" t="s">
        <v>2256</v>
      </c>
      <c r="D1607" t="s">
        <v>2257</v>
      </c>
      <c r="E1607" t="s">
        <v>29</v>
      </c>
      <c r="F1607" t="s">
        <v>30</v>
      </c>
      <c r="G1607">
        <v>47</v>
      </c>
      <c r="H1607">
        <v>0</v>
      </c>
      <c r="I1607">
        <v>23</v>
      </c>
      <c r="J1607">
        <v>0</v>
      </c>
      <c r="K1607">
        <v>20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 t="s">
        <v>31</v>
      </c>
      <c r="AA1607">
        <v>0</v>
      </c>
    </row>
    <row r="1608" spans="1:27" x14ac:dyDescent="0.2">
      <c r="A1608" t="s">
        <v>649</v>
      </c>
      <c r="B1608">
        <v>2020</v>
      </c>
      <c r="C1608" t="s">
        <v>650</v>
      </c>
      <c r="D1608" t="s">
        <v>2258</v>
      </c>
      <c r="E1608" t="s">
        <v>29</v>
      </c>
      <c r="F1608" t="s">
        <v>30</v>
      </c>
      <c r="G1608">
        <v>0</v>
      </c>
      <c r="H1608">
        <v>0</v>
      </c>
      <c r="I1608">
        <v>27</v>
      </c>
      <c r="J1608">
        <v>237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 t="s">
        <v>31</v>
      </c>
      <c r="Z1608">
        <v>55</v>
      </c>
      <c r="AA1608">
        <v>0</v>
      </c>
    </row>
    <row r="1609" spans="1:27" x14ac:dyDescent="0.2">
      <c r="A1609" t="s">
        <v>1500</v>
      </c>
      <c r="B1609">
        <v>2023</v>
      </c>
      <c r="C1609">
        <v>6148006020</v>
      </c>
      <c r="E1609" t="s">
        <v>29</v>
      </c>
      <c r="F1609" t="s">
        <v>30</v>
      </c>
      <c r="G1609">
        <v>5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 t="s">
        <v>31</v>
      </c>
      <c r="Z1609">
        <v>55</v>
      </c>
      <c r="AA1609">
        <v>60.5</v>
      </c>
    </row>
    <row r="1610" spans="1:27" x14ac:dyDescent="0.2">
      <c r="A1610" t="s">
        <v>1500</v>
      </c>
      <c r="B1610">
        <v>2023</v>
      </c>
      <c r="C1610">
        <v>6021019013</v>
      </c>
      <c r="D1610" t="s">
        <v>2259</v>
      </c>
      <c r="E1610" t="s">
        <v>29</v>
      </c>
      <c r="F1610" t="s">
        <v>30</v>
      </c>
      <c r="G1610">
        <v>23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 t="s">
        <v>31</v>
      </c>
      <c r="Z1610">
        <v>55</v>
      </c>
      <c r="AA1610">
        <v>38</v>
      </c>
    </row>
    <row r="1611" spans="1:27" x14ac:dyDescent="0.2">
      <c r="A1611" t="s">
        <v>1500</v>
      </c>
      <c r="B1611">
        <v>2023</v>
      </c>
      <c r="C1611">
        <v>6086020063</v>
      </c>
      <c r="D1611" t="s">
        <v>2209</v>
      </c>
      <c r="E1611" t="s">
        <v>29</v>
      </c>
      <c r="F1611" t="s">
        <v>30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21</v>
      </c>
      <c r="V1611">
        <v>0</v>
      </c>
      <c r="W1611">
        <v>0</v>
      </c>
      <c r="X1611">
        <v>0</v>
      </c>
      <c r="Y1611" t="s">
        <v>31</v>
      </c>
      <c r="Z1611">
        <v>55</v>
      </c>
      <c r="AA1611">
        <v>126</v>
      </c>
    </row>
    <row r="1612" spans="1:27" x14ac:dyDescent="0.2">
      <c r="A1612" t="s">
        <v>1959</v>
      </c>
      <c r="B1612">
        <v>2023</v>
      </c>
      <c r="C1612" t="s">
        <v>2260</v>
      </c>
      <c r="D1612" t="s">
        <v>2261</v>
      </c>
      <c r="E1612" t="s">
        <v>29</v>
      </c>
      <c r="F1612" t="s">
        <v>30</v>
      </c>
      <c r="G1612">
        <v>19</v>
      </c>
      <c r="H1612">
        <v>0</v>
      </c>
      <c r="I1612">
        <v>19</v>
      </c>
      <c r="J1612">
        <v>0</v>
      </c>
      <c r="K1612">
        <v>0</v>
      </c>
      <c r="L1612">
        <v>0</v>
      </c>
      <c r="M1612">
        <v>19</v>
      </c>
      <c r="N1612">
        <v>0</v>
      </c>
      <c r="O1612">
        <v>19</v>
      </c>
      <c r="P1612">
        <v>0</v>
      </c>
      <c r="Q1612">
        <v>0</v>
      </c>
      <c r="R1612">
        <v>0</v>
      </c>
      <c r="S1612">
        <v>19</v>
      </c>
      <c r="T1612">
        <v>0</v>
      </c>
      <c r="U1612">
        <v>19</v>
      </c>
      <c r="V1612">
        <v>0</v>
      </c>
      <c r="W1612">
        <v>0</v>
      </c>
      <c r="X1612">
        <v>0</v>
      </c>
      <c r="Y1612" t="s">
        <v>51</v>
      </c>
      <c r="Z1612">
        <v>1000</v>
      </c>
      <c r="AA1612">
        <v>0</v>
      </c>
    </row>
    <row r="1613" spans="1:27" x14ac:dyDescent="0.2">
      <c r="A1613" t="s">
        <v>1959</v>
      </c>
      <c r="B1613">
        <v>2023</v>
      </c>
      <c r="C1613" t="s">
        <v>2262</v>
      </c>
      <c r="D1613" t="s">
        <v>2263</v>
      </c>
      <c r="E1613" t="s">
        <v>29</v>
      </c>
      <c r="F1613" t="s">
        <v>30</v>
      </c>
      <c r="G1613">
        <v>10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10</v>
      </c>
      <c r="N1613">
        <v>0</v>
      </c>
      <c r="O1613">
        <v>0</v>
      </c>
      <c r="P1613">
        <v>0</v>
      </c>
      <c r="Q1613">
        <v>0</v>
      </c>
      <c r="R1613">
        <v>190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 t="s">
        <v>51</v>
      </c>
      <c r="AA1613">
        <v>0</v>
      </c>
    </row>
    <row r="1614" spans="1:27" x14ac:dyDescent="0.2">
      <c r="A1614" t="s">
        <v>1500</v>
      </c>
      <c r="B1614">
        <v>2023</v>
      </c>
      <c r="C1614">
        <v>5828026005</v>
      </c>
      <c r="D1614" t="s">
        <v>2264</v>
      </c>
      <c r="E1614" t="s">
        <v>29</v>
      </c>
      <c r="F1614" t="s">
        <v>30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66</v>
      </c>
      <c r="N1614">
        <v>0</v>
      </c>
      <c r="O1614">
        <v>4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 t="s">
        <v>31</v>
      </c>
      <c r="Z1614">
        <v>55</v>
      </c>
      <c r="AA1614">
        <v>233</v>
      </c>
    </row>
    <row r="1615" spans="1:27" x14ac:dyDescent="0.2">
      <c r="A1615" t="s">
        <v>1500</v>
      </c>
      <c r="B1615">
        <v>2023</v>
      </c>
      <c r="C1615" t="s">
        <v>2265</v>
      </c>
      <c r="D1615" t="s">
        <v>2266</v>
      </c>
      <c r="E1615" t="s">
        <v>29</v>
      </c>
      <c r="F1615" t="s">
        <v>30</v>
      </c>
      <c r="G1615">
        <v>2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 t="s">
        <v>31</v>
      </c>
      <c r="Z1615">
        <v>55</v>
      </c>
      <c r="AA1615">
        <v>55</v>
      </c>
    </row>
    <row r="1616" spans="1:27" x14ac:dyDescent="0.2">
      <c r="A1616" t="s">
        <v>886</v>
      </c>
      <c r="B1616">
        <v>2022</v>
      </c>
      <c r="C1616" t="s">
        <v>2267</v>
      </c>
      <c r="D1616" t="s">
        <v>888</v>
      </c>
      <c r="E1616" t="s">
        <v>29</v>
      </c>
      <c r="F1616" t="s">
        <v>30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7</v>
      </c>
      <c r="N1616">
        <v>0</v>
      </c>
      <c r="O1616">
        <v>135</v>
      </c>
      <c r="P1616">
        <v>0</v>
      </c>
      <c r="Q1616">
        <v>37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 t="s">
        <v>31</v>
      </c>
      <c r="Z1616">
        <v>55</v>
      </c>
      <c r="AA1616" s="2" t="s">
        <v>889</v>
      </c>
    </row>
    <row r="1617" spans="1:27" x14ac:dyDescent="0.2">
      <c r="A1617" t="s">
        <v>2268</v>
      </c>
      <c r="B1617">
        <v>2023</v>
      </c>
      <c r="C1617" t="s">
        <v>2269</v>
      </c>
      <c r="D1617" t="s">
        <v>2270</v>
      </c>
      <c r="E1617" t="s">
        <v>29</v>
      </c>
      <c r="F1617" t="s">
        <v>30</v>
      </c>
      <c r="G1617">
        <v>24</v>
      </c>
      <c r="H1617">
        <v>0</v>
      </c>
      <c r="I1617">
        <v>12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 t="s">
        <v>51</v>
      </c>
      <c r="Z1617">
        <v>1000</v>
      </c>
      <c r="AA1617">
        <v>0</v>
      </c>
    </row>
    <row r="1618" spans="1:27" x14ac:dyDescent="0.2">
      <c r="A1618" t="s">
        <v>387</v>
      </c>
      <c r="B1618">
        <v>2023</v>
      </c>
      <c r="C1618" t="s">
        <v>2271</v>
      </c>
      <c r="D1618" t="s">
        <v>2272</v>
      </c>
      <c r="E1618" t="s">
        <v>29</v>
      </c>
      <c r="F1618" t="s">
        <v>30</v>
      </c>
      <c r="G1618">
        <v>1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 t="s">
        <v>31</v>
      </c>
      <c r="Z1618">
        <v>1000</v>
      </c>
      <c r="AA1618">
        <v>35</v>
      </c>
    </row>
    <row r="1619" spans="1:27" x14ac:dyDescent="0.2">
      <c r="A1619" t="s">
        <v>387</v>
      </c>
      <c r="B1619">
        <v>2023</v>
      </c>
      <c r="C1619" t="s">
        <v>2273</v>
      </c>
      <c r="D1619" t="s">
        <v>2274</v>
      </c>
      <c r="E1619" t="s">
        <v>29</v>
      </c>
      <c r="F1619" t="s">
        <v>30</v>
      </c>
      <c r="G1619">
        <v>7</v>
      </c>
      <c r="H1619">
        <v>0</v>
      </c>
      <c r="I1619">
        <v>6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 t="s">
        <v>31</v>
      </c>
      <c r="Z1619">
        <v>1000</v>
      </c>
      <c r="AA1619">
        <v>25</v>
      </c>
    </row>
    <row r="1620" spans="1:27" x14ac:dyDescent="0.2">
      <c r="A1620" t="s">
        <v>387</v>
      </c>
      <c r="B1620">
        <v>2023</v>
      </c>
      <c r="C1620" t="s">
        <v>1168</v>
      </c>
      <c r="D1620" t="s">
        <v>1169</v>
      </c>
      <c r="E1620" t="s">
        <v>29</v>
      </c>
      <c r="F1620" t="s">
        <v>30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20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 t="s">
        <v>51</v>
      </c>
      <c r="Z1620">
        <v>1000</v>
      </c>
      <c r="AA1620">
        <v>0</v>
      </c>
    </row>
    <row r="1621" spans="1:27" x14ac:dyDescent="0.2">
      <c r="A1621" t="s">
        <v>1500</v>
      </c>
      <c r="B1621">
        <v>2023</v>
      </c>
      <c r="C1621">
        <v>8761012017</v>
      </c>
      <c r="D1621" t="s">
        <v>2275</v>
      </c>
      <c r="E1621" t="s">
        <v>29</v>
      </c>
      <c r="F1621" t="s">
        <v>30</v>
      </c>
      <c r="G1621">
        <v>6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 t="s">
        <v>31</v>
      </c>
      <c r="Z1621">
        <v>55</v>
      </c>
      <c r="AA1621">
        <v>55</v>
      </c>
    </row>
    <row r="1622" spans="1:27" x14ac:dyDescent="0.2">
      <c r="A1622" t="s">
        <v>1500</v>
      </c>
      <c r="B1622">
        <v>2023</v>
      </c>
      <c r="C1622">
        <v>5330006005</v>
      </c>
      <c r="D1622" t="s">
        <v>2276</v>
      </c>
      <c r="E1622" t="s">
        <v>29</v>
      </c>
      <c r="F1622" t="s">
        <v>30</v>
      </c>
      <c r="G1622">
        <v>4</v>
      </c>
      <c r="H1622">
        <v>0</v>
      </c>
      <c r="I1622">
        <v>1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 t="s">
        <v>31</v>
      </c>
      <c r="Z1622">
        <v>55</v>
      </c>
      <c r="AA1622">
        <v>51</v>
      </c>
    </row>
    <row r="1623" spans="1:27" x14ac:dyDescent="0.2">
      <c r="A1623" t="s">
        <v>1509</v>
      </c>
      <c r="B1623">
        <v>2022</v>
      </c>
      <c r="C1623">
        <v>1560180285</v>
      </c>
      <c r="D1623" t="s">
        <v>2277</v>
      </c>
      <c r="E1623" t="s">
        <v>29</v>
      </c>
      <c r="F1623" t="s">
        <v>30</v>
      </c>
      <c r="G1623">
        <v>60</v>
      </c>
      <c r="H1623">
        <v>0</v>
      </c>
      <c r="I1623">
        <v>140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 t="s">
        <v>31</v>
      </c>
      <c r="Z1623">
        <v>1000</v>
      </c>
      <c r="AA1623">
        <v>80</v>
      </c>
    </row>
    <row r="1624" spans="1:27" x14ac:dyDescent="0.2">
      <c r="A1624" t="s">
        <v>1509</v>
      </c>
      <c r="B1624">
        <v>2022</v>
      </c>
      <c r="C1624">
        <v>1560180485</v>
      </c>
      <c r="D1624" t="s">
        <v>2278</v>
      </c>
      <c r="E1624" t="s">
        <v>29</v>
      </c>
      <c r="F1624" t="s">
        <v>30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12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 t="s">
        <v>31</v>
      </c>
      <c r="Z1624">
        <v>1000</v>
      </c>
      <c r="AA1624">
        <v>80</v>
      </c>
    </row>
    <row r="1625" spans="1:27" x14ac:dyDescent="0.2">
      <c r="A1625" t="s">
        <v>547</v>
      </c>
      <c r="B1625">
        <v>2021</v>
      </c>
      <c r="C1625">
        <v>4207004023</v>
      </c>
      <c r="D1625" t="s">
        <v>2279</v>
      </c>
      <c r="E1625" t="s">
        <v>29</v>
      </c>
      <c r="F1625" t="s">
        <v>30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6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 t="s">
        <v>31</v>
      </c>
      <c r="Z1625">
        <v>55</v>
      </c>
      <c r="AA1625">
        <v>35</v>
      </c>
    </row>
    <row r="1626" spans="1:27" x14ac:dyDescent="0.2">
      <c r="A1626" t="s">
        <v>547</v>
      </c>
      <c r="B1626">
        <v>2021</v>
      </c>
      <c r="C1626">
        <v>5546026022</v>
      </c>
      <c r="D1626" t="s">
        <v>2280</v>
      </c>
      <c r="E1626" t="s">
        <v>29</v>
      </c>
      <c r="F1626" t="s">
        <v>30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13</v>
      </c>
      <c r="N1626">
        <v>0</v>
      </c>
      <c r="O1626">
        <v>0</v>
      </c>
      <c r="P1626">
        <v>0</v>
      </c>
      <c r="Q1626">
        <v>7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 t="s">
        <v>31</v>
      </c>
      <c r="Z1626">
        <v>55</v>
      </c>
      <c r="AA1626">
        <v>14</v>
      </c>
    </row>
    <row r="1627" spans="1:27" x14ac:dyDescent="0.2">
      <c r="A1627" t="s">
        <v>547</v>
      </c>
      <c r="B1627">
        <v>2021</v>
      </c>
      <c r="C1627">
        <v>2360030017</v>
      </c>
      <c r="D1627" t="s">
        <v>2281</v>
      </c>
      <c r="E1627" t="s">
        <v>29</v>
      </c>
      <c r="F1627" t="s">
        <v>30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2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 t="s">
        <v>31</v>
      </c>
      <c r="Z1627">
        <v>55</v>
      </c>
      <c r="AA1627">
        <v>0</v>
      </c>
    </row>
    <row r="1628" spans="1:27" x14ac:dyDescent="0.2">
      <c r="A1628" t="s">
        <v>547</v>
      </c>
      <c r="B1628">
        <v>2021</v>
      </c>
      <c r="C1628">
        <v>2558024022</v>
      </c>
      <c r="D1628" t="s">
        <v>2282</v>
      </c>
      <c r="E1628" t="s">
        <v>29</v>
      </c>
      <c r="F1628" t="s">
        <v>30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1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 t="s">
        <v>31</v>
      </c>
      <c r="Z1628">
        <v>55</v>
      </c>
      <c r="AA1628">
        <v>0</v>
      </c>
    </row>
    <row r="1629" spans="1:27" x14ac:dyDescent="0.2">
      <c r="A1629" t="s">
        <v>547</v>
      </c>
      <c r="B1629">
        <v>2021</v>
      </c>
      <c r="C1629">
        <v>5068021010</v>
      </c>
      <c r="D1629" t="s">
        <v>2283</v>
      </c>
      <c r="E1629" t="s">
        <v>29</v>
      </c>
      <c r="F1629" t="s">
        <v>30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1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 t="s">
        <v>31</v>
      </c>
      <c r="Z1629">
        <v>55</v>
      </c>
      <c r="AA1629">
        <v>0</v>
      </c>
    </row>
    <row r="1630" spans="1:27" x14ac:dyDescent="0.2">
      <c r="A1630" t="s">
        <v>547</v>
      </c>
      <c r="B1630">
        <v>2021</v>
      </c>
      <c r="C1630">
        <v>5406015046</v>
      </c>
      <c r="D1630" t="s">
        <v>2284</v>
      </c>
      <c r="E1630" t="s">
        <v>29</v>
      </c>
      <c r="F1630" t="s">
        <v>30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5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 t="s">
        <v>31</v>
      </c>
      <c r="Z1630">
        <v>55</v>
      </c>
      <c r="AA1630">
        <v>0</v>
      </c>
    </row>
    <row r="1631" spans="1:27" x14ac:dyDescent="0.2">
      <c r="A1631" t="s">
        <v>876</v>
      </c>
      <c r="B1631">
        <v>2022</v>
      </c>
      <c r="C1631">
        <v>41208061</v>
      </c>
      <c r="D1631" t="s">
        <v>1160</v>
      </c>
      <c r="E1631" t="s">
        <v>29</v>
      </c>
      <c r="F1631" t="s">
        <v>41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1</v>
      </c>
      <c r="X1631">
        <v>0</v>
      </c>
      <c r="Y1631" t="s">
        <v>51</v>
      </c>
      <c r="Z1631">
        <v>45</v>
      </c>
      <c r="AA1631">
        <v>0</v>
      </c>
    </row>
    <row r="1632" spans="1:27" x14ac:dyDescent="0.2">
      <c r="A1632" t="s">
        <v>1509</v>
      </c>
      <c r="B1632">
        <v>2022</v>
      </c>
      <c r="C1632">
        <v>1560180485</v>
      </c>
      <c r="D1632" t="s">
        <v>2285</v>
      </c>
      <c r="E1632" t="s">
        <v>29</v>
      </c>
      <c r="F1632" t="s">
        <v>30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12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 t="s">
        <v>31</v>
      </c>
      <c r="Z1632">
        <v>1000</v>
      </c>
      <c r="AA1632">
        <v>80</v>
      </c>
    </row>
    <row r="1633" spans="1:27" x14ac:dyDescent="0.2">
      <c r="A1633" t="s">
        <v>1509</v>
      </c>
      <c r="B1633">
        <v>2022</v>
      </c>
      <c r="C1633">
        <v>1560180485</v>
      </c>
      <c r="D1633" t="s">
        <v>2286</v>
      </c>
      <c r="E1633" t="s">
        <v>29</v>
      </c>
      <c r="F1633" t="s">
        <v>30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12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 t="s">
        <v>31</v>
      </c>
      <c r="Z1633">
        <v>1000</v>
      </c>
      <c r="AA1633">
        <v>80</v>
      </c>
    </row>
    <row r="1634" spans="1:27" x14ac:dyDescent="0.2">
      <c r="A1634" t="s">
        <v>2287</v>
      </c>
      <c r="B1634">
        <v>2018</v>
      </c>
      <c r="C1634" t="s">
        <v>2288</v>
      </c>
      <c r="D1634" t="s">
        <v>2289</v>
      </c>
      <c r="E1634" t="s">
        <v>29</v>
      </c>
      <c r="F1634" t="s">
        <v>30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8</v>
      </c>
      <c r="T1634">
        <v>0</v>
      </c>
      <c r="U1634">
        <v>31</v>
      </c>
      <c r="V1634">
        <v>0</v>
      </c>
      <c r="W1634">
        <v>9</v>
      </c>
      <c r="X1634">
        <v>0</v>
      </c>
      <c r="Y1634" t="s">
        <v>51</v>
      </c>
      <c r="Z1634">
        <v>55</v>
      </c>
      <c r="AA1634">
        <v>0</v>
      </c>
    </row>
    <row r="1635" spans="1:27" x14ac:dyDescent="0.2">
      <c r="A1635" t="s">
        <v>1197</v>
      </c>
      <c r="B1635">
        <v>2022</v>
      </c>
      <c r="C1635" t="s">
        <v>2120</v>
      </c>
      <c r="D1635" t="s">
        <v>2290</v>
      </c>
      <c r="E1635" t="s">
        <v>29</v>
      </c>
      <c r="F1635" t="s">
        <v>30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3</v>
      </c>
      <c r="V1635">
        <v>0</v>
      </c>
      <c r="W1635">
        <v>2</v>
      </c>
      <c r="X1635">
        <v>0</v>
      </c>
      <c r="Y1635" t="s">
        <v>51</v>
      </c>
      <c r="Z1635">
        <v>55</v>
      </c>
      <c r="AA1635">
        <v>0</v>
      </c>
    </row>
    <row r="1636" spans="1:27" x14ac:dyDescent="0.2">
      <c r="A1636" t="s">
        <v>1075</v>
      </c>
      <c r="B1636">
        <v>2023</v>
      </c>
      <c r="C1636" t="s">
        <v>2291</v>
      </c>
      <c r="D1636" t="s">
        <v>2292</v>
      </c>
      <c r="E1636" t="s">
        <v>29</v>
      </c>
      <c r="F1636" t="s">
        <v>30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7</v>
      </c>
      <c r="O1636">
        <v>0</v>
      </c>
      <c r="P1636">
        <v>5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 t="s">
        <v>31</v>
      </c>
      <c r="AA1636">
        <v>52</v>
      </c>
    </row>
    <row r="1637" spans="1:27" x14ac:dyDescent="0.2">
      <c r="A1637" t="s">
        <v>547</v>
      </c>
      <c r="B1637">
        <v>2021</v>
      </c>
      <c r="C1637">
        <v>5544025009</v>
      </c>
      <c r="D1637" t="s">
        <v>2293</v>
      </c>
      <c r="E1637" t="s">
        <v>29</v>
      </c>
      <c r="F1637" t="s">
        <v>30</v>
      </c>
      <c r="G1637">
        <v>0</v>
      </c>
      <c r="H1637">
        <v>0</v>
      </c>
      <c r="I1637">
        <v>158</v>
      </c>
      <c r="J1637">
        <v>0</v>
      </c>
      <c r="K1637">
        <v>40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 t="s">
        <v>31</v>
      </c>
      <c r="Z1637">
        <v>55</v>
      </c>
      <c r="AA1637">
        <v>0</v>
      </c>
    </row>
    <row r="1638" spans="1:27" x14ac:dyDescent="0.2">
      <c r="A1638" t="s">
        <v>547</v>
      </c>
      <c r="B1638">
        <v>2021</v>
      </c>
      <c r="C1638">
        <v>5547004048</v>
      </c>
      <c r="D1638" t="s">
        <v>743</v>
      </c>
      <c r="E1638" t="s">
        <v>29</v>
      </c>
      <c r="F1638" t="s">
        <v>30</v>
      </c>
      <c r="G1638">
        <v>21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21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 t="s">
        <v>31</v>
      </c>
      <c r="Z1638">
        <v>55</v>
      </c>
      <c r="AA1638">
        <v>0</v>
      </c>
    </row>
    <row r="1639" spans="1:27" x14ac:dyDescent="0.2">
      <c r="A1639" t="s">
        <v>547</v>
      </c>
      <c r="B1639">
        <v>2021</v>
      </c>
      <c r="C1639">
        <v>2238014003</v>
      </c>
      <c r="D1639" t="s">
        <v>2294</v>
      </c>
      <c r="E1639" t="s">
        <v>29</v>
      </c>
      <c r="F1639" t="s">
        <v>30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4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 t="s">
        <v>31</v>
      </c>
      <c r="Z1639">
        <v>55</v>
      </c>
      <c r="AA1639">
        <v>35</v>
      </c>
    </row>
    <row r="1640" spans="1:27" x14ac:dyDescent="0.2">
      <c r="A1640" t="s">
        <v>547</v>
      </c>
      <c r="B1640">
        <v>2021</v>
      </c>
      <c r="C1640">
        <v>5550025014</v>
      </c>
      <c r="D1640" t="s">
        <v>2295</v>
      </c>
      <c r="E1640" t="s">
        <v>29</v>
      </c>
      <c r="F1640" t="s">
        <v>30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20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 t="s">
        <v>31</v>
      </c>
      <c r="Z1640">
        <v>55</v>
      </c>
      <c r="AA1640">
        <v>35</v>
      </c>
    </row>
    <row r="1641" spans="1:27" x14ac:dyDescent="0.2">
      <c r="A1641" t="s">
        <v>547</v>
      </c>
      <c r="B1641">
        <v>2021</v>
      </c>
      <c r="C1641">
        <v>4234015028</v>
      </c>
      <c r="D1641" t="s">
        <v>2296</v>
      </c>
      <c r="E1641" t="s">
        <v>29</v>
      </c>
      <c r="F1641" t="s">
        <v>30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2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 t="s">
        <v>31</v>
      </c>
      <c r="Z1641">
        <v>55</v>
      </c>
      <c r="AA1641">
        <v>0</v>
      </c>
    </row>
    <row r="1642" spans="1:27" x14ac:dyDescent="0.2">
      <c r="A1642" t="s">
        <v>547</v>
      </c>
      <c r="B1642">
        <v>2021</v>
      </c>
      <c r="C1642">
        <v>4262003011</v>
      </c>
      <c r="D1642" t="s">
        <v>2297</v>
      </c>
      <c r="E1642" t="s">
        <v>29</v>
      </c>
      <c r="F1642" t="s">
        <v>30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4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 t="s">
        <v>31</v>
      </c>
      <c r="Z1642">
        <v>55</v>
      </c>
      <c r="AA1642">
        <v>0</v>
      </c>
    </row>
    <row r="1643" spans="1:27" x14ac:dyDescent="0.2">
      <c r="A1643" t="s">
        <v>547</v>
      </c>
      <c r="B1643">
        <v>2021</v>
      </c>
      <c r="C1643">
        <v>5442024045</v>
      </c>
      <c r="D1643" t="s">
        <v>2298</v>
      </c>
      <c r="E1643" t="s">
        <v>29</v>
      </c>
      <c r="F1643" t="s">
        <v>30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5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 t="s">
        <v>31</v>
      </c>
      <c r="Z1643">
        <v>55</v>
      </c>
      <c r="AA1643">
        <v>0</v>
      </c>
    </row>
    <row r="1644" spans="1:27" x14ac:dyDescent="0.2">
      <c r="A1644" t="s">
        <v>1311</v>
      </c>
      <c r="B1644">
        <v>2021</v>
      </c>
      <c r="C1644" t="s">
        <v>2299</v>
      </c>
      <c r="D1644" t="s">
        <v>2300</v>
      </c>
      <c r="E1644" t="s">
        <v>29</v>
      </c>
      <c r="F1644" t="s">
        <v>30</v>
      </c>
      <c r="G1644">
        <v>1</v>
      </c>
      <c r="H1644">
        <v>0</v>
      </c>
      <c r="I1644">
        <v>1</v>
      </c>
      <c r="J1644">
        <v>0</v>
      </c>
      <c r="K1644">
        <v>2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 t="s">
        <v>31</v>
      </c>
      <c r="Z1644">
        <v>55</v>
      </c>
      <c r="AA1644">
        <v>60</v>
      </c>
    </row>
    <row r="1645" spans="1:27" x14ac:dyDescent="0.2">
      <c r="A1645" t="s">
        <v>547</v>
      </c>
      <c r="B1645">
        <v>2021</v>
      </c>
      <c r="C1645">
        <v>5094008047</v>
      </c>
      <c r="D1645" t="s">
        <v>2301</v>
      </c>
      <c r="E1645" t="s">
        <v>29</v>
      </c>
      <c r="F1645" t="s">
        <v>30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37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 t="s">
        <v>31</v>
      </c>
      <c r="Z1645">
        <v>55</v>
      </c>
      <c r="AA1645">
        <v>35</v>
      </c>
    </row>
    <row r="1646" spans="1:27" x14ac:dyDescent="0.2">
      <c r="A1646" t="s">
        <v>547</v>
      </c>
      <c r="B1646">
        <v>2021</v>
      </c>
      <c r="C1646">
        <v>5534019018</v>
      </c>
      <c r="D1646" t="s">
        <v>2302</v>
      </c>
      <c r="E1646" t="s">
        <v>29</v>
      </c>
      <c r="F1646" t="s">
        <v>30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1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 t="s">
        <v>31</v>
      </c>
      <c r="Z1646">
        <v>55</v>
      </c>
      <c r="AA1646">
        <v>35</v>
      </c>
    </row>
    <row r="1647" spans="1:27" x14ac:dyDescent="0.2">
      <c r="A1647" t="s">
        <v>547</v>
      </c>
      <c r="B1647">
        <v>2021</v>
      </c>
      <c r="C1647">
        <v>7455025019</v>
      </c>
      <c r="D1647" t="s">
        <v>2303</v>
      </c>
      <c r="E1647" t="s">
        <v>29</v>
      </c>
      <c r="F1647" t="s">
        <v>30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10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 t="s">
        <v>31</v>
      </c>
      <c r="Z1647">
        <v>55</v>
      </c>
      <c r="AA1647">
        <v>0</v>
      </c>
    </row>
    <row r="1648" spans="1:27" x14ac:dyDescent="0.2">
      <c r="A1648" t="s">
        <v>547</v>
      </c>
      <c r="B1648">
        <v>2021</v>
      </c>
      <c r="C1648">
        <v>2330014028</v>
      </c>
      <c r="D1648" t="s">
        <v>2304</v>
      </c>
      <c r="E1648" t="s">
        <v>29</v>
      </c>
      <c r="F1648" t="s">
        <v>30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1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 t="s">
        <v>31</v>
      </c>
      <c r="Z1648">
        <v>55</v>
      </c>
      <c r="AA1648">
        <v>0</v>
      </c>
    </row>
    <row r="1649" spans="1:27" x14ac:dyDescent="0.2">
      <c r="A1649" t="s">
        <v>547</v>
      </c>
      <c r="B1649">
        <v>2021</v>
      </c>
      <c r="C1649">
        <v>2506033039</v>
      </c>
      <c r="D1649" t="s">
        <v>2305</v>
      </c>
      <c r="E1649" t="s">
        <v>29</v>
      </c>
      <c r="F1649" t="s">
        <v>30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1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 t="s">
        <v>31</v>
      </c>
      <c r="Z1649">
        <v>55</v>
      </c>
      <c r="AA1649">
        <v>0</v>
      </c>
    </row>
    <row r="1650" spans="1:27" ht="85" x14ac:dyDescent="0.2">
      <c r="A1650" t="s">
        <v>1802</v>
      </c>
      <c r="B1650">
        <v>2023</v>
      </c>
      <c r="C1650" t="s">
        <v>2306</v>
      </c>
      <c r="D1650" s="1" t="s">
        <v>2307</v>
      </c>
      <c r="E1650" t="s">
        <v>29</v>
      </c>
      <c r="F1650" t="s">
        <v>30</v>
      </c>
      <c r="G1650">
        <v>2</v>
      </c>
      <c r="H1650">
        <v>0</v>
      </c>
      <c r="I1650">
        <v>0</v>
      </c>
      <c r="J1650">
        <v>0</v>
      </c>
      <c r="K1650">
        <v>1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 t="s">
        <v>51</v>
      </c>
      <c r="Z1650">
        <v>45</v>
      </c>
      <c r="AA1650">
        <v>0</v>
      </c>
    </row>
    <row r="1651" spans="1:27" x14ac:dyDescent="0.2">
      <c r="A1651" t="s">
        <v>1802</v>
      </c>
      <c r="B1651">
        <v>2023</v>
      </c>
      <c r="C1651" t="s">
        <v>1957</v>
      </c>
      <c r="D1651" t="s">
        <v>1958</v>
      </c>
      <c r="E1651" t="s">
        <v>29</v>
      </c>
      <c r="F1651" t="s">
        <v>30</v>
      </c>
      <c r="G1651">
        <v>2</v>
      </c>
      <c r="H1651">
        <v>0</v>
      </c>
      <c r="I1651">
        <v>0</v>
      </c>
      <c r="J1651">
        <v>0</v>
      </c>
      <c r="K1651">
        <v>3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 t="s">
        <v>51</v>
      </c>
      <c r="Z1651">
        <v>45</v>
      </c>
      <c r="AA1651">
        <v>0</v>
      </c>
    </row>
    <row r="1652" spans="1:27" x14ac:dyDescent="0.2">
      <c r="A1652" t="s">
        <v>1805</v>
      </c>
      <c r="B1652">
        <v>2023</v>
      </c>
      <c r="C1652">
        <v>8313008028</v>
      </c>
      <c r="D1652" t="s">
        <v>2079</v>
      </c>
      <c r="E1652" t="s">
        <v>29</v>
      </c>
      <c r="F1652" t="s">
        <v>30</v>
      </c>
      <c r="G1652">
        <v>0</v>
      </c>
      <c r="H1652">
        <v>0</v>
      </c>
      <c r="I1652">
        <v>0</v>
      </c>
      <c r="J1652">
        <v>0</v>
      </c>
      <c r="K1652">
        <v>88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 t="s">
        <v>51</v>
      </c>
      <c r="AA1652">
        <v>0</v>
      </c>
    </row>
    <row r="1653" spans="1:27" x14ac:dyDescent="0.2">
      <c r="A1653" t="s">
        <v>1231</v>
      </c>
      <c r="B1653">
        <v>2023</v>
      </c>
      <c r="C1653">
        <v>694310006</v>
      </c>
      <c r="D1653" t="s">
        <v>1232</v>
      </c>
      <c r="E1653" t="s">
        <v>29</v>
      </c>
      <c r="F1653" t="s">
        <v>30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13</v>
      </c>
      <c r="N1653">
        <v>0</v>
      </c>
      <c r="O1653">
        <v>1</v>
      </c>
      <c r="P1653">
        <v>0</v>
      </c>
      <c r="Q1653">
        <v>1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 t="s">
        <v>31</v>
      </c>
      <c r="Z1653">
        <v>55</v>
      </c>
      <c r="AA1653">
        <v>12.5</v>
      </c>
    </row>
    <row r="1654" spans="1:27" x14ac:dyDescent="0.2">
      <c r="A1654" t="s">
        <v>1231</v>
      </c>
      <c r="B1654">
        <v>2023</v>
      </c>
      <c r="C1654">
        <v>694190087</v>
      </c>
      <c r="D1654" t="s">
        <v>1831</v>
      </c>
      <c r="E1654" t="s">
        <v>29</v>
      </c>
      <c r="F1654" t="s">
        <v>30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1</v>
      </c>
      <c r="N1654">
        <v>0</v>
      </c>
      <c r="O1654">
        <v>1</v>
      </c>
      <c r="P1654">
        <v>0</v>
      </c>
      <c r="Q1654">
        <v>1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 t="s">
        <v>51</v>
      </c>
      <c r="Z1654">
        <v>55</v>
      </c>
      <c r="AA1654">
        <v>0</v>
      </c>
    </row>
    <row r="1655" spans="1:27" x14ac:dyDescent="0.2">
      <c r="A1655" t="s">
        <v>1231</v>
      </c>
      <c r="B1655">
        <v>2023</v>
      </c>
      <c r="C1655">
        <v>694520019</v>
      </c>
      <c r="D1655" t="s">
        <v>1832</v>
      </c>
      <c r="E1655" t="s">
        <v>29</v>
      </c>
      <c r="F1655" t="s">
        <v>30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5</v>
      </c>
      <c r="N1655">
        <v>0</v>
      </c>
      <c r="O1655">
        <v>18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 t="s">
        <v>51</v>
      </c>
      <c r="Z1655">
        <v>55</v>
      </c>
      <c r="AA1655">
        <v>0</v>
      </c>
    </row>
    <row r="1656" spans="1:27" x14ac:dyDescent="0.2">
      <c r="A1656" t="s">
        <v>1231</v>
      </c>
      <c r="B1656">
        <v>2023</v>
      </c>
      <c r="C1656">
        <v>694520019</v>
      </c>
      <c r="D1656" t="s">
        <v>1832</v>
      </c>
      <c r="E1656" t="s">
        <v>29</v>
      </c>
      <c r="F1656" t="s">
        <v>30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5</v>
      </c>
      <c r="N1656">
        <v>0</v>
      </c>
      <c r="O1656">
        <v>18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 t="s">
        <v>51</v>
      </c>
      <c r="Z1656">
        <v>55</v>
      </c>
      <c r="AA1656">
        <v>0</v>
      </c>
    </row>
    <row r="1657" spans="1:27" x14ac:dyDescent="0.2">
      <c r="A1657" t="s">
        <v>876</v>
      </c>
      <c r="B1657">
        <v>2019</v>
      </c>
      <c r="C1657">
        <v>30534061</v>
      </c>
      <c r="D1657" t="s">
        <v>980</v>
      </c>
      <c r="E1657" t="s">
        <v>29</v>
      </c>
      <c r="F1657" t="s">
        <v>30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2</v>
      </c>
      <c r="T1657">
        <v>0</v>
      </c>
      <c r="U1657">
        <v>0</v>
      </c>
      <c r="V1657">
        <v>0</v>
      </c>
      <c r="W1657">
        <v>0</v>
      </c>
      <c r="X1657">
        <v>0</v>
      </c>
      <c r="Y1657" t="s">
        <v>31</v>
      </c>
      <c r="Z1657">
        <v>55</v>
      </c>
      <c r="AA1657">
        <v>0</v>
      </c>
    </row>
    <row r="1658" spans="1:27" x14ac:dyDescent="0.2">
      <c r="A1658" t="s">
        <v>1449</v>
      </c>
      <c r="B1658">
        <v>2023</v>
      </c>
      <c r="C1658" t="s">
        <v>2308</v>
      </c>
      <c r="D1658" t="s">
        <v>2309</v>
      </c>
      <c r="E1658" t="s">
        <v>29</v>
      </c>
      <c r="F1658" t="s">
        <v>30</v>
      </c>
      <c r="G1658">
        <v>3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3</v>
      </c>
      <c r="T1658">
        <v>0</v>
      </c>
      <c r="U1658">
        <v>0</v>
      </c>
      <c r="V1658">
        <v>0</v>
      </c>
      <c r="W1658">
        <v>0</v>
      </c>
      <c r="X1658">
        <v>0</v>
      </c>
      <c r="Y1658" t="s">
        <v>31</v>
      </c>
      <c r="Z1658">
        <v>1000</v>
      </c>
      <c r="AA1658">
        <v>50</v>
      </c>
    </row>
    <row r="1659" spans="1:27" x14ac:dyDescent="0.2">
      <c r="A1659" t="s">
        <v>1449</v>
      </c>
      <c r="B1659">
        <v>2023</v>
      </c>
      <c r="C1659" t="s">
        <v>2310</v>
      </c>
      <c r="D1659" t="s">
        <v>2311</v>
      </c>
      <c r="E1659" t="s">
        <v>29</v>
      </c>
      <c r="F1659" t="s">
        <v>30</v>
      </c>
      <c r="G1659">
        <v>6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 t="s">
        <v>31</v>
      </c>
      <c r="AA1659">
        <v>23</v>
      </c>
    </row>
    <row r="1660" spans="1:27" x14ac:dyDescent="0.2">
      <c r="A1660" t="s">
        <v>1449</v>
      </c>
      <c r="B1660">
        <v>2023</v>
      </c>
      <c r="C1660" t="s">
        <v>2312</v>
      </c>
      <c r="D1660" t="s">
        <v>2313</v>
      </c>
      <c r="E1660" t="s">
        <v>29</v>
      </c>
      <c r="F1660" t="s">
        <v>41</v>
      </c>
      <c r="G1660">
        <v>0</v>
      </c>
      <c r="H1660">
        <v>0</v>
      </c>
      <c r="I1660">
        <v>33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 t="s">
        <v>31</v>
      </c>
      <c r="Z1660">
        <v>55</v>
      </c>
      <c r="AA1660">
        <v>5</v>
      </c>
    </row>
    <row r="1661" spans="1:27" x14ac:dyDescent="0.2">
      <c r="A1661" t="s">
        <v>321</v>
      </c>
      <c r="B1661">
        <v>2022</v>
      </c>
      <c r="C1661">
        <v>4292005029</v>
      </c>
      <c r="D1661" t="s">
        <v>2314</v>
      </c>
      <c r="E1661" t="s">
        <v>29</v>
      </c>
      <c r="F1661" t="s">
        <v>30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3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 t="s">
        <v>51</v>
      </c>
      <c r="AA1661">
        <v>0</v>
      </c>
    </row>
    <row r="1662" spans="1:27" x14ac:dyDescent="0.2">
      <c r="A1662" t="s">
        <v>321</v>
      </c>
      <c r="B1662">
        <v>2022</v>
      </c>
      <c r="C1662">
        <v>4291022012</v>
      </c>
      <c r="D1662" t="s">
        <v>2315</v>
      </c>
      <c r="E1662" t="s">
        <v>29</v>
      </c>
      <c r="F1662" t="s">
        <v>30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17</v>
      </c>
      <c r="N1662">
        <v>0</v>
      </c>
      <c r="O1662">
        <v>0</v>
      </c>
      <c r="P1662">
        <v>0</v>
      </c>
      <c r="Q1662">
        <v>39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 t="s">
        <v>51</v>
      </c>
      <c r="Z1662">
        <v>55</v>
      </c>
      <c r="AA1662">
        <v>0</v>
      </c>
    </row>
    <row r="1663" spans="1:27" x14ac:dyDescent="0.2">
      <c r="A1663" t="s">
        <v>2316</v>
      </c>
      <c r="B1663">
        <v>2022</v>
      </c>
      <c r="C1663">
        <v>38912020</v>
      </c>
      <c r="D1663" t="s">
        <v>2317</v>
      </c>
      <c r="E1663" t="s">
        <v>29</v>
      </c>
      <c r="F1663" t="s">
        <v>41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 t="s">
        <v>31</v>
      </c>
      <c r="Z1663">
        <v>1000</v>
      </c>
      <c r="AA1663">
        <v>32.5</v>
      </c>
    </row>
    <row r="1664" spans="1:27" x14ac:dyDescent="0.2">
      <c r="A1664" t="s">
        <v>227</v>
      </c>
      <c r="B1664">
        <v>2022</v>
      </c>
      <c r="C1664" t="s">
        <v>2318</v>
      </c>
      <c r="D1664" t="s">
        <v>2319</v>
      </c>
      <c r="E1664" t="s">
        <v>29</v>
      </c>
      <c r="F1664" t="s">
        <v>41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 t="s">
        <v>51</v>
      </c>
      <c r="Z1664">
        <v>45</v>
      </c>
      <c r="AA1664">
        <v>0</v>
      </c>
    </row>
    <row r="1665" spans="1:27" x14ac:dyDescent="0.2">
      <c r="A1665" t="s">
        <v>1658</v>
      </c>
      <c r="B1665">
        <v>2022</v>
      </c>
      <c r="C1665" t="s">
        <v>2320</v>
      </c>
      <c r="D1665" t="s">
        <v>2321</v>
      </c>
      <c r="E1665" t="s">
        <v>29</v>
      </c>
      <c r="F1665" t="s">
        <v>41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1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 t="s">
        <v>51</v>
      </c>
      <c r="Z1665">
        <v>1000</v>
      </c>
      <c r="AA1665">
        <v>0</v>
      </c>
    </row>
    <row r="1666" spans="1:27" x14ac:dyDescent="0.2">
      <c r="A1666" t="s">
        <v>1449</v>
      </c>
      <c r="B1666">
        <v>2021</v>
      </c>
      <c r="C1666" t="s">
        <v>2322</v>
      </c>
      <c r="D1666" t="s">
        <v>2323</v>
      </c>
      <c r="E1666" t="s">
        <v>29</v>
      </c>
      <c r="F1666" t="s">
        <v>30</v>
      </c>
      <c r="G1666">
        <v>9</v>
      </c>
      <c r="H1666">
        <v>0</v>
      </c>
      <c r="I1666">
        <v>2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 t="s">
        <v>31</v>
      </c>
      <c r="AA1666">
        <v>35</v>
      </c>
    </row>
    <row r="1667" spans="1:27" x14ac:dyDescent="0.2">
      <c r="A1667" t="s">
        <v>894</v>
      </c>
      <c r="B1667">
        <v>2019</v>
      </c>
      <c r="C1667" s="2" t="s">
        <v>2324</v>
      </c>
      <c r="D1667" t="s">
        <v>2325</v>
      </c>
      <c r="E1667" t="s">
        <v>29</v>
      </c>
      <c r="F1667" t="s">
        <v>30</v>
      </c>
      <c r="G1667">
        <v>2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 t="s">
        <v>31</v>
      </c>
      <c r="Z1667">
        <v>55</v>
      </c>
      <c r="AA1667">
        <v>0</v>
      </c>
    </row>
    <row r="1668" spans="1:27" x14ac:dyDescent="0.2">
      <c r="A1668" t="s">
        <v>894</v>
      </c>
      <c r="B1668">
        <v>2019</v>
      </c>
      <c r="C1668" s="2" t="s">
        <v>2326</v>
      </c>
      <c r="D1668" t="s">
        <v>2327</v>
      </c>
      <c r="E1668" t="s">
        <v>29</v>
      </c>
      <c r="F1668" t="s">
        <v>30</v>
      </c>
      <c r="G1668">
        <v>4</v>
      </c>
      <c r="H1668">
        <v>0</v>
      </c>
      <c r="I1668">
        <v>0</v>
      </c>
      <c r="J1668">
        <v>0</v>
      </c>
      <c r="K1668">
        <v>0</v>
      </c>
      <c r="L1668">
        <v>1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 t="s">
        <v>31</v>
      </c>
      <c r="Z1668">
        <v>55</v>
      </c>
      <c r="AA1668">
        <v>0</v>
      </c>
    </row>
    <row r="1669" spans="1:27" x14ac:dyDescent="0.2">
      <c r="A1669" t="s">
        <v>254</v>
      </c>
      <c r="B1669">
        <v>2022</v>
      </c>
      <c r="C1669" t="s">
        <v>255</v>
      </c>
      <c r="D1669" t="s">
        <v>256</v>
      </c>
      <c r="E1669" t="s">
        <v>29</v>
      </c>
      <c r="F1669" t="s">
        <v>30</v>
      </c>
      <c r="G1669">
        <v>38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 t="s">
        <v>31</v>
      </c>
      <c r="AA1669">
        <v>144</v>
      </c>
    </row>
    <row r="1670" spans="1:27" x14ac:dyDescent="0.2">
      <c r="A1670" t="s">
        <v>1509</v>
      </c>
      <c r="B1670">
        <v>2022</v>
      </c>
      <c r="C1670">
        <v>1560180485</v>
      </c>
      <c r="D1670" t="s">
        <v>2328</v>
      </c>
      <c r="E1670" t="s">
        <v>29</v>
      </c>
      <c r="F1670" t="s">
        <v>30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12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 t="s">
        <v>31</v>
      </c>
      <c r="Z1670">
        <v>1000</v>
      </c>
      <c r="AA1670">
        <v>80</v>
      </c>
    </row>
    <row r="1671" spans="1:27" x14ac:dyDescent="0.2">
      <c r="A1671" t="s">
        <v>1176</v>
      </c>
      <c r="B1671">
        <v>2023</v>
      </c>
      <c r="C1671" t="s">
        <v>2329</v>
      </c>
      <c r="D1671" t="s">
        <v>2330</v>
      </c>
      <c r="E1671" t="s">
        <v>29</v>
      </c>
      <c r="F1671" t="s">
        <v>41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4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4</v>
      </c>
      <c r="X1671">
        <v>0</v>
      </c>
      <c r="Y1671" t="s">
        <v>31</v>
      </c>
      <c r="Z1671">
        <v>30</v>
      </c>
      <c r="AA1671">
        <v>0</v>
      </c>
    </row>
    <row r="1672" spans="1:27" x14ac:dyDescent="0.2">
      <c r="A1672" t="s">
        <v>2331</v>
      </c>
      <c r="B1672">
        <v>2019</v>
      </c>
      <c r="C1672" t="s">
        <v>2332</v>
      </c>
      <c r="D1672" t="s">
        <v>2333</v>
      </c>
      <c r="E1672" t="s">
        <v>29</v>
      </c>
      <c r="F1672" t="s">
        <v>30</v>
      </c>
      <c r="G1672">
        <v>8</v>
      </c>
      <c r="H1672">
        <v>0</v>
      </c>
      <c r="I1672">
        <v>12</v>
      </c>
      <c r="J1672">
        <v>0</v>
      </c>
      <c r="K1672">
        <v>0</v>
      </c>
      <c r="L1672">
        <v>0</v>
      </c>
      <c r="M1672">
        <v>8</v>
      </c>
      <c r="N1672">
        <v>0</v>
      </c>
      <c r="O1672">
        <v>12</v>
      </c>
      <c r="P1672">
        <v>0</v>
      </c>
      <c r="Q1672">
        <v>0</v>
      </c>
      <c r="R1672">
        <v>0</v>
      </c>
      <c r="S1672">
        <v>8</v>
      </c>
      <c r="T1672">
        <v>0</v>
      </c>
      <c r="U1672">
        <v>0</v>
      </c>
      <c r="V1672">
        <v>0</v>
      </c>
      <c r="W1672">
        <v>0</v>
      </c>
      <c r="X1672">
        <v>0</v>
      </c>
      <c r="Y1672" t="s">
        <v>51</v>
      </c>
      <c r="Z1672">
        <v>55</v>
      </c>
      <c r="AA1672">
        <v>0</v>
      </c>
    </row>
    <row r="1673" spans="1:27" x14ac:dyDescent="0.2">
      <c r="A1673" t="s">
        <v>2331</v>
      </c>
      <c r="B1673">
        <v>2019</v>
      </c>
      <c r="C1673" t="s">
        <v>2334</v>
      </c>
      <c r="D1673" t="s">
        <v>2335</v>
      </c>
      <c r="E1673" t="s">
        <v>29</v>
      </c>
      <c r="F1673" t="s">
        <v>30</v>
      </c>
      <c r="G1673">
        <v>0</v>
      </c>
      <c r="H1673">
        <v>0</v>
      </c>
      <c r="I1673">
        <v>16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16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16</v>
      </c>
      <c r="V1673">
        <v>0</v>
      </c>
      <c r="W1673">
        <v>0</v>
      </c>
      <c r="X1673">
        <v>0</v>
      </c>
      <c r="Y1673" t="s">
        <v>51</v>
      </c>
      <c r="Z1673">
        <v>55</v>
      </c>
      <c r="AA1673">
        <v>0</v>
      </c>
    </row>
    <row r="1674" spans="1:27" x14ac:dyDescent="0.2">
      <c r="A1674" t="s">
        <v>1265</v>
      </c>
      <c r="B1674">
        <v>2021</v>
      </c>
      <c r="C1674" t="s">
        <v>2336</v>
      </c>
      <c r="D1674" t="s">
        <v>1266</v>
      </c>
      <c r="E1674" t="s">
        <v>29</v>
      </c>
      <c r="F1674" t="s">
        <v>30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1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 t="s">
        <v>51</v>
      </c>
      <c r="AA1674">
        <v>0</v>
      </c>
    </row>
    <row r="1675" spans="1:27" x14ac:dyDescent="0.2">
      <c r="A1675" t="s">
        <v>1367</v>
      </c>
      <c r="B1675">
        <v>2022</v>
      </c>
      <c r="C1675" t="s">
        <v>2337</v>
      </c>
      <c r="D1675" t="s">
        <v>2338</v>
      </c>
      <c r="E1675" t="s">
        <v>29</v>
      </c>
      <c r="F1675" t="s">
        <v>30</v>
      </c>
      <c r="G1675">
        <v>0</v>
      </c>
      <c r="H1675">
        <v>0</v>
      </c>
      <c r="I1675">
        <v>0</v>
      </c>
      <c r="J1675">
        <v>0</v>
      </c>
      <c r="K1675">
        <v>4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 t="s">
        <v>51</v>
      </c>
      <c r="AA1675">
        <v>0</v>
      </c>
    </row>
    <row r="1676" spans="1:27" x14ac:dyDescent="0.2">
      <c r="A1676" t="s">
        <v>1449</v>
      </c>
      <c r="B1676">
        <v>2018</v>
      </c>
      <c r="C1676" t="s">
        <v>2339</v>
      </c>
      <c r="D1676" t="s">
        <v>2340</v>
      </c>
      <c r="E1676" t="s">
        <v>29</v>
      </c>
      <c r="F1676" t="s">
        <v>30</v>
      </c>
      <c r="G1676">
        <v>3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 t="s">
        <v>51</v>
      </c>
      <c r="AA1676">
        <v>0</v>
      </c>
    </row>
    <row r="1677" spans="1:27" x14ac:dyDescent="0.2">
      <c r="A1677" t="s">
        <v>1449</v>
      </c>
      <c r="B1677">
        <v>2018</v>
      </c>
      <c r="C1677" t="s">
        <v>2143</v>
      </c>
      <c r="D1677" t="s">
        <v>2341</v>
      </c>
      <c r="E1677" t="s">
        <v>29</v>
      </c>
      <c r="F1677" t="s">
        <v>30</v>
      </c>
      <c r="G1677">
        <v>13</v>
      </c>
      <c r="H1677">
        <v>0</v>
      </c>
      <c r="I1677">
        <v>25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 t="s">
        <v>31</v>
      </c>
      <c r="Z1677">
        <v>55</v>
      </c>
      <c r="AA1677">
        <v>0</v>
      </c>
    </row>
    <row r="1678" spans="1:27" x14ac:dyDescent="0.2">
      <c r="A1678" t="s">
        <v>600</v>
      </c>
      <c r="B1678">
        <v>2023</v>
      </c>
      <c r="C1678" t="s">
        <v>2342</v>
      </c>
      <c r="D1678" t="s">
        <v>2343</v>
      </c>
      <c r="E1678" t="s">
        <v>29</v>
      </c>
      <c r="F1678" t="s">
        <v>30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69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 t="s">
        <v>51</v>
      </c>
      <c r="Z1678">
        <v>99</v>
      </c>
      <c r="AA1678">
        <v>0</v>
      </c>
    </row>
    <row r="1679" spans="1:27" x14ac:dyDescent="0.2">
      <c r="A1679" t="s">
        <v>600</v>
      </c>
      <c r="B1679">
        <v>2023</v>
      </c>
      <c r="C1679">
        <v>3576001</v>
      </c>
      <c r="D1679" t="s">
        <v>2344</v>
      </c>
      <c r="E1679" t="s">
        <v>29</v>
      </c>
      <c r="F1679" t="s">
        <v>30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8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 t="s">
        <v>51</v>
      </c>
      <c r="Z1679">
        <v>99</v>
      </c>
      <c r="AA1679">
        <v>0</v>
      </c>
    </row>
    <row r="1680" spans="1:27" x14ac:dyDescent="0.2">
      <c r="A1680" t="s">
        <v>600</v>
      </c>
      <c r="B1680">
        <v>2023</v>
      </c>
      <c r="C1680">
        <v>3596099</v>
      </c>
      <c r="D1680" t="s">
        <v>2345</v>
      </c>
      <c r="E1680" t="s">
        <v>29</v>
      </c>
      <c r="F1680" t="s">
        <v>30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2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 t="s">
        <v>51</v>
      </c>
      <c r="Z1680">
        <v>99</v>
      </c>
      <c r="AA1680">
        <v>0</v>
      </c>
    </row>
    <row r="1681" spans="1:27" x14ac:dyDescent="0.2">
      <c r="A1681" t="s">
        <v>547</v>
      </c>
      <c r="B1681">
        <v>2021</v>
      </c>
      <c r="C1681">
        <v>4250008010</v>
      </c>
      <c r="D1681" t="s">
        <v>2346</v>
      </c>
      <c r="E1681" t="s">
        <v>29</v>
      </c>
      <c r="F1681" t="s">
        <v>30</v>
      </c>
      <c r="G1681">
        <v>2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 t="s">
        <v>31</v>
      </c>
      <c r="Z1681">
        <v>55</v>
      </c>
      <c r="AA1681">
        <v>35</v>
      </c>
    </row>
    <row r="1682" spans="1:27" x14ac:dyDescent="0.2">
      <c r="A1682" t="s">
        <v>547</v>
      </c>
      <c r="B1682">
        <v>2021</v>
      </c>
      <c r="C1682">
        <v>5544025032</v>
      </c>
      <c r="D1682" t="s">
        <v>2347</v>
      </c>
      <c r="E1682" t="s">
        <v>29</v>
      </c>
      <c r="F1682" t="s">
        <v>30</v>
      </c>
      <c r="G1682">
        <v>0</v>
      </c>
      <c r="H1682">
        <v>0</v>
      </c>
      <c r="I1682">
        <v>64</v>
      </c>
      <c r="J1682">
        <v>0</v>
      </c>
      <c r="K1682">
        <v>14</v>
      </c>
      <c r="L1682">
        <v>0</v>
      </c>
      <c r="M1682">
        <v>0</v>
      </c>
      <c r="N1682">
        <v>0</v>
      </c>
      <c r="O1682">
        <v>64</v>
      </c>
      <c r="P1682">
        <v>0</v>
      </c>
      <c r="Q1682">
        <v>14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 t="s">
        <v>31</v>
      </c>
      <c r="Z1682">
        <v>55</v>
      </c>
      <c r="AA1682">
        <v>145</v>
      </c>
    </row>
    <row r="1683" spans="1:27" x14ac:dyDescent="0.2">
      <c r="A1683" t="s">
        <v>547</v>
      </c>
      <c r="B1683">
        <v>2021</v>
      </c>
      <c r="C1683">
        <v>2214025014</v>
      </c>
      <c r="D1683" t="s">
        <v>2348</v>
      </c>
      <c r="E1683" t="s">
        <v>29</v>
      </c>
      <c r="F1683" t="s">
        <v>30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56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 t="s">
        <v>31</v>
      </c>
      <c r="Z1683">
        <v>55</v>
      </c>
      <c r="AA1683">
        <v>0</v>
      </c>
    </row>
    <row r="1684" spans="1:27" x14ac:dyDescent="0.2">
      <c r="A1684" t="s">
        <v>547</v>
      </c>
      <c r="B1684">
        <v>2021</v>
      </c>
      <c r="C1684">
        <v>5076019027</v>
      </c>
      <c r="D1684" t="s">
        <v>2349</v>
      </c>
      <c r="E1684" t="s">
        <v>29</v>
      </c>
      <c r="F1684" t="s">
        <v>30</v>
      </c>
      <c r="G1684">
        <v>0</v>
      </c>
      <c r="H1684">
        <v>0</v>
      </c>
      <c r="I1684">
        <v>127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 t="s">
        <v>31</v>
      </c>
      <c r="Z1684">
        <v>55</v>
      </c>
      <c r="AA1684">
        <v>0</v>
      </c>
    </row>
    <row r="1685" spans="1:27" x14ac:dyDescent="0.2">
      <c r="A1685" t="s">
        <v>547</v>
      </c>
      <c r="B1685">
        <v>2021</v>
      </c>
      <c r="C1685">
        <v>2239006043</v>
      </c>
      <c r="D1685" t="s">
        <v>2350</v>
      </c>
      <c r="E1685" t="s">
        <v>29</v>
      </c>
      <c r="F1685" t="s">
        <v>30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4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 t="s">
        <v>31</v>
      </c>
      <c r="Z1685">
        <v>55</v>
      </c>
      <c r="AA1685">
        <v>19</v>
      </c>
    </row>
    <row r="1686" spans="1:27" x14ac:dyDescent="0.2">
      <c r="A1686" t="s">
        <v>547</v>
      </c>
      <c r="B1686">
        <v>2021</v>
      </c>
      <c r="C1686">
        <v>2353002012</v>
      </c>
      <c r="D1686" t="s">
        <v>2351</v>
      </c>
      <c r="E1686" t="s">
        <v>29</v>
      </c>
      <c r="F1686" t="s">
        <v>30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2</v>
      </c>
      <c r="N1686">
        <v>0</v>
      </c>
      <c r="O1686">
        <v>1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 t="s">
        <v>31</v>
      </c>
      <c r="Z1686">
        <v>55</v>
      </c>
      <c r="AA1686">
        <v>0</v>
      </c>
    </row>
    <row r="1687" spans="1:27" x14ac:dyDescent="0.2">
      <c r="A1687" t="s">
        <v>547</v>
      </c>
      <c r="B1687">
        <v>2021</v>
      </c>
      <c r="C1687">
        <v>2353017012</v>
      </c>
      <c r="D1687" t="s">
        <v>2352</v>
      </c>
      <c r="E1687" t="s">
        <v>29</v>
      </c>
      <c r="F1687" t="s">
        <v>30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1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 t="s">
        <v>31</v>
      </c>
      <c r="Z1687">
        <v>55</v>
      </c>
      <c r="AA1687">
        <v>0</v>
      </c>
    </row>
    <row r="1688" spans="1:27" x14ac:dyDescent="0.2">
      <c r="A1688" t="s">
        <v>547</v>
      </c>
      <c r="B1688">
        <v>2021</v>
      </c>
      <c r="C1688">
        <v>5179019900</v>
      </c>
      <c r="D1688" t="s">
        <v>2353</v>
      </c>
      <c r="E1688" t="s">
        <v>29</v>
      </c>
      <c r="F1688" t="s">
        <v>30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48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 t="s">
        <v>31</v>
      </c>
      <c r="Z1688">
        <v>55</v>
      </c>
      <c r="AA1688">
        <v>0</v>
      </c>
    </row>
    <row r="1689" spans="1:27" x14ac:dyDescent="0.2">
      <c r="A1689" t="s">
        <v>600</v>
      </c>
      <c r="B1689">
        <v>2023</v>
      </c>
      <c r="C1689">
        <v>6973039</v>
      </c>
      <c r="D1689" t="s">
        <v>1897</v>
      </c>
      <c r="E1689" t="s">
        <v>29</v>
      </c>
      <c r="F1689" t="s">
        <v>30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88</v>
      </c>
      <c r="T1689">
        <v>0</v>
      </c>
      <c r="U1689">
        <v>24</v>
      </c>
      <c r="V1689">
        <v>0</v>
      </c>
      <c r="W1689">
        <v>18</v>
      </c>
      <c r="X1689">
        <v>0</v>
      </c>
      <c r="Y1689" t="s">
        <v>31</v>
      </c>
      <c r="Z1689">
        <v>99</v>
      </c>
      <c r="AA1689">
        <v>34</v>
      </c>
    </row>
    <row r="1690" spans="1:27" x14ac:dyDescent="0.2">
      <c r="A1690" t="s">
        <v>600</v>
      </c>
      <c r="B1690">
        <v>2023</v>
      </c>
      <c r="C1690">
        <v>8901002</v>
      </c>
      <c r="D1690" t="s">
        <v>1819</v>
      </c>
      <c r="E1690" t="s">
        <v>29</v>
      </c>
      <c r="F1690" t="s">
        <v>30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105</v>
      </c>
      <c r="V1690">
        <v>0</v>
      </c>
      <c r="W1690">
        <v>0</v>
      </c>
      <c r="X1690">
        <v>0</v>
      </c>
      <c r="Y1690" t="s">
        <v>51</v>
      </c>
      <c r="Z1690">
        <v>99</v>
      </c>
      <c r="AA1690">
        <v>0</v>
      </c>
    </row>
    <row r="1691" spans="1:27" x14ac:dyDescent="0.2">
      <c r="A1691" t="s">
        <v>600</v>
      </c>
      <c r="B1691">
        <v>2023</v>
      </c>
      <c r="C1691" t="s">
        <v>2354</v>
      </c>
      <c r="D1691" t="s">
        <v>2355</v>
      </c>
      <c r="E1691" t="s">
        <v>29</v>
      </c>
      <c r="F1691" t="s">
        <v>41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9</v>
      </c>
      <c r="V1691">
        <v>0</v>
      </c>
      <c r="W1691">
        <v>0</v>
      </c>
      <c r="X1691">
        <v>0</v>
      </c>
      <c r="Y1691" t="s">
        <v>51</v>
      </c>
      <c r="Z1691">
        <v>99</v>
      </c>
      <c r="AA1691">
        <v>0</v>
      </c>
    </row>
    <row r="1692" spans="1:27" x14ac:dyDescent="0.2">
      <c r="A1692" t="s">
        <v>1316</v>
      </c>
      <c r="B1692">
        <v>2023</v>
      </c>
      <c r="C1692" t="s">
        <v>2356</v>
      </c>
      <c r="D1692" t="s">
        <v>2357</v>
      </c>
      <c r="E1692" t="s">
        <v>29</v>
      </c>
      <c r="F1692" t="s">
        <v>30</v>
      </c>
      <c r="G1692">
        <v>28</v>
      </c>
      <c r="H1692">
        <v>0</v>
      </c>
      <c r="I1692">
        <v>0</v>
      </c>
      <c r="J1692">
        <v>0</v>
      </c>
      <c r="K1692">
        <v>81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 t="s">
        <v>31</v>
      </c>
      <c r="AA1692">
        <v>20</v>
      </c>
    </row>
    <row r="1693" spans="1:27" x14ac:dyDescent="0.2">
      <c r="A1693" t="s">
        <v>533</v>
      </c>
      <c r="B1693">
        <v>2023</v>
      </c>
      <c r="C1693" t="s">
        <v>2358</v>
      </c>
      <c r="D1693" t="s">
        <v>2359</v>
      </c>
      <c r="E1693" t="s">
        <v>29</v>
      </c>
      <c r="F1693" t="s">
        <v>30</v>
      </c>
      <c r="G1693">
        <v>0</v>
      </c>
      <c r="H1693">
        <v>0</v>
      </c>
      <c r="I1693">
        <v>0</v>
      </c>
      <c r="J1693">
        <v>0</v>
      </c>
      <c r="K1693">
        <v>24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24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24</v>
      </c>
      <c r="X1693">
        <v>0</v>
      </c>
      <c r="Y1693" t="s">
        <v>31</v>
      </c>
      <c r="Z1693">
        <v>1000</v>
      </c>
      <c r="AA1693">
        <v>20</v>
      </c>
    </row>
    <row r="1694" spans="1:27" x14ac:dyDescent="0.2">
      <c r="A1694" t="s">
        <v>415</v>
      </c>
      <c r="B1694">
        <v>2022</v>
      </c>
      <c r="C1694" t="s">
        <v>416</v>
      </c>
      <c r="D1694" t="s">
        <v>417</v>
      </c>
      <c r="E1694" t="s">
        <v>29</v>
      </c>
      <c r="F1694" t="s">
        <v>30</v>
      </c>
      <c r="G1694">
        <v>32</v>
      </c>
      <c r="H1694">
        <v>0</v>
      </c>
      <c r="I1694">
        <v>37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 t="s">
        <v>31</v>
      </c>
      <c r="Z1694">
        <v>55</v>
      </c>
      <c r="AA1694">
        <v>35</v>
      </c>
    </row>
    <row r="1695" spans="1:27" x14ac:dyDescent="0.2">
      <c r="A1695" t="s">
        <v>283</v>
      </c>
      <c r="B1695">
        <v>2018</v>
      </c>
      <c r="C1695" t="s">
        <v>2360</v>
      </c>
      <c r="D1695" t="s">
        <v>2361</v>
      </c>
      <c r="E1695" t="s">
        <v>29</v>
      </c>
      <c r="F1695" t="s">
        <v>30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8</v>
      </c>
      <c r="X1695">
        <v>0</v>
      </c>
      <c r="Y1695" t="s">
        <v>51</v>
      </c>
      <c r="Z1695">
        <v>1000</v>
      </c>
      <c r="AA1695">
        <v>0</v>
      </c>
    </row>
    <row r="1696" spans="1:27" x14ac:dyDescent="0.2">
      <c r="A1696" t="s">
        <v>88</v>
      </c>
      <c r="B1696">
        <v>2023</v>
      </c>
      <c r="C1696" t="s">
        <v>2362</v>
      </c>
      <c r="D1696" t="s">
        <v>2363</v>
      </c>
      <c r="E1696" t="s">
        <v>29</v>
      </c>
      <c r="F1696" t="s">
        <v>41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1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 t="s">
        <v>51</v>
      </c>
      <c r="AA1696">
        <v>0</v>
      </c>
    </row>
    <row r="1697" spans="1:27" x14ac:dyDescent="0.2">
      <c r="A1697" t="s">
        <v>88</v>
      </c>
      <c r="B1697">
        <v>2023</v>
      </c>
      <c r="C1697" t="s">
        <v>1258</v>
      </c>
      <c r="D1697" t="s">
        <v>2364</v>
      </c>
      <c r="E1697" t="s">
        <v>29</v>
      </c>
      <c r="F1697" t="s">
        <v>30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1</v>
      </c>
      <c r="N1697">
        <v>0</v>
      </c>
      <c r="O1697">
        <v>7</v>
      </c>
      <c r="P1697">
        <v>0</v>
      </c>
      <c r="Q1697">
        <v>13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 t="s">
        <v>51</v>
      </c>
      <c r="Z1697">
        <v>55</v>
      </c>
      <c r="AA1697">
        <v>0</v>
      </c>
    </row>
    <row r="1698" spans="1:27" x14ac:dyDescent="0.2">
      <c r="A1698" t="s">
        <v>1576</v>
      </c>
      <c r="B1698">
        <v>2018</v>
      </c>
      <c r="C1698">
        <v>1602701200</v>
      </c>
      <c r="D1698" t="s">
        <v>2365</v>
      </c>
      <c r="E1698" t="s">
        <v>29</v>
      </c>
      <c r="F1698" t="s">
        <v>30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10</v>
      </c>
      <c r="T1698">
        <v>0</v>
      </c>
      <c r="U1698">
        <v>0</v>
      </c>
      <c r="V1698">
        <v>0</v>
      </c>
      <c r="W1698">
        <v>0</v>
      </c>
      <c r="X1698">
        <v>0</v>
      </c>
      <c r="Y1698" t="s">
        <v>51</v>
      </c>
      <c r="AA1698">
        <v>0</v>
      </c>
    </row>
    <row r="1699" spans="1:27" x14ac:dyDescent="0.2">
      <c r="A1699" t="s">
        <v>1576</v>
      </c>
      <c r="B1699">
        <v>2018</v>
      </c>
      <c r="C1699">
        <v>1602701200</v>
      </c>
      <c r="D1699" t="s">
        <v>2366</v>
      </c>
      <c r="E1699" t="s">
        <v>29</v>
      </c>
      <c r="F1699" t="s">
        <v>30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138</v>
      </c>
      <c r="T1699">
        <v>0</v>
      </c>
      <c r="U1699">
        <v>0</v>
      </c>
      <c r="V1699">
        <v>0</v>
      </c>
      <c r="W1699">
        <v>0</v>
      </c>
      <c r="X1699">
        <v>0</v>
      </c>
      <c r="Y1699" t="s">
        <v>51</v>
      </c>
      <c r="AA1699">
        <v>0</v>
      </c>
    </row>
    <row r="1700" spans="1:27" x14ac:dyDescent="0.2">
      <c r="A1700" t="s">
        <v>227</v>
      </c>
      <c r="B1700">
        <v>2018</v>
      </c>
      <c r="C1700" t="s">
        <v>2367</v>
      </c>
      <c r="D1700" t="s">
        <v>2368</v>
      </c>
      <c r="E1700" t="s">
        <v>29</v>
      </c>
      <c r="F1700" t="s">
        <v>41</v>
      </c>
      <c r="G1700">
        <v>0</v>
      </c>
      <c r="H1700">
        <v>0</v>
      </c>
      <c r="I1700">
        <v>0</v>
      </c>
      <c r="J1700">
        <v>0</v>
      </c>
      <c r="K1700">
        <v>2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 t="s">
        <v>51</v>
      </c>
      <c r="AA1700">
        <v>0</v>
      </c>
    </row>
    <row r="1701" spans="1:27" x14ac:dyDescent="0.2">
      <c r="A1701" t="s">
        <v>1500</v>
      </c>
      <c r="B1701">
        <v>2018</v>
      </c>
      <c r="C1701">
        <v>6009010031</v>
      </c>
      <c r="D1701" t="s">
        <v>2369</v>
      </c>
      <c r="E1701" t="s">
        <v>29</v>
      </c>
      <c r="F1701" t="s">
        <v>30</v>
      </c>
      <c r="G1701">
        <v>55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 t="s">
        <v>31</v>
      </c>
      <c r="Z1701">
        <v>55</v>
      </c>
      <c r="AA1701">
        <v>0</v>
      </c>
    </row>
    <row r="1702" spans="1:27" x14ac:dyDescent="0.2">
      <c r="A1702" t="s">
        <v>418</v>
      </c>
      <c r="B1702">
        <v>2023</v>
      </c>
      <c r="C1702">
        <v>0</v>
      </c>
      <c r="D1702" t="s">
        <v>2370</v>
      </c>
      <c r="E1702" t="s">
        <v>29</v>
      </c>
      <c r="F1702" t="s">
        <v>30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64</v>
      </c>
      <c r="N1702">
        <v>0</v>
      </c>
      <c r="O1702">
        <v>15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 t="s">
        <v>31</v>
      </c>
      <c r="Z1702">
        <v>55</v>
      </c>
      <c r="AA1702">
        <v>0</v>
      </c>
    </row>
    <row r="1703" spans="1:27" x14ac:dyDescent="0.2">
      <c r="A1703" t="s">
        <v>1537</v>
      </c>
      <c r="B1703">
        <v>2023</v>
      </c>
      <c r="C1703" t="s">
        <v>1538</v>
      </c>
      <c r="D1703" t="s">
        <v>2371</v>
      </c>
      <c r="E1703" t="s">
        <v>29</v>
      </c>
      <c r="F1703" t="s">
        <v>30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8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 t="s">
        <v>31</v>
      </c>
      <c r="AA1703">
        <v>26</v>
      </c>
    </row>
    <row r="1704" spans="1:27" x14ac:dyDescent="0.2">
      <c r="A1704" t="s">
        <v>1500</v>
      </c>
      <c r="B1704">
        <v>2023</v>
      </c>
      <c r="C1704">
        <v>6026031030</v>
      </c>
      <c r="D1704" t="s">
        <v>2372</v>
      </c>
      <c r="E1704" t="s">
        <v>29</v>
      </c>
      <c r="F1704" t="s">
        <v>30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41</v>
      </c>
      <c r="N1704">
        <v>0</v>
      </c>
      <c r="O1704">
        <v>42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 t="s">
        <v>31</v>
      </c>
      <c r="Z1704">
        <v>55</v>
      </c>
      <c r="AA1704">
        <v>487</v>
      </c>
    </row>
    <row r="1705" spans="1:27" x14ac:dyDescent="0.2">
      <c r="A1705" t="s">
        <v>1988</v>
      </c>
      <c r="B1705">
        <v>2018</v>
      </c>
      <c r="C1705" t="s">
        <v>2373</v>
      </c>
      <c r="D1705" t="s">
        <v>2374</v>
      </c>
      <c r="E1705" t="s">
        <v>29</v>
      </c>
      <c r="F1705" t="s">
        <v>30</v>
      </c>
      <c r="G1705">
        <v>3</v>
      </c>
      <c r="H1705">
        <v>0</v>
      </c>
      <c r="I1705">
        <v>8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 t="s">
        <v>31</v>
      </c>
      <c r="Z1705">
        <v>55</v>
      </c>
      <c r="AA1705">
        <v>0</v>
      </c>
    </row>
    <row r="1706" spans="1:27" x14ac:dyDescent="0.2">
      <c r="A1706" t="s">
        <v>876</v>
      </c>
      <c r="B1706">
        <v>2022</v>
      </c>
      <c r="C1706">
        <v>41208061</v>
      </c>
      <c r="D1706" t="s">
        <v>878</v>
      </c>
      <c r="E1706" t="s">
        <v>29</v>
      </c>
      <c r="F1706" t="s">
        <v>41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1</v>
      </c>
      <c r="T1706">
        <v>0</v>
      </c>
      <c r="U1706">
        <v>1</v>
      </c>
      <c r="V1706">
        <v>0</v>
      </c>
      <c r="W1706">
        <v>0</v>
      </c>
      <c r="X1706">
        <v>0</v>
      </c>
      <c r="Y1706" t="s">
        <v>31</v>
      </c>
      <c r="Z1706">
        <v>0</v>
      </c>
      <c r="AA1706">
        <v>25</v>
      </c>
    </row>
    <row r="1707" spans="1:27" x14ac:dyDescent="0.2">
      <c r="A1707" t="s">
        <v>1500</v>
      </c>
      <c r="B1707">
        <v>2023</v>
      </c>
      <c r="C1707">
        <v>5802029081</v>
      </c>
      <c r="D1707" t="s">
        <v>2375</v>
      </c>
      <c r="E1707" t="s">
        <v>29</v>
      </c>
      <c r="F1707" t="s">
        <v>30</v>
      </c>
      <c r="G1707">
        <v>0</v>
      </c>
      <c r="H1707">
        <v>0</v>
      </c>
      <c r="I1707">
        <v>1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 t="s">
        <v>31</v>
      </c>
      <c r="Z1707">
        <v>55</v>
      </c>
      <c r="AA1707">
        <v>13</v>
      </c>
    </row>
    <row r="1708" spans="1:27" x14ac:dyDescent="0.2">
      <c r="A1708" t="s">
        <v>533</v>
      </c>
      <c r="B1708">
        <v>2019</v>
      </c>
      <c r="C1708" t="s">
        <v>2376</v>
      </c>
      <c r="D1708" t="s">
        <v>2377</v>
      </c>
      <c r="E1708" t="s">
        <v>29</v>
      </c>
      <c r="F1708" t="s">
        <v>30</v>
      </c>
      <c r="G1708">
        <v>31</v>
      </c>
      <c r="H1708">
        <v>0</v>
      </c>
      <c r="I1708">
        <v>28</v>
      </c>
      <c r="J1708">
        <v>0</v>
      </c>
      <c r="K1708">
        <v>0</v>
      </c>
      <c r="L1708">
        <v>0</v>
      </c>
      <c r="M1708">
        <v>31</v>
      </c>
      <c r="N1708">
        <v>0</v>
      </c>
      <c r="O1708">
        <v>28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 t="s">
        <v>31</v>
      </c>
      <c r="Z1708">
        <v>1000</v>
      </c>
      <c r="AA1708">
        <v>0</v>
      </c>
    </row>
    <row r="1709" spans="1:27" x14ac:dyDescent="0.2">
      <c r="A1709" t="s">
        <v>1537</v>
      </c>
      <c r="B1709">
        <v>2023</v>
      </c>
      <c r="C1709" t="s">
        <v>1538</v>
      </c>
      <c r="D1709" t="s">
        <v>2378</v>
      </c>
      <c r="E1709" t="s">
        <v>29</v>
      </c>
      <c r="F1709" t="s">
        <v>30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8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 t="s">
        <v>31</v>
      </c>
      <c r="AA1709">
        <v>26</v>
      </c>
    </row>
    <row r="1710" spans="1:27" x14ac:dyDescent="0.2">
      <c r="A1710" t="s">
        <v>291</v>
      </c>
      <c r="B1710">
        <v>2018</v>
      </c>
      <c r="C1710" t="s">
        <v>2379</v>
      </c>
      <c r="D1710" t="s">
        <v>2380</v>
      </c>
      <c r="E1710" t="s">
        <v>29</v>
      </c>
      <c r="F1710" t="s">
        <v>30</v>
      </c>
      <c r="G1710">
        <v>24</v>
      </c>
      <c r="H1710">
        <v>0</v>
      </c>
      <c r="I1710">
        <v>55</v>
      </c>
      <c r="J1710">
        <v>0</v>
      </c>
      <c r="K1710">
        <v>21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 t="s">
        <v>51</v>
      </c>
      <c r="Z1710">
        <v>55</v>
      </c>
      <c r="AA1710">
        <v>0</v>
      </c>
    </row>
    <row r="1711" spans="1:27" x14ac:dyDescent="0.2">
      <c r="A1711" t="s">
        <v>291</v>
      </c>
      <c r="B1711">
        <v>2018</v>
      </c>
      <c r="C1711" t="s">
        <v>2381</v>
      </c>
      <c r="D1711" t="s">
        <v>2382</v>
      </c>
      <c r="E1711" t="s">
        <v>29</v>
      </c>
      <c r="F1711" t="s">
        <v>30</v>
      </c>
      <c r="G1711">
        <v>0</v>
      </c>
      <c r="H1711">
        <v>0</v>
      </c>
      <c r="I1711">
        <v>45</v>
      </c>
      <c r="J1711">
        <v>0</v>
      </c>
      <c r="K1711">
        <v>22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 t="s">
        <v>51</v>
      </c>
      <c r="Z1711">
        <v>55</v>
      </c>
      <c r="AA1711">
        <v>0</v>
      </c>
    </row>
    <row r="1712" spans="1:27" x14ac:dyDescent="0.2">
      <c r="A1712" t="s">
        <v>876</v>
      </c>
      <c r="B1712">
        <v>2022</v>
      </c>
      <c r="C1712">
        <v>41208061</v>
      </c>
      <c r="D1712" t="s">
        <v>1096</v>
      </c>
      <c r="E1712" t="s">
        <v>29</v>
      </c>
      <c r="F1712" t="s">
        <v>41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1</v>
      </c>
      <c r="T1712">
        <v>0</v>
      </c>
      <c r="U1712">
        <v>0</v>
      </c>
      <c r="V1712">
        <v>0</v>
      </c>
      <c r="W1712">
        <v>0</v>
      </c>
      <c r="X1712">
        <v>0</v>
      </c>
      <c r="Y1712" t="s">
        <v>51</v>
      </c>
      <c r="Z1712">
        <v>45</v>
      </c>
      <c r="AA1712">
        <v>0</v>
      </c>
    </row>
    <row r="1713" spans="1:27" x14ac:dyDescent="0.2">
      <c r="A1713" t="s">
        <v>1500</v>
      </c>
      <c r="B1713">
        <v>2023</v>
      </c>
      <c r="C1713">
        <v>6009029060</v>
      </c>
      <c r="D1713" t="s">
        <v>2383</v>
      </c>
      <c r="E1713" t="s">
        <v>29</v>
      </c>
      <c r="F1713" t="s">
        <v>30</v>
      </c>
      <c r="G1713">
        <v>9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 t="s">
        <v>31</v>
      </c>
      <c r="Z1713">
        <v>55</v>
      </c>
      <c r="AA1713">
        <v>55</v>
      </c>
    </row>
    <row r="1714" spans="1:27" x14ac:dyDescent="0.2">
      <c r="A1714" t="s">
        <v>2384</v>
      </c>
      <c r="B1714">
        <v>2018</v>
      </c>
      <c r="C1714" t="s">
        <v>2385</v>
      </c>
      <c r="D1714" t="s">
        <v>2386</v>
      </c>
      <c r="E1714" t="s">
        <v>29</v>
      </c>
      <c r="F1714" t="s">
        <v>30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2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 t="s">
        <v>31</v>
      </c>
      <c r="Z1714">
        <v>55</v>
      </c>
      <c r="AA1714">
        <v>0</v>
      </c>
    </row>
    <row r="1715" spans="1:27" x14ac:dyDescent="0.2">
      <c r="A1715" t="s">
        <v>514</v>
      </c>
      <c r="B1715">
        <v>2020</v>
      </c>
      <c r="C1715" t="s">
        <v>2387</v>
      </c>
      <c r="D1715" t="s">
        <v>2388</v>
      </c>
      <c r="E1715" t="s">
        <v>29</v>
      </c>
      <c r="F1715" t="s">
        <v>30</v>
      </c>
      <c r="G1715">
        <v>8</v>
      </c>
      <c r="H1715">
        <v>0</v>
      </c>
      <c r="I1715">
        <v>67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 t="s">
        <v>31</v>
      </c>
      <c r="Z1715">
        <v>55</v>
      </c>
      <c r="AA1715">
        <v>0</v>
      </c>
    </row>
    <row r="1716" spans="1:27" x14ac:dyDescent="0.2">
      <c r="A1716" t="s">
        <v>2268</v>
      </c>
      <c r="B1716">
        <v>2023</v>
      </c>
      <c r="C1716" t="s">
        <v>2389</v>
      </c>
      <c r="D1716" t="s">
        <v>2390</v>
      </c>
      <c r="E1716" t="s">
        <v>29</v>
      </c>
      <c r="F1716" t="s">
        <v>41</v>
      </c>
      <c r="G1716">
        <v>0</v>
      </c>
      <c r="H1716">
        <v>0</v>
      </c>
      <c r="I1716">
        <v>10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 t="s">
        <v>51</v>
      </c>
      <c r="Z1716">
        <v>1000</v>
      </c>
      <c r="AA1716">
        <v>0</v>
      </c>
    </row>
    <row r="1717" spans="1:27" x14ac:dyDescent="0.2">
      <c r="A1717" t="s">
        <v>387</v>
      </c>
      <c r="B1717">
        <v>2023</v>
      </c>
      <c r="C1717" t="s">
        <v>2391</v>
      </c>
      <c r="D1717" t="s">
        <v>2392</v>
      </c>
      <c r="E1717" t="s">
        <v>29</v>
      </c>
      <c r="F1717" t="s">
        <v>30</v>
      </c>
      <c r="G1717">
        <v>4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 t="s">
        <v>31</v>
      </c>
      <c r="Z1717">
        <v>1000</v>
      </c>
      <c r="AA1717">
        <v>35</v>
      </c>
    </row>
    <row r="1718" spans="1:27" x14ac:dyDescent="0.2">
      <c r="A1718" t="s">
        <v>708</v>
      </c>
      <c r="B1718">
        <v>2020</v>
      </c>
      <c r="C1718" t="s">
        <v>2393</v>
      </c>
      <c r="E1718" t="s">
        <v>29</v>
      </c>
      <c r="F1718" t="s">
        <v>30</v>
      </c>
      <c r="G1718">
        <v>0</v>
      </c>
      <c r="H1718">
        <v>0</v>
      </c>
      <c r="I1718">
        <v>0</v>
      </c>
      <c r="J1718">
        <v>0</v>
      </c>
      <c r="K1718">
        <v>1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 t="s">
        <v>51</v>
      </c>
      <c r="AA1718">
        <v>0</v>
      </c>
    </row>
    <row r="1719" spans="1:27" x14ac:dyDescent="0.2">
      <c r="A1719" t="s">
        <v>1558</v>
      </c>
      <c r="B1719">
        <v>2023</v>
      </c>
      <c r="C1719" t="s">
        <v>1559</v>
      </c>
      <c r="D1719" t="s">
        <v>2394</v>
      </c>
      <c r="E1719" t="s">
        <v>29</v>
      </c>
      <c r="F1719" t="s">
        <v>41</v>
      </c>
      <c r="G1719">
        <v>0</v>
      </c>
      <c r="H1719">
        <v>0</v>
      </c>
      <c r="I1719">
        <v>1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 t="s">
        <v>31</v>
      </c>
      <c r="AA1719">
        <v>0</v>
      </c>
    </row>
    <row r="1720" spans="1:27" x14ac:dyDescent="0.2">
      <c r="A1720" t="s">
        <v>2395</v>
      </c>
      <c r="B1720">
        <v>2020</v>
      </c>
      <c r="C1720" t="s">
        <v>2396</v>
      </c>
      <c r="D1720" t="s">
        <v>2397</v>
      </c>
      <c r="E1720" t="s">
        <v>29</v>
      </c>
      <c r="F1720" t="s">
        <v>41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1</v>
      </c>
      <c r="X1720">
        <v>0</v>
      </c>
      <c r="Y1720" t="s">
        <v>51</v>
      </c>
      <c r="Z1720">
        <v>45</v>
      </c>
      <c r="AA1720">
        <v>0</v>
      </c>
    </row>
    <row r="1721" spans="1:27" x14ac:dyDescent="0.2">
      <c r="A1721" t="s">
        <v>1541</v>
      </c>
      <c r="B1721">
        <v>2020</v>
      </c>
      <c r="C1721" t="s">
        <v>1542</v>
      </c>
      <c r="D1721" t="s">
        <v>2398</v>
      </c>
      <c r="E1721" t="s">
        <v>29</v>
      </c>
      <c r="F1721" t="s">
        <v>30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15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 t="s">
        <v>31</v>
      </c>
      <c r="Z1721">
        <v>55</v>
      </c>
      <c r="AA1721">
        <v>0</v>
      </c>
    </row>
    <row r="1722" spans="1:27" x14ac:dyDescent="0.2">
      <c r="A1722" t="s">
        <v>219</v>
      </c>
      <c r="B1722">
        <v>2021</v>
      </c>
      <c r="C1722" t="s">
        <v>2399</v>
      </c>
      <c r="D1722" t="s">
        <v>2400</v>
      </c>
      <c r="E1722" t="s">
        <v>29</v>
      </c>
      <c r="F1722" t="s">
        <v>30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20</v>
      </c>
      <c r="T1722">
        <v>0</v>
      </c>
      <c r="U1722">
        <v>30</v>
      </c>
      <c r="V1722">
        <v>0</v>
      </c>
      <c r="W1722">
        <v>0</v>
      </c>
      <c r="X1722">
        <v>0</v>
      </c>
      <c r="Y1722" t="s">
        <v>51</v>
      </c>
      <c r="Z1722">
        <v>55</v>
      </c>
      <c r="AA1722">
        <v>0</v>
      </c>
    </row>
    <row r="1723" spans="1:27" x14ac:dyDescent="0.2">
      <c r="A1723" t="s">
        <v>219</v>
      </c>
      <c r="B1723">
        <v>2021</v>
      </c>
      <c r="C1723" t="s">
        <v>220</v>
      </c>
      <c r="D1723" t="s">
        <v>221</v>
      </c>
      <c r="E1723" t="s">
        <v>29</v>
      </c>
      <c r="F1723" t="s">
        <v>30</v>
      </c>
      <c r="G1723">
        <v>16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16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 t="s">
        <v>31</v>
      </c>
      <c r="Z1723">
        <v>55</v>
      </c>
      <c r="AA1723">
        <v>70</v>
      </c>
    </row>
    <row r="1724" spans="1:27" x14ac:dyDescent="0.2">
      <c r="A1724" t="s">
        <v>318</v>
      </c>
      <c r="B1724">
        <v>2018</v>
      </c>
      <c r="C1724">
        <v>-3730</v>
      </c>
      <c r="D1724" t="s">
        <v>2401</v>
      </c>
      <c r="E1724" t="s">
        <v>29</v>
      </c>
      <c r="F1724" t="s">
        <v>41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1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 t="s">
        <v>51</v>
      </c>
      <c r="Z1724">
        <v>30</v>
      </c>
      <c r="AA1724">
        <v>0</v>
      </c>
    </row>
    <row r="1725" spans="1:27" x14ac:dyDescent="0.2">
      <c r="A1725" t="s">
        <v>318</v>
      </c>
      <c r="B1725">
        <v>2018</v>
      </c>
      <c r="C1725">
        <v>-3945</v>
      </c>
      <c r="D1725" t="s">
        <v>2402</v>
      </c>
      <c r="E1725" t="s">
        <v>29</v>
      </c>
      <c r="F1725" t="s">
        <v>41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1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 t="s">
        <v>51</v>
      </c>
      <c r="Z1725">
        <v>30</v>
      </c>
      <c r="AA1725">
        <v>0</v>
      </c>
    </row>
    <row r="1726" spans="1:27" x14ac:dyDescent="0.2">
      <c r="A1726" t="s">
        <v>318</v>
      </c>
      <c r="B1726">
        <v>2018</v>
      </c>
      <c r="C1726">
        <v>20565063</v>
      </c>
      <c r="D1726" t="s">
        <v>2403</v>
      </c>
      <c r="E1726" t="s">
        <v>29</v>
      </c>
      <c r="F1726" t="s">
        <v>41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1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1</v>
      </c>
      <c r="X1726">
        <v>0</v>
      </c>
      <c r="Y1726" t="s">
        <v>51</v>
      </c>
      <c r="Z1726">
        <v>30</v>
      </c>
      <c r="AA1726">
        <v>0</v>
      </c>
    </row>
    <row r="1727" spans="1:27" x14ac:dyDescent="0.2">
      <c r="A1727" t="s">
        <v>318</v>
      </c>
      <c r="B1727">
        <v>2018</v>
      </c>
      <c r="C1727">
        <v>20946041</v>
      </c>
      <c r="D1727" t="s">
        <v>2404</v>
      </c>
      <c r="E1727" t="s">
        <v>29</v>
      </c>
      <c r="F1727" t="s">
        <v>41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1</v>
      </c>
      <c r="X1727">
        <v>0</v>
      </c>
      <c r="Y1727" t="s">
        <v>51</v>
      </c>
      <c r="Z1727">
        <v>30</v>
      </c>
      <c r="AA1727">
        <v>0</v>
      </c>
    </row>
    <row r="1728" spans="1:27" x14ac:dyDescent="0.2">
      <c r="A1728" t="s">
        <v>318</v>
      </c>
      <c r="B1728">
        <v>2018</v>
      </c>
      <c r="C1728">
        <v>20947034</v>
      </c>
      <c r="D1728" t="s">
        <v>2405</v>
      </c>
      <c r="E1728" t="s">
        <v>29</v>
      </c>
      <c r="F1728" t="s">
        <v>41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1</v>
      </c>
      <c r="X1728">
        <v>0</v>
      </c>
      <c r="Y1728" t="s">
        <v>51</v>
      </c>
      <c r="Z1728">
        <v>30</v>
      </c>
      <c r="AA1728">
        <v>0</v>
      </c>
    </row>
    <row r="1729" spans="1:27" x14ac:dyDescent="0.2">
      <c r="A1729" t="s">
        <v>318</v>
      </c>
      <c r="B1729">
        <v>2018</v>
      </c>
      <c r="C1729">
        <v>20908049</v>
      </c>
      <c r="D1729" t="s">
        <v>2406</v>
      </c>
      <c r="E1729" t="s">
        <v>29</v>
      </c>
      <c r="F1729" t="s">
        <v>41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1</v>
      </c>
      <c r="X1729">
        <v>0</v>
      </c>
      <c r="Y1729" t="s">
        <v>51</v>
      </c>
      <c r="Z1729">
        <v>30</v>
      </c>
      <c r="AA1729">
        <v>0</v>
      </c>
    </row>
    <row r="1730" spans="1:27" x14ac:dyDescent="0.2">
      <c r="A1730" t="s">
        <v>318</v>
      </c>
      <c r="B1730">
        <v>2018</v>
      </c>
      <c r="C1730">
        <v>20565057</v>
      </c>
      <c r="D1730" t="s">
        <v>2407</v>
      </c>
      <c r="E1730" t="s">
        <v>29</v>
      </c>
      <c r="F1730" t="s">
        <v>41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1</v>
      </c>
      <c r="X1730">
        <v>0</v>
      </c>
      <c r="Y1730" t="s">
        <v>51</v>
      </c>
      <c r="Z1730">
        <v>30</v>
      </c>
      <c r="AA1730">
        <v>0</v>
      </c>
    </row>
    <row r="1731" spans="1:27" x14ac:dyDescent="0.2">
      <c r="A1731" t="s">
        <v>318</v>
      </c>
      <c r="B1731">
        <v>2018</v>
      </c>
      <c r="C1731">
        <v>20565037</v>
      </c>
      <c r="D1731" t="s">
        <v>2408</v>
      </c>
      <c r="E1731" t="s">
        <v>29</v>
      </c>
      <c r="F1731" t="s">
        <v>41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1</v>
      </c>
      <c r="X1731">
        <v>0</v>
      </c>
      <c r="Y1731" t="s">
        <v>51</v>
      </c>
      <c r="Z1731">
        <v>30</v>
      </c>
      <c r="AA1731">
        <v>0</v>
      </c>
    </row>
    <row r="1732" spans="1:27" x14ac:dyDescent="0.2">
      <c r="A1732" t="s">
        <v>318</v>
      </c>
      <c r="B1732">
        <v>2018</v>
      </c>
      <c r="C1732">
        <v>20564023</v>
      </c>
      <c r="D1732" t="s">
        <v>2409</v>
      </c>
      <c r="E1732" t="s">
        <v>29</v>
      </c>
      <c r="F1732" t="s">
        <v>41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1</v>
      </c>
      <c r="X1732">
        <v>0</v>
      </c>
      <c r="Y1732" t="s">
        <v>51</v>
      </c>
      <c r="Z1732">
        <v>30</v>
      </c>
      <c r="AA1732">
        <v>0</v>
      </c>
    </row>
    <row r="1733" spans="1:27" x14ac:dyDescent="0.2">
      <c r="A1733" t="s">
        <v>412</v>
      </c>
      <c r="B1733">
        <v>2020</v>
      </c>
      <c r="C1733" t="s">
        <v>413</v>
      </c>
      <c r="D1733" t="s">
        <v>414</v>
      </c>
      <c r="E1733" t="s">
        <v>29</v>
      </c>
      <c r="F1733" t="s">
        <v>30</v>
      </c>
      <c r="G1733">
        <v>7</v>
      </c>
      <c r="H1733">
        <v>0</v>
      </c>
      <c r="I1733">
        <v>1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3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 t="s">
        <v>31</v>
      </c>
      <c r="AA1733">
        <v>0</v>
      </c>
    </row>
    <row r="1734" spans="1:27" x14ac:dyDescent="0.2">
      <c r="A1734" t="s">
        <v>412</v>
      </c>
      <c r="B1734">
        <v>2020</v>
      </c>
      <c r="C1734" t="s">
        <v>413</v>
      </c>
      <c r="D1734" t="s">
        <v>414</v>
      </c>
      <c r="E1734" t="s">
        <v>29</v>
      </c>
      <c r="F1734" t="s">
        <v>30</v>
      </c>
      <c r="G1734">
        <v>7</v>
      </c>
      <c r="H1734">
        <v>0</v>
      </c>
      <c r="I1734">
        <v>1</v>
      </c>
      <c r="J1734">
        <v>0</v>
      </c>
      <c r="K1734">
        <v>0</v>
      </c>
      <c r="L1734">
        <v>0</v>
      </c>
      <c r="M1734">
        <v>1</v>
      </c>
      <c r="N1734">
        <v>0</v>
      </c>
      <c r="O1734">
        <v>1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 t="s">
        <v>31</v>
      </c>
      <c r="AA1734">
        <v>0</v>
      </c>
    </row>
    <row r="1735" spans="1:27" x14ac:dyDescent="0.2">
      <c r="A1735" t="s">
        <v>412</v>
      </c>
      <c r="B1735">
        <v>2020</v>
      </c>
      <c r="C1735" t="s">
        <v>413</v>
      </c>
      <c r="D1735" t="s">
        <v>414</v>
      </c>
      <c r="E1735" t="s">
        <v>29</v>
      </c>
      <c r="F1735" t="s">
        <v>30</v>
      </c>
      <c r="G1735">
        <v>5</v>
      </c>
      <c r="H1735">
        <v>0</v>
      </c>
      <c r="I1735">
        <v>1</v>
      </c>
      <c r="J1735">
        <v>0</v>
      </c>
      <c r="K1735">
        <v>0</v>
      </c>
      <c r="L1735">
        <v>0</v>
      </c>
      <c r="M1735">
        <v>1</v>
      </c>
      <c r="N1735">
        <v>0</v>
      </c>
      <c r="O1735">
        <v>1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 t="s">
        <v>31</v>
      </c>
      <c r="AA1735">
        <v>0</v>
      </c>
    </row>
    <row r="1736" spans="1:27" x14ac:dyDescent="0.2">
      <c r="A1736" t="s">
        <v>412</v>
      </c>
      <c r="B1736">
        <v>2020</v>
      </c>
      <c r="C1736" t="s">
        <v>413</v>
      </c>
      <c r="D1736" t="s">
        <v>2410</v>
      </c>
      <c r="E1736" t="s">
        <v>29</v>
      </c>
      <c r="F1736" t="s">
        <v>30</v>
      </c>
      <c r="G1736">
        <v>7</v>
      </c>
      <c r="H1736">
        <v>0</v>
      </c>
      <c r="I1736">
        <v>1</v>
      </c>
      <c r="J1736">
        <v>0</v>
      </c>
      <c r="K1736">
        <v>0</v>
      </c>
      <c r="L1736">
        <v>0</v>
      </c>
      <c r="M1736">
        <v>1</v>
      </c>
      <c r="N1736">
        <v>0</v>
      </c>
      <c r="O1736">
        <v>1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 t="s">
        <v>31</v>
      </c>
      <c r="AA1736">
        <v>0</v>
      </c>
    </row>
    <row r="1737" spans="1:27" x14ac:dyDescent="0.2">
      <c r="A1737" t="s">
        <v>2411</v>
      </c>
      <c r="B1737">
        <v>2018</v>
      </c>
      <c r="C1737" t="s">
        <v>2412</v>
      </c>
      <c r="D1737" t="s">
        <v>2413</v>
      </c>
      <c r="E1737" t="s">
        <v>29</v>
      </c>
      <c r="F1737" t="s">
        <v>41</v>
      </c>
      <c r="G1737">
        <v>0</v>
      </c>
      <c r="H1737">
        <v>0</v>
      </c>
      <c r="I1737">
        <v>20</v>
      </c>
      <c r="J1737">
        <v>0</v>
      </c>
      <c r="K1737">
        <v>28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 t="s">
        <v>51</v>
      </c>
      <c r="Z1737">
        <v>1000</v>
      </c>
      <c r="AA1737">
        <v>0</v>
      </c>
    </row>
    <row r="1738" spans="1:27" x14ac:dyDescent="0.2">
      <c r="A1738" t="s">
        <v>524</v>
      </c>
      <c r="B1738">
        <v>2018</v>
      </c>
      <c r="C1738">
        <v>55170320</v>
      </c>
      <c r="D1738" t="s">
        <v>2414</v>
      </c>
      <c r="E1738" t="s">
        <v>29</v>
      </c>
      <c r="F1738" t="s">
        <v>30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10</v>
      </c>
      <c r="T1738">
        <v>0</v>
      </c>
      <c r="U1738">
        <v>4</v>
      </c>
      <c r="V1738">
        <v>0</v>
      </c>
      <c r="W1738">
        <v>0</v>
      </c>
      <c r="X1738">
        <v>0</v>
      </c>
      <c r="Y1738" t="s">
        <v>51</v>
      </c>
      <c r="AA1738">
        <v>0</v>
      </c>
    </row>
    <row r="1739" spans="1:27" x14ac:dyDescent="0.2">
      <c r="A1739" t="s">
        <v>379</v>
      </c>
      <c r="B1739">
        <v>2022</v>
      </c>
      <c r="C1739" t="s">
        <v>2415</v>
      </c>
      <c r="D1739" t="s">
        <v>2416</v>
      </c>
      <c r="E1739" t="s">
        <v>29</v>
      </c>
      <c r="F1739" t="s">
        <v>30</v>
      </c>
      <c r="G1739">
        <v>0</v>
      </c>
      <c r="H1739">
        <v>0</v>
      </c>
      <c r="I1739">
        <v>171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 t="s">
        <v>31</v>
      </c>
      <c r="Z1739">
        <v>55</v>
      </c>
      <c r="AA1739">
        <v>0</v>
      </c>
    </row>
    <row r="1740" spans="1:27" x14ac:dyDescent="0.2">
      <c r="A1740" t="s">
        <v>2417</v>
      </c>
      <c r="B1740">
        <v>2021</v>
      </c>
      <c r="C1740">
        <v>5345004006</v>
      </c>
      <c r="D1740" t="s">
        <v>2418</v>
      </c>
      <c r="E1740" t="s">
        <v>29</v>
      </c>
      <c r="F1740" t="s">
        <v>30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 t="s">
        <v>51</v>
      </c>
      <c r="AA1740">
        <v>0</v>
      </c>
    </row>
    <row r="1741" spans="1:27" x14ac:dyDescent="0.2">
      <c r="A1741" t="s">
        <v>2419</v>
      </c>
      <c r="B1741">
        <v>2022</v>
      </c>
      <c r="C1741">
        <v>60237018</v>
      </c>
      <c r="D1741" t="s">
        <v>2420</v>
      </c>
      <c r="E1741" t="s">
        <v>29</v>
      </c>
      <c r="F1741" t="s">
        <v>30</v>
      </c>
      <c r="G1741">
        <v>0</v>
      </c>
      <c r="H1741">
        <v>0</v>
      </c>
      <c r="I1741">
        <v>3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3</v>
      </c>
      <c r="P1741">
        <v>0</v>
      </c>
      <c r="Q1741">
        <v>0</v>
      </c>
      <c r="R1741">
        <v>16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 t="s">
        <v>31</v>
      </c>
      <c r="Z1741">
        <v>30</v>
      </c>
      <c r="AA1741">
        <v>35</v>
      </c>
    </row>
    <row r="1742" spans="1:27" x14ac:dyDescent="0.2">
      <c r="A1742" t="s">
        <v>2421</v>
      </c>
      <c r="B1742">
        <v>2023</v>
      </c>
      <c r="C1742" t="s">
        <v>2422</v>
      </c>
      <c r="D1742" t="s">
        <v>2423</v>
      </c>
      <c r="E1742" t="s">
        <v>29</v>
      </c>
      <c r="F1742" t="s">
        <v>30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70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 t="s">
        <v>31</v>
      </c>
      <c r="Z1742">
        <v>55</v>
      </c>
      <c r="AA1742">
        <v>48</v>
      </c>
    </row>
    <row r="1743" spans="1:27" x14ac:dyDescent="0.2">
      <c r="A1743" t="s">
        <v>2424</v>
      </c>
      <c r="B1743">
        <v>2019</v>
      </c>
      <c r="C1743">
        <v>6320091375</v>
      </c>
      <c r="D1743" t="s">
        <v>2425</v>
      </c>
      <c r="E1743" t="s">
        <v>29</v>
      </c>
      <c r="F1743" t="s">
        <v>30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5</v>
      </c>
      <c r="T1743">
        <v>0</v>
      </c>
      <c r="U1743">
        <v>0</v>
      </c>
      <c r="V1743">
        <v>0</v>
      </c>
      <c r="W1743">
        <v>0</v>
      </c>
      <c r="X1743">
        <v>60</v>
      </c>
      <c r="Y1743" t="s">
        <v>31</v>
      </c>
      <c r="AA1743">
        <v>0</v>
      </c>
    </row>
    <row r="1744" spans="1:27" ht="102" x14ac:dyDescent="0.2">
      <c r="A1744" t="s">
        <v>1500</v>
      </c>
      <c r="B1744">
        <v>2021</v>
      </c>
      <c r="C1744">
        <v>5381035029</v>
      </c>
      <c r="D1744" s="1" t="s">
        <v>2426</v>
      </c>
      <c r="E1744" t="s">
        <v>29</v>
      </c>
      <c r="F1744" t="s">
        <v>30</v>
      </c>
      <c r="G1744">
        <v>11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 t="s">
        <v>31</v>
      </c>
      <c r="Z1744">
        <v>55</v>
      </c>
      <c r="AA1744">
        <v>35</v>
      </c>
    </row>
    <row r="1745" spans="1:27" ht="102" x14ac:dyDescent="0.2">
      <c r="A1745" t="s">
        <v>1500</v>
      </c>
      <c r="B1745">
        <v>2021</v>
      </c>
      <c r="C1745">
        <v>5810008001</v>
      </c>
      <c r="D1745" s="1" t="s">
        <v>2427</v>
      </c>
      <c r="E1745" t="s">
        <v>29</v>
      </c>
      <c r="F1745" t="s">
        <v>30</v>
      </c>
      <c r="G1745">
        <v>3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 t="s">
        <v>31</v>
      </c>
      <c r="Z1745">
        <v>55</v>
      </c>
      <c r="AA1745">
        <v>25</v>
      </c>
    </row>
    <row r="1746" spans="1:27" x14ac:dyDescent="0.2">
      <c r="A1746" t="s">
        <v>2428</v>
      </c>
      <c r="B1746">
        <v>2023</v>
      </c>
      <c r="C1746" t="s">
        <v>2429</v>
      </c>
      <c r="D1746" t="s">
        <v>2430</v>
      </c>
      <c r="E1746" t="s">
        <v>29</v>
      </c>
      <c r="F1746" t="s">
        <v>30</v>
      </c>
      <c r="G1746">
        <v>0</v>
      </c>
      <c r="H1746">
        <v>0</v>
      </c>
      <c r="I1746">
        <v>40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 t="s">
        <v>31</v>
      </c>
      <c r="AA1746">
        <v>80</v>
      </c>
    </row>
    <row r="1747" spans="1:27" x14ac:dyDescent="0.2">
      <c r="A1747" t="s">
        <v>1524</v>
      </c>
      <c r="B1747">
        <v>2023</v>
      </c>
      <c r="C1747">
        <v>43060101</v>
      </c>
      <c r="D1747" t="s">
        <v>1587</v>
      </c>
      <c r="E1747" t="s">
        <v>29</v>
      </c>
      <c r="F1747" t="s">
        <v>30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73</v>
      </c>
      <c r="T1747">
        <v>0</v>
      </c>
      <c r="U1747">
        <v>0</v>
      </c>
      <c r="V1747">
        <v>0</v>
      </c>
      <c r="W1747">
        <v>0</v>
      </c>
      <c r="X1747">
        <v>2</v>
      </c>
      <c r="Y1747" t="s">
        <v>31</v>
      </c>
      <c r="Z1747">
        <v>55</v>
      </c>
      <c r="AA1747">
        <v>0</v>
      </c>
    </row>
    <row r="1748" spans="1:27" x14ac:dyDescent="0.2">
      <c r="A1748" t="s">
        <v>1449</v>
      </c>
      <c r="B1748">
        <v>2022</v>
      </c>
      <c r="C1748" t="s">
        <v>2431</v>
      </c>
      <c r="D1748" t="s">
        <v>2432</v>
      </c>
      <c r="E1748" t="s">
        <v>29</v>
      </c>
      <c r="F1748" t="s">
        <v>30</v>
      </c>
      <c r="G1748">
        <v>5</v>
      </c>
      <c r="H1748">
        <v>0</v>
      </c>
      <c r="I1748">
        <v>1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 t="s">
        <v>31</v>
      </c>
      <c r="Z1748">
        <v>1000</v>
      </c>
      <c r="AA1748">
        <v>50</v>
      </c>
    </row>
    <row r="1749" spans="1:27" x14ac:dyDescent="0.2">
      <c r="A1749" t="s">
        <v>1509</v>
      </c>
      <c r="B1749">
        <v>2022</v>
      </c>
      <c r="C1749">
        <v>1560180485</v>
      </c>
      <c r="D1749" t="s">
        <v>2433</v>
      </c>
      <c r="E1749" t="s">
        <v>29</v>
      </c>
      <c r="F1749" t="s">
        <v>30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24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 t="s">
        <v>31</v>
      </c>
      <c r="Z1749">
        <v>1000</v>
      </c>
      <c r="AA1749">
        <v>80</v>
      </c>
    </row>
    <row r="1750" spans="1:27" x14ac:dyDescent="0.2">
      <c r="A1750" t="s">
        <v>1509</v>
      </c>
      <c r="B1750">
        <v>2022</v>
      </c>
      <c r="C1750">
        <v>1560180485</v>
      </c>
      <c r="D1750" t="s">
        <v>2434</v>
      </c>
      <c r="E1750" t="s">
        <v>29</v>
      </c>
      <c r="F1750" t="s">
        <v>30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12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 t="s">
        <v>31</v>
      </c>
      <c r="Z1750">
        <v>1000</v>
      </c>
      <c r="AA1750">
        <v>80</v>
      </c>
    </row>
    <row r="1751" spans="1:27" x14ac:dyDescent="0.2">
      <c r="A1751" t="s">
        <v>387</v>
      </c>
      <c r="B1751">
        <v>2018</v>
      </c>
      <c r="C1751" t="s">
        <v>2435</v>
      </c>
      <c r="D1751" t="s">
        <v>2436</v>
      </c>
      <c r="E1751" t="s">
        <v>29</v>
      </c>
      <c r="F1751" t="s">
        <v>30</v>
      </c>
      <c r="G1751">
        <v>1</v>
      </c>
      <c r="H1751">
        <v>0</v>
      </c>
      <c r="I1751">
        <v>0</v>
      </c>
      <c r="J1751">
        <v>6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 t="s">
        <v>51</v>
      </c>
      <c r="Z1751">
        <v>1000</v>
      </c>
      <c r="AA1751">
        <v>0</v>
      </c>
    </row>
    <row r="1752" spans="1:27" x14ac:dyDescent="0.2">
      <c r="A1752" t="s">
        <v>1653</v>
      </c>
      <c r="B1752">
        <v>2018</v>
      </c>
      <c r="D1752" t="s">
        <v>2437</v>
      </c>
      <c r="E1752" t="s">
        <v>29</v>
      </c>
      <c r="F1752" t="s">
        <v>41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1</v>
      </c>
      <c r="P1752">
        <v>0</v>
      </c>
      <c r="Q1752">
        <v>3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 t="s">
        <v>51</v>
      </c>
      <c r="AA1752">
        <v>0</v>
      </c>
    </row>
    <row r="1753" spans="1:27" x14ac:dyDescent="0.2">
      <c r="A1753" t="s">
        <v>1658</v>
      </c>
      <c r="B1753">
        <v>2018</v>
      </c>
      <c r="C1753" t="s">
        <v>2438</v>
      </c>
      <c r="D1753" t="s">
        <v>2439</v>
      </c>
      <c r="E1753" t="s">
        <v>29</v>
      </c>
      <c r="F1753" t="s">
        <v>30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5</v>
      </c>
      <c r="N1753">
        <v>0</v>
      </c>
      <c r="O1753">
        <v>4</v>
      </c>
      <c r="P1753">
        <v>0</v>
      </c>
      <c r="Q1753">
        <v>0</v>
      </c>
      <c r="R1753">
        <v>39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 t="s">
        <v>51</v>
      </c>
      <c r="AA1753">
        <v>0</v>
      </c>
    </row>
    <row r="1754" spans="1:27" x14ac:dyDescent="0.2">
      <c r="A1754" t="s">
        <v>835</v>
      </c>
      <c r="B1754">
        <v>2019</v>
      </c>
      <c r="C1754" s="2" t="s">
        <v>1439</v>
      </c>
      <c r="D1754" t="s">
        <v>1440</v>
      </c>
      <c r="E1754" t="s">
        <v>29</v>
      </c>
      <c r="F1754" t="s">
        <v>41</v>
      </c>
      <c r="G1754">
        <v>0</v>
      </c>
      <c r="H1754">
        <v>0</v>
      </c>
      <c r="I1754">
        <v>0</v>
      </c>
      <c r="J1754">
        <v>0</v>
      </c>
      <c r="K1754">
        <v>2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 t="s">
        <v>51</v>
      </c>
      <c r="Z1754">
        <v>55</v>
      </c>
      <c r="AA1754">
        <v>0</v>
      </c>
    </row>
    <row r="1755" spans="1:27" x14ac:dyDescent="0.2">
      <c r="A1755" t="s">
        <v>835</v>
      </c>
      <c r="B1755">
        <v>2019</v>
      </c>
      <c r="C1755" t="s">
        <v>1260</v>
      </c>
      <c r="D1755" t="s">
        <v>1261</v>
      </c>
      <c r="E1755" t="s">
        <v>29</v>
      </c>
      <c r="F1755" t="s">
        <v>30</v>
      </c>
      <c r="G1755">
        <v>55</v>
      </c>
      <c r="H1755">
        <v>0</v>
      </c>
      <c r="I1755">
        <v>103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 t="s">
        <v>51</v>
      </c>
      <c r="Z1755">
        <v>55</v>
      </c>
      <c r="AA1755">
        <v>0</v>
      </c>
    </row>
    <row r="1756" spans="1:27" x14ac:dyDescent="0.2">
      <c r="A1756" t="s">
        <v>387</v>
      </c>
      <c r="B1756">
        <v>2023</v>
      </c>
      <c r="C1756" t="s">
        <v>2440</v>
      </c>
      <c r="D1756" t="s">
        <v>2441</v>
      </c>
      <c r="E1756" t="s">
        <v>29</v>
      </c>
      <c r="F1756" t="s">
        <v>30</v>
      </c>
      <c r="G1756">
        <v>28</v>
      </c>
      <c r="H1756">
        <v>0</v>
      </c>
      <c r="I1756">
        <v>9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 t="s">
        <v>31</v>
      </c>
      <c r="Z1756">
        <v>1000</v>
      </c>
      <c r="AA1756">
        <v>50</v>
      </c>
    </row>
    <row r="1757" spans="1:27" x14ac:dyDescent="0.2">
      <c r="A1757" t="s">
        <v>387</v>
      </c>
      <c r="B1757">
        <v>2023</v>
      </c>
      <c r="C1757" t="s">
        <v>2442</v>
      </c>
      <c r="D1757" t="s">
        <v>2443</v>
      </c>
      <c r="E1757" t="s">
        <v>29</v>
      </c>
      <c r="F1757" t="s">
        <v>30</v>
      </c>
      <c r="G1757">
        <v>14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 t="s">
        <v>31</v>
      </c>
      <c r="Z1757">
        <v>1000</v>
      </c>
      <c r="AA1757">
        <v>50</v>
      </c>
    </row>
    <row r="1758" spans="1:27" x14ac:dyDescent="0.2">
      <c r="A1758" t="s">
        <v>2268</v>
      </c>
      <c r="B1758">
        <v>2023</v>
      </c>
      <c r="C1758">
        <v>51361050</v>
      </c>
      <c r="D1758" t="s">
        <v>2444</v>
      </c>
      <c r="E1758" t="s">
        <v>29</v>
      </c>
      <c r="F1758" t="s">
        <v>41</v>
      </c>
      <c r="G1758">
        <v>2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 t="s">
        <v>51</v>
      </c>
      <c r="Z1758">
        <v>1000</v>
      </c>
      <c r="AA1758">
        <v>0</v>
      </c>
    </row>
    <row r="1759" spans="1:27" x14ac:dyDescent="0.2">
      <c r="A1759" t="s">
        <v>387</v>
      </c>
      <c r="B1759">
        <v>2023</v>
      </c>
      <c r="C1759" t="s">
        <v>2445</v>
      </c>
      <c r="D1759" t="s">
        <v>2446</v>
      </c>
      <c r="E1759" t="s">
        <v>29</v>
      </c>
      <c r="F1759" t="s">
        <v>30</v>
      </c>
      <c r="G1759">
        <v>4</v>
      </c>
      <c r="H1759">
        <v>0</v>
      </c>
      <c r="I1759">
        <v>3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 t="s">
        <v>31</v>
      </c>
      <c r="Z1759">
        <v>1000</v>
      </c>
      <c r="AA1759">
        <v>35</v>
      </c>
    </row>
    <row r="1760" spans="1:27" x14ac:dyDescent="0.2">
      <c r="A1760" t="s">
        <v>387</v>
      </c>
      <c r="B1760">
        <v>2023</v>
      </c>
      <c r="C1760" t="s">
        <v>1182</v>
      </c>
      <c r="D1760" t="s">
        <v>1183</v>
      </c>
      <c r="E1760" t="s">
        <v>29</v>
      </c>
      <c r="F1760" t="s">
        <v>30</v>
      </c>
      <c r="G1760">
        <v>4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 t="s">
        <v>31</v>
      </c>
      <c r="AA1760">
        <v>50</v>
      </c>
    </row>
    <row r="1761" spans="1:27" x14ac:dyDescent="0.2">
      <c r="A1761" t="s">
        <v>2417</v>
      </c>
      <c r="B1761">
        <v>2021</v>
      </c>
      <c r="C1761">
        <v>5337001001</v>
      </c>
      <c r="D1761" t="s">
        <v>2447</v>
      </c>
      <c r="E1761" t="s">
        <v>29</v>
      </c>
      <c r="F1761" t="s">
        <v>30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 t="s">
        <v>51</v>
      </c>
      <c r="AA1761">
        <v>0</v>
      </c>
    </row>
    <row r="1762" spans="1:27" x14ac:dyDescent="0.2">
      <c r="A1762" t="s">
        <v>313</v>
      </c>
      <c r="B1762">
        <v>2019</v>
      </c>
      <c r="C1762" t="s">
        <v>2448</v>
      </c>
      <c r="D1762" t="s">
        <v>2449</v>
      </c>
      <c r="E1762" t="s">
        <v>29</v>
      </c>
      <c r="F1762" t="s">
        <v>30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39</v>
      </c>
      <c r="T1762">
        <v>0</v>
      </c>
      <c r="U1762">
        <v>40</v>
      </c>
      <c r="V1762">
        <v>0</v>
      </c>
      <c r="W1762">
        <v>1</v>
      </c>
      <c r="X1762">
        <v>0</v>
      </c>
      <c r="Y1762" t="s">
        <v>31</v>
      </c>
      <c r="Z1762">
        <v>85</v>
      </c>
      <c r="AA1762">
        <v>0</v>
      </c>
    </row>
    <row r="1763" spans="1:27" x14ac:dyDescent="0.2">
      <c r="A1763" t="s">
        <v>600</v>
      </c>
      <c r="B1763">
        <v>2019</v>
      </c>
      <c r="C1763">
        <v>3532013</v>
      </c>
      <c r="D1763" t="s">
        <v>2450</v>
      </c>
      <c r="E1763" t="s">
        <v>29</v>
      </c>
      <c r="F1763" t="s">
        <v>30</v>
      </c>
      <c r="G1763">
        <v>5</v>
      </c>
      <c r="H1763">
        <v>0</v>
      </c>
      <c r="I1763">
        <v>1</v>
      </c>
      <c r="J1763">
        <v>0</v>
      </c>
      <c r="K1763">
        <v>2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 t="s">
        <v>31</v>
      </c>
      <c r="AA1763">
        <v>0</v>
      </c>
    </row>
    <row r="1764" spans="1:27" x14ac:dyDescent="0.2">
      <c r="A1764" t="s">
        <v>600</v>
      </c>
      <c r="B1764">
        <v>2019</v>
      </c>
      <c r="C1764">
        <v>6571012</v>
      </c>
      <c r="D1764" t="s">
        <v>2451</v>
      </c>
      <c r="E1764" t="s">
        <v>29</v>
      </c>
      <c r="F1764" t="s">
        <v>41</v>
      </c>
      <c r="G1764">
        <v>0</v>
      </c>
      <c r="H1764">
        <v>0</v>
      </c>
      <c r="I1764">
        <v>6</v>
      </c>
      <c r="J1764">
        <v>0</v>
      </c>
      <c r="K1764">
        <v>2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 t="s">
        <v>51</v>
      </c>
      <c r="AA1764">
        <v>0</v>
      </c>
    </row>
    <row r="1765" spans="1:27" x14ac:dyDescent="0.2">
      <c r="A1765" t="s">
        <v>600</v>
      </c>
      <c r="B1765">
        <v>2019</v>
      </c>
      <c r="C1765">
        <v>3593001</v>
      </c>
      <c r="D1765" t="s">
        <v>2452</v>
      </c>
      <c r="E1765" t="s">
        <v>29</v>
      </c>
      <c r="F1765" t="s">
        <v>30</v>
      </c>
      <c r="G1765">
        <v>3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 t="s">
        <v>31</v>
      </c>
      <c r="AA1765">
        <v>0</v>
      </c>
    </row>
    <row r="1766" spans="1:27" x14ac:dyDescent="0.2">
      <c r="A1766" t="s">
        <v>600</v>
      </c>
      <c r="B1766">
        <v>2019</v>
      </c>
      <c r="C1766" s="2" t="s">
        <v>1937</v>
      </c>
      <c r="D1766" t="s">
        <v>1938</v>
      </c>
      <c r="E1766" t="s">
        <v>29</v>
      </c>
      <c r="F1766" t="s">
        <v>30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11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 t="s">
        <v>51</v>
      </c>
      <c r="AA1766">
        <v>0</v>
      </c>
    </row>
    <row r="1767" spans="1:27" x14ac:dyDescent="0.2">
      <c r="A1767" t="s">
        <v>2287</v>
      </c>
      <c r="B1767">
        <v>2018</v>
      </c>
      <c r="C1767" t="s">
        <v>2453</v>
      </c>
      <c r="D1767" t="s">
        <v>2454</v>
      </c>
      <c r="E1767" t="s">
        <v>29</v>
      </c>
      <c r="F1767" t="s">
        <v>30</v>
      </c>
      <c r="G1767">
        <v>2</v>
      </c>
      <c r="H1767">
        <v>0</v>
      </c>
      <c r="I1767">
        <v>2</v>
      </c>
      <c r="J1767">
        <v>0</v>
      </c>
      <c r="K1767">
        <v>10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 t="s">
        <v>51</v>
      </c>
      <c r="Z1767">
        <v>99</v>
      </c>
      <c r="AA1767">
        <v>0</v>
      </c>
    </row>
    <row r="1768" spans="1:27" x14ac:dyDescent="0.2">
      <c r="A1768" t="s">
        <v>2384</v>
      </c>
      <c r="B1768">
        <v>2018</v>
      </c>
      <c r="C1768" t="s">
        <v>2455</v>
      </c>
      <c r="D1768" t="s">
        <v>2456</v>
      </c>
      <c r="E1768" t="s">
        <v>29</v>
      </c>
      <c r="F1768" t="s">
        <v>30</v>
      </c>
      <c r="G1768">
        <v>0</v>
      </c>
      <c r="H1768">
        <v>0</v>
      </c>
      <c r="I1768">
        <v>4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 t="s">
        <v>31</v>
      </c>
      <c r="AA1768">
        <v>0</v>
      </c>
    </row>
    <row r="1769" spans="1:27" x14ac:dyDescent="0.2">
      <c r="A1769" t="s">
        <v>600</v>
      </c>
      <c r="B1769">
        <v>2019</v>
      </c>
      <c r="C1769" t="s">
        <v>2457</v>
      </c>
      <c r="D1769" t="s">
        <v>2458</v>
      </c>
      <c r="E1769" t="s">
        <v>29</v>
      </c>
      <c r="F1769" t="s">
        <v>30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 t="s">
        <v>51</v>
      </c>
      <c r="AA1769">
        <v>0</v>
      </c>
    </row>
    <row r="1770" spans="1:27" x14ac:dyDescent="0.2">
      <c r="A1770" t="s">
        <v>321</v>
      </c>
      <c r="B1770">
        <v>2021</v>
      </c>
      <c r="C1770" t="s">
        <v>2459</v>
      </c>
      <c r="D1770" t="s">
        <v>2460</v>
      </c>
      <c r="E1770" t="s">
        <v>29</v>
      </c>
      <c r="F1770" t="s">
        <v>30</v>
      </c>
      <c r="G1770">
        <v>0</v>
      </c>
      <c r="H1770">
        <v>0</v>
      </c>
      <c r="I1770">
        <v>40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 t="s">
        <v>51</v>
      </c>
      <c r="Z1770">
        <v>55</v>
      </c>
      <c r="AA1770">
        <v>0</v>
      </c>
    </row>
    <row r="1771" spans="1:27" x14ac:dyDescent="0.2">
      <c r="A1771" t="s">
        <v>600</v>
      </c>
      <c r="B1771">
        <v>2019</v>
      </c>
      <c r="C1771">
        <v>8710007</v>
      </c>
      <c r="D1771" t="s">
        <v>2461</v>
      </c>
      <c r="E1771" t="s">
        <v>29</v>
      </c>
      <c r="F1771" t="s">
        <v>30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7</v>
      </c>
      <c r="T1771">
        <v>0</v>
      </c>
      <c r="U1771">
        <v>22</v>
      </c>
      <c r="V1771">
        <v>0</v>
      </c>
      <c r="W1771">
        <v>7</v>
      </c>
      <c r="X1771">
        <v>0</v>
      </c>
      <c r="Y1771" t="s">
        <v>51</v>
      </c>
      <c r="AA1771">
        <v>0</v>
      </c>
    </row>
    <row r="1772" spans="1:27" x14ac:dyDescent="0.2">
      <c r="A1772" t="s">
        <v>600</v>
      </c>
      <c r="B1772">
        <v>2019</v>
      </c>
      <c r="C1772">
        <v>3504030</v>
      </c>
      <c r="D1772" t="s">
        <v>2462</v>
      </c>
      <c r="E1772" t="s">
        <v>29</v>
      </c>
      <c r="F1772" t="s">
        <v>41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19</v>
      </c>
      <c r="V1772">
        <v>0</v>
      </c>
      <c r="W1772">
        <v>0</v>
      </c>
      <c r="X1772">
        <v>0</v>
      </c>
      <c r="Y1772" t="s">
        <v>51</v>
      </c>
      <c r="AA1772">
        <v>0</v>
      </c>
    </row>
    <row r="1773" spans="1:27" x14ac:dyDescent="0.2">
      <c r="A1773" t="s">
        <v>600</v>
      </c>
      <c r="B1773">
        <v>2019</v>
      </c>
      <c r="C1773">
        <v>3542041</v>
      </c>
      <c r="D1773" t="s">
        <v>2463</v>
      </c>
      <c r="E1773" t="s">
        <v>29</v>
      </c>
      <c r="F1773" t="s">
        <v>30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8</v>
      </c>
      <c r="V1773">
        <v>0</v>
      </c>
      <c r="W1773">
        <v>0</v>
      </c>
      <c r="X1773">
        <v>0</v>
      </c>
      <c r="Y1773" t="s">
        <v>51</v>
      </c>
      <c r="AA1773">
        <v>0</v>
      </c>
    </row>
    <row r="1774" spans="1:27" x14ac:dyDescent="0.2">
      <c r="A1774" t="s">
        <v>600</v>
      </c>
      <c r="B1774">
        <v>2019</v>
      </c>
      <c r="C1774">
        <v>3639001</v>
      </c>
      <c r="D1774" t="s">
        <v>2464</v>
      </c>
      <c r="E1774" t="s">
        <v>29</v>
      </c>
      <c r="F1774" t="s">
        <v>30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33</v>
      </c>
      <c r="V1774">
        <v>0</v>
      </c>
      <c r="W1774">
        <v>0</v>
      </c>
      <c r="X1774">
        <v>0</v>
      </c>
      <c r="Y1774" t="s">
        <v>51</v>
      </c>
      <c r="AA1774">
        <v>0</v>
      </c>
    </row>
    <row r="1775" spans="1:27" x14ac:dyDescent="0.2">
      <c r="A1775" t="s">
        <v>600</v>
      </c>
      <c r="B1775">
        <v>2019</v>
      </c>
      <c r="C1775" s="2" t="s">
        <v>2465</v>
      </c>
      <c r="D1775" t="s">
        <v>2466</v>
      </c>
      <c r="E1775" t="s">
        <v>29</v>
      </c>
      <c r="F1775" t="s">
        <v>30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2</v>
      </c>
      <c r="V1775">
        <v>0</v>
      </c>
      <c r="W1775">
        <v>1</v>
      </c>
      <c r="X1775">
        <v>0</v>
      </c>
      <c r="Y1775" t="s">
        <v>51</v>
      </c>
      <c r="AA1775">
        <v>0</v>
      </c>
    </row>
    <row r="1776" spans="1:27" x14ac:dyDescent="0.2">
      <c r="A1776" t="s">
        <v>600</v>
      </c>
      <c r="B1776">
        <v>2019</v>
      </c>
      <c r="C1776" s="2" t="s">
        <v>2467</v>
      </c>
      <c r="D1776" t="s">
        <v>2468</v>
      </c>
      <c r="E1776" t="s">
        <v>29</v>
      </c>
      <c r="F1776" t="s">
        <v>30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 t="s">
        <v>51</v>
      </c>
      <c r="AA1776">
        <v>0</v>
      </c>
    </row>
    <row r="1777" spans="1:27" x14ac:dyDescent="0.2">
      <c r="A1777" t="s">
        <v>600</v>
      </c>
      <c r="B1777">
        <v>2019</v>
      </c>
      <c r="C1777">
        <v>1450008</v>
      </c>
      <c r="D1777" t="s">
        <v>937</v>
      </c>
      <c r="E1777" t="s">
        <v>29</v>
      </c>
      <c r="F1777" t="s">
        <v>41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 t="s">
        <v>51</v>
      </c>
      <c r="AA1777">
        <v>0</v>
      </c>
    </row>
    <row r="1778" spans="1:27" x14ac:dyDescent="0.2">
      <c r="A1778" t="s">
        <v>353</v>
      </c>
      <c r="B1778">
        <v>2021</v>
      </c>
      <c r="C1778">
        <v>2033204900</v>
      </c>
      <c r="D1778" t="s">
        <v>541</v>
      </c>
      <c r="E1778" t="s">
        <v>29</v>
      </c>
      <c r="F1778" t="s">
        <v>30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16</v>
      </c>
      <c r="V1778">
        <v>0</v>
      </c>
      <c r="W1778">
        <v>0</v>
      </c>
      <c r="X1778">
        <v>0</v>
      </c>
      <c r="Y1778" t="s">
        <v>31</v>
      </c>
      <c r="AA1778">
        <v>35</v>
      </c>
    </row>
    <row r="1779" spans="1:27" x14ac:dyDescent="0.2">
      <c r="A1779" t="s">
        <v>353</v>
      </c>
      <c r="B1779">
        <v>2021</v>
      </c>
      <c r="C1779">
        <v>1683601600</v>
      </c>
      <c r="D1779" t="s">
        <v>2469</v>
      </c>
      <c r="E1779" t="s">
        <v>29</v>
      </c>
      <c r="F1779" t="s">
        <v>30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20</v>
      </c>
      <c r="V1779">
        <v>0</v>
      </c>
      <c r="W1779">
        <v>0</v>
      </c>
      <c r="X1779">
        <v>35</v>
      </c>
      <c r="Y1779" t="s">
        <v>51</v>
      </c>
      <c r="AA1779">
        <v>0</v>
      </c>
    </row>
    <row r="1780" spans="1:27" x14ac:dyDescent="0.2">
      <c r="A1780" t="s">
        <v>517</v>
      </c>
      <c r="B1780">
        <v>2018</v>
      </c>
      <c r="C1780" t="s">
        <v>2470</v>
      </c>
      <c r="D1780" t="s">
        <v>2471</v>
      </c>
      <c r="E1780" t="s">
        <v>29</v>
      </c>
      <c r="F1780" t="s">
        <v>30</v>
      </c>
      <c r="G1780">
        <v>30</v>
      </c>
      <c r="H1780">
        <v>0</v>
      </c>
      <c r="I1780">
        <v>89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 t="s">
        <v>51</v>
      </c>
      <c r="Z1780">
        <v>0</v>
      </c>
      <c r="AA1780">
        <v>0</v>
      </c>
    </row>
    <row r="1781" spans="1:27" x14ac:dyDescent="0.2">
      <c r="A1781" t="s">
        <v>547</v>
      </c>
      <c r="B1781">
        <v>2021</v>
      </c>
      <c r="C1781">
        <v>2419017013</v>
      </c>
      <c r="D1781" t="s">
        <v>2472</v>
      </c>
      <c r="E1781" t="s">
        <v>29</v>
      </c>
      <c r="F1781" t="s">
        <v>30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1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 t="s">
        <v>31</v>
      </c>
      <c r="Z1781">
        <v>55</v>
      </c>
      <c r="AA1781">
        <v>35</v>
      </c>
    </row>
    <row r="1782" spans="1:27" x14ac:dyDescent="0.2">
      <c r="A1782" t="s">
        <v>547</v>
      </c>
      <c r="B1782">
        <v>2021</v>
      </c>
      <c r="C1782">
        <v>5154001020</v>
      </c>
      <c r="D1782" t="s">
        <v>2473</v>
      </c>
      <c r="E1782" t="s">
        <v>29</v>
      </c>
      <c r="F1782" t="s">
        <v>30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21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 t="s">
        <v>31</v>
      </c>
      <c r="Z1782">
        <v>55</v>
      </c>
      <c r="AA1782">
        <v>33</v>
      </c>
    </row>
    <row r="1783" spans="1:27" x14ac:dyDescent="0.2">
      <c r="A1783" t="s">
        <v>1075</v>
      </c>
      <c r="B1783">
        <v>2022</v>
      </c>
      <c r="C1783">
        <v>44310410</v>
      </c>
      <c r="D1783" t="s">
        <v>2474</v>
      </c>
      <c r="E1783" t="s">
        <v>29</v>
      </c>
      <c r="F1783" t="s">
        <v>30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5</v>
      </c>
      <c r="N1783">
        <v>0</v>
      </c>
      <c r="O1783">
        <v>22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 t="s">
        <v>31</v>
      </c>
      <c r="Z1783">
        <v>55</v>
      </c>
      <c r="AA1783">
        <v>255</v>
      </c>
    </row>
    <row r="1784" spans="1:27" x14ac:dyDescent="0.2">
      <c r="A1784" t="s">
        <v>418</v>
      </c>
      <c r="B1784">
        <v>2022</v>
      </c>
      <c r="C1784">
        <v>0</v>
      </c>
      <c r="D1784" t="s">
        <v>2475</v>
      </c>
      <c r="E1784" t="s">
        <v>29</v>
      </c>
      <c r="F1784" t="s">
        <v>30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53</v>
      </c>
      <c r="N1784">
        <v>0</v>
      </c>
      <c r="O1784">
        <v>62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 t="s">
        <v>51</v>
      </c>
      <c r="Z1784">
        <v>55</v>
      </c>
      <c r="AA1784">
        <v>0</v>
      </c>
    </row>
    <row r="1785" spans="1:27" x14ac:dyDescent="0.2">
      <c r="A1785" t="s">
        <v>424</v>
      </c>
      <c r="B1785">
        <v>2021</v>
      </c>
      <c r="C1785">
        <v>148170001</v>
      </c>
      <c r="D1785" t="s">
        <v>425</v>
      </c>
      <c r="E1785" t="s">
        <v>29</v>
      </c>
      <c r="F1785" t="s">
        <v>30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12</v>
      </c>
      <c r="N1785">
        <v>0</v>
      </c>
      <c r="O1785">
        <v>0</v>
      </c>
      <c r="P1785">
        <v>0</v>
      </c>
      <c r="Q1785">
        <v>24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 t="s">
        <v>31</v>
      </c>
      <c r="Z1785">
        <v>55</v>
      </c>
      <c r="AA1785">
        <v>20</v>
      </c>
    </row>
    <row r="1786" spans="1:27" x14ac:dyDescent="0.2">
      <c r="A1786" t="s">
        <v>418</v>
      </c>
      <c r="B1786">
        <v>2022</v>
      </c>
      <c r="C1786">
        <v>46422032</v>
      </c>
      <c r="D1786" t="s">
        <v>2476</v>
      </c>
      <c r="E1786" t="s">
        <v>29</v>
      </c>
      <c r="F1786" t="s">
        <v>30</v>
      </c>
      <c r="G1786">
        <v>62</v>
      </c>
      <c r="H1786">
        <v>0</v>
      </c>
      <c r="I1786">
        <v>27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 t="s">
        <v>31</v>
      </c>
      <c r="Z1786">
        <v>55</v>
      </c>
      <c r="AA1786">
        <v>0</v>
      </c>
    </row>
    <row r="1787" spans="1:27" x14ac:dyDescent="0.2">
      <c r="A1787" t="s">
        <v>418</v>
      </c>
      <c r="B1787">
        <v>2022</v>
      </c>
      <c r="C1787">
        <v>28805045</v>
      </c>
      <c r="D1787" t="s">
        <v>2477</v>
      </c>
      <c r="E1787" t="s">
        <v>29</v>
      </c>
      <c r="F1787" t="s">
        <v>30</v>
      </c>
      <c r="G1787">
        <v>0</v>
      </c>
      <c r="H1787">
        <v>0</v>
      </c>
      <c r="I1787">
        <v>122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 t="s">
        <v>31</v>
      </c>
      <c r="Z1787">
        <v>55</v>
      </c>
      <c r="AA1787">
        <v>0</v>
      </c>
    </row>
    <row r="1788" spans="1:27" x14ac:dyDescent="0.2">
      <c r="A1788" t="s">
        <v>418</v>
      </c>
      <c r="B1788">
        <v>2022</v>
      </c>
      <c r="C1788">
        <v>26420079</v>
      </c>
      <c r="D1788" t="s">
        <v>2478</v>
      </c>
      <c r="E1788" t="s">
        <v>29</v>
      </c>
      <c r="F1788" t="s">
        <v>30</v>
      </c>
      <c r="G1788">
        <v>14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 t="s">
        <v>31</v>
      </c>
      <c r="AA1788">
        <v>0</v>
      </c>
    </row>
    <row r="1789" spans="1:27" x14ac:dyDescent="0.2">
      <c r="A1789" t="s">
        <v>584</v>
      </c>
      <c r="B1789">
        <v>2021</v>
      </c>
      <c r="C1789">
        <v>1123210</v>
      </c>
      <c r="D1789" t="s">
        <v>2479</v>
      </c>
      <c r="E1789" t="s">
        <v>29</v>
      </c>
      <c r="F1789" t="s">
        <v>30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1</v>
      </c>
      <c r="V1789">
        <v>0</v>
      </c>
      <c r="W1789">
        <v>0</v>
      </c>
      <c r="X1789">
        <v>0</v>
      </c>
      <c r="Y1789" t="s">
        <v>51</v>
      </c>
      <c r="AA1789">
        <v>0</v>
      </c>
    </row>
    <row r="1790" spans="1:27" x14ac:dyDescent="0.2">
      <c r="A1790" t="s">
        <v>584</v>
      </c>
      <c r="B1790">
        <v>2021</v>
      </c>
      <c r="C1790">
        <v>1401305</v>
      </c>
      <c r="D1790" t="s">
        <v>2480</v>
      </c>
      <c r="E1790" t="s">
        <v>29</v>
      </c>
      <c r="F1790" t="s">
        <v>30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1</v>
      </c>
      <c r="T1790">
        <v>0</v>
      </c>
      <c r="U1790">
        <v>1</v>
      </c>
      <c r="V1790">
        <v>0</v>
      </c>
      <c r="W1790">
        <v>0</v>
      </c>
      <c r="X1790">
        <v>0</v>
      </c>
      <c r="Y1790" t="s">
        <v>51</v>
      </c>
      <c r="AA1790">
        <v>0</v>
      </c>
    </row>
    <row r="1791" spans="1:27" x14ac:dyDescent="0.2">
      <c r="A1791" t="s">
        <v>547</v>
      </c>
      <c r="B1791">
        <v>2021</v>
      </c>
      <c r="C1791">
        <v>6012004047</v>
      </c>
      <c r="D1791" t="s">
        <v>2481</v>
      </c>
      <c r="E1791" t="s">
        <v>29</v>
      </c>
      <c r="F1791" t="s">
        <v>30</v>
      </c>
      <c r="G1791">
        <v>0</v>
      </c>
      <c r="H1791">
        <v>0</v>
      </c>
      <c r="I1791">
        <v>39</v>
      </c>
      <c r="J1791">
        <v>0</v>
      </c>
      <c r="K1791">
        <v>11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 t="s">
        <v>31</v>
      </c>
      <c r="Z1791">
        <v>55</v>
      </c>
      <c r="AA1791">
        <v>0</v>
      </c>
    </row>
    <row r="1792" spans="1:27" x14ac:dyDescent="0.2">
      <c r="A1792" t="s">
        <v>547</v>
      </c>
      <c r="B1792">
        <v>2021</v>
      </c>
      <c r="C1792">
        <v>2135038011</v>
      </c>
      <c r="D1792" t="s">
        <v>2482</v>
      </c>
      <c r="E1792" t="s">
        <v>29</v>
      </c>
      <c r="F1792" t="s">
        <v>30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89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 t="s">
        <v>31</v>
      </c>
      <c r="Z1792">
        <v>55</v>
      </c>
      <c r="AA1792">
        <v>0</v>
      </c>
    </row>
    <row r="1793" spans="1:27" x14ac:dyDescent="0.2">
      <c r="A1793" t="s">
        <v>2483</v>
      </c>
      <c r="B1793">
        <v>2018</v>
      </c>
      <c r="C1793" t="s">
        <v>2484</v>
      </c>
      <c r="D1793" t="s">
        <v>2485</v>
      </c>
      <c r="E1793" t="s">
        <v>29</v>
      </c>
      <c r="F1793" t="s">
        <v>30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 t="s">
        <v>51</v>
      </c>
      <c r="AA1793">
        <v>0</v>
      </c>
    </row>
    <row r="1794" spans="1:27" x14ac:dyDescent="0.2">
      <c r="A1794" t="s">
        <v>2486</v>
      </c>
      <c r="B1794">
        <v>2018</v>
      </c>
      <c r="C1794" t="s">
        <v>2487</v>
      </c>
      <c r="D1794" t="s">
        <v>2488</v>
      </c>
      <c r="E1794" t="s">
        <v>29</v>
      </c>
      <c r="F1794" t="s">
        <v>41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1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 t="s">
        <v>31</v>
      </c>
      <c r="AA1794">
        <v>0</v>
      </c>
    </row>
    <row r="1795" spans="1:27" x14ac:dyDescent="0.2">
      <c r="A1795" t="s">
        <v>457</v>
      </c>
      <c r="B1795">
        <v>2018</v>
      </c>
      <c r="C1795" t="s">
        <v>2489</v>
      </c>
      <c r="D1795" t="s">
        <v>2490</v>
      </c>
      <c r="E1795" t="s">
        <v>29</v>
      </c>
      <c r="F1795" t="s">
        <v>30</v>
      </c>
      <c r="G1795">
        <v>19</v>
      </c>
      <c r="H1795">
        <v>0</v>
      </c>
      <c r="I1795">
        <v>77</v>
      </c>
      <c r="J1795">
        <v>0</v>
      </c>
      <c r="K1795">
        <v>0</v>
      </c>
      <c r="L1795">
        <v>0</v>
      </c>
      <c r="M1795">
        <v>19</v>
      </c>
      <c r="N1795">
        <v>0</v>
      </c>
      <c r="O1795">
        <v>77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 t="s">
        <v>31</v>
      </c>
      <c r="Z1795">
        <v>55</v>
      </c>
      <c r="AA1795">
        <v>0</v>
      </c>
    </row>
    <row r="1796" spans="1:27" x14ac:dyDescent="0.2">
      <c r="A1796" t="s">
        <v>547</v>
      </c>
      <c r="B1796">
        <v>2021</v>
      </c>
      <c r="C1796">
        <v>4259019008</v>
      </c>
      <c r="D1796" t="s">
        <v>2491</v>
      </c>
      <c r="E1796" t="s">
        <v>29</v>
      </c>
      <c r="F1796" t="s">
        <v>30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31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 t="s">
        <v>31</v>
      </c>
      <c r="Z1796">
        <v>55</v>
      </c>
      <c r="AA1796">
        <v>0</v>
      </c>
    </row>
    <row r="1797" spans="1:27" x14ac:dyDescent="0.2">
      <c r="A1797" t="s">
        <v>547</v>
      </c>
      <c r="B1797">
        <v>2021</v>
      </c>
      <c r="C1797">
        <v>5520017010</v>
      </c>
      <c r="D1797" t="s">
        <v>2492</v>
      </c>
      <c r="E1797" t="s">
        <v>29</v>
      </c>
      <c r="F1797" t="s">
        <v>30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10</v>
      </c>
      <c r="N1797">
        <v>0</v>
      </c>
      <c r="O1797">
        <v>4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 t="s">
        <v>31</v>
      </c>
      <c r="Z1797">
        <v>55</v>
      </c>
      <c r="AA1797">
        <v>70</v>
      </c>
    </row>
    <row r="1798" spans="1:27" ht="85" x14ac:dyDescent="0.2">
      <c r="A1798" t="s">
        <v>708</v>
      </c>
      <c r="B1798">
        <v>2023</v>
      </c>
      <c r="C1798" t="s">
        <v>2493</v>
      </c>
      <c r="D1798" s="1" t="s">
        <v>2494</v>
      </c>
      <c r="E1798" t="s">
        <v>29</v>
      </c>
      <c r="F1798" t="s">
        <v>30</v>
      </c>
      <c r="G1798">
        <v>24</v>
      </c>
      <c r="H1798">
        <v>0</v>
      </c>
      <c r="I1798">
        <v>9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 t="s">
        <v>31</v>
      </c>
      <c r="Z1798">
        <v>55</v>
      </c>
      <c r="AA1798">
        <v>0</v>
      </c>
    </row>
    <row r="1799" spans="1:27" x14ac:dyDescent="0.2">
      <c r="A1799" t="s">
        <v>324</v>
      </c>
      <c r="B1799">
        <v>2018</v>
      </c>
      <c r="C1799" t="s">
        <v>2495</v>
      </c>
      <c r="D1799" t="s">
        <v>2496</v>
      </c>
      <c r="E1799" t="s">
        <v>29</v>
      </c>
      <c r="F1799" t="s">
        <v>30</v>
      </c>
      <c r="G1799">
        <v>0</v>
      </c>
      <c r="H1799">
        <v>0</v>
      </c>
      <c r="I1799">
        <v>0</v>
      </c>
      <c r="J1799">
        <v>0</v>
      </c>
      <c r="K1799">
        <v>29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29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 t="s">
        <v>31</v>
      </c>
      <c r="Z1799">
        <v>25</v>
      </c>
      <c r="AA1799">
        <v>0</v>
      </c>
    </row>
    <row r="1800" spans="1:27" x14ac:dyDescent="0.2">
      <c r="A1800" t="s">
        <v>835</v>
      </c>
      <c r="B1800">
        <v>2019</v>
      </c>
      <c r="C1800" s="2" t="s">
        <v>1289</v>
      </c>
      <c r="D1800" t="s">
        <v>1290</v>
      </c>
      <c r="E1800" t="s">
        <v>29</v>
      </c>
      <c r="F1800" t="s">
        <v>30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81</v>
      </c>
      <c r="T1800">
        <v>0</v>
      </c>
      <c r="U1800">
        <v>0</v>
      </c>
      <c r="V1800">
        <v>0</v>
      </c>
      <c r="W1800">
        <v>0</v>
      </c>
      <c r="X1800">
        <v>0</v>
      </c>
      <c r="Y1800" t="s">
        <v>31</v>
      </c>
      <c r="Z1800">
        <v>55</v>
      </c>
      <c r="AA1800">
        <v>0</v>
      </c>
    </row>
    <row r="1801" spans="1:27" x14ac:dyDescent="0.2">
      <c r="A1801" t="s">
        <v>412</v>
      </c>
      <c r="B1801">
        <v>2022</v>
      </c>
      <c r="C1801" t="s">
        <v>2497</v>
      </c>
      <c r="D1801" t="s">
        <v>2498</v>
      </c>
      <c r="E1801" t="s">
        <v>29</v>
      </c>
      <c r="F1801" t="s">
        <v>41</v>
      </c>
      <c r="G1801">
        <v>0</v>
      </c>
      <c r="H1801">
        <v>0</v>
      </c>
      <c r="I1801">
        <v>1</v>
      </c>
      <c r="J1801">
        <v>0</v>
      </c>
      <c r="K1801">
        <v>2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 t="s">
        <v>51</v>
      </c>
      <c r="AA1801">
        <v>0</v>
      </c>
    </row>
    <row r="1802" spans="1:27" x14ac:dyDescent="0.2">
      <c r="A1802" t="s">
        <v>2499</v>
      </c>
      <c r="B1802">
        <v>2019</v>
      </c>
      <c r="C1802">
        <v>513340059</v>
      </c>
      <c r="D1802" t="s">
        <v>2500</v>
      </c>
      <c r="E1802" t="s">
        <v>29</v>
      </c>
      <c r="F1802" t="s">
        <v>30</v>
      </c>
      <c r="G1802">
        <v>10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 t="s">
        <v>31</v>
      </c>
      <c r="Z1802">
        <v>55</v>
      </c>
      <c r="AA1802">
        <v>0</v>
      </c>
    </row>
    <row r="1803" spans="1:27" x14ac:dyDescent="0.2">
      <c r="A1803" t="s">
        <v>2501</v>
      </c>
      <c r="B1803">
        <v>2018</v>
      </c>
      <c r="C1803" t="s">
        <v>2502</v>
      </c>
      <c r="D1803" t="s">
        <v>2503</v>
      </c>
      <c r="E1803" t="s">
        <v>29</v>
      </c>
      <c r="F1803" t="s">
        <v>30</v>
      </c>
      <c r="G1803">
        <v>0</v>
      </c>
      <c r="H1803">
        <v>0</v>
      </c>
      <c r="I1803">
        <v>60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 t="s">
        <v>31</v>
      </c>
      <c r="Z1803">
        <v>55</v>
      </c>
      <c r="AA1803">
        <v>0</v>
      </c>
    </row>
    <row r="1804" spans="1:27" x14ac:dyDescent="0.2">
      <c r="A1804" t="s">
        <v>324</v>
      </c>
      <c r="B1804">
        <v>2021</v>
      </c>
      <c r="C1804" t="s">
        <v>2504</v>
      </c>
      <c r="D1804" t="s">
        <v>2505</v>
      </c>
      <c r="E1804" t="s">
        <v>29</v>
      </c>
      <c r="F1804" t="s">
        <v>41</v>
      </c>
      <c r="G1804">
        <v>0</v>
      </c>
      <c r="H1804">
        <v>0</v>
      </c>
      <c r="I1804">
        <v>0</v>
      </c>
      <c r="J1804">
        <v>0</v>
      </c>
      <c r="K1804">
        <v>2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 t="s">
        <v>31</v>
      </c>
      <c r="Z1804">
        <v>55</v>
      </c>
      <c r="AA1804">
        <v>67</v>
      </c>
    </row>
    <row r="1805" spans="1:27" x14ac:dyDescent="0.2">
      <c r="A1805" t="s">
        <v>324</v>
      </c>
      <c r="B1805">
        <v>2021</v>
      </c>
      <c r="C1805" t="s">
        <v>2506</v>
      </c>
      <c r="D1805" t="s">
        <v>2507</v>
      </c>
      <c r="E1805" t="s">
        <v>29</v>
      </c>
      <c r="F1805" t="s">
        <v>30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38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 t="s">
        <v>31</v>
      </c>
      <c r="Z1805">
        <v>55</v>
      </c>
      <c r="AA1805">
        <v>34</v>
      </c>
    </row>
    <row r="1806" spans="1:27" x14ac:dyDescent="0.2">
      <c r="A1806" t="s">
        <v>1316</v>
      </c>
      <c r="B1806">
        <v>2018</v>
      </c>
      <c r="C1806">
        <v>43521101</v>
      </c>
      <c r="D1806" t="s">
        <v>2508</v>
      </c>
      <c r="E1806" t="s">
        <v>29</v>
      </c>
      <c r="F1806" t="s">
        <v>30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26</v>
      </c>
      <c r="T1806">
        <v>0</v>
      </c>
      <c r="U1806">
        <v>1</v>
      </c>
      <c r="V1806">
        <v>0</v>
      </c>
      <c r="W1806">
        <v>17</v>
      </c>
      <c r="X1806">
        <v>0</v>
      </c>
      <c r="Y1806" t="s">
        <v>31</v>
      </c>
      <c r="Z1806">
        <v>30</v>
      </c>
      <c r="AA1806">
        <v>0</v>
      </c>
    </row>
    <row r="1807" spans="1:27" x14ac:dyDescent="0.2">
      <c r="A1807" t="s">
        <v>387</v>
      </c>
      <c r="B1807">
        <v>2023</v>
      </c>
      <c r="C1807" t="s">
        <v>1170</v>
      </c>
      <c r="D1807" t="s">
        <v>1171</v>
      </c>
      <c r="E1807" t="s">
        <v>29</v>
      </c>
      <c r="F1807" t="s">
        <v>30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22</v>
      </c>
      <c r="N1807">
        <v>0</v>
      </c>
      <c r="O1807">
        <v>26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 t="s">
        <v>31</v>
      </c>
      <c r="Z1807">
        <v>1000</v>
      </c>
      <c r="AA1807">
        <v>0</v>
      </c>
    </row>
    <row r="1808" spans="1:27" x14ac:dyDescent="0.2">
      <c r="A1808" t="s">
        <v>2499</v>
      </c>
      <c r="B1808">
        <v>2018</v>
      </c>
      <c r="C1808" t="s">
        <v>2509</v>
      </c>
      <c r="D1808" t="s">
        <v>2510</v>
      </c>
      <c r="E1808" t="s">
        <v>29</v>
      </c>
      <c r="F1808" t="s">
        <v>41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5</v>
      </c>
      <c r="V1808">
        <v>0</v>
      </c>
      <c r="W1808">
        <v>10</v>
      </c>
      <c r="X1808">
        <v>0</v>
      </c>
      <c r="Y1808" t="s">
        <v>51</v>
      </c>
      <c r="AA1808">
        <v>0</v>
      </c>
    </row>
    <row r="1809" spans="1:27" x14ac:dyDescent="0.2">
      <c r="A1809" t="s">
        <v>2419</v>
      </c>
      <c r="B1809">
        <v>2018</v>
      </c>
      <c r="C1809">
        <v>60237018</v>
      </c>
      <c r="D1809" t="s">
        <v>2420</v>
      </c>
      <c r="E1809" t="s">
        <v>29</v>
      </c>
      <c r="F1809" t="s">
        <v>30</v>
      </c>
      <c r="G1809">
        <v>0</v>
      </c>
      <c r="H1809">
        <v>0</v>
      </c>
      <c r="I1809">
        <v>3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 t="s">
        <v>31</v>
      </c>
      <c r="Z1809">
        <v>30</v>
      </c>
      <c r="AA1809">
        <v>0</v>
      </c>
    </row>
    <row r="1810" spans="1:27" x14ac:dyDescent="0.2">
      <c r="A1810" t="s">
        <v>1010</v>
      </c>
      <c r="B1810">
        <v>2018</v>
      </c>
      <c r="C1810" t="s">
        <v>2511</v>
      </c>
      <c r="D1810" t="s">
        <v>2512</v>
      </c>
      <c r="E1810" t="s">
        <v>29</v>
      </c>
      <c r="F1810" t="s">
        <v>30</v>
      </c>
      <c r="G1810">
        <v>8</v>
      </c>
      <c r="H1810">
        <v>0</v>
      </c>
      <c r="I1810">
        <v>8</v>
      </c>
      <c r="J1810">
        <v>0</v>
      </c>
      <c r="K1810">
        <v>0</v>
      </c>
      <c r="L1810">
        <v>0</v>
      </c>
      <c r="M1810">
        <v>8</v>
      </c>
      <c r="N1810">
        <v>0</v>
      </c>
      <c r="O1810">
        <v>8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 t="s">
        <v>51</v>
      </c>
      <c r="Z1810">
        <v>20</v>
      </c>
      <c r="AA1810">
        <v>0</v>
      </c>
    </row>
    <row r="1811" spans="1:27" x14ac:dyDescent="0.2">
      <c r="A1811" t="s">
        <v>324</v>
      </c>
      <c r="B1811">
        <v>2018</v>
      </c>
      <c r="C1811" t="s">
        <v>2513</v>
      </c>
      <c r="D1811" t="s">
        <v>2514</v>
      </c>
      <c r="E1811" t="s">
        <v>29</v>
      </c>
      <c r="F1811" t="s">
        <v>30</v>
      </c>
      <c r="G1811">
        <v>12</v>
      </c>
      <c r="H1811">
        <v>0</v>
      </c>
      <c r="I1811">
        <v>108</v>
      </c>
      <c r="J1811">
        <v>0</v>
      </c>
      <c r="K1811">
        <v>12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 t="s">
        <v>31</v>
      </c>
      <c r="Z1811">
        <v>55</v>
      </c>
      <c r="AA1811">
        <v>0</v>
      </c>
    </row>
    <row r="1812" spans="1:27" x14ac:dyDescent="0.2">
      <c r="A1812" t="s">
        <v>1127</v>
      </c>
      <c r="B1812">
        <v>2018</v>
      </c>
      <c r="C1812">
        <v>1574015000</v>
      </c>
      <c r="D1812" t="s">
        <v>2515</v>
      </c>
      <c r="E1812" t="s">
        <v>29</v>
      </c>
      <c r="F1812" t="s">
        <v>30</v>
      </c>
      <c r="G1812">
        <v>0</v>
      </c>
      <c r="H1812">
        <v>0</v>
      </c>
      <c r="I1812">
        <v>1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 t="s">
        <v>31</v>
      </c>
      <c r="Z1812">
        <v>1000</v>
      </c>
      <c r="AA1812">
        <v>0</v>
      </c>
    </row>
    <row r="1813" spans="1:27" x14ac:dyDescent="0.2">
      <c r="A1813" t="s">
        <v>283</v>
      </c>
      <c r="B1813">
        <v>2018</v>
      </c>
      <c r="C1813" t="s">
        <v>2516</v>
      </c>
      <c r="D1813" t="s">
        <v>2517</v>
      </c>
      <c r="E1813" t="s">
        <v>29</v>
      </c>
      <c r="F1813" t="s">
        <v>30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25</v>
      </c>
      <c r="N1813">
        <v>0</v>
      </c>
      <c r="O1813">
        <v>5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 t="s">
        <v>51</v>
      </c>
      <c r="Z1813">
        <v>75</v>
      </c>
      <c r="AA1813">
        <v>0</v>
      </c>
    </row>
    <row r="1814" spans="1:27" x14ac:dyDescent="0.2">
      <c r="A1814" t="s">
        <v>283</v>
      </c>
      <c r="B1814">
        <v>2018</v>
      </c>
      <c r="C1814" t="s">
        <v>2360</v>
      </c>
      <c r="D1814" t="s">
        <v>2518</v>
      </c>
      <c r="E1814" t="s">
        <v>29</v>
      </c>
      <c r="F1814" t="s">
        <v>30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8</v>
      </c>
      <c r="V1814">
        <v>0</v>
      </c>
      <c r="W1814">
        <v>0</v>
      </c>
      <c r="X1814">
        <v>0</v>
      </c>
      <c r="Y1814" t="s">
        <v>51</v>
      </c>
      <c r="Z1814">
        <v>1000</v>
      </c>
      <c r="AA1814">
        <v>0</v>
      </c>
    </row>
    <row r="1815" spans="1:27" x14ac:dyDescent="0.2">
      <c r="A1815" t="s">
        <v>876</v>
      </c>
      <c r="B1815">
        <v>2022</v>
      </c>
      <c r="C1815">
        <v>30534061</v>
      </c>
      <c r="D1815" t="s">
        <v>980</v>
      </c>
      <c r="E1815" t="s">
        <v>29</v>
      </c>
      <c r="F1815" t="s">
        <v>30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2</v>
      </c>
      <c r="T1815">
        <v>0</v>
      </c>
      <c r="U1815">
        <v>0</v>
      </c>
      <c r="V1815">
        <v>0</v>
      </c>
      <c r="W1815">
        <v>0</v>
      </c>
      <c r="X1815">
        <v>0</v>
      </c>
      <c r="Y1815" t="s">
        <v>31</v>
      </c>
      <c r="Z1815">
        <v>55</v>
      </c>
      <c r="AA1815">
        <v>0</v>
      </c>
    </row>
    <row r="1816" spans="1:27" x14ac:dyDescent="0.2">
      <c r="A1816" t="s">
        <v>876</v>
      </c>
      <c r="B1816">
        <v>2022</v>
      </c>
      <c r="C1816">
        <v>27930043</v>
      </c>
      <c r="D1816" t="s">
        <v>879</v>
      </c>
      <c r="E1816" t="s">
        <v>29</v>
      </c>
      <c r="F1816" t="s">
        <v>30</v>
      </c>
      <c r="G1816">
        <v>20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 t="s">
        <v>31</v>
      </c>
      <c r="Z1816">
        <v>45</v>
      </c>
      <c r="AA1816">
        <v>35</v>
      </c>
    </row>
    <row r="1817" spans="1:27" x14ac:dyDescent="0.2">
      <c r="A1817" t="s">
        <v>876</v>
      </c>
      <c r="B1817">
        <v>2018</v>
      </c>
      <c r="C1817">
        <v>30534061</v>
      </c>
      <c r="D1817" t="s">
        <v>980</v>
      </c>
      <c r="E1817" t="s">
        <v>29</v>
      </c>
      <c r="F1817" t="s">
        <v>30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2</v>
      </c>
      <c r="T1817">
        <v>0</v>
      </c>
      <c r="U1817">
        <v>0</v>
      </c>
      <c r="V1817">
        <v>0</v>
      </c>
      <c r="W1817">
        <v>0</v>
      </c>
      <c r="X1817">
        <v>0</v>
      </c>
      <c r="Y1817" t="s">
        <v>31</v>
      </c>
      <c r="Z1817">
        <v>55</v>
      </c>
      <c r="AA1817">
        <v>0</v>
      </c>
    </row>
    <row r="1818" spans="1:27" x14ac:dyDescent="0.2">
      <c r="A1818" t="s">
        <v>912</v>
      </c>
      <c r="B1818">
        <v>2021</v>
      </c>
      <c r="C1818" t="s">
        <v>913</v>
      </c>
      <c r="D1818" t="s">
        <v>914</v>
      </c>
      <c r="E1818" t="s">
        <v>29</v>
      </c>
      <c r="F1818" t="s">
        <v>30</v>
      </c>
      <c r="G1818">
        <v>0</v>
      </c>
      <c r="H1818">
        <v>0</v>
      </c>
      <c r="I1818">
        <v>24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24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24</v>
      </c>
      <c r="V1818">
        <v>0</v>
      </c>
      <c r="W1818">
        <v>0</v>
      </c>
      <c r="X1818">
        <v>0</v>
      </c>
      <c r="Y1818" t="s">
        <v>31</v>
      </c>
      <c r="Z1818">
        <v>30</v>
      </c>
      <c r="AA1818">
        <v>100</v>
      </c>
    </row>
    <row r="1819" spans="1:27" x14ac:dyDescent="0.2">
      <c r="A1819" t="s">
        <v>172</v>
      </c>
      <c r="B1819">
        <v>2021</v>
      </c>
      <c r="C1819" t="s">
        <v>2519</v>
      </c>
      <c r="D1819" t="s">
        <v>2520</v>
      </c>
      <c r="E1819" t="s">
        <v>29</v>
      </c>
      <c r="F1819" t="s">
        <v>41</v>
      </c>
      <c r="G1819">
        <v>30</v>
      </c>
      <c r="H1819">
        <v>0</v>
      </c>
      <c r="I1819">
        <v>44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 t="s">
        <v>31</v>
      </c>
      <c r="Z1819">
        <v>55</v>
      </c>
      <c r="AA1819">
        <v>6</v>
      </c>
    </row>
    <row r="1820" spans="1:27" x14ac:dyDescent="0.2">
      <c r="A1820" t="s">
        <v>172</v>
      </c>
      <c r="B1820">
        <v>2021</v>
      </c>
      <c r="C1820" t="s">
        <v>2521</v>
      </c>
      <c r="D1820" t="s">
        <v>2522</v>
      </c>
      <c r="E1820" t="s">
        <v>29</v>
      </c>
      <c r="F1820" t="s">
        <v>41</v>
      </c>
      <c r="G1820">
        <v>0</v>
      </c>
      <c r="H1820">
        <v>0</v>
      </c>
      <c r="I1820">
        <v>3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 t="s">
        <v>31</v>
      </c>
      <c r="Z1820">
        <v>55</v>
      </c>
      <c r="AA1820">
        <v>0</v>
      </c>
    </row>
    <row r="1821" spans="1:27" x14ac:dyDescent="0.2">
      <c r="A1821" t="s">
        <v>172</v>
      </c>
      <c r="B1821">
        <v>2021</v>
      </c>
      <c r="C1821" t="s">
        <v>2523</v>
      </c>
      <c r="D1821" t="s">
        <v>2524</v>
      </c>
      <c r="E1821" t="s">
        <v>29</v>
      </c>
      <c r="F1821" t="s">
        <v>41</v>
      </c>
      <c r="G1821">
        <v>0</v>
      </c>
      <c r="H1821">
        <v>0</v>
      </c>
      <c r="I1821">
        <v>1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 t="s">
        <v>31</v>
      </c>
      <c r="Z1821">
        <v>55</v>
      </c>
      <c r="AA1821">
        <v>0</v>
      </c>
    </row>
    <row r="1822" spans="1:27" x14ac:dyDescent="0.2">
      <c r="A1822" t="s">
        <v>172</v>
      </c>
      <c r="B1822">
        <v>2021</v>
      </c>
      <c r="C1822" t="s">
        <v>2525</v>
      </c>
      <c r="D1822" t="s">
        <v>2526</v>
      </c>
      <c r="E1822" t="s">
        <v>29</v>
      </c>
      <c r="F1822" t="s">
        <v>41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1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 t="s">
        <v>31</v>
      </c>
      <c r="Z1822">
        <v>55</v>
      </c>
      <c r="AA1822">
        <v>0</v>
      </c>
    </row>
    <row r="1823" spans="1:27" x14ac:dyDescent="0.2">
      <c r="A1823" t="s">
        <v>1418</v>
      </c>
      <c r="B1823">
        <v>2021</v>
      </c>
      <c r="C1823" t="s">
        <v>2527</v>
      </c>
      <c r="D1823" t="s">
        <v>2528</v>
      </c>
      <c r="E1823" t="s">
        <v>29</v>
      </c>
      <c r="F1823" t="s">
        <v>30</v>
      </c>
      <c r="G1823">
        <v>0</v>
      </c>
      <c r="H1823">
        <v>0</v>
      </c>
      <c r="I1823">
        <v>1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 t="s">
        <v>31</v>
      </c>
      <c r="Z1823">
        <v>55</v>
      </c>
      <c r="AA1823">
        <v>0</v>
      </c>
    </row>
    <row r="1824" spans="1:27" x14ac:dyDescent="0.2">
      <c r="A1824" t="s">
        <v>2529</v>
      </c>
      <c r="B1824">
        <v>2018</v>
      </c>
      <c r="C1824" t="s">
        <v>2530</v>
      </c>
      <c r="D1824" t="s">
        <v>2531</v>
      </c>
      <c r="E1824" t="s">
        <v>29</v>
      </c>
      <c r="F1824" t="s">
        <v>41</v>
      </c>
      <c r="G1824">
        <v>0</v>
      </c>
      <c r="H1824">
        <v>0</v>
      </c>
      <c r="I1824">
        <v>2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 t="s">
        <v>31</v>
      </c>
      <c r="AA1824">
        <v>0</v>
      </c>
    </row>
    <row r="1825" spans="1:27" x14ac:dyDescent="0.2">
      <c r="A1825" t="s">
        <v>835</v>
      </c>
      <c r="B1825">
        <v>2019</v>
      </c>
      <c r="C1825" s="2" t="s">
        <v>1209</v>
      </c>
      <c r="D1825" t="s">
        <v>1210</v>
      </c>
      <c r="E1825" t="s">
        <v>29</v>
      </c>
      <c r="F1825" t="s">
        <v>41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19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 t="s">
        <v>51</v>
      </c>
      <c r="Z1825">
        <v>55</v>
      </c>
      <c r="AA1825">
        <v>0</v>
      </c>
    </row>
    <row r="1826" spans="1:27" x14ac:dyDescent="0.2">
      <c r="A1826" t="s">
        <v>38</v>
      </c>
      <c r="B1826">
        <v>2019</v>
      </c>
      <c r="C1826" t="s">
        <v>39</v>
      </c>
      <c r="D1826" t="s">
        <v>40</v>
      </c>
      <c r="E1826" t="s">
        <v>29</v>
      </c>
      <c r="F1826" t="s">
        <v>41</v>
      </c>
      <c r="G1826">
        <v>0</v>
      </c>
      <c r="H1826">
        <v>0</v>
      </c>
      <c r="I1826">
        <v>0</v>
      </c>
      <c r="J1826">
        <v>0</v>
      </c>
      <c r="K1826">
        <v>9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9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 t="s">
        <v>31</v>
      </c>
      <c r="Z1826">
        <v>55</v>
      </c>
      <c r="AA1826">
        <v>0</v>
      </c>
    </row>
    <row r="1827" spans="1:27" x14ac:dyDescent="0.2">
      <c r="A1827" t="s">
        <v>38</v>
      </c>
      <c r="B1827">
        <v>2019</v>
      </c>
      <c r="C1827" t="s">
        <v>237</v>
      </c>
      <c r="D1827" t="s">
        <v>2532</v>
      </c>
      <c r="E1827" t="s">
        <v>29</v>
      </c>
      <c r="F1827" t="s">
        <v>30</v>
      </c>
      <c r="G1827">
        <v>4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4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 t="s">
        <v>31</v>
      </c>
      <c r="Z1827">
        <v>55</v>
      </c>
      <c r="AA1827">
        <v>0</v>
      </c>
    </row>
    <row r="1828" spans="1:27" x14ac:dyDescent="0.2">
      <c r="A1828" t="s">
        <v>2184</v>
      </c>
      <c r="B1828">
        <v>2021</v>
      </c>
      <c r="C1828" t="s">
        <v>2533</v>
      </c>
      <c r="D1828" t="s">
        <v>2534</v>
      </c>
      <c r="E1828" t="s">
        <v>29</v>
      </c>
      <c r="F1828" t="s">
        <v>30</v>
      </c>
      <c r="G1828">
        <v>21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 t="s">
        <v>31</v>
      </c>
      <c r="Z1828">
        <v>1000</v>
      </c>
      <c r="AA1828">
        <v>50</v>
      </c>
    </row>
    <row r="1829" spans="1:27" x14ac:dyDescent="0.2">
      <c r="A1829" t="s">
        <v>1449</v>
      </c>
      <c r="B1829">
        <v>2020</v>
      </c>
      <c r="C1829" t="s">
        <v>2308</v>
      </c>
      <c r="D1829" t="s">
        <v>2535</v>
      </c>
      <c r="E1829" t="s">
        <v>29</v>
      </c>
      <c r="F1829" t="s">
        <v>30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 t="s">
        <v>31</v>
      </c>
      <c r="AA1829">
        <v>0</v>
      </c>
    </row>
    <row r="1830" spans="1:27" x14ac:dyDescent="0.2">
      <c r="A1830" t="s">
        <v>1449</v>
      </c>
      <c r="B1830">
        <v>2020</v>
      </c>
      <c r="C1830">
        <v>57205302201</v>
      </c>
      <c r="D1830" t="s">
        <v>2132</v>
      </c>
      <c r="E1830" t="s">
        <v>29</v>
      </c>
      <c r="F1830" t="s">
        <v>30</v>
      </c>
      <c r="G1830">
        <v>53</v>
      </c>
      <c r="H1830">
        <v>0</v>
      </c>
      <c r="I1830">
        <v>88</v>
      </c>
      <c r="J1830">
        <v>0</v>
      </c>
      <c r="K1830">
        <v>0</v>
      </c>
      <c r="L1830">
        <v>0</v>
      </c>
      <c r="M1830">
        <v>53</v>
      </c>
      <c r="N1830">
        <v>0</v>
      </c>
      <c r="O1830">
        <v>88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 t="s">
        <v>31</v>
      </c>
      <c r="AA1830">
        <v>0</v>
      </c>
    </row>
    <row r="1831" spans="1:27" x14ac:dyDescent="0.2">
      <c r="A1831" t="s">
        <v>1449</v>
      </c>
      <c r="B1831">
        <v>2020</v>
      </c>
      <c r="C1831" t="s">
        <v>2090</v>
      </c>
      <c r="D1831" t="s">
        <v>2536</v>
      </c>
      <c r="E1831" t="s">
        <v>29</v>
      </c>
      <c r="F1831" t="s">
        <v>30</v>
      </c>
      <c r="G1831">
        <v>7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 t="s">
        <v>31</v>
      </c>
      <c r="AA1831">
        <v>0</v>
      </c>
    </row>
    <row r="1832" spans="1:27" x14ac:dyDescent="0.2">
      <c r="A1832" t="s">
        <v>1255</v>
      </c>
      <c r="B1832">
        <v>2019</v>
      </c>
      <c r="C1832">
        <v>51200025</v>
      </c>
      <c r="D1832" t="s">
        <v>2537</v>
      </c>
      <c r="E1832" t="s">
        <v>29</v>
      </c>
      <c r="F1832" t="s">
        <v>30</v>
      </c>
      <c r="G1832">
        <v>91</v>
      </c>
      <c r="H1832">
        <v>0</v>
      </c>
      <c r="I1832">
        <v>299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 t="s">
        <v>31</v>
      </c>
      <c r="AA1832">
        <v>0</v>
      </c>
    </row>
    <row r="1833" spans="1:27" x14ac:dyDescent="0.2">
      <c r="A1833" t="s">
        <v>524</v>
      </c>
      <c r="B1833">
        <v>2018</v>
      </c>
      <c r="C1833">
        <v>61422370</v>
      </c>
      <c r="D1833" t="s">
        <v>911</v>
      </c>
      <c r="E1833" t="s">
        <v>29</v>
      </c>
      <c r="F1833" t="s">
        <v>30</v>
      </c>
      <c r="G1833">
        <v>0</v>
      </c>
      <c r="H1833">
        <v>0</v>
      </c>
      <c r="I1833">
        <v>5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 t="s">
        <v>51</v>
      </c>
      <c r="AA1833">
        <v>0</v>
      </c>
    </row>
    <row r="1834" spans="1:27" x14ac:dyDescent="0.2">
      <c r="A1834" t="s">
        <v>524</v>
      </c>
      <c r="B1834">
        <v>2018</v>
      </c>
      <c r="C1834">
        <v>61401010</v>
      </c>
      <c r="D1834" t="s">
        <v>2538</v>
      </c>
      <c r="E1834" t="s">
        <v>29</v>
      </c>
      <c r="F1834" t="s">
        <v>30</v>
      </c>
      <c r="G1834">
        <v>0</v>
      </c>
      <c r="H1834">
        <v>0</v>
      </c>
      <c r="I1834">
        <v>1</v>
      </c>
      <c r="J1834">
        <v>0</v>
      </c>
      <c r="K1834">
        <v>0</v>
      </c>
      <c r="L1834">
        <v>4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 t="s">
        <v>51</v>
      </c>
      <c r="AA1834">
        <v>0</v>
      </c>
    </row>
    <row r="1835" spans="1:27" x14ac:dyDescent="0.2">
      <c r="A1835" t="s">
        <v>876</v>
      </c>
      <c r="B1835">
        <v>2019</v>
      </c>
      <c r="C1835">
        <v>41208061</v>
      </c>
      <c r="D1835" t="s">
        <v>878</v>
      </c>
      <c r="E1835" t="s">
        <v>29</v>
      </c>
      <c r="F1835" t="s">
        <v>41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1</v>
      </c>
      <c r="T1835">
        <v>0</v>
      </c>
      <c r="U1835">
        <v>1</v>
      </c>
      <c r="V1835">
        <v>0</v>
      </c>
      <c r="W1835">
        <v>0</v>
      </c>
      <c r="X1835">
        <v>0</v>
      </c>
      <c r="Y1835" t="s">
        <v>31</v>
      </c>
      <c r="Z1835">
        <v>0</v>
      </c>
      <c r="AA1835">
        <v>0</v>
      </c>
    </row>
    <row r="1836" spans="1:27" x14ac:dyDescent="0.2">
      <c r="A1836" t="s">
        <v>406</v>
      </c>
      <c r="B1836">
        <v>2018</v>
      </c>
      <c r="C1836" t="s">
        <v>2539</v>
      </c>
      <c r="D1836" t="s">
        <v>2540</v>
      </c>
      <c r="E1836" t="s">
        <v>29</v>
      </c>
      <c r="F1836" t="s">
        <v>41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1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 t="s">
        <v>51</v>
      </c>
      <c r="Z1836">
        <v>55</v>
      </c>
      <c r="AA1836">
        <v>0</v>
      </c>
    </row>
    <row r="1837" spans="1:27" x14ac:dyDescent="0.2">
      <c r="A1837" t="s">
        <v>283</v>
      </c>
      <c r="B1837">
        <v>2018</v>
      </c>
      <c r="C1837" t="s">
        <v>2541</v>
      </c>
      <c r="D1837" t="s">
        <v>2542</v>
      </c>
      <c r="E1837" t="s">
        <v>29</v>
      </c>
      <c r="F1837" t="s">
        <v>30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29</v>
      </c>
      <c r="T1837">
        <v>0</v>
      </c>
      <c r="U1837">
        <v>0</v>
      </c>
      <c r="V1837">
        <v>0</v>
      </c>
      <c r="W1837">
        <v>0</v>
      </c>
      <c r="X1837">
        <v>0</v>
      </c>
      <c r="Y1837" t="s">
        <v>51</v>
      </c>
      <c r="Z1837">
        <v>1000</v>
      </c>
      <c r="AA1837">
        <v>0</v>
      </c>
    </row>
    <row r="1838" spans="1:27" x14ac:dyDescent="0.2">
      <c r="A1838" t="s">
        <v>283</v>
      </c>
      <c r="B1838">
        <v>2018</v>
      </c>
      <c r="C1838" t="s">
        <v>2360</v>
      </c>
      <c r="D1838" t="s">
        <v>2543</v>
      </c>
      <c r="E1838" t="s">
        <v>29</v>
      </c>
      <c r="F1838" t="s">
        <v>30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7</v>
      </c>
      <c r="T1838">
        <v>0</v>
      </c>
      <c r="U1838">
        <v>0</v>
      </c>
      <c r="V1838">
        <v>0</v>
      </c>
      <c r="W1838">
        <v>0</v>
      </c>
      <c r="X1838">
        <v>0</v>
      </c>
      <c r="Y1838" t="s">
        <v>51</v>
      </c>
      <c r="Z1838">
        <v>1000</v>
      </c>
      <c r="AA1838">
        <v>0</v>
      </c>
    </row>
    <row r="1839" spans="1:27" x14ac:dyDescent="0.2">
      <c r="A1839" t="s">
        <v>283</v>
      </c>
      <c r="B1839">
        <v>2018</v>
      </c>
      <c r="C1839" t="s">
        <v>2516</v>
      </c>
      <c r="D1839" t="s">
        <v>2544</v>
      </c>
      <c r="E1839" t="s">
        <v>29</v>
      </c>
      <c r="F1839" t="s">
        <v>30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5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 t="s">
        <v>51</v>
      </c>
      <c r="Z1839">
        <v>75</v>
      </c>
      <c r="AA1839">
        <v>0</v>
      </c>
    </row>
    <row r="1840" spans="1:27" x14ac:dyDescent="0.2">
      <c r="A1840" t="s">
        <v>1045</v>
      </c>
      <c r="B1840">
        <v>2019</v>
      </c>
      <c r="C1840" t="s">
        <v>2545</v>
      </c>
      <c r="D1840" t="s">
        <v>2546</v>
      </c>
      <c r="E1840" t="s">
        <v>29</v>
      </c>
      <c r="F1840" t="s">
        <v>30</v>
      </c>
      <c r="G1840">
        <v>11</v>
      </c>
      <c r="H1840">
        <v>0</v>
      </c>
      <c r="I1840">
        <v>24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 t="s">
        <v>31</v>
      </c>
      <c r="Z1840">
        <v>99</v>
      </c>
      <c r="AA1840">
        <v>0</v>
      </c>
    </row>
    <row r="1841" spans="1:27" x14ac:dyDescent="0.2">
      <c r="A1841" t="s">
        <v>2419</v>
      </c>
      <c r="B1841">
        <v>2023</v>
      </c>
      <c r="C1841" t="s">
        <v>2547</v>
      </c>
      <c r="D1841" t="s">
        <v>2420</v>
      </c>
      <c r="E1841" t="s">
        <v>29</v>
      </c>
      <c r="F1841" t="s">
        <v>30</v>
      </c>
      <c r="G1841">
        <v>0</v>
      </c>
      <c r="H1841">
        <v>0</v>
      </c>
      <c r="I1841">
        <v>3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3</v>
      </c>
      <c r="P1841">
        <v>0</v>
      </c>
      <c r="Q1841">
        <v>0</v>
      </c>
      <c r="R1841">
        <v>16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 t="s">
        <v>31</v>
      </c>
      <c r="AA1841">
        <v>35</v>
      </c>
    </row>
    <row r="1842" spans="1:27" x14ac:dyDescent="0.2">
      <c r="A1842" t="s">
        <v>2419</v>
      </c>
      <c r="B1842">
        <v>2023</v>
      </c>
      <c r="C1842" t="s">
        <v>2548</v>
      </c>
      <c r="D1842" t="s">
        <v>2549</v>
      </c>
      <c r="E1842" t="s">
        <v>29</v>
      </c>
      <c r="F1842" t="s">
        <v>30</v>
      </c>
      <c r="G1842">
        <v>35</v>
      </c>
      <c r="H1842">
        <v>0</v>
      </c>
      <c r="I1842">
        <v>17</v>
      </c>
      <c r="J1842">
        <v>1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 t="s">
        <v>31</v>
      </c>
      <c r="AA1842">
        <v>71</v>
      </c>
    </row>
    <row r="1843" spans="1:27" x14ac:dyDescent="0.2">
      <c r="A1843" t="s">
        <v>2419</v>
      </c>
      <c r="B1843">
        <v>2023</v>
      </c>
      <c r="C1843" t="s">
        <v>2550</v>
      </c>
      <c r="D1843" t="s">
        <v>2551</v>
      </c>
      <c r="E1843" t="s">
        <v>29</v>
      </c>
      <c r="F1843" t="s">
        <v>41</v>
      </c>
      <c r="G1843">
        <v>0</v>
      </c>
      <c r="H1843">
        <v>0</v>
      </c>
      <c r="I1843">
        <v>0</v>
      </c>
      <c r="J1843">
        <v>0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 t="s">
        <v>31</v>
      </c>
      <c r="AA1843">
        <v>5</v>
      </c>
    </row>
    <row r="1844" spans="1:27" x14ac:dyDescent="0.2">
      <c r="A1844" t="s">
        <v>876</v>
      </c>
      <c r="B1844">
        <v>2019</v>
      </c>
      <c r="C1844">
        <v>41208061</v>
      </c>
      <c r="D1844" t="s">
        <v>1096</v>
      </c>
      <c r="E1844" t="s">
        <v>29</v>
      </c>
      <c r="F1844" t="s">
        <v>41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1</v>
      </c>
      <c r="T1844">
        <v>0</v>
      </c>
      <c r="U1844">
        <v>0</v>
      </c>
      <c r="V1844">
        <v>0</v>
      </c>
      <c r="W1844">
        <v>0</v>
      </c>
      <c r="X1844">
        <v>0</v>
      </c>
      <c r="Y1844" t="s">
        <v>51</v>
      </c>
      <c r="Z1844">
        <v>45</v>
      </c>
      <c r="AA1844">
        <v>0</v>
      </c>
    </row>
    <row r="1845" spans="1:27" x14ac:dyDescent="0.2">
      <c r="A1845" t="s">
        <v>1576</v>
      </c>
      <c r="B1845">
        <v>2018</v>
      </c>
      <c r="C1845">
        <v>1472305800</v>
      </c>
      <c r="D1845" t="s">
        <v>2552</v>
      </c>
      <c r="E1845" t="s">
        <v>29</v>
      </c>
      <c r="F1845" t="s">
        <v>30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32</v>
      </c>
      <c r="T1845">
        <v>0</v>
      </c>
      <c r="U1845">
        <v>0</v>
      </c>
      <c r="V1845">
        <v>0</v>
      </c>
      <c r="W1845">
        <v>0</v>
      </c>
      <c r="X1845">
        <v>0</v>
      </c>
      <c r="Y1845" t="s">
        <v>31</v>
      </c>
      <c r="AA1845">
        <v>0</v>
      </c>
    </row>
    <row r="1846" spans="1:27" x14ac:dyDescent="0.2">
      <c r="A1846" t="s">
        <v>1609</v>
      </c>
      <c r="B1846">
        <v>2018</v>
      </c>
      <c r="C1846" t="s">
        <v>2553</v>
      </c>
      <c r="D1846" t="s">
        <v>2554</v>
      </c>
      <c r="E1846" t="s">
        <v>29</v>
      </c>
      <c r="F1846" t="s">
        <v>41</v>
      </c>
      <c r="G1846">
        <v>0</v>
      </c>
      <c r="H1846">
        <v>0</v>
      </c>
      <c r="I1846">
        <v>10</v>
      </c>
      <c r="J1846">
        <v>0</v>
      </c>
      <c r="K1846">
        <v>10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 t="s">
        <v>51</v>
      </c>
      <c r="Z1846">
        <v>45</v>
      </c>
      <c r="AA1846">
        <v>0</v>
      </c>
    </row>
    <row r="1847" spans="1:27" x14ac:dyDescent="0.2">
      <c r="A1847" t="s">
        <v>1576</v>
      </c>
      <c r="B1847">
        <v>2018</v>
      </c>
      <c r="C1847">
        <v>1602701200</v>
      </c>
      <c r="D1847" t="s">
        <v>2555</v>
      </c>
      <c r="E1847" t="s">
        <v>29</v>
      </c>
      <c r="F1847" t="s">
        <v>30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10</v>
      </c>
      <c r="T1847">
        <v>0</v>
      </c>
      <c r="U1847">
        <v>0</v>
      </c>
      <c r="V1847">
        <v>0</v>
      </c>
      <c r="W1847">
        <v>0</v>
      </c>
      <c r="X1847">
        <v>0</v>
      </c>
      <c r="Y1847" t="s">
        <v>51</v>
      </c>
      <c r="AA1847">
        <v>0</v>
      </c>
    </row>
    <row r="1848" spans="1:27" x14ac:dyDescent="0.2">
      <c r="A1848" t="s">
        <v>1576</v>
      </c>
      <c r="B1848">
        <v>2018</v>
      </c>
      <c r="C1848">
        <v>1602701200</v>
      </c>
      <c r="D1848" t="s">
        <v>2556</v>
      </c>
      <c r="E1848" t="s">
        <v>29</v>
      </c>
      <c r="F1848" t="s">
        <v>30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10</v>
      </c>
      <c r="T1848">
        <v>0</v>
      </c>
      <c r="U1848">
        <v>0</v>
      </c>
      <c r="V1848">
        <v>0</v>
      </c>
      <c r="W1848">
        <v>0</v>
      </c>
      <c r="X1848">
        <v>0</v>
      </c>
      <c r="Y1848" t="s">
        <v>51</v>
      </c>
      <c r="AA1848">
        <v>0</v>
      </c>
    </row>
    <row r="1849" spans="1:27" x14ac:dyDescent="0.2">
      <c r="A1849" t="s">
        <v>1500</v>
      </c>
      <c r="B1849">
        <v>2018</v>
      </c>
      <c r="C1849">
        <v>4038022017</v>
      </c>
      <c r="D1849" t="s">
        <v>2213</v>
      </c>
      <c r="E1849" t="s">
        <v>29</v>
      </c>
      <c r="F1849" t="s">
        <v>30</v>
      </c>
      <c r="G1849">
        <v>0</v>
      </c>
      <c r="H1849">
        <v>0</v>
      </c>
      <c r="I1849">
        <v>3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 t="s">
        <v>31</v>
      </c>
      <c r="Z1849">
        <v>55</v>
      </c>
      <c r="AA1849">
        <v>0</v>
      </c>
    </row>
    <row r="1850" spans="1:27" x14ac:dyDescent="0.2">
      <c r="A1850" t="s">
        <v>1500</v>
      </c>
      <c r="B1850">
        <v>2018</v>
      </c>
      <c r="C1850">
        <v>6077011040</v>
      </c>
      <c r="D1850" t="s">
        <v>2557</v>
      </c>
      <c r="E1850" t="s">
        <v>29</v>
      </c>
      <c r="F1850" t="s">
        <v>30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38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 t="s">
        <v>31</v>
      </c>
      <c r="Z1850">
        <v>55</v>
      </c>
      <c r="AA1850">
        <v>0</v>
      </c>
    </row>
    <row r="1851" spans="1:27" x14ac:dyDescent="0.2">
      <c r="A1851" t="s">
        <v>1077</v>
      </c>
      <c r="B1851">
        <v>2019</v>
      </c>
      <c r="C1851">
        <v>2294711200</v>
      </c>
      <c r="D1851" t="s">
        <v>2558</v>
      </c>
      <c r="E1851" t="s">
        <v>29</v>
      </c>
      <c r="F1851" t="s">
        <v>30</v>
      </c>
      <c r="G1851">
        <v>9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 t="s">
        <v>31</v>
      </c>
      <c r="Z1851">
        <v>55</v>
      </c>
      <c r="AA1851">
        <v>0</v>
      </c>
    </row>
    <row r="1852" spans="1:27" x14ac:dyDescent="0.2">
      <c r="A1852" t="s">
        <v>387</v>
      </c>
      <c r="B1852">
        <v>2023</v>
      </c>
      <c r="C1852" t="s">
        <v>388</v>
      </c>
      <c r="D1852" t="s">
        <v>389</v>
      </c>
      <c r="E1852" t="s">
        <v>29</v>
      </c>
      <c r="F1852" t="s">
        <v>30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1</v>
      </c>
      <c r="T1852">
        <v>0</v>
      </c>
      <c r="U1852">
        <v>0</v>
      </c>
      <c r="V1852">
        <v>0</v>
      </c>
      <c r="W1852">
        <v>0</v>
      </c>
      <c r="X1852">
        <v>0</v>
      </c>
      <c r="Y1852" t="s">
        <v>51</v>
      </c>
      <c r="Z1852">
        <v>1000</v>
      </c>
      <c r="AA1852">
        <v>0</v>
      </c>
    </row>
    <row r="1853" spans="1:27" x14ac:dyDescent="0.2">
      <c r="A1853" t="s">
        <v>387</v>
      </c>
      <c r="B1853">
        <v>2023</v>
      </c>
      <c r="C1853" t="s">
        <v>2559</v>
      </c>
      <c r="D1853" t="s">
        <v>2560</v>
      </c>
      <c r="E1853" t="s">
        <v>29</v>
      </c>
      <c r="F1853" t="s">
        <v>41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15</v>
      </c>
      <c r="N1853">
        <v>0</v>
      </c>
      <c r="O1853">
        <v>5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 t="s">
        <v>51</v>
      </c>
      <c r="Z1853">
        <v>1000</v>
      </c>
      <c r="AA1853">
        <v>0</v>
      </c>
    </row>
    <row r="1854" spans="1:27" x14ac:dyDescent="0.2">
      <c r="A1854" t="s">
        <v>2561</v>
      </c>
      <c r="B1854">
        <v>2022</v>
      </c>
      <c r="C1854">
        <v>31710155</v>
      </c>
      <c r="D1854" t="s">
        <v>2562</v>
      </c>
      <c r="E1854" t="s">
        <v>29</v>
      </c>
      <c r="F1854" t="s">
        <v>30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14</v>
      </c>
      <c r="T1854">
        <v>0</v>
      </c>
      <c r="U1854">
        <v>29</v>
      </c>
      <c r="V1854">
        <v>0</v>
      </c>
      <c r="W1854">
        <v>0</v>
      </c>
      <c r="X1854">
        <v>1</v>
      </c>
      <c r="Y1854" t="s">
        <v>31</v>
      </c>
      <c r="Z1854">
        <v>55</v>
      </c>
      <c r="AA1854">
        <v>0</v>
      </c>
    </row>
    <row r="1855" spans="1:27" x14ac:dyDescent="0.2">
      <c r="A1855" t="s">
        <v>75</v>
      </c>
      <c r="B1855">
        <v>2018</v>
      </c>
      <c r="C1855">
        <v>5342101200</v>
      </c>
      <c r="D1855" t="s">
        <v>2563</v>
      </c>
      <c r="E1855" t="s">
        <v>29</v>
      </c>
      <c r="F1855" t="s">
        <v>30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43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 t="s">
        <v>51</v>
      </c>
      <c r="AA1855">
        <v>0</v>
      </c>
    </row>
    <row r="1856" spans="1:27" x14ac:dyDescent="0.2">
      <c r="A1856" t="s">
        <v>1500</v>
      </c>
      <c r="B1856">
        <v>2018</v>
      </c>
      <c r="C1856">
        <v>6021015018</v>
      </c>
      <c r="D1856" t="s">
        <v>2564</v>
      </c>
      <c r="E1856" t="s">
        <v>29</v>
      </c>
      <c r="F1856" t="s">
        <v>30</v>
      </c>
      <c r="G1856">
        <v>43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 t="s">
        <v>31</v>
      </c>
      <c r="Z1856">
        <v>55</v>
      </c>
      <c r="AA1856">
        <v>0</v>
      </c>
    </row>
    <row r="1857" spans="1:27" x14ac:dyDescent="0.2">
      <c r="A1857" t="s">
        <v>1500</v>
      </c>
      <c r="B1857">
        <v>2018</v>
      </c>
      <c r="C1857" t="s">
        <v>2565</v>
      </c>
      <c r="D1857" t="s">
        <v>2566</v>
      </c>
      <c r="E1857" t="s">
        <v>29</v>
      </c>
      <c r="F1857" t="s">
        <v>30</v>
      </c>
      <c r="G1857">
        <v>0</v>
      </c>
      <c r="H1857">
        <v>0</v>
      </c>
      <c r="I1857">
        <v>5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 t="s">
        <v>31</v>
      </c>
      <c r="Z1857">
        <v>55</v>
      </c>
      <c r="AA1857">
        <v>0</v>
      </c>
    </row>
    <row r="1858" spans="1:27" x14ac:dyDescent="0.2">
      <c r="A1858" t="s">
        <v>1624</v>
      </c>
      <c r="B1858">
        <v>2018</v>
      </c>
      <c r="C1858" t="s">
        <v>2567</v>
      </c>
      <c r="D1858" t="s">
        <v>2568</v>
      </c>
      <c r="E1858" t="s">
        <v>29</v>
      </c>
      <c r="F1858" t="s">
        <v>41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8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 t="s">
        <v>51</v>
      </c>
      <c r="Z1858">
        <v>30</v>
      </c>
      <c r="AA1858">
        <v>0</v>
      </c>
    </row>
    <row r="1859" spans="1:27" x14ac:dyDescent="0.2">
      <c r="A1859" t="s">
        <v>1624</v>
      </c>
      <c r="B1859">
        <v>2018</v>
      </c>
      <c r="C1859" t="s">
        <v>2569</v>
      </c>
      <c r="D1859" t="s">
        <v>2570</v>
      </c>
      <c r="E1859" t="s">
        <v>29</v>
      </c>
      <c r="F1859" t="s">
        <v>30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34</v>
      </c>
      <c r="N1859">
        <v>0</v>
      </c>
      <c r="O1859">
        <v>68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 t="s">
        <v>51</v>
      </c>
      <c r="Z1859">
        <v>55</v>
      </c>
      <c r="AA1859">
        <v>0</v>
      </c>
    </row>
    <row r="1860" spans="1:27" x14ac:dyDescent="0.2">
      <c r="A1860" t="s">
        <v>1500</v>
      </c>
      <c r="B1860">
        <v>2018</v>
      </c>
      <c r="C1860" t="s">
        <v>2571</v>
      </c>
      <c r="D1860" t="s">
        <v>2572</v>
      </c>
      <c r="E1860" t="s">
        <v>29</v>
      </c>
      <c r="F1860" t="s">
        <v>30</v>
      </c>
      <c r="G1860">
        <v>2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 t="s">
        <v>31</v>
      </c>
      <c r="Z1860">
        <v>55</v>
      </c>
      <c r="AA1860">
        <v>0</v>
      </c>
    </row>
    <row r="1861" spans="1:27" x14ac:dyDescent="0.2">
      <c r="A1861" t="s">
        <v>283</v>
      </c>
      <c r="B1861">
        <v>2018</v>
      </c>
      <c r="C1861" t="s">
        <v>2516</v>
      </c>
      <c r="D1861" t="s">
        <v>2573</v>
      </c>
      <c r="E1861" t="s">
        <v>29</v>
      </c>
      <c r="F1861" t="s">
        <v>30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6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 t="s">
        <v>51</v>
      </c>
      <c r="Z1861">
        <v>75</v>
      </c>
      <c r="AA1861">
        <v>0</v>
      </c>
    </row>
    <row r="1862" spans="1:27" x14ac:dyDescent="0.2">
      <c r="A1862" t="s">
        <v>75</v>
      </c>
      <c r="B1862">
        <v>2018</v>
      </c>
      <c r="C1862">
        <v>6661700800</v>
      </c>
      <c r="D1862" t="s">
        <v>2574</v>
      </c>
      <c r="E1862" t="s">
        <v>29</v>
      </c>
      <c r="F1862" t="s">
        <v>30</v>
      </c>
      <c r="G1862">
        <v>0</v>
      </c>
      <c r="H1862">
        <v>0</v>
      </c>
      <c r="I1862">
        <v>2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 t="s">
        <v>31</v>
      </c>
      <c r="AA1862">
        <v>0</v>
      </c>
    </row>
    <row r="1863" spans="1:27" x14ac:dyDescent="0.2">
      <c r="A1863" t="s">
        <v>75</v>
      </c>
      <c r="B1863">
        <v>2018</v>
      </c>
      <c r="C1863">
        <v>4456421200</v>
      </c>
      <c r="D1863" t="s">
        <v>2575</v>
      </c>
      <c r="E1863" t="s">
        <v>29</v>
      </c>
      <c r="F1863" t="s">
        <v>30</v>
      </c>
      <c r="G1863">
        <v>6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 t="s">
        <v>31</v>
      </c>
      <c r="AA1863">
        <v>0</v>
      </c>
    </row>
    <row r="1864" spans="1:27" x14ac:dyDescent="0.2">
      <c r="A1864" t="s">
        <v>75</v>
      </c>
      <c r="B1864">
        <v>2018</v>
      </c>
      <c r="C1864">
        <v>43655222</v>
      </c>
      <c r="D1864" t="s">
        <v>2576</v>
      </c>
      <c r="E1864" t="s">
        <v>29</v>
      </c>
      <c r="F1864" t="s">
        <v>30</v>
      </c>
      <c r="G1864">
        <v>1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 t="s">
        <v>31</v>
      </c>
      <c r="AA1864">
        <v>0</v>
      </c>
    </row>
    <row r="1865" spans="1:27" x14ac:dyDescent="0.2">
      <c r="A1865" t="s">
        <v>75</v>
      </c>
      <c r="B1865">
        <v>2018</v>
      </c>
      <c r="C1865">
        <v>5343350900</v>
      </c>
      <c r="D1865" t="s">
        <v>2577</v>
      </c>
      <c r="E1865" t="s">
        <v>29</v>
      </c>
      <c r="F1865" t="s">
        <v>30</v>
      </c>
      <c r="G1865">
        <v>16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 t="s">
        <v>31</v>
      </c>
      <c r="AA1865">
        <v>0</v>
      </c>
    </row>
    <row r="1866" spans="1:27" x14ac:dyDescent="0.2">
      <c r="A1866" t="s">
        <v>2417</v>
      </c>
      <c r="B1866">
        <v>2020</v>
      </c>
      <c r="C1866" t="s">
        <v>2578</v>
      </c>
      <c r="D1866" t="s">
        <v>2579</v>
      </c>
      <c r="E1866" t="s">
        <v>29</v>
      </c>
      <c r="F1866" t="s">
        <v>41</v>
      </c>
      <c r="G1866">
        <v>0</v>
      </c>
      <c r="H1866">
        <v>0</v>
      </c>
      <c r="I1866">
        <v>0</v>
      </c>
      <c r="J1866">
        <v>1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1</v>
      </c>
      <c r="W1866">
        <v>0</v>
      </c>
      <c r="X1866">
        <v>0</v>
      </c>
      <c r="Y1866" t="s">
        <v>31</v>
      </c>
      <c r="Z1866">
        <v>55</v>
      </c>
      <c r="AA1866">
        <v>0</v>
      </c>
    </row>
    <row r="1867" spans="1:27" x14ac:dyDescent="0.2">
      <c r="A1867" t="s">
        <v>883</v>
      </c>
      <c r="B1867">
        <v>2021</v>
      </c>
      <c r="C1867">
        <v>35401450</v>
      </c>
      <c r="D1867" t="s">
        <v>2580</v>
      </c>
      <c r="E1867" t="s">
        <v>29</v>
      </c>
      <c r="F1867" t="s">
        <v>41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1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 t="s">
        <v>51</v>
      </c>
      <c r="Z1867">
        <v>1000</v>
      </c>
      <c r="AA1867">
        <v>0</v>
      </c>
    </row>
    <row r="1868" spans="1:27" x14ac:dyDescent="0.2">
      <c r="A1868" t="s">
        <v>883</v>
      </c>
      <c r="B1868">
        <v>2021</v>
      </c>
      <c r="C1868">
        <v>35401450</v>
      </c>
      <c r="D1868" t="s">
        <v>2580</v>
      </c>
      <c r="E1868" t="s">
        <v>29</v>
      </c>
      <c r="F1868" t="s">
        <v>41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2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 t="s">
        <v>51</v>
      </c>
      <c r="Z1868">
        <v>1000</v>
      </c>
      <c r="AA1868">
        <v>0</v>
      </c>
    </row>
    <row r="1869" spans="1:27" x14ac:dyDescent="0.2">
      <c r="A1869" t="s">
        <v>883</v>
      </c>
      <c r="B1869">
        <v>2021</v>
      </c>
      <c r="C1869">
        <v>35401450</v>
      </c>
      <c r="D1869" t="s">
        <v>2580</v>
      </c>
      <c r="E1869" t="s">
        <v>29</v>
      </c>
      <c r="F1869" t="s">
        <v>41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1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 t="s">
        <v>51</v>
      </c>
      <c r="Z1869">
        <v>1000</v>
      </c>
      <c r="AA1869">
        <v>0</v>
      </c>
    </row>
    <row r="1870" spans="1:27" x14ac:dyDescent="0.2">
      <c r="A1870" t="s">
        <v>883</v>
      </c>
      <c r="B1870">
        <v>2021</v>
      </c>
      <c r="C1870">
        <v>35401450</v>
      </c>
      <c r="D1870" t="s">
        <v>2580</v>
      </c>
      <c r="E1870" t="s">
        <v>29</v>
      </c>
      <c r="F1870" t="s">
        <v>41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1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 t="s">
        <v>51</v>
      </c>
      <c r="Z1870">
        <v>1000</v>
      </c>
      <c r="AA1870">
        <v>0</v>
      </c>
    </row>
    <row r="1871" spans="1:27" x14ac:dyDescent="0.2">
      <c r="A1871" t="s">
        <v>883</v>
      </c>
      <c r="B1871">
        <v>2021</v>
      </c>
      <c r="C1871">
        <v>35401450</v>
      </c>
      <c r="D1871" t="s">
        <v>2580</v>
      </c>
      <c r="E1871" t="s">
        <v>29</v>
      </c>
      <c r="F1871" t="s">
        <v>41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2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 t="s">
        <v>51</v>
      </c>
      <c r="Z1871">
        <v>1000</v>
      </c>
      <c r="AA1871">
        <v>0</v>
      </c>
    </row>
    <row r="1872" spans="1:27" x14ac:dyDescent="0.2">
      <c r="A1872" t="s">
        <v>267</v>
      </c>
      <c r="B1872">
        <v>2022</v>
      </c>
      <c r="C1872" t="s">
        <v>2581</v>
      </c>
      <c r="D1872" t="s">
        <v>2582</v>
      </c>
      <c r="E1872" t="s">
        <v>29</v>
      </c>
      <c r="F1872" t="s">
        <v>30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35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35</v>
      </c>
      <c r="X1872">
        <v>0</v>
      </c>
      <c r="Y1872" t="s">
        <v>51</v>
      </c>
      <c r="Z1872">
        <v>55</v>
      </c>
      <c r="AA1872">
        <v>0</v>
      </c>
    </row>
    <row r="1873" spans="1:27" x14ac:dyDescent="0.2">
      <c r="A1873" t="s">
        <v>1071</v>
      </c>
      <c r="B1873">
        <v>2022</v>
      </c>
      <c r="C1873">
        <v>72625061</v>
      </c>
      <c r="D1873" t="s">
        <v>2583</v>
      </c>
      <c r="E1873" t="s">
        <v>29</v>
      </c>
      <c r="F1873" t="s">
        <v>30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4</v>
      </c>
      <c r="N1873">
        <v>0</v>
      </c>
      <c r="O1873">
        <v>0</v>
      </c>
      <c r="P1873">
        <v>0</v>
      </c>
      <c r="Q1873">
        <v>0</v>
      </c>
      <c r="R1873">
        <v>15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 t="s">
        <v>51</v>
      </c>
      <c r="Z1873">
        <v>55</v>
      </c>
      <c r="AA1873">
        <v>0</v>
      </c>
    </row>
    <row r="1874" spans="1:27" x14ac:dyDescent="0.2">
      <c r="A1874" t="s">
        <v>1071</v>
      </c>
      <c r="B1874">
        <v>2022</v>
      </c>
      <c r="C1874">
        <v>72625061</v>
      </c>
      <c r="D1874" t="s">
        <v>2584</v>
      </c>
      <c r="E1874" t="s">
        <v>29</v>
      </c>
      <c r="F1874" t="s">
        <v>30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5</v>
      </c>
      <c r="N1874">
        <v>0</v>
      </c>
      <c r="O1874">
        <v>0</v>
      </c>
      <c r="P1874">
        <v>0</v>
      </c>
      <c r="Q1874">
        <v>0</v>
      </c>
      <c r="R1874">
        <v>14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 t="s">
        <v>51</v>
      </c>
      <c r="Z1874">
        <v>55</v>
      </c>
      <c r="AA1874">
        <v>0</v>
      </c>
    </row>
    <row r="1875" spans="1:27" x14ac:dyDescent="0.2">
      <c r="A1875" t="s">
        <v>1071</v>
      </c>
      <c r="B1875">
        <v>2022</v>
      </c>
      <c r="C1875">
        <v>72636059</v>
      </c>
      <c r="D1875" t="s">
        <v>2585</v>
      </c>
      <c r="E1875" t="s">
        <v>29</v>
      </c>
      <c r="F1875" t="s">
        <v>30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2</v>
      </c>
      <c r="N1875">
        <v>0</v>
      </c>
      <c r="O1875">
        <v>30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 t="s">
        <v>31</v>
      </c>
      <c r="Z1875">
        <v>55</v>
      </c>
      <c r="AA1875">
        <v>80</v>
      </c>
    </row>
    <row r="1876" spans="1:27" x14ac:dyDescent="0.2">
      <c r="A1876" t="s">
        <v>1071</v>
      </c>
      <c r="B1876">
        <v>2022</v>
      </c>
      <c r="C1876">
        <v>77904075</v>
      </c>
      <c r="D1876" t="s">
        <v>2586</v>
      </c>
      <c r="E1876" t="s">
        <v>29</v>
      </c>
      <c r="F1876" t="s">
        <v>30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24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 t="s">
        <v>31</v>
      </c>
      <c r="Z1876">
        <v>55</v>
      </c>
      <c r="AA1876">
        <v>0</v>
      </c>
    </row>
    <row r="1877" spans="1:27" x14ac:dyDescent="0.2">
      <c r="A1877" t="s">
        <v>415</v>
      </c>
      <c r="B1877">
        <v>2019</v>
      </c>
      <c r="C1877" t="s">
        <v>594</v>
      </c>
      <c r="D1877" t="s">
        <v>595</v>
      </c>
      <c r="E1877" t="s">
        <v>29</v>
      </c>
      <c r="F1877" t="s">
        <v>30</v>
      </c>
      <c r="G1877">
        <v>24</v>
      </c>
      <c r="H1877">
        <v>0</v>
      </c>
      <c r="I1877">
        <v>35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 t="s">
        <v>31</v>
      </c>
      <c r="Z1877">
        <v>55</v>
      </c>
      <c r="AA1877">
        <v>0</v>
      </c>
    </row>
    <row r="1878" spans="1:27" x14ac:dyDescent="0.2">
      <c r="A1878" t="s">
        <v>584</v>
      </c>
      <c r="B1878">
        <v>2018</v>
      </c>
      <c r="C1878" s="2" t="s">
        <v>2587</v>
      </c>
      <c r="D1878" t="s">
        <v>2588</v>
      </c>
      <c r="E1878" t="s">
        <v>29</v>
      </c>
      <c r="F1878" t="s">
        <v>30</v>
      </c>
      <c r="G1878">
        <v>4</v>
      </c>
      <c r="H1878">
        <v>0</v>
      </c>
      <c r="I1878">
        <v>2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 t="s">
        <v>51</v>
      </c>
      <c r="Z1878">
        <v>55</v>
      </c>
      <c r="AA1878">
        <v>0</v>
      </c>
    </row>
    <row r="1879" spans="1:27" x14ac:dyDescent="0.2">
      <c r="A1879" t="s">
        <v>584</v>
      </c>
      <c r="B1879">
        <v>2018</v>
      </c>
      <c r="C1879" s="2" t="s">
        <v>2589</v>
      </c>
      <c r="D1879" t="s">
        <v>2590</v>
      </c>
      <c r="E1879" t="s">
        <v>29</v>
      </c>
      <c r="F1879" t="s">
        <v>30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1</v>
      </c>
      <c r="N1879">
        <v>0</v>
      </c>
      <c r="O1879">
        <v>1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 t="s">
        <v>51</v>
      </c>
      <c r="Z1879">
        <v>55</v>
      </c>
      <c r="AA1879">
        <v>0</v>
      </c>
    </row>
    <row r="1880" spans="1:27" x14ac:dyDescent="0.2">
      <c r="A1880" t="s">
        <v>670</v>
      </c>
      <c r="B1880">
        <v>2021</v>
      </c>
      <c r="C1880">
        <v>4015029004</v>
      </c>
      <c r="D1880" t="s">
        <v>2591</v>
      </c>
      <c r="E1880" t="s">
        <v>29</v>
      </c>
      <c r="F1880" t="s">
        <v>30</v>
      </c>
      <c r="G1880">
        <v>7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7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7</v>
      </c>
      <c r="T1880">
        <v>0</v>
      </c>
      <c r="U1880">
        <v>0</v>
      </c>
      <c r="V1880">
        <v>0</v>
      </c>
      <c r="W1880">
        <v>0</v>
      </c>
      <c r="X1880">
        <v>0</v>
      </c>
      <c r="Y1880" t="s">
        <v>31</v>
      </c>
      <c r="Z1880">
        <v>55</v>
      </c>
      <c r="AA1880">
        <v>5</v>
      </c>
    </row>
    <row r="1881" spans="1:27" x14ac:dyDescent="0.2">
      <c r="A1881" t="s">
        <v>163</v>
      </c>
      <c r="B1881">
        <v>2018</v>
      </c>
      <c r="C1881">
        <v>4691430900</v>
      </c>
      <c r="D1881" t="s">
        <v>2592</v>
      </c>
      <c r="E1881" t="s">
        <v>29</v>
      </c>
      <c r="F1881" t="s">
        <v>30</v>
      </c>
      <c r="G1881">
        <v>3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 t="s">
        <v>31</v>
      </c>
      <c r="Z1881">
        <v>55</v>
      </c>
      <c r="AA1881">
        <v>0</v>
      </c>
    </row>
    <row r="1882" spans="1:27" x14ac:dyDescent="0.2">
      <c r="A1882" t="s">
        <v>533</v>
      </c>
      <c r="B1882">
        <v>2019</v>
      </c>
      <c r="C1882" t="s">
        <v>2593</v>
      </c>
      <c r="D1882" t="s">
        <v>2359</v>
      </c>
      <c r="E1882" t="s">
        <v>29</v>
      </c>
      <c r="F1882" t="s">
        <v>30</v>
      </c>
      <c r="G1882">
        <v>0</v>
      </c>
      <c r="H1882">
        <v>0</v>
      </c>
      <c r="I1882">
        <v>0</v>
      </c>
      <c r="J1882">
        <v>0</v>
      </c>
      <c r="K1882">
        <v>24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24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 t="s">
        <v>31</v>
      </c>
      <c r="Z1882">
        <v>1000</v>
      </c>
      <c r="AA1882">
        <v>0</v>
      </c>
    </row>
    <row r="1883" spans="1:27" x14ac:dyDescent="0.2">
      <c r="A1883" t="s">
        <v>283</v>
      </c>
      <c r="B1883">
        <v>2019</v>
      </c>
      <c r="C1883" t="s">
        <v>2594</v>
      </c>
      <c r="D1883" t="s">
        <v>2595</v>
      </c>
      <c r="E1883" t="s">
        <v>29</v>
      </c>
      <c r="F1883" t="s">
        <v>30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23</v>
      </c>
      <c r="N1883">
        <v>0</v>
      </c>
      <c r="O1883">
        <v>6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 t="s">
        <v>51</v>
      </c>
      <c r="Z1883">
        <v>1000</v>
      </c>
      <c r="AA1883">
        <v>0</v>
      </c>
    </row>
    <row r="1884" spans="1:27" x14ac:dyDescent="0.2">
      <c r="A1884" t="s">
        <v>890</v>
      </c>
      <c r="B1884">
        <v>2020</v>
      </c>
      <c r="C1884">
        <v>63201290</v>
      </c>
      <c r="D1884" t="s">
        <v>2596</v>
      </c>
      <c r="E1884" t="s">
        <v>29</v>
      </c>
      <c r="F1884" t="s">
        <v>41</v>
      </c>
      <c r="G1884">
        <v>0</v>
      </c>
      <c r="H1884">
        <v>0</v>
      </c>
      <c r="I1884">
        <v>4</v>
      </c>
      <c r="J1884">
        <v>0</v>
      </c>
      <c r="K1884">
        <v>3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 t="s">
        <v>51</v>
      </c>
      <c r="Z1884">
        <v>1000</v>
      </c>
      <c r="AA1884">
        <v>0</v>
      </c>
    </row>
    <row r="1885" spans="1:27" x14ac:dyDescent="0.2">
      <c r="A1885" t="s">
        <v>1316</v>
      </c>
      <c r="B1885">
        <v>2019</v>
      </c>
      <c r="C1885">
        <v>44501307</v>
      </c>
      <c r="D1885" t="s">
        <v>2597</v>
      </c>
      <c r="E1885" t="s">
        <v>29</v>
      </c>
      <c r="F1885" t="s">
        <v>30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18</v>
      </c>
      <c r="N1885">
        <v>0</v>
      </c>
      <c r="O1885">
        <v>0</v>
      </c>
      <c r="P1885">
        <v>0</v>
      </c>
      <c r="Q1885">
        <v>11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 t="s">
        <v>31</v>
      </c>
      <c r="Z1885">
        <v>30</v>
      </c>
      <c r="AA1885">
        <v>0</v>
      </c>
    </row>
    <row r="1886" spans="1:27" x14ac:dyDescent="0.2">
      <c r="A1886" t="s">
        <v>912</v>
      </c>
      <c r="B1886">
        <v>2018</v>
      </c>
      <c r="C1886" t="s">
        <v>913</v>
      </c>
      <c r="D1886" t="s">
        <v>914</v>
      </c>
      <c r="E1886" t="s">
        <v>29</v>
      </c>
      <c r="F1886" t="s">
        <v>30</v>
      </c>
      <c r="G1886">
        <v>0</v>
      </c>
      <c r="H1886">
        <v>0</v>
      </c>
      <c r="I1886">
        <v>24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24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 t="s">
        <v>31</v>
      </c>
      <c r="Z1886">
        <v>30</v>
      </c>
      <c r="AA1886">
        <v>0</v>
      </c>
    </row>
    <row r="1887" spans="1:27" x14ac:dyDescent="0.2">
      <c r="A1887" t="s">
        <v>2598</v>
      </c>
      <c r="B1887">
        <v>2018</v>
      </c>
      <c r="C1887" t="s">
        <v>2599</v>
      </c>
      <c r="D1887" t="s">
        <v>2600</v>
      </c>
      <c r="E1887" t="s">
        <v>29</v>
      </c>
      <c r="F1887" t="s">
        <v>30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4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 t="s">
        <v>31</v>
      </c>
      <c r="Z1887">
        <v>35</v>
      </c>
      <c r="AA1887">
        <v>0</v>
      </c>
    </row>
    <row r="1888" spans="1:27" x14ac:dyDescent="0.2">
      <c r="A1888" t="s">
        <v>2598</v>
      </c>
      <c r="B1888">
        <v>2018</v>
      </c>
      <c r="C1888" t="s">
        <v>2601</v>
      </c>
      <c r="D1888" t="s">
        <v>2602</v>
      </c>
      <c r="E1888" t="s">
        <v>29</v>
      </c>
      <c r="F1888" t="s">
        <v>30</v>
      </c>
      <c r="G1888">
        <v>5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 t="s">
        <v>31</v>
      </c>
      <c r="AA1888">
        <v>0</v>
      </c>
    </row>
    <row r="1889" spans="1:27" x14ac:dyDescent="0.2">
      <c r="A1889" t="s">
        <v>876</v>
      </c>
      <c r="B1889">
        <v>2019</v>
      </c>
      <c r="C1889">
        <v>41208065</v>
      </c>
      <c r="D1889" t="s">
        <v>877</v>
      </c>
      <c r="E1889" t="s">
        <v>29</v>
      </c>
      <c r="F1889" t="s">
        <v>30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7</v>
      </c>
      <c r="T1889">
        <v>0</v>
      </c>
      <c r="U1889">
        <v>0</v>
      </c>
      <c r="V1889">
        <v>0</v>
      </c>
      <c r="W1889">
        <v>0</v>
      </c>
      <c r="X1889">
        <v>0</v>
      </c>
      <c r="Y1889" t="s">
        <v>31</v>
      </c>
      <c r="Z1889">
        <v>55</v>
      </c>
      <c r="AA1889">
        <v>0</v>
      </c>
    </row>
    <row r="1890" spans="1:27" x14ac:dyDescent="0.2">
      <c r="A1890" t="s">
        <v>876</v>
      </c>
      <c r="B1890">
        <v>2019</v>
      </c>
      <c r="C1890">
        <v>41208061</v>
      </c>
      <c r="D1890" t="s">
        <v>1160</v>
      </c>
      <c r="E1890" t="s">
        <v>29</v>
      </c>
      <c r="F1890" t="s">
        <v>41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1</v>
      </c>
      <c r="X1890">
        <v>0</v>
      </c>
      <c r="Y1890" t="s">
        <v>51</v>
      </c>
      <c r="Z1890">
        <v>45</v>
      </c>
      <c r="AA1890">
        <v>0</v>
      </c>
    </row>
    <row r="1891" spans="1:27" x14ac:dyDescent="0.2">
      <c r="A1891" t="s">
        <v>1071</v>
      </c>
      <c r="B1891">
        <v>2018</v>
      </c>
      <c r="C1891">
        <v>81736034</v>
      </c>
      <c r="D1891" t="s">
        <v>2603</v>
      </c>
      <c r="E1891" t="s">
        <v>29</v>
      </c>
      <c r="F1891" t="s">
        <v>30</v>
      </c>
      <c r="G1891">
        <v>31</v>
      </c>
      <c r="H1891">
        <v>0</v>
      </c>
      <c r="I1891">
        <v>8</v>
      </c>
      <c r="J1891">
        <v>0</v>
      </c>
      <c r="K1891">
        <v>0</v>
      </c>
      <c r="L1891">
        <v>0</v>
      </c>
      <c r="M1891">
        <v>31</v>
      </c>
      <c r="N1891">
        <v>0</v>
      </c>
      <c r="O1891">
        <v>8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 t="s">
        <v>31</v>
      </c>
      <c r="Z1891">
        <v>55</v>
      </c>
      <c r="AA1891">
        <v>0</v>
      </c>
    </row>
    <row r="1892" spans="1:27" x14ac:dyDescent="0.2">
      <c r="A1892" t="s">
        <v>2604</v>
      </c>
      <c r="B1892">
        <v>2023</v>
      </c>
      <c r="C1892" t="s">
        <v>2605</v>
      </c>
      <c r="D1892" t="s">
        <v>2606</v>
      </c>
      <c r="E1892" t="s">
        <v>29</v>
      </c>
      <c r="F1892" t="s">
        <v>30</v>
      </c>
      <c r="G1892">
        <v>10</v>
      </c>
      <c r="H1892">
        <v>0</v>
      </c>
      <c r="I1892">
        <v>5</v>
      </c>
      <c r="J1892">
        <v>0</v>
      </c>
      <c r="K1892">
        <v>5</v>
      </c>
      <c r="L1892">
        <v>0</v>
      </c>
      <c r="M1892">
        <v>10</v>
      </c>
      <c r="N1892">
        <v>0</v>
      </c>
      <c r="O1892">
        <v>5</v>
      </c>
      <c r="P1892">
        <v>0</v>
      </c>
      <c r="Q1892">
        <v>5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 t="s">
        <v>31</v>
      </c>
      <c r="Z1892">
        <v>55</v>
      </c>
      <c r="AA1892">
        <v>20</v>
      </c>
    </row>
    <row r="1893" spans="1:27" ht="102" x14ac:dyDescent="0.2">
      <c r="A1893" t="s">
        <v>1500</v>
      </c>
      <c r="B1893">
        <v>2021</v>
      </c>
      <c r="C1893">
        <v>6059018010</v>
      </c>
      <c r="D1893" s="1" t="s">
        <v>2607</v>
      </c>
      <c r="E1893" t="s">
        <v>29</v>
      </c>
      <c r="F1893" t="s">
        <v>30</v>
      </c>
      <c r="G1893">
        <v>0</v>
      </c>
      <c r="H1893">
        <v>0</v>
      </c>
      <c r="I1893">
        <v>2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 t="s">
        <v>31</v>
      </c>
      <c r="Z1893">
        <v>55</v>
      </c>
      <c r="AA1893">
        <v>35</v>
      </c>
    </row>
    <row r="1894" spans="1:27" x14ac:dyDescent="0.2">
      <c r="A1894" t="s">
        <v>753</v>
      </c>
      <c r="B1894">
        <v>2023</v>
      </c>
      <c r="C1894">
        <v>6443100500</v>
      </c>
      <c r="D1894" t="s">
        <v>2608</v>
      </c>
      <c r="E1894" t="s">
        <v>29</v>
      </c>
      <c r="F1894" t="s">
        <v>30</v>
      </c>
      <c r="G1894">
        <v>0</v>
      </c>
      <c r="H1894">
        <v>0</v>
      </c>
      <c r="I1894">
        <v>96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 t="s">
        <v>31</v>
      </c>
      <c r="Z1894">
        <v>55</v>
      </c>
      <c r="AA1894">
        <v>50</v>
      </c>
    </row>
    <row r="1895" spans="1:27" x14ac:dyDescent="0.2">
      <c r="A1895" t="s">
        <v>278</v>
      </c>
      <c r="B1895">
        <v>2019</v>
      </c>
      <c r="C1895" t="s">
        <v>497</v>
      </c>
      <c r="D1895" t="s">
        <v>2609</v>
      </c>
      <c r="E1895" t="s">
        <v>29</v>
      </c>
      <c r="F1895" t="s">
        <v>30</v>
      </c>
      <c r="G1895">
        <v>0</v>
      </c>
      <c r="H1895">
        <v>0</v>
      </c>
      <c r="I1895">
        <v>0</v>
      </c>
      <c r="J1895">
        <v>0</v>
      </c>
      <c r="K1895">
        <v>144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 t="s">
        <v>51</v>
      </c>
      <c r="Z1895">
        <v>55</v>
      </c>
      <c r="AA1895">
        <v>0</v>
      </c>
    </row>
    <row r="1896" spans="1:27" x14ac:dyDescent="0.2">
      <c r="A1896" t="s">
        <v>278</v>
      </c>
      <c r="B1896">
        <v>2019</v>
      </c>
      <c r="C1896" t="s">
        <v>1680</v>
      </c>
      <c r="D1896" t="s">
        <v>1681</v>
      </c>
      <c r="E1896" t="s">
        <v>29</v>
      </c>
      <c r="F1896" t="s">
        <v>30</v>
      </c>
      <c r="G1896">
        <v>0</v>
      </c>
      <c r="H1896">
        <v>0</v>
      </c>
      <c r="I1896">
        <v>34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 t="s">
        <v>51</v>
      </c>
      <c r="Z1896">
        <v>55</v>
      </c>
      <c r="AA1896">
        <v>0</v>
      </c>
    </row>
    <row r="1897" spans="1:27" x14ac:dyDescent="0.2">
      <c r="A1897" t="s">
        <v>283</v>
      </c>
      <c r="B1897">
        <v>2018</v>
      </c>
      <c r="C1897" t="s">
        <v>2516</v>
      </c>
      <c r="D1897" t="s">
        <v>2610</v>
      </c>
      <c r="E1897" t="s">
        <v>29</v>
      </c>
      <c r="F1897" t="s">
        <v>30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7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 t="s">
        <v>51</v>
      </c>
      <c r="Z1897">
        <v>75</v>
      </c>
      <c r="AA1897">
        <v>0</v>
      </c>
    </row>
    <row r="1898" spans="1:27" x14ac:dyDescent="0.2">
      <c r="A1898" t="s">
        <v>283</v>
      </c>
      <c r="B1898">
        <v>2018</v>
      </c>
      <c r="C1898" t="s">
        <v>2594</v>
      </c>
      <c r="D1898" t="s">
        <v>2595</v>
      </c>
      <c r="E1898" t="s">
        <v>29</v>
      </c>
      <c r="F1898" t="s">
        <v>30</v>
      </c>
      <c r="G1898">
        <v>23</v>
      </c>
      <c r="H1898">
        <v>0</v>
      </c>
      <c r="I1898">
        <v>6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 t="s">
        <v>51</v>
      </c>
      <c r="Z1898">
        <v>1000</v>
      </c>
      <c r="AA1898">
        <v>0</v>
      </c>
    </row>
    <row r="1899" spans="1:27" x14ac:dyDescent="0.2">
      <c r="A1899" t="s">
        <v>1809</v>
      </c>
      <c r="B1899">
        <v>2018</v>
      </c>
      <c r="C1899" t="s">
        <v>1810</v>
      </c>
      <c r="E1899" t="s">
        <v>29</v>
      </c>
      <c r="F1899" t="s">
        <v>30</v>
      </c>
      <c r="G1899">
        <v>0</v>
      </c>
      <c r="H1899">
        <v>0</v>
      </c>
      <c r="I1899">
        <v>12</v>
      </c>
      <c r="J1899">
        <v>0</v>
      </c>
      <c r="K1899">
        <v>0</v>
      </c>
      <c r="L1899">
        <v>66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 t="s">
        <v>31</v>
      </c>
      <c r="Z1899">
        <v>55</v>
      </c>
      <c r="AA1899">
        <v>0</v>
      </c>
    </row>
    <row r="1900" spans="1:27" x14ac:dyDescent="0.2">
      <c r="A1900" t="s">
        <v>2611</v>
      </c>
      <c r="B1900">
        <v>2023</v>
      </c>
      <c r="C1900" t="s">
        <v>2612</v>
      </c>
      <c r="D1900" t="s">
        <v>2613</v>
      </c>
      <c r="E1900" t="s">
        <v>29</v>
      </c>
      <c r="F1900" t="s">
        <v>30</v>
      </c>
      <c r="G1900">
        <v>0</v>
      </c>
      <c r="H1900">
        <v>0</v>
      </c>
      <c r="I1900">
        <v>69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69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 t="s">
        <v>31</v>
      </c>
      <c r="Z1900">
        <v>55</v>
      </c>
      <c r="AA1900">
        <v>20</v>
      </c>
    </row>
    <row r="1901" spans="1:27" x14ac:dyDescent="0.2">
      <c r="A1901" t="s">
        <v>2614</v>
      </c>
      <c r="B1901">
        <v>2019</v>
      </c>
      <c r="C1901" t="s">
        <v>2615</v>
      </c>
      <c r="D1901" t="s">
        <v>2616</v>
      </c>
      <c r="E1901" t="s">
        <v>29</v>
      </c>
      <c r="F1901" t="s">
        <v>41</v>
      </c>
      <c r="G1901">
        <v>1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 t="s">
        <v>31</v>
      </c>
      <c r="Z1901">
        <v>55</v>
      </c>
      <c r="AA1901">
        <v>0</v>
      </c>
    </row>
    <row r="1902" spans="1:27" ht="102" x14ac:dyDescent="0.2">
      <c r="A1902" t="s">
        <v>1500</v>
      </c>
      <c r="B1902">
        <v>2021</v>
      </c>
      <c r="C1902">
        <v>5232022003</v>
      </c>
      <c r="D1902" s="1" t="s">
        <v>2617</v>
      </c>
      <c r="E1902" t="s">
        <v>29</v>
      </c>
      <c r="F1902" t="s">
        <v>30</v>
      </c>
      <c r="G1902">
        <v>0</v>
      </c>
      <c r="H1902">
        <v>0</v>
      </c>
      <c r="I1902">
        <v>2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 t="s">
        <v>31</v>
      </c>
      <c r="Z1902">
        <v>55</v>
      </c>
      <c r="AA1902">
        <v>66</v>
      </c>
    </row>
    <row r="1903" spans="1:27" ht="119" x14ac:dyDescent="0.2">
      <c r="A1903" t="s">
        <v>1500</v>
      </c>
      <c r="B1903">
        <v>2021</v>
      </c>
      <c r="C1903">
        <v>5387039035</v>
      </c>
      <c r="D1903" s="1" t="s">
        <v>2618</v>
      </c>
      <c r="E1903" t="s">
        <v>29</v>
      </c>
      <c r="F1903" t="s">
        <v>30</v>
      </c>
      <c r="G1903">
        <v>5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 t="s">
        <v>31</v>
      </c>
      <c r="Z1903">
        <v>55</v>
      </c>
      <c r="AA1903">
        <v>75</v>
      </c>
    </row>
    <row r="1904" spans="1:27" x14ac:dyDescent="0.2">
      <c r="A1904" t="s">
        <v>227</v>
      </c>
      <c r="B1904">
        <v>2018</v>
      </c>
      <c r="C1904" t="s">
        <v>2619</v>
      </c>
      <c r="D1904" t="s">
        <v>2620</v>
      </c>
      <c r="E1904" t="s">
        <v>29</v>
      </c>
      <c r="F1904" t="s">
        <v>41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7</v>
      </c>
      <c r="X1904">
        <v>0</v>
      </c>
      <c r="Y1904" t="s">
        <v>51</v>
      </c>
      <c r="AA1904">
        <v>0</v>
      </c>
    </row>
    <row r="1905" spans="1:27" x14ac:dyDescent="0.2">
      <c r="A1905" t="s">
        <v>406</v>
      </c>
      <c r="B1905">
        <v>2018</v>
      </c>
      <c r="C1905" t="s">
        <v>580</v>
      </c>
      <c r="D1905" t="s">
        <v>2621</v>
      </c>
      <c r="E1905" t="s">
        <v>29</v>
      </c>
      <c r="F1905" t="s">
        <v>41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1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 t="s">
        <v>51</v>
      </c>
      <c r="Z1905">
        <v>55</v>
      </c>
      <c r="AA1905">
        <v>0</v>
      </c>
    </row>
    <row r="1906" spans="1:27" x14ac:dyDescent="0.2">
      <c r="A1906" t="s">
        <v>321</v>
      </c>
      <c r="B1906">
        <v>2018</v>
      </c>
      <c r="C1906">
        <v>4282027018</v>
      </c>
      <c r="D1906" t="s">
        <v>2622</v>
      </c>
      <c r="E1906" t="s">
        <v>29</v>
      </c>
      <c r="F1906" t="s">
        <v>30</v>
      </c>
      <c r="G1906">
        <v>6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 t="s">
        <v>51</v>
      </c>
      <c r="Z1906">
        <v>55</v>
      </c>
      <c r="AA1906">
        <v>0</v>
      </c>
    </row>
    <row r="1907" spans="1:27" x14ac:dyDescent="0.2">
      <c r="A1907" t="s">
        <v>321</v>
      </c>
      <c r="B1907">
        <v>2018</v>
      </c>
      <c r="C1907">
        <v>4267019030</v>
      </c>
      <c r="D1907" t="s">
        <v>2623</v>
      </c>
      <c r="E1907" t="s">
        <v>29</v>
      </c>
      <c r="F1907" t="s">
        <v>30</v>
      </c>
      <c r="G1907">
        <v>4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 t="s">
        <v>51</v>
      </c>
      <c r="Z1907">
        <v>55</v>
      </c>
      <c r="AA1907">
        <v>0</v>
      </c>
    </row>
    <row r="1908" spans="1:27" x14ac:dyDescent="0.2">
      <c r="A1908" t="s">
        <v>1500</v>
      </c>
      <c r="B1908">
        <v>2021</v>
      </c>
      <c r="C1908">
        <v>4140004039</v>
      </c>
      <c r="D1908" t="s">
        <v>2624</v>
      </c>
      <c r="E1908" t="s">
        <v>29</v>
      </c>
      <c r="F1908" t="s">
        <v>30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7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 t="s">
        <v>31</v>
      </c>
      <c r="Z1908">
        <v>55</v>
      </c>
      <c r="AA1908">
        <v>20</v>
      </c>
    </row>
    <row r="1909" spans="1:27" ht="85" x14ac:dyDescent="0.2">
      <c r="A1909" t="s">
        <v>1500</v>
      </c>
      <c r="B1909">
        <v>2021</v>
      </c>
      <c r="C1909">
        <v>8228033080</v>
      </c>
      <c r="D1909" s="1" t="s">
        <v>2625</v>
      </c>
      <c r="E1909" t="s">
        <v>29</v>
      </c>
      <c r="F1909" t="s">
        <v>41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2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 t="s">
        <v>31</v>
      </c>
      <c r="Z1909">
        <v>55</v>
      </c>
      <c r="AA1909">
        <v>32</v>
      </c>
    </row>
    <row r="1910" spans="1:27" x14ac:dyDescent="0.2">
      <c r="A1910" t="s">
        <v>1500</v>
      </c>
      <c r="B1910">
        <v>2021</v>
      </c>
      <c r="C1910">
        <v>6027008035</v>
      </c>
      <c r="D1910" t="s">
        <v>2626</v>
      </c>
      <c r="E1910" t="s">
        <v>29</v>
      </c>
      <c r="F1910" t="s">
        <v>30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2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 t="s">
        <v>31</v>
      </c>
      <c r="Z1910">
        <v>55</v>
      </c>
      <c r="AA1910">
        <v>150</v>
      </c>
    </row>
    <row r="1911" spans="1:27" x14ac:dyDescent="0.2">
      <c r="A1911" t="s">
        <v>1500</v>
      </c>
      <c r="B1911">
        <v>2021</v>
      </c>
      <c r="C1911">
        <v>5250017904</v>
      </c>
      <c r="D1911" t="s">
        <v>2627</v>
      </c>
      <c r="E1911" t="s">
        <v>29</v>
      </c>
      <c r="F1911" t="s">
        <v>30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78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 t="s">
        <v>31</v>
      </c>
      <c r="Z1911">
        <v>99</v>
      </c>
      <c r="AA1911">
        <v>270</v>
      </c>
    </row>
    <row r="1912" spans="1:27" x14ac:dyDescent="0.2">
      <c r="A1912" t="s">
        <v>1418</v>
      </c>
      <c r="B1912">
        <v>2019</v>
      </c>
      <c r="C1912" t="s">
        <v>2628</v>
      </c>
      <c r="D1912" t="s">
        <v>2629</v>
      </c>
      <c r="E1912" t="s">
        <v>29</v>
      </c>
      <c r="F1912" t="s">
        <v>30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8</v>
      </c>
      <c r="T1912">
        <v>0</v>
      </c>
      <c r="U1912">
        <v>0</v>
      </c>
      <c r="V1912">
        <v>0</v>
      </c>
      <c r="W1912">
        <v>0</v>
      </c>
      <c r="X1912">
        <v>0</v>
      </c>
      <c r="Y1912" t="s">
        <v>31</v>
      </c>
      <c r="Z1912">
        <v>55</v>
      </c>
      <c r="AA1912">
        <v>0</v>
      </c>
    </row>
    <row r="1913" spans="1:27" x14ac:dyDescent="0.2">
      <c r="A1913" t="s">
        <v>1311</v>
      </c>
      <c r="B1913">
        <v>2019</v>
      </c>
      <c r="C1913" t="s">
        <v>2630</v>
      </c>
      <c r="D1913" t="s">
        <v>2631</v>
      </c>
      <c r="E1913" t="s">
        <v>29</v>
      </c>
      <c r="F1913" t="s">
        <v>30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46</v>
      </c>
      <c r="T1913">
        <v>0</v>
      </c>
      <c r="U1913">
        <v>14</v>
      </c>
      <c r="V1913">
        <v>0</v>
      </c>
      <c r="W1913">
        <v>0</v>
      </c>
      <c r="X1913">
        <v>0</v>
      </c>
      <c r="Y1913" t="s">
        <v>51</v>
      </c>
      <c r="Z1913">
        <v>55</v>
      </c>
      <c r="AA1913">
        <v>0</v>
      </c>
    </row>
    <row r="1914" spans="1:27" x14ac:dyDescent="0.2">
      <c r="A1914" t="s">
        <v>1805</v>
      </c>
      <c r="B1914">
        <v>2019</v>
      </c>
      <c r="C1914">
        <v>8305020001</v>
      </c>
      <c r="D1914" t="s">
        <v>2632</v>
      </c>
      <c r="E1914" t="s">
        <v>29</v>
      </c>
      <c r="F1914" t="s">
        <v>41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16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 t="s">
        <v>51</v>
      </c>
      <c r="AA1914">
        <v>0</v>
      </c>
    </row>
    <row r="1915" spans="1:27" x14ac:dyDescent="0.2">
      <c r="A1915" t="s">
        <v>1500</v>
      </c>
      <c r="B1915">
        <v>2021</v>
      </c>
      <c r="C1915">
        <v>4036016033</v>
      </c>
      <c r="D1915" t="s">
        <v>2633</v>
      </c>
      <c r="E1915" t="s">
        <v>29</v>
      </c>
      <c r="F1915" t="s">
        <v>30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5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 t="s">
        <v>31</v>
      </c>
      <c r="Z1915">
        <v>55</v>
      </c>
      <c r="AA1915">
        <v>35</v>
      </c>
    </row>
    <row r="1916" spans="1:27" x14ac:dyDescent="0.2">
      <c r="A1916" t="s">
        <v>1418</v>
      </c>
      <c r="B1916">
        <v>2019</v>
      </c>
      <c r="C1916" t="s">
        <v>2628</v>
      </c>
      <c r="D1916" t="s">
        <v>2634</v>
      </c>
      <c r="E1916" t="s">
        <v>29</v>
      </c>
      <c r="F1916" t="s">
        <v>30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8</v>
      </c>
      <c r="T1916">
        <v>0</v>
      </c>
      <c r="U1916">
        <v>0</v>
      </c>
      <c r="V1916">
        <v>0</v>
      </c>
      <c r="W1916">
        <v>0</v>
      </c>
      <c r="X1916">
        <v>0</v>
      </c>
      <c r="Y1916" t="s">
        <v>31</v>
      </c>
      <c r="Z1916">
        <v>55</v>
      </c>
      <c r="AA1916">
        <v>0</v>
      </c>
    </row>
    <row r="1917" spans="1:27" x14ac:dyDescent="0.2">
      <c r="A1917" t="s">
        <v>387</v>
      </c>
      <c r="B1917">
        <v>2018</v>
      </c>
      <c r="C1917" t="s">
        <v>2635</v>
      </c>
      <c r="D1917" t="s">
        <v>2636</v>
      </c>
      <c r="E1917" t="s">
        <v>29</v>
      </c>
      <c r="F1917" t="s">
        <v>41</v>
      </c>
      <c r="G1917">
        <v>0</v>
      </c>
      <c r="H1917">
        <v>0</v>
      </c>
      <c r="I1917">
        <v>6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 t="s">
        <v>51</v>
      </c>
      <c r="Z1917">
        <v>1000</v>
      </c>
      <c r="AA1917">
        <v>0</v>
      </c>
    </row>
    <row r="1918" spans="1:27" x14ac:dyDescent="0.2">
      <c r="A1918" t="s">
        <v>219</v>
      </c>
      <c r="B1918">
        <v>2019</v>
      </c>
      <c r="C1918" t="s">
        <v>2637</v>
      </c>
      <c r="D1918" t="s">
        <v>2638</v>
      </c>
      <c r="E1918" t="s">
        <v>29</v>
      </c>
      <c r="F1918" t="s">
        <v>30</v>
      </c>
      <c r="G1918">
        <v>11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 t="s">
        <v>31</v>
      </c>
      <c r="Z1918">
        <v>55</v>
      </c>
      <c r="AA1918">
        <v>0</v>
      </c>
    </row>
    <row r="1919" spans="1:27" x14ac:dyDescent="0.2">
      <c r="A1919" t="s">
        <v>1576</v>
      </c>
      <c r="B1919">
        <v>2018</v>
      </c>
      <c r="C1919">
        <v>1602701200</v>
      </c>
      <c r="D1919" t="s">
        <v>2639</v>
      </c>
      <c r="E1919" t="s">
        <v>29</v>
      </c>
      <c r="F1919" t="s">
        <v>30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10</v>
      </c>
      <c r="T1919">
        <v>0</v>
      </c>
      <c r="U1919">
        <v>0</v>
      </c>
      <c r="V1919">
        <v>0</v>
      </c>
      <c r="W1919">
        <v>0</v>
      </c>
      <c r="X1919">
        <v>0</v>
      </c>
      <c r="Y1919" t="s">
        <v>51</v>
      </c>
      <c r="AA1919">
        <v>0</v>
      </c>
    </row>
    <row r="1920" spans="1:27" x14ac:dyDescent="0.2">
      <c r="A1920" t="s">
        <v>1500</v>
      </c>
      <c r="B1920">
        <v>2018</v>
      </c>
      <c r="C1920">
        <v>4038025005</v>
      </c>
      <c r="D1920" t="s">
        <v>2640</v>
      </c>
      <c r="E1920" t="s">
        <v>29</v>
      </c>
      <c r="F1920" t="s">
        <v>30</v>
      </c>
      <c r="G1920">
        <v>0</v>
      </c>
      <c r="H1920">
        <v>0</v>
      </c>
      <c r="I1920">
        <v>2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 t="s">
        <v>31</v>
      </c>
      <c r="Z1920">
        <v>55</v>
      </c>
      <c r="AA1920">
        <v>0</v>
      </c>
    </row>
    <row r="1921" spans="1:27" x14ac:dyDescent="0.2">
      <c r="A1921" t="s">
        <v>547</v>
      </c>
      <c r="B1921">
        <v>2020</v>
      </c>
      <c r="C1921">
        <v>5534034012</v>
      </c>
      <c r="D1921" t="s">
        <v>2641</v>
      </c>
      <c r="E1921" t="s">
        <v>29</v>
      </c>
      <c r="F1921" t="s">
        <v>30</v>
      </c>
      <c r="G1921">
        <v>4</v>
      </c>
      <c r="H1921">
        <v>0</v>
      </c>
      <c r="I1921">
        <v>1</v>
      </c>
      <c r="J1921">
        <v>0</v>
      </c>
      <c r="K1921">
        <v>0</v>
      </c>
      <c r="L1921">
        <v>0</v>
      </c>
      <c r="M1921">
        <v>4</v>
      </c>
      <c r="N1921">
        <v>0</v>
      </c>
      <c r="O1921">
        <v>1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 t="s">
        <v>31</v>
      </c>
      <c r="Z1921">
        <v>55</v>
      </c>
      <c r="AA1921">
        <v>0</v>
      </c>
    </row>
    <row r="1922" spans="1:27" x14ac:dyDescent="0.2">
      <c r="A1922" t="s">
        <v>547</v>
      </c>
      <c r="B1922">
        <v>2020</v>
      </c>
      <c r="C1922">
        <v>2416028030</v>
      </c>
      <c r="D1922" t="s">
        <v>2642</v>
      </c>
      <c r="E1922" t="s">
        <v>29</v>
      </c>
      <c r="F1922" t="s">
        <v>30</v>
      </c>
      <c r="G1922">
        <v>1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1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 t="s">
        <v>31</v>
      </c>
      <c r="Z1922">
        <v>55</v>
      </c>
      <c r="AA1922">
        <v>0</v>
      </c>
    </row>
    <row r="1923" spans="1:27" x14ac:dyDescent="0.2">
      <c r="A1923" t="s">
        <v>547</v>
      </c>
      <c r="B1923">
        <v>2020</v>
      </c>
      <c r="C1923">
        <v>2366025017</v>
      </c>
      <c r="D1923" t="s">
        <v>2643</v>
      </c>
      <c r="E1923" t="s">
        <v>29</v>
      </c>
      <c r="F1923" t="s">
        <v>30</v>
      </c>
      <c r="G1923">
        <v>12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 t="s">
        <v>31</v>
      </c>
      <c r="Z1923">
        <v>55</v>
      </c>
      <c r="AA1923">
        <v>0</v>
      </c>
    </row>
    <row r="1924" spans="1:27" x14ac:dyDescent="0.2">
      <c r="A1924" t="s">
        <v>547</v>
      </c>
      <c r="B1924">
        <v>2020</v>
      </c>
      <c r="C1924">
        <v>2360030017</v>
      </c>
      <c r="D1924" t="s">
        <v>2644</v>
      </c>
      <c r="E1924" t="s">
        <v>29</v>
      </c>
      <c r="F1924" t="s">
        <v>30</v>
      </c>
      <c r="G1924">
        <v>2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 t="s">
        <v>31</v>
      </c>
      <c r="Z1924">
        <v>55</v>
      </c>
      <c r="AA1924">
        <v>0</v>
      </c>
    </row>
    <row r="1925" spans="1:27" x14ac:dyDescent="0.2">
      <c r="A1925" t="s">
        <v>547</v>
      </c>
      <c r="B1925">
        <v>2020</v>
      </c>
      <c r="C1925">
        <v>5068021010</v>
      </c>
      <c r="D1925" t="s">
        <v>2645</v>
      </c>
      <c r="E1925" t="s">
        <v>29</v>
      </c>
      <c r="F1925" t="s">
        <v>30</v>
      </c>
      <c r="G1925">
        <v>1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 t="s">
        <v>31</v>
      </c>
      <c r="Z1925">
        <v>55</v>
      </c>
      <c r="AA1925">
        <v>0</v>
      </c>
    </row>
    <row r="1926" spans="1:27" x14ac:dyDescent="0.2">
      <c r="A1926" t="s">
        <v>547</v>
      </c>
      <c r="B1926">
        <v>2020</v>
      </c>
      <c r="C1926">
        <v>4323013900</v>
      </c>
      <c r="D1926" t="s">
        <v>2646</v>
      </c>
      <c r="E1926" t="s">
        <v>29</v>
      </c>
      <c r="F1926" t="s">
        <v>30</v>
      </c>
      <c r="G1926">
        <v>0</v>
      </c>
      <c r="H1926">
        <v>0</v>
      </c>
      <c r="I1926">
        <v>50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 t="s">
        <v>31</v>
      </c>
      <c r="Z1926">
        <v>55</v>
      </c>
      <c r="AA1926">
        <v>0</v>
      </c>
    </row>
    <row r="1927" spans="1:27" x14ac:dyDescent="0.2">
      <c r="A1927" t="s">
        <v>547</v>
      </c>
      <c r="B1927">
        <v>2020</v>
      </c>
      <c r="C1927">
        <v>5024017009</v>
      </c>
      <c r="D1927" t="s">
        <v>2647</v>
      </c>
      <c r="E1927" t="s">
        <v>29</v>
      </c>
      <c r="F1927" t="s">
        <v>30</v>
      </c>
      <c r="G1927">
        <v>14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 t="s">
        <v>31</v>
      </c>
      <c r="Z1927">
        <v>55</v>
      </c>
      <c r="AA1927">
        <v>0</v>
      </c>
    </row>
    <row r="1928" spans="1:27" x14ac:dyDescent="0.2">
      <c r="A1928" t="s">
        <v>547</v>
      </c>
      <c r="B1928">
        <v>2020</v>
      </c>
      <c r="C1928">
        <v>5126019009</v>
      </c>
      <c r="D1928" t="s">
        <v>2648</v>
      </c>
      <c r="E1928" t="s">
        <v>29</v>
      </c>
      <c r="F1928" t="s">
        <v>30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25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 t="s">
        <v>31</v>
      </c>
      <c r="Z1928">
        <v>55</v>
      </c>
      <c r="AA1928">
        <v>0</v>
      </c>
    </row>
    <row r="1929" spans="1:27" x14ac:dyDescent="0.2">
      <c r="A1929" t="s">
        <v>547</v>
      </c>
      <c r="B1929">
        <v>2020</v>
      </c>
      <c r="C1929">
        <v>5051005902</v>
      </c>
      <c r="D1929" t="s">
        <v>2649</v>
      </c>
      <c r="E1929" t="s">
        <v>29</v>
      </c>
      <c r="F1929" t="s">
        <v>30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84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 t="s">
        <v>31</v>
      </c>
      <c r="Z1929">
        <v>55</v>
      </c>
      <c r="AA1929">
        <v>0</v>
      </c>
    </row>
    <row r="1930" spans="1:27" x14ac:dyDescent="0.2">
      <c r="A1930" t="s">
        <v>1311</v>
      </c>
      <c r="B1930">
        <v>2019</v>
      </c>
      <c r="C1930" t="s">
        <v>2650</v>
      </c>
      <c r="D1930" t="s">
        <v>2651</v>
      </c>
      <c r="E1930" t="s">
        <v>29</v>
      </c>
      <c r="F1930" t="s">
        <v>30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8</v>
      </c>
      <c r="V1930">
        <v>0</v>
      </c>
      <c r="W1930">
        <v>9</v>
      </c>
      <c r="X1930">
        <v>0</v>
      </c>
      <c r="Y1930" t="s">
        <v>51</v>
      </c>
      <c r="Z1930">
        <v>55</v>
      </c>
      <c r="AA1930">
        <v>0</v>
      </c>
    </row>
    <row r="1931" spans="1:27" x14ac:dyDescent="0.2">
      <c r="A1931" t="s">
        <v>467</v>
      </c>
      <c r="B1931">
        <v>2018</v>
      </c>
      <c r="C1931" t="s">
        <v>2652</v>
      </c>
      <c r="D1931" t="s">
        <v>2653</v>
      </c>
      <c r="E1931" t="s">
        <v>29</v>
      </c>
      <c r="F1931" t="s">
        <v>30</v>
      </c>
      <c r="G1931">
        <v>0</v>
      </c>
      <c r="H1931">
        <v>0</v>
      </c>
      <c r="I1931">
        <v>6</v>
      </c>
      <c r="J1931">
        <v>0</v>
      </c>
      <c r="K1931">
        <v>0</v>
      </c>
      <c r="L1931">
        <v>29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 t="s">
        <v>31</v>
      </c>
      <c r="Z1931">
        <v>55</v>
      </c>
      <c r="AA1931">
        <v>0</v>
      </c>
    </row>
    <row r="1932" spans="1:27" ht="102" x14ac:dyDescent="0.2">
      <c r="A1932" t="s">
        <v>32</v>
      </c>
      <c r="B1932">
        <v>2022</v>
      </c>
      <c r="C1932" t="s">
        <v>2654</v>
      </c>
      <c r="D1932" s="1" t="s">
        <v>2655</v>
      </c>
      <c r="E1932" t="s">
        <v>29</v>
      </c>
      <c r="F1932" t="s">
        <v>30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6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 t="s">
        <v>31</v>
      </c>
      <c r="AA1932">
        <v>58</v>
      </c>
    </row>
    <row r="1933" spans="1:27" ht="102" x14ac:dyDescent="0.2">
      <c r="A1933" t="s">
        <v>32</v>
      </c>
      <c r="B1933">
        <v>2022</v>
      </c>
      <c r="C1933" t="s">
        <v>2654</v>
      </c>
      <c r="D1933" s="1" t="s">
        <v>2656</v>
      </c>
      <c r="E1933" t="s">
        <v>29</v>
      </c>
      <c r="F1933" t="s">
        <v>30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6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 t="s">
        <v>31</v>
      </c>
      <c r="AA1933">
        <v>58</v>
      </c>
    </row>
    <row r="1934" spans="1:27" x14ac:dyDescent="0.2">
      <c r="A1934" t="s">
        <v>88</v>
      </c>
      <c r="B1934">
        <v>2022</v>
      </c>
      <c r="C1934" t="s">
        <v>2657</v>
      </c>
      <c r="D1934" t="s">
        <v>2658</v>
      </c>
      <c r="E1934" t="s">
        <v>29</v>
      </c>
      <c r="F1934" t="s">
        <v>30</v>
      </c>
      <c r="G1934">
        <v>0</v>
      </c>
      <c r="H1934">
        <v>0</v>
      </c>
      <c r="I1934">
        <v>58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58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 t="s">
        <v>31</v>
      </c>
      <c r="AA1934">
        <v>0</v>
      </c>
    </row>
    <row r="1935" spans="1:27" x14ac:dyDescent="0.2">
      <c r="A1935" t="s">
        <v>88</v>
      </c>
      <c r="B1935">
        <v>2022</v>
      </c>
      <c r="C1935" t="s">
        <v>2659</v>
      </c>
      <c r="D1935" t="s">
        <v>2660</v>
      </c>
      <c r="E1935" t="s">
        <v>29</v>
      </c>
      <c r="F1935" t="s">
        <v>41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1</v>
      </c>
      <c r="X1935">
        <v>0</v>
      </c>
      <c r="Y1935" t="s">
        <v>51</v>
      </c>
      <c r="Z1935">
        <v>20</v>
      </c>
      <c r="AA1935">
        <v>0</v>
      </c>
    </row>
    <row r="1936" spans="1:27" x14ac:dyDescent="0.2">
      <c r="A1936" t="s">
        <v>1418</v>
      </c>
      <c r="B1936">
        <v>2019</v>
      </c>
      <c r="C1936" t="s">
        <v>2628</v>
      </c>
      <c r="D1936" t="s">
        <v>2661</v>
      </c>
      <c r="E1936" t="s">
        <v>29</v>
      </c>
      <c r="F1936" t="s">
        <v>30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8</v>
      </c>
      <c r="T1936">
        <v>0</v>
      </c>
      <c r="U1936">
        <v>0</v>
      </c>
      <c r="V1936">
        <v>0</v>
      </c>
      <c r="W1936">
        <v>0</v>
      </c>
      <c r="X1936">
        <v>0</v>
      </c>
      <c r="Y1936" t="s">
        <v>31</v>
      </c>
      <c r="Z1936">
        <v>55</v>
      </c>
      <c r="AA1936">
        <v>0</v>
      </c>
    </row>
    <row r="1937" spans="1:27" x14ac:dyDescent="0.2">
      <c r="A1937" t="s">
        <v>547</v>
      </c>
      <c r="B1937">
        <v>2020</v>
      </c>
      <c r="C1937">
        <v>5049016067</v>
      </c>
      <c r="D1937" t="s">
        <v>2662</v>
      </c>
      <c r="E1937" t="s">
        <v>29</v>
      </c>
      <c r="F1937" t="s">
        <v>30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13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 t="s">
        <v>31</v>
      </c>
      <c r="Z1937">
        <v>55</v>
      </c>
      <c r="AA1937">
        <v>0</v>
      </c>
    </row>
    <row r="1938" spans="1:27" x14ac:dyDescent="0.2">
      <c r="A1938" t="s">
        <v>387</v>
      </c>
      <c r="B1938">
        <v>2018</v>
      </c>
      <c r="C1938" t="s">
        <v>2663</v>
      </c>
      <c r="D1938" t="s">
        <v>2664</v>
      </c>
      <c r="E1938" t="s">
        <v>29</v>
      </c>
      <c r="F1938" t="s">
        <v>30</v>
      </c>
      <c r="G1938">
        <v>0</v>
      </c>
      <c r="H1938">
        <v>0</v>
      </c>
      <c r="I1938">
        <v>1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 t="s">
        <v>51</v>
      </c>
      <c r="Z1938">
        <v>1000</v>
      </c>
      <c r="AA1938">
        <v>0</v>
      </c>
    </row>
    <row r="1939" spans="1:27" x14ac:dyDescent="0.2">
      <c r="A1939" t="s">
        <v>547</v>
      </c>
      <c r="B1939">
        <v>2020</v>
      </c>
      <c r="C1939">
        <v>5143020024</v>
      </c>
      <c r="D1939" t="s">
        <v>2665</v>
      </c>
      <c r="E1939" t="s">
        <v>29</v>
      </c>
      <c r="F1939" t="s">
        <v>30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120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 t="s">
        <v>31</v>
      </c>
      <c r="Z1939">
        <v>55</v>
      </c>
      <c r="AA1939">
        <v>0</v>
      </c>
    </row>
    <row r="1940" spans="1:27" x14ac:dyDescent="0.2">
      <c r="A1940" t="s">
        <v>959</v>
      </c>
      <c r="B1940">
        <v>2021</v>
      </c>
      <c r="C1940" t="s">
        <v>2666</v>
      </c>
      <c r="D1940" t="s">
        <v>2667</v>
      </c>
      <c r="E1940" t="s">
        <v>29</v>
      </c>
      <c r="F1940" t="s">
        <v>41</v>
      </c>
      <c r="G1940">
        <v>0</v>
      </c>
      <c r="H1940">
        <v>0</v>
      </c>
      <c r="I1940">
        <v>3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 t="s">
        <v>31</v>
      </c>
      <c r="AA1940">
        <v>23</v>
      </c>
    </row>
    <row r="1941" spans="1:27" x14ac:dyDescent="0.2">
      <c r="A1941" t="s">
        <v>737</v>
      </c>
      <c r="B1941">
        <v>2022</v>
      </c>
      <c r="C1941" t="s">
        <v>2668</v>
      </c>
      <c r="D1941" t="s">
        <v>2669</v>
      </c>
      <c r="E1941" t="s">
        <v>29</v>
      </c>
      <c r="F1941" t="s">
        <v>30</v>
      </c>
      <c r="G1941">
        <v>5</v>
      </c>
      <c r="H1941">
        <v>0</v>
      </c>
      <c r="I1941">
        <v>0</v>
      </c>
      <c r="J1941">
        <v>0</v>
      </c>
      <c r="K1941">
        <v>11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 t="s">
        <v>31</v>
      </c>
      <c r="AA1941">
        <v>50</v>
      </c>
    </row>
    <row r="1942" spans="1:27" x14ac:dyDescent="0.2">
      <c r="A1942" t="s">
        <v>547</v>
      </c>
      <c r="B1942">
        <v>2020</v>
      </c>
      <c r="C1942">
        <v>6070016003</v>
      </c>
      <c r="D1942" t="s">
        <v>855</v>
      </c>
      <c r="E1942" t="s">
        <v>29</v>
      </c>
      <c r="F1942" t="s">
        <v>30</v>
      </c>
      <c r="G1942">
        <v>63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63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 t="s">
        <v>31</v>
      </c>
      <c r="Z1942">
        <v>55</v>
      </c>
      <c r="AA1942">
        <v>0</v>
      </c>
    </row>
    <row r="1943" spans="1:27" x14ac:dyDescent="0.2">
      <c r="A1943" t="s">
        <v>547</v>
      </c>
      <c r="B1943">
        <v>2020</v>
      </c>
      <c r="C1943">
        <v>5078007024</v>
      </c>
      <c r="D1943" t="s">
        <v>2670</v>
      </c>
      <c r="E1943" t="s">
        <v>29</v>
      </c>
      <c r="F1943" t="s">
        <v>30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3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 t="s">
        <v>31</v>
      </c>
      <c r="Z1943">
        <v>55</v>
      </c>
      <c r="AA1943">
        <v>0</v>
      </c>
    </row>
    <row r="1944" spans="1:27" x14ac:dyDescent="0.2">
      <c r="A1944" t="s">
        <v>547</v>
      </c>
      <c r="B1944">
        <v>2020</v>
      </c>
      <c r="C1944">
        <v>5051006016</v>
      </c>
      <c r="D1944" t="s">
        <v>854</v>
      </c>
      <c r="E1944" t="s">
        <v>29</v>
      </c>
      <c r="F1944" t="s">
        <v>30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4</v>
      </c>
      <c r="N1944">
        <v>0</v>
      </c>
      <c r="O1944">
        <v>41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 t="s">
        <v>31</v>
      </c>
      <c r="Z1944">
        <v>55</v>
      </c>
      <c r="AA1944">
        <v>0</v>
      </c>
    </row>
    <row r="1945" spans="1:27" x14ac:dyDescent="0.2">
      <c r="A1945" t="s">
        <v>547</v>
      </c>
      <c r="B1945">
        <v>2020</v>
      </c>
      <c r="C1945">
        <v>6046019930</v>
      </c>
      <c r="D1945" t="s">
        <v>2671</v>
      </c>
      <c r="E1945" t="s">
        <v>29</v>
      </c>
      <c r="F1945" t="s">
        <v>30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12</v>
      </c>
      <c r="N1945">
        <v>0</v>
      </c>
      <c r="O1945">
        <v>58</v>
      </c>
      <c r="P1945">
        <v>0</v>
      </c>
      <c r="Q1945">
        <v>7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 t="s">
        <v>31</v>
      </c>
      <c r="Z1945">
        <v>55</v>
      </c>
      <c r="AA1945">
        <v>0</v>
      </c>
    </row>
    <row r="1946" spans="1:27" x14ac:dyDescent="0.2">
      <c r="A1946" t="s">
        <v>321</v>
      </c>
      <c r="B1946">
        <v>2021</v>
      </c>
      <c r="C1946" t="s">
        <v>2672</v>
      </c>
      <c r="D1946" t="s">
        <v>2673</v>
      </c>
      <c r="E1946" t="s">
        <v>29</v>
      </c>
      <c r="F1946" t="s">
        <v>30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4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 t="s">
        <v>51</v>
      </c>
      <c r="Z1946">
        <v>99</v>
      </c>
      <c r="AA1946">
        <v>0</v>
      </c>
    </row>
    <row r="1947" spans="1:27" x14ac:dyDescent="0.2">
      <c r="A1947" t="s">
        <v>1653</v>
      </c>
      <c r="B1947">
        <v>2018</v>
      </c>
      <c r="D1947" t="s">
        <v>2674</v>
      </c>
      <c r="E1947" t="s">
        <v>29</v>
      </c>
      <c r="F1947" t="s">
        <v>41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2</v>
      </c>
      <c r="P1947">
        <v>0</v>
      </c>
      <c r="Q1947">
        <v>1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 t="s">
        <v>51</v>
      </c>
      <c r="AA1947">
        <v>0</v>
      </c>
    </row>
    <row r="1948" spans="1:27" x14ac:dyDescent="0.2">
      <c r="A1948" t="s">
        <v>2411</v>
      </c>
      <c r="B1948">
        <v>2022</v>
      </c>
      <c r="C1948" t="s">
        <v>2675</v>
      </c>
      <c r="D1948" t="s">
        <v>2676</v>
      </c>
      <c r="E1948" t="s">
        <v>29</v>
      </c>
      <c r="F1948" t="s">
        <v>30</v>
      </c>
      <c r="G1948">
        <v>75</v>
      </c>
      <c r="H1948">
        <v>0</v>
      </c>
      <c r="I1948">
        <v>20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 t="s">
        <v>31</v>
      </c>
      <c r="Z1948">
        <v>55</v>
      </c>
      <c r="AA1948">
        <v>56</v>
      </c>
    </row>
    <row r="1949" spans="1:27" x14ac:dyDescent="0.2">
      <c r="A1949" t="s">
        <v>1624</v>
      </c>
      <c r="B1949">
        <v>2018</v>
      </c>
      <c r="C1949" t="s">
        <v>2677</v>
      </c>
      <c r="D1949" t="s">
        <v>2678</v>
      </c>
      <c r="E1949" t="s">
        <v>29</v>
      </c>
      <c r="F1949" t="s">
        <v>30</v>
      </c>
      <c r="G1949">
        <v>118</v>
      </c>
      <c r="H1949">
        <v>0</v>
      </c>
      <c r="I1949">
        <v>10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 t="s">
        <v>31</v>
      </c>
      <c r="Z1949">
        <v>55</v>
      </c>
      <c r="AA1949">
        <v>0</v>
      </c>
    </row>
    <row r="1950" spans="1:27" x14ac:dyDescent="0.2">
      <c r="A1950" t="s">
        <v>321</v>
      </c>
      <c r="B1950">
        <v>2021</v>
      </c>
      <c r="C1950" t="s">
        <v>2679</v>
      </c>
      <c r="D1950" t="s">
        <v>2680</v>
      </c>
      <c r="E1950" t="s">
        <v>29</v>
      </c>
      <c r="F1950" t="s">
        <v>30</v>
      </c>
      <c r="G1950">
        <v>9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 t="s">
        <v>31</v>
      </c>
      <c r="Z1950">
        <v>55</v>
      </c>
      <c r="AA1950">
        <v>50</v>
      </c>
    </row>
    <row r="1951" spans="1:27" x14ac:dyDescent="0.2">
      <c r="A1951" t="s">
        <v>1624</v>
      </c>
      <c r="B1951">
        <v>2018</v>
      </c>
      <c r="C1951" t="s">
        <v>2681</v>
      </c>
      <c r="D1951" t="s">
        <v>2682</v>
      </c>
      <c r="E1951" t="s">
        <v>29</v>
      </c>
      <c r="F1951" t="s">
        <v>41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8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 t="s">
        <v>51</v>
      </c>
      <c r="Z1951">
        <v>30</v>
      </c>
      <c r="AA1951">
        <v>0</v>
      </c>
    </row>
    <row r="1952" spans="1:27" ht="85" x14ac:dyDescent="0.2">
      <c r="A1952" t="s">
        <v>1500</v>
      </c>
      <c r="B1952">
        <v>2021</v>
      </c>
      <c r="C1952">
        <v>8404002029</v>
      </c>
      <c r="D1952" s="1" t="s">
        <v>2683</v>
      </c>
      <c r="E1952" t="s">
        <v>29</v>
      </c>
      <c r="F1952" t="s">
        <v>30</v>
      </c>
      <c r="G1952">
        <v>3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 t="s">
        <v>31</v>
      </c>
      <c r="Z1952">
        <v>55</v>
      </c>
      <c r="AA1952">
        <v>37</v>
      </c>
    </row>
    <row r="1953" spans="1:27" ht="68" x14ac:dyDescent="0.2">
      <c r="A1953" t="s">
        <v>1500</v>
      </c>
      <c r="B1953">
        <v>2021</v>
      </c>
      <c r="C1953">
        <v>3103024019</v>
      </c>
      <c r="D1953" s="1" t="s">
        <v>2684</v>
      </c>
      <c r="E1953" t="s">
        <v>29</v>
      </c>
      <c r="F1953" t="s">
        <v>30</v>
      </c>
      <c r="G1953">
        <v>0</v>
      </c>
      <c r="H1953">
        <v>0</v>
      </c>
      <c r="I1953">
        <v>2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 t="s">
        <v>31</v>
      </c>
      <c r="Z1953">
        <v>55</v>
      </c>
      <c r="AA1953">
        <v>30</v>
      </c>
    </row>
    <row r="1954" spans="1:27" ht="85" x14ac:dyDescent="0.2">
      <c r="A1954" t="s">
        <v>1500</v>
      </c>
      <c r="B1954">
        <v>2021</v>
      </c>
      <c r="C1954">
        <v>5828027022</v>
      </c>
      <c r="D1954" s="1" t="s">
        <v>2685</v>
      </c>
      <c r="E1954" t="s">
        <v>29</v>
      </c>
      <c r="F1954" t="s">
        <v>30</v>
      </c>
      <c r="G1954">
        <v>88</v>
      </c>
      <c r="H1954">
        <v>0</v>
      </c>
      <c r="I1954">
        <v>6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 t="s">
        <v>31</v>
      </c>
      <c r="Z1954">
        <v>55</v>
      </c>
      <c r="AA1954">
        <v>392</v>
      </c>
    </row>
    <row r="1955" spans="1:27" x14ac:dyDescent="0.2">
      <c r="A1955" t="s">
        <v>2411</v>
      </c>
      <c r="B1955">
        <v>2022</v>
      </c>
      <c r="C1955" t="s">
        <v>2686</v>
      </c>
      <c r="D1955" t="s">
        <v>2687</v>
      </c>
      <c r="E1955" t="s">
        <v>29</v>
      </c>
      <c r="F1955" t="s">
        <v>30</v>
      </c>
      <c r="G1955">
        <v>2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 t="s">
        <v>31</v>
      </c>
      <c r="Z1955">
        <v>1000</v>
      </c>
      <c r="AA1955">
        <v>30</v>
      </c>
    </row>
    <row r="1956" spans="1:27" x14ac:dyDescent="0.2">
      <c r="A1956" t="s">
        <v>584</v>
      </c>
      <c r="B1956">
        <v>2021</v>
      </c>
      <c r="C1956" t="s">
        <v>2688</v>
      </c>
      <c r="D1956" t="s">
        <v>2689</v>
      </c>
      <c r="E1956" t="s">
        <v>29</v>
      </c>
      <c r="F1956" t="s">
        <v>30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4</v>
      </c>
      <c r="T1956">
        <v>0</v>
      </c>
      <c r="U1956">
        <v>2</v>
      </c>
      <c r="V1956">
        <v>0</v>
      </c>
      <c r="W1956">
        <v>0</v>
      </c>
      <c r="X1956">
        <v>0</v>
      </c>
      <c r="Y1956" t="s">
        <v>31</v>
      </c>
      <c r="AA1956" s="2" t="s">
        <v>2690</v>
      </c>
    </row>
    <row r="1957" spans="1:27" x14ac:dyDescent="0.2">
      <c r="A1957" t="s">
        <v>2691</v>
      </c>
      <c r="B1957">
        <v>2021</v>
      </c>
      <c r="C1957">
        <v>56022238</v>
      </c>
      <c r="D1957" t="s">
        <v>2692</v>
      </c>
      <c r="E1957" t="s">
        <v>29</v>
      </c>
      <c r="F1957" t="s">
        <v>30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1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1</v>
      </c>
      <c r="V1957">
        <v>0</v>
      </c>
      <c r="W1957">
        <v>0</v>
      </c>
      <c r="X1957">
        <v>0</v>
      </c>
      <c r="Y1957" t="s">
        <v>31</v>
      </c>
      <c r="Z1957">
        <v>55</v>
      </c>
      <c r="AA1957">
        <v>24.5</v>
      </c>
    </row>
    <row r="1958" spans="1:27" x14ac:dyDescent="0.2">
      <c r="A1958" t="s">
        <v>1316</v>
      </c>
      <c r="B1958">
        <v>2018</v>
      </c>
      <c r="C1958">
        <v>43505250</v>
      </c>
      <c r="D1958" t="s">
        <v>2693</v>
      </c>
      <c r="E1958" t="s">
        <v>29</v>
      </c>
      <c r="F1958" t="s">
        <v>30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79</v>
      </c>
      <c r="T1958">
        <v>0</v>
      </c>
      <c r="U1958">
        <v>0</v>
      </c>
      <c r="V1958">
        <v>0</v>
      </c>
      <c r="W1958">
        <v>0</v>
      </c>
      <c r="X1958">
        <v>0</v>
      </c>
      <c r="Y1958" t="s">
        <v>31</v>
      </c>
      <c r="Z1958">
        <v>99</v>
      </c>
      <c r="AA1958">
        <v>0</v>
      </c>
    </row>
    <row r="1959" spans="1:27" x14ac:dyDescent="0.2">
      <c r="A1959" t="s">
        <v>1206</v>
      </c>
      <c r="B1959">
        <v>2018</v>
      </c>
      <c r="C1959">
        <v>6690050135</v>
      </c>
      <c r="D1959" t="s">
        <v>2694</v>
      </c>
      <c r="E1959" t="s">
        <v>29</v>
      </c>
      <c r="F1959" t="s">
        <v>30</v>
      </c>
      <c r="G1959">
        <v>11</v>
      </c>
      <c r="H1959">
        <v>0</v>
      </c>
      <c r="I1959">
        <v>0</v>
      </c>
      <c r="J1959">
        <v>0</v>
      </c>
      <c r="K1959">
        <v>0</v>
      </c>
      <c r="L1959">
        <v>131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 t="s">
        <v>31</v>
      </c>
      <c r="AA1959">
        <v>0</v>
      </c>
    </row>
    <row r="1960" spans="1:27" x14ac:dyDescent="0.2">
      <c r="A1960" t="s">
        <v>1316</v>
      </c>
      <c r="B1960">
        <v>2018</v>
      </c>
      <c r="C1960">
        <v>59113111</v>
      </c>
      <c r="D1960" t="s">
        <v>2695</v>
      </c>
      <c r="E1960" t="s">
        <v>29</v>
      </c>
      <c r="F1960" t="s">
        <v>30</v>
      </c>
      <c r="G1960">
        <v>106</v>
      </c>
      <c r="H1960">
        <v>0</v>
      </c>
      <c r="I1960">
        <v>0</v>
      </c>
      <c r="J1960">
        <v>0</v>
      </c>
      <c r="K1960">
        <v>37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 t="s">
        <v>31</v>
      </c>
      <c r="AA1960">
        <v>0</v>
      </c>
    </row>
    <row r="1961" spans="1:27" x14ac:dyDescent="0.2">
      <c r="A1961" t="s">
        <v>1653</v>
      </c>
      <c r="B1961">
        <v>2019</v>
      </c>
      <c r="C1961">
        <v>7143015</v>
      </c>
      <c r="D1961" t="s">
        <v>2696</v>
      </c>
      <c r="E1961" t="s">
        <v>29</v>
      </c>
      <c r="F1961" t="s">
        <v>30</v>
      </c>
      <c r="G1961">
        <v>0</v>
      </c>
      <c r="H1961">
        <v>0</v>
      </c>
      <c r="I1961">
        <v>27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 t="s">
        <v>51</v>
      </c>
      <c r="AA1961">
        <v>0</v>
      </c>
    </row>
    <row r="1962" spans="1:27" x14ac:dyDescent="0.2">
      <c r="A1962" t="s">
        <v>75</v>
      </c>
      <c r="B1962">
        <v>2019</v>
      </c>
      <c r="C1962">
        <v>4445121200</v>
      </c>
      <c r="D1962" t="s">
        <v>2697</v>
      </c>
      <c r="E1962" t="s">
        <v>29</v>
      </c>
      <c r="F1962" t="s">
        <v>30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4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 t="s">
        <v>31</v>
      </c>
      <c r="Z1962">
        <v>55</v>
      </c>
      <c r="AA1962">
        <v>0</v>
      </c>
    </row>
    <row r="1963" spans="1:27" x14ac:dyDescent="0.2">
      <c r="A1963" t="s">
        <v>1667</v>
      </c>
      <c r="B1963">
        <v>2019</v>
      </c>
      <c r="C1963" t="s">
        <v>2698</v>
      </c>
      <c r="D1963" t="s">
        <v>2699</v>
      </c>
      <c r="E1963" t="s">
        <v>29</v>
      </c>
      <c r="F1963" t="s">
        <v>30</v>
      </c>
      <c r="G1963">
        <v>53</v>
      </c>
      <c r="H1963">
        <v>0</v>
      </c>
      <c r="I1963">
        <v>8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 t="s">
        <v>31</v>
      </c>
      <c r="Z1963">
        <v>57</v>
      </c>
      <c r="AA1963">
        <v>0</v>
      </c>
    </row>
    <row r="1964" spans="1:27" ht="85" x14ac:dyDescent="0.2">
      <c r="A1964" t="s">
        <v>1500</v>
      </c>
      <c r="B1964">
        <v>2021</v>
      </c>
      <c r="C1964">
        <v>3103010047</v>
      </c>
      <c r="D1964" s="1" t="s">
        <v>2700</v>
      </c>
      <c r="E1964" t="s">
        <v>29</v>
      </c>
      <c r="F1964" t="s">
        <v>30</v>
      </c>
      <c r="G1964">
        <v>35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 t="s">
        <v>31</v>
      </c>
      <c r="Z1964">
        <v>55</v>
      </c>
      <c r="AA1964">
        <v>89</v>
      </c>
    </row>
    <row r="1965" spans="1:27" ht="85" x14ac:dyDescent="0.2">
      <c r="A1965" t="s">
        <v>1500</v>
      </c>
      <c r="B1965">
        <v>2021</v>
      </c>
      <c r="C1965">
        <v>5248003008</v>
      </c>
      <c r="D1965" s="1" t="s">
        <v>2701</v>
      </c>
      <c r="E1965" t="s">
        <v>29</v>
      </c>
      <c r="F1965" t="s">
        <v>30</v>
      </c>
      <c r="G1965">
        <v>17</v>
      </c>
      <c r="H1965">
        <v>0</v>
      </c>
      <c r="I1965">
        <v>42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 t="s">
        <v>31</v>
      </c>
      <c r="Z1965">
        <v>55</v>
      </c>
      <c r="AA1965">
        <v>245</v>
      </c>
    </row>
    <row r="1966" spans="1:27" ht="85" x14ac:dyDescent="0.2">
      <c r="A1966" t="s">
        <v>1500</v>
      </c>
      <c r="B1966">
        <v>2021</v>
      </c>
      <c r="C1966">
        <v>8571010042</v>
      </c>
      <c r="D1966" s="1" t="s">
        <v>2702</v>
      </c>
      <c r="E1966" t="s">
        <v>29</v>
      </c>
      <c r="F1966" t="s">
        <v>30</v>
      </c>
      <c r="G1966">
        <v>8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 t="s">
        <v>31</v>
      </c>
      <c r="Z1966">
        <v>55</v>
      </c>
      <c r="AA1966">
        <v>41</v>
      </c>
    </row>
    <row r="1967" spans="1:27" x14ac:dyDescent="0.2">
      <c r="A1967" t="s">
        <v>883</v>
      </c>
      <c r="B1967">
        <v>2019</v>
      </c>
      <c r="C1967" s="2" t="s">
        <v>2703</v>
      </c>
      <c r="D1967" t="s">
        <v>2704</v>
      </c>
      <c r="E1967" t="s">
        <v>29</v>
      </c>
      <c r="F1967" t="s">
        <v>30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11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 t="s">
        <v>51</v>
      </c>
      <c r="Z1967">
        <v>1000</v>
      </c>
      <c r="AA1967">
        <v>0</v>
      </c>
    </row>
    <row r="1968" spans="1:27" x14ac:dyDescent="0.2">
      <c r="A1968" t="s">
        <v>883</v>
      </c>
      <c r="B1968">
        <v>2019</v>
      </c>
      <c r="C1968" s="2" t="s">
        <v>2705</v>
      </c>
      <c r="D1968" t="s">
        <v>2706</v>
      </c>
      <c r="E1968" t="s">
        <v>29</v>
      </c>
      <c r="F1968" t="s">
        <v>30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2</v>
      </c>
      <c r="T1968">
        <v>0</v>
      </c>
      <c r="U1968">
        <v>0</v>
      </c>
      <c r="V1968">
        <v>0</v>
      </c>
      <c r="W1968">
        <v>0</v>
      </c>
      <c r="X1968">
        <v>0</v>
      </c>
      <c r="Y1968" t="s">
        <v>51</v>
      </c>
      <c r="Z1968">
        <v>1000</v>
      </c>
      <c r="AA1968">
        <v>0</v>
      </c>
    </row>
    <row r="1969" spans="1:27" x14ac:dyDescent="0.2">
      <c r="A1969" t="s">
        <v>883</v>
      </c>
      <c r="B1969">
        <v>2019</v>
      </c>
      <c r="C1969" t="s">
        <v>2707</v>
      </c>
      <c r="D1969" t="s">
        <v>2708</v>
      </c>
      <c r="E1969" t="s">
        <v>29</v>
      </c>
      <c r="F1969" t="s">
        <v>30</v>
      </c>
      <c r="G1969">
        <v>6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 t="s">
        <v>31</v>
      </c>
      <c r="Z1969">
        <v>1000</v>
      </c>
      <c r="AA1969">
        <v>0</v>
      </c>
    </row>
    <row r="1970" spans="1:27" x14ac:dyDescent="0.2">
      <c r="A1970" t="s">
        <v>2691</v>
      </c>
      <c r="B1970">
        <v>2023</v>
      </c>
      <c r="C1970" t="s">
        <v>2709</v>
      </c>
      <c r="D1970" t="s">
        <v>2710</v>
      </c>
      <c r="E1970" t="s">
        <v>29</v>
      </c>
      <c r="F1970" t="s">
        <v>30</v>
      </c>
      <c r="G1970">
        <v>0</v>
      </c>
      <c r="H1970">
        <v>0</v>
      </c>
      <c r="I1970">
        <v>1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 t="s">
        <v>31</v>
      </c>
      <c r="AA1970">
        <v>25</v>
      </c>
    </row>
    <row r="1971" spans="1:27" x14ac:dyDescent="0.2">
      <c r="A1971" t="s">
        <v>2268</v>
      </c>
      <c r="B1971">
        <v>2019</v>
      </c>
      <c r="C1971">
        <v>50074090</v>
      </c>
      <c r="D1971" t="s">
        <v>2711</v>
      </c>
      <c r="E1971" t="s">
        <v>29</v>
      </c>
      <c r="F1971" t="s">
        <v>41</v>
      </c>
      <c r="G1971">
        <v>0</v>
      </c>
      <c r="H1971">
        <v>0</v>
      </c>
      <c r="I1971">
        <v>1</v>
      </c>
      <c r="J1971">
        <v>0</v>
      </c>
      <c r="K1971">
        <v>1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 t="s">
        <v>51</v>
      </c>
      <c r="Z1971">
        <v>45</v>
      </c>
      <c r="AA1971">
        <v>0</v>
      </c>
    </row>
    <row r="1972" spans="1:27" ht="85" x14ac:dyDescent="0.2">
      <c r="A1972" t="s">
        <v>1500</v>
      </c>
      <c r="B1972">
        <v>2021</v>
      </c>
      <c r="C1972">
        <v>8171001047</v>
      </c>
      <c r="D1972" s="1" t="s">
        <v>2712</v>
      </c>
      <c r="E1972" t="s">
        <v>29</v>
      </c>
      <c r="F1972" t="s">
        <v>30</v>
      </c>
      <c r="G1972">
        <v>0</v>
      </c>
      <c r="H1972">
        <v>0</v>
      </c>
      <c r="I1972">
        <v>12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 t="s">
        <v>31</v>
      </c>
      <c r="Z1972">
        <v>55</v>
      </c>
      <c r="AA1972">
        <v>44</v>
      </c>
    </row>
    <row r="1973" spans="1:27" x14ac:dyDescent="0.2">
      <c r="A1973" t="s">
        <v>876</v>
      </c>
      <c r="B1973">
        <v>2020</v>
      </c>
      <c r="C1973">
        <v>30534061</v>
      </c>
      <c r="D1973" t="s">
        <v>980</v>
      </c>
      <c r="E1973" t="s">
        <v>29</v>
      </c>
      <c r="F1973" t="s">
        <v>30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2</v>
      </c>
      <c r="T1973">
        <v>0</v>
      </c>
      <c r="U1973">
        <v>0</v>
      </c>
      <c r="V1973">
        <v>0</v>
      </c>
      <c r="W1973">
        <v>0</v>
      </c>
      <c r="X1973">
        <v>0</v>
      </c>
      <c r="Y1973" t="s">
        <v>31</v>
      </c>
      <c r="Z1973">
        <v>55</v>
      </c>
      <c r="AA1973">
        <v>0</v>
      </c>
    </row>
    <row r="1974" spans="1:27" x14ac:dyDescent="0.2">
      <c r="A1974" t="s">
        <v>2424</v>
      </c>
      <c r="B1974">
        <v>2018</v>
      </c>
      <c r="C1974">
        <v>6440080735</v>
      </c>
      <c r="D1974" t="s">
        <v>2713</v>
      </c>
      <c r="E1974" t="s">
        <v>29</v>
      </c>
      <c r="F1974" t="s">
        <v>30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5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 t="s">
        <v>31</v>
      </c>
      <c r="Z1974">
        <v>55</v>
      </c>
      <c r="AA1974">
        <v>0</v>
      </c>
    </row>
    <row r="1975" spans="1:27" x14ac:dyDescent="0.2">
      <c r="A1975" t="s">
        <v>1500</v>
      </c>
      <c r="B1975">
        <v>2021</v>
      </c>
      <c r="C1975">
        <v>8206010077</v>
      </c>
      <c r="D1975" t="s">
        <v>2714</v>
      </c>
      <c r="E1975" t="s">
        <v>29</v>
      </c>
      <c r="F1975" t="s">
        <v>30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70</v>
      </c>
      <c r="P1975">
        <v>0</v>
      </c>
      <c r="Q1975">
        <v>10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 t="s">
        <v>31</v>
      </c>
      <c r="Z1975">
        <v>55</v>
      </c>
      <c r="AA1975">
        <v>61</v>
      </c>
    </row>
    <row r="1976" spans="1:27" x14ac:dyDescent="0.2">
      <c r="A1976" t="s">
        <v>1576</v>
      </c>
      <c r="B1976">
        <v>2022</v>
      </c>
      <c r="C1976">
        <v>1471930800</v>
      </c>
      <c r="D1976" t="s">
        <v>2715</v>
      </c>
      <c r="E1976" t="s">
        <v>29</v>
      </c>
      <c r="F1976" t="s">
        <v>30</v>
      </c>
      <c r="G1976">
        <v>0</v>
      </c>
      <c r="H1976">
        <v>0</v>
      </c>
      <c r="I1976">
        <v>12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 t="s">
        <v>31</v>
      </c>
      <c r="AA1976" s="2" t="s">
        <v>2716</v>
      </c>
    </row>
    <row r="1977" spans="1:27" x14ac:dyDescent="0.2">
      <c r="A1977" t="s">
        <v>1045</v>
      </c>
      <c r="B1977">
        <v>2019</v>
      </c>
      <c r="C1977" t="s">
        <v>2717</v>
      </c>
      <c r="D1977" t="s">
        <v>2718</v>
      </c>
      <c r="E1977" t="s">
        <v>29</v>
      </c>
      <c r="F1977" t="s">
        <v>30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11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 t="s">
        <v>51</v>
      </c>
      <c r="Z1977">
        <v>55</v>
      </c>
      <c r="AA1977">
        <v>0</v>
      </c>
    </row>
    <row r="1978" spans="1:27" x14ac:dyDescent="0.2">
      <c r="A1978" t="s">
        <v>2719</v>
      </c>
      <c r="B1978">
        <v>2021</v>
      </c>
      <c r="C1978" t="s">
        <v>2720</v>
      </c>
      <c r="D1978" t="s">
        <v>2721</v>
      </c>
      <c r="E1978" t="s">
        <v>29</v>
      </c>
      <c r="F1978" t="s">
        <v>30</v>
      </c>
      <c r="G1978">
        <v>0</v>
      </c>
      <c r="H1978">
        <v>0</v>
      </c>
      <c r="I1978">
        <v>16</v>
      </c>
      <c r="J1978">
        <v>0</v>
      </c>
      <c r="K1978">
        <v>0</v>
      </c>
      <c r="L1978">
        <v>154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 t="s">
        <v>31</v>
      </c>
      <c r="Z1978">
        <v>55</v>
      </c>
      <c r="AA1978">
        <v>10</v>
      </c>
    </row>
    <row r="1979" spans="1:27" x14ac:dyDescent="0.2">
      <c r="A1979" t="s">
        <v>2722</v>
      </c>
      <c r="B1979">
        <v>2019</v>
      </c>
      <c r="C1979" t="s">
        <v>2723</v>
      </c>
      <c r="D1979" t="s">
        <v>2724</v>
      </c>
      <c r="E1979" t="s">
        <v>29</v>
      </c>
      <c r="F1979" t="s">
        <v>30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5</v>
      </c>
      <c r="T1979">
        <v>0</v>
      </c>
      <c r="U1979">
        <v>0</v>
      </c>
      <c r="V1979">
        <v>0</v>
      </c>
      <c r="W1979">
        <v>0</v>
      </c>
      <c r="X1979">
        <v>0</v>
      </c>
      <c r="Y1979" t="s">
        <v>31</v>
      </c>
      <c r="AA1979">
        <v>0</v>
      </c>
    </row>
    <row r="1980" spans="1:27" x14ac:dyDescent="0.2">
      <c r="A1980" t="s">
        <v>2725</v>
      </c>
      <c r="B1980">
        <v>2022</v>
      </c>
      <c r="C1980">
        <v>944330005</v>
      </c>
      <c r="D1980" t="s">
        <v>2726</v>
      </c>
      <c r="E1980" t="s">
        <v>29</v>
      </c>
      <c r="F1980" t="s">
        <v>30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6</v>
      </c>
      <c r="N1980">
        <v>0</v>
      </c>
      <c r="O1980">
        <v>22</v>
      </c>
      <c r="P1980">
        <v>0</v>
      </c>
      <c r="Q1980">
        <v>0</v>
      </c>
      <c r="R1980">
        <v>1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 t="s">
        <v>51</v>
      </c>
      <c r="Z1980">
        <v>55</v>
      </c>
      <c r="AA1980">
        <v>0</v>
      </c>
    </row>
    <row r="1981" spans="1:27" x14ac:dyDescent="0.2">
      <c r="A1981" t="s">
        <v>2722</v>
      </c>
      <c r="B1981">
        <v>2019</v>
      </c>
      <c r="C1981" t="s">
        <v>2723</v>
      </c>
      <c r="D1981" t="s">
        <v>2727</v>
      </c>
      <c r="E1981" t="s">
        <v>29</v>
      </c>
      <c r="F1981" t="s">
        <v>30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5</v>
      </c>
      <c r="T1981">
        <v>0</v>
      </c>
      <c r="U1981">
        <v>0</v>
      </c>
      <c r="V1981">
        <v>0</v>
      </c>
      <c r="W1981">
        <v>0</v>
      </c>
      <c r="X1981">
        <v>0</v>
      </c>
      <c r="Y1981" t="s">
        <v>31</v>
      </c>
      <c r="AA1981">
        <v>0</v>
      </c>
    </row>
    <row r="1982" spans="1:27" x14ac:dyDescent="0.2">
      <c r="A1982" t="s">
        <v>1500</v>
      </c>
      <c r="B1982">
        <v>2021</v>
      </c>
      <c r="C1982">
        <v>8031005029</v>
      </c>
      <c r="D1982" t="s">
        <v>2728</v>
      </c>
      <c r="E1982" t="s">
        <v>29</v>
      </c>
      <c r="F1982" t="s">
        <v>30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2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 t="s">
        <v>31</v>
      </c>
      <c r="Z1982">
        <v>55</v>
      </c>
      <c r="AA1982">
        <v>35</v>
      </c>
    </row>
    <row r="1983" spans="1:27" x14ac:dyDescent="0.2">
      <c r="A1983" t="s">
        <v>1500</v>
      </c>
      <c r="B1983">
        <v>2021</v>
      </c>
      <c r="C1983">
        <v>8030002900</v>
      </c>
      <c r="D1983" t="s">
        <v>2729</v>
      </c>
      <c r="E1983" t="s">
        <v>29</v>
      </c>
      <c r="F1983" t="s">
        <v>30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26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 t="s">
        <v>31</v>
      </c>
      <c r="Z1983">
        <v>55</v>
      </c>
      <c r="AA1983">
        <v>35</v>
      </c>
    </row>
    <row r="1984" spans="1:27" x14ac:dyDescent="0.2">
      <c r="A1984" t="s">
        <v>1805</v>
      </c>
      <c r="B1984">
        <v>2019</v>
      </c>
      <c r="C1984">
        <v>8315009044</v>
      </c>
      <c r="D1984" t="s">
        <v>2730</v>
      </c>
      <c r="E1984" t="s">
        <v>29</v>
      </c>
      <c r="F1984" t="s">
        <v>41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2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 t="s">
        <v>31</v>
      </c>
      <c r="AA1984">
        <v>0</v>
      </c>
    </row>
    <row r="1985" spans="1:27" x14ac:dyDescent="0.2">
      <c r="A1985" t="s">
        <v>387</v>
      </c>
      <c r="B1985">
        <v>2018</v>
      </c>
      <c r="C1985" t="s">
        <v>2731</v>
      </c>
      <c r="D1985" t="s">
        <v>2732</v>
      </c>
      <c r="E1985" t="s">
        <v>29</v>
      </c>
      <c r="F1985" t="s">
        <v>30</v>
      </c>
      <c r="G1985">
        <v>0</v>
      </c>
      <c r="H1985">
        <v>0</v>
      </c>
      <c r="I1985">
        <v>1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 t="s">
        <v>51</v>
      </c>
      <c r="Z1985">
        <v>1000</v>
      </c>
      <c r="AA1985">
        <v>0</v>
      </c>
    </row>
    <row r="1986" spans="1:27" x14ac:dyDescent="0.2">
      <c r="A1986" t="s">
        <v>219</v>
      </c>
      <c r="B1986">
        <v>2019</v>
      </c>
      <c r="C1986" t="s">
        <v>2733</v>
      </c>
      <c r="D1986" t="s">
        <v>2734</v>
      </c>
      <c r="E1986" t="s">
        <v>29</v>
      </c>
      <c r="F1986" t="s">
        <v>30</v>
      </c>
      <c r="G1986">
        <v>0</v>
      </c>
      <c r="H1986">
        <v>0</v>
      </c>
      <c r="I1986">
        <v>1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 t="s">
        <v>51</v>
      </c>
      <c r="Z1986">
        <v>55</v>
      </c>
      <c r="AA1986">
        <v>0</v>
      </c>
    </row>
    <row r="1987" spans="1:27" x14ac:dyDescent="0.2">
      <c r="A1987" t="s">
        <v>1418</v>
      </c>
      <c r="B1987">
        <v>2019</v>
      </c>
      <c r="C1987" t="s">
        <v>2628</v>
      </c>
      <c r="D1987" t="s">
        <v>2735</v>
      </c>
      <c r="E1987" t="s">
        <v>29</v>
      </c>
      <c r="F1987" t="s">
        <v>30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8</v>
      </c>
      <c r="T1987">
        <v>0</v>
      </c>
      <c r="U1987">
        <v>0</v>
      </c>
      <c r="V1987">
        <v>0</v>
      </c>
      <c r="W1987">
        <v>0</v>
      </c>
      <c r="X1987">
        <v>0</v>
      </c>
      <c r="Y1987" t="s">
        <v>31</v>
      </c>
      <c r="Z1987">
        <v>55</v>
      </c>
      <c r="AA1987">
        <v>0</v>
      </c>
    </row>
    <row r="1988" spans="1:27" x14ac:dyDescent="0.2">
      <c r="A1988" t="s">
        <v>1418</v>
      </c>
      <c r="B1988">
        <v>2019</v>
      </c>
      <c r="C1988" t="s">
        <v>2628</v>
      </c>
      <c r="D1988" t="s">
        <v>2736</v>
      </c>
      <c r="E1988" t="s">
        <v>29</v>
      </c>
      <c r="F1988" t="s">
        <v>30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7</v>
      </c>
      <c r="T1988">
        <v>0</v>
      </c>
      <c r="U1988">
        <v>0</v>
      </c>
      <c r="V1988">
        <v>0</v>
      </c>
      <c r="W1988">
        <v>0</v>
      </c>
      <c r="X1988">
        <v>0</v>
      </c>
      <c r="Y1988" t="s">
        <v>31</v>
      </c>
      <c r="Z1988">
        <v>55</v>
      </c>
      <c r="AA1988">
        <v>0</v>
      </c>
    </row>
    <row r="1989" spans="1:27" x14ac:dyDescent="0.2">
      <c r="A1989" t="s">
        <v>387</v>
      </c>
      <c r="B1989">
        <v>2018</v>
      </c>
      <c r="C1989" t="s">
        <v>2737</v>
      </c>
      <c r="D1989" t="s">
        <v>2738</v>
      </c>
      <c r="E1989" t="s">
        <v>29</v>
      </c>
      <c r="F1989" t="s">
        <v>30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13</v>
      </c>
      <c r="P1989">
        <v>6</v>
      </c>
      <c r="Q1989">
        <v>0</v>
      </c>
      <c r="R1989">
        <v>1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 t="s">
        <v>51</v>
      </c>
      <c r="Z1989">
        <v>1000</v>
      </c>
      <c r="AA1989">
        <v>0</v>
      </c>
    </row>
    <row r="1990" spans="1:27" x14ac:dyDescent="0.2">
      <c r="A1990" t="s">
        <v>433</v>
      </c>
      <c r="B1990">
        <v>2021</v>
      </c>
      <c r="C1990">
        <v>16741066</v>
      </c>
      <c r="D1990" t="s">
        <v>2739</v>
      </c>
      <c r="E1990" t="s">
        <v>29</v>
      </c>
      <c r="F1990" t="s">
        <v>41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1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 t="s">
        <v>31</v>
      </c>
      <c r="Z1990">
        <v>55</v>
      </c>
      <c r="AA1990">
        <v>0</v>
      </c>
    </row>
    <row r="1991" spans="1:27" x14ac:dyDescent="0.2">
      <c r="A1991" t="s">
        <v>1609</v>
      </c>
      <c r="B1991">
        <v>2021</v>
      </c>
      <c r="C1991">
        <v>1649102</v>
      </c>
      <c r="D1991" t="s">
        <v>1904</v>
      </c>
      <c r="E1991" t="s">
        <v>29</v>
      </c>
      <c r="F1991" t="s">
        <v>30</v>
      </c>
      <c r="G1991">
        <v>0</v>
      </c>
      <c r="H1991">
        <v>72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 t="s">
        <v>31</v>
      </c>
      <c r="Z1991">
        <v>55</v>
      </c>
      <c r="AA1991">
        <v>69</v>
      </c>
    </row>
    <row r="1992" spans="1:27" x14ac:dyDescent="0.2">
      <c r="A1992" t="s">
        <v>1624</v>
      </c>
      <c r="B1992">
        <v>2019</v>
      </c>
      <c r="C1992" t="s">
        <v>2740</v>
      </c>
      <c r="D1992" t="s">
        <v>2741</v>
      </c>
      <c r="E1992" t="s">
        <v>29</v>
      </c>
      <c r="F1992" t="s">
        <v>41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42</v>
      </c>
      <c r="N1992">
        <v>0</v>
      </c>
      <c r="O1992">
        <v>28</v>
      </c>
      <c r="P1992">
        <v>0</v>
      </c>
      <c r="Q1992">
        <v>1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 t="s">
        <v>31</v>
      </c>
      <c r="Z1992">
        <v>55</v>
      </c>
      <c r="AA1992">
        <v>0</v>
      </c>
    </row>
    <row r="1993" spans="1:27" x14ac:dyDescent="0.2">
      <c r="A1993" t="s">
        <v>1624</v>
      </c>
      <c r="B1993">
        <v>2019</v>
      </c>
      <c r="C1993" t="s">
        <v>2740</v>
      </c>
      <c r="D1993" t="s">
        <v>2742</v>
      </c>
      <c r="E1993" t="s">
        <v>29</v>
      </c>
      <c r="F1993" t="s">
        <v>41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36</v>
      </c>
      <c r="N1993">
        <v>0</v>
      </c>
      <c r="O1993">
        <v>24</v>
      </c>
      <c r="P1993">
        <v>0</v>
      </c>
      <c r="Q1993">
        <v>1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 t="s">
        <v>31</v>
      </c>
      <c r="Z1993">
        <v>55</v>
      </c>
      <c r="AA1993">
        <v>0</v>
      </c>
    </row>
    <row r="1994" spans="1:27" x14ac:dyDescent="0.2">
      <c r="A1994" t="s">
        <v>2743</v>
      </c>
      <c r="B1994">
        <v>2019</v>
      </c>
      <c r="C1994" t="s">
        <v>2744</v>
      </c>
      <c r="D1994" t="s">
        <v>2745</v>
      </c>
      <c r="E1994" t="s">
        <v>29</v>
      </c>
      <c r="F1994" t="s">
        <v>41</v>
      </c>
      <c r="G1994">
        <v>0</v>
      </c>
      <c r="H1994">
        <v>0</v>
      </c>
      <c r="I1994">
        <v>0</v>
      </c>
      <c r="J1994">
        <v>0</v>
      </c>
      <c r="K1994">
        <v>20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20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 t="s">
        <v>51</v>
      </c>
      <c r="AA1994">
        <v>0</v>
      </c>
    </row>
    <row r="1995" spans="1:27" x14ac:dyDescent="0.2">
      <c r="A1995" t="s">
        <v>2719</v>
      </c>
      <c r="B1995">
        <v>2022</v>
      </c>
      <c r="C1995" t="s">
        <v>2746</v>
      </c>
      <c r="D1995" t="s">
        <v>2747</v>
      </c>
      <c r="E1995" t="s">
        <v>29</v>
      </c>
      <c r="F1995" t="s">
        <v>30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16</v>
      </c>
      <c r="P1995">
        <v>0</v>
      </c>
      <c r="Q1995">
        <v>0</v>
      </c>
      <c r="R1995">
        <v>154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 t="s">
        <v>31</v>
      </c>
      <c r="Z1995">
        <v>55</v>
      </c>
      <c r="AA1995">
        <v>10</v>
      </c>
    </row>
    <row r="1996" spans="1:27" x14ac:dyDescent="0.2">
      <c r="A1996" t="s">
        <v>2411</v>
      </c>
      <c r="B1996">
        <v>2021</v>
      </c>
      <c r="C1996" t="s">
        <v>2748</v>
      </c>
      <c r="D1996" t="s">
        <v>2749</v>
      </c>
      <c r="E1996" t="s">
        <v>29</v>
      </c>
      <c r="F1996" t="s">
        <v>30</v>
      </c>
      <c r="G1996">
        <v>2</v>
      </c>
      <c r="H1996">
        <v>0</v>
      </c>
      <c r="I1996">
        <v>136</v>
      </c>
      <c r="J1996">
        <v>0</v>
      </c>
      <c r="K1996">
        <v>36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 t="s">
        <v>31</v>
      </c>
      <c r="Z1996">
        <v>1000</v>
      </c>
      <c r="AA1996">
        <v>19</v>
      </c>
    </row>
    <row r="1997" spans="1:27" x14ac:dyDescent="0.2">
      <c r="A1997" t="s">
        <v>2411</v>
      </c>
      <c r="B1997">
        <v>2021</v>
      </c>
      <c r="C1997" t="s">
        <v>2750</v>
      </c>
      <c r="D1997" t="s">
        <v>2751</v>
      </c>
      <c r="E1997" t="s">
        <v>29</v>
      </c>
      <c r="F1997" t="s">
        <v>30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10</v>
      </c>
      <c r="V1997">
        <v>0</v>
      </c>
      <c r="W1997">
        <v>0</v>
      </c>
      <c r="X1997">
        <v>0</v>
      </c>
      <c r="Y1997" t="s">
        <v>51</v>
      </c>
      <c r="Z1997">
        <v>1000</v>
      </c>
      <c r="AA1997">
        <v>0</v>
      </c>
    </row>
    <row r="1998" spans="1:27" x14ac:dyDescent="0.2">
      <c r="A1998" t="s">
        <v>321</v>
      </c>
      <c r="B1998">
        <v>2021</v>
      </c>
      <c r="C1998" t="s">
        <v>2752</v>
      </c>
      <c r="D1998" t="s">
        <v>2753</v>
      </c>
      <c r="E1998" t="s">
        <v>29</v>
      </c>
      <c r="F1998" t="s">
        <v>30</v>
      </c>
      <c r="G1998">
        <v>0</v>
      </c>
      <c r="H1998">
        <v>0</v>
      </c>
      <c r="I1998">
        <v>2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 t="s">
        <v>51</v>
      </c>
      <c r="Z1998">
        <v>55</v>
      </c>
      <c r="AA1998">
        <v>0</v>
      </c>
    </row>
    <row r="1999" spans="1:27" x14ac:dyDescent="0.2">
      <c r="A1999" t="s">
        <v>321</v>
      </c>
      <c r="B1999">
        <v>2021</v>
      </c>
      <c r="C1999" t="s">
        <v>2754</v>
      </c>
      <c r="D1999" t="s">
        <v>2755</v>
      </c>
      <c r="E1999" t="s">
        <v>29</v>
      </c>
      <c r="F1999" t="s">
        <v>30</v>
      </c>
      <c r="G1999">
        <v>32</v>
      </c>
      <c r="H1999">
        <v>0</v>
      </c>
      <c r="I1999">
        <v>25</v>
      </c>
      <c r="J1999">
        <v>0</v>
      </c>
      <c r="K1999">
        <v>27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 t="s">
        <v>51</v>
      </c>
      <c r="Z1999">
        <v>55</v>
      </c>
      <c r="AA1999">
        <v>0</v>
      </c>
    </row>
    <row r="2000" spans="1:27" x14ac:dyDescent="0.2">
      <c r="A2000" t="s">
        <v>959</v>
      </c>
      <c r="B2000">
        <v>2021</v>
      </c>
      <c r="C2000">
        <v>6113016031</v>
      </c>
      <c r="D2000" t="s">
        <v>2756</v>
      </c>
      <c r="E2000" t="s">
        <v>29</v>
      </c>
      <c r="F2000" t="s">
        <v>41</v>
      </c>
      <c r="G2000">
        <v>1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1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 t="s">
        <v>31</v>
      </c>
      <c r="AA2000">
        <v>40</v>
      </c>
    </row>
    <row r="2001" spans="1:27" x14ac:dyDescent="0.2">
      <c r="A2001" t="s">
        <v>75</v>
      </c>
      <c r="B2001">
        <v>2018</v>
      </c>
      <c r="C2001">
        <v>6774200200</v>
      </c>
      <c r="D2001" t="s">
        <v>2757</v>
      </c>
      <c r="E2001" t="s">
        <v>29</v>
      </c>
      <c r="F2001" t="s">
        <v>30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61</v>
      </c>
      <c r="N2001">
        <v>0</v>
      </c>
      <c r="O2001">
        <v>140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 t="s">
        <v>51</v>
      </c>
      <c r="AA2001">
        <v>0</v>
      </c>
    </row>
    <row r="2002" spans="1:27" x14ac:dyDescent="0.2">
      <c r="A2002" t="s">
        <v>75</v>
      </c>
      <c r="B2002">
        <v>2018</v>
      </c>
      <c r="C2002">
        <v>4441102300</v>
      </c>
      <c r="D2002" t="s">
        <v>2758</v>
      </c>
      <c r="E2002" t="s">
        <v>29</v>
      </c>
      <c r="F2002" t="s">
        <v>30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14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 t="s">
        <v>31</v>
      </c>
      <c r="AA2002">
        <v>0</v>
      </c>
    </row>
    <row r="2003" spans="1:27" x14ac:dyDescent="0.2">
      <c r="A2003" t="s">
        <v>172</v>
      </c>
      <c r="B2003">
        <v>2022</v>
      </c>
      <c r="C2003" t="s">
        <v>2759</v>
      </c>
      <c r="D2003" t="s">
        <v>2760</v>
      </c>
      <c r="E2003" t="s">
        <v>29</v>
      </c>
      <c r="F2003" t="s">
        <v>30</v>
      </c>
      <c r="G2003">
        <v>30</v>
      </c>
      <c r="H2003">
        <v>0</v>
      </c>
      <c r="I2003">
        <v>29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 t="s">
        <v>31</v>
      </c>
      <c r="Z2003">
        <v>55</v>
      </c>
      <c r="AA2003" s="2" t="s">
        <v>2761</v>
      </c>
    </row>
    <row r="2004" spans="1:27" x14ac:dyDescent="0.2">
      <c r="A2004" t="s">
        <v>172</v>
      </c>
      <c r="B2004">
        <v>2022</v>
      </c>
      <c r="C2004" t="s">
        <v>2762</v>
      </c>
      <c r="D2004" t="s">
        <v>2763</v>
      </c>
      <c r="E2004" t="s">
        <v>29</v>
      </c>
      <c r="F2004" t="s">
        <v>30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15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 t="s">
        <v>31</v>
      </c>
      <c r="Z2004">
        <v>55</v>
      </c>
      <c r="AA2004">
        <v>20</v>
      </c>
    </row>
    <row r="2005" spans="1:27" x14ac:dyDescent="0.2">
      <c r="A2005" t="s">
        <v>424</v>
      </c>
      <c r="B2005">
        <v>2021</v>
      </c>
      <c r="C2005">
        <v>98240064</v>
      </c>
      <c r="D2005" t="s">
        <v>2764</v>
      </c>
      <c r="E2005" t="s">
        <v>29</v>
      </c>
      <c r="F2005" t="s">
        <v>30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20</v>
      </c>
      <c r="T2005">
        <v>0</v>
      </c>
      <c r="U2005">
        <v>171</v>
      </c>
      <c r="V2005">
        <v>0</v>
      </c>
      <c r="W2005">
        <v>0</v>
      </c>
      <c r="X2005">
        <v>0</v>
      </c>
      <c r="Y2005" t="s">
        <v>31</v>
      </c>
      <c r="Z2005">
        <v>55</v>
      </c>
      <c r="AA2005">
        <v>10</v>
      </c>
    </row>
    <row r="2006" spans="1:27" x14ac:dyDescent="0.2">
      <c r="A2006" t="s">
        <v>75</v>
      </c>
      <c r="B2006">
        <v>2018</v>
      </c>
      <c r="C2006">
        <v>6450407500</v>
      </c>
      <c r="D2006" t="s">
        <v>2765</v>
      </c>
      <c r="E2006" t="s">
        <v>29</v>
      </c>
      <c r="F2006" t="s">
        <v>30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1</v>
      </c>
      <c r="N2006">
        <v>0</v>
      </c>
      <c r="O2006">
        <v>12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 t="s">
        <v>51</v>
      </c>
      <c r="AA2006">
        <v>0</v>
      </c>
    </row>
    <row r="2007" spans="1:27" x14ac:dyDescent="0.2">
      <c r="A2007" t="s">
        <v>321</v>
      </c>
      <c r="B2007">
        <v>2021</v>
      </c>
      <c r="C2007" t="s">
        <v>2766</v>
      </c>
      <c r="D2007" t="s">
        <v>2767</v>
      </c>
      <c r="E2007" t="s">
        <v>29</v>
      </c>
      <c r="F2007" t="s">
        <v>30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4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 t="s">
        <v>51</v>
      </c>
      <c r="Z2007">
        <v>99</v>
      </c>
      <c r="AA2007">
        <v>0</v>
      </c>
    </row>
    <row r="2008" spans="1:27" x14ac:dyDescent="0.2">
      <c r="A2008" t="s">
        <v>737</v>
      </c>
      <c r="B2008">
        <v>2022</v>
      </c>
      <c r="C2008" t="s">
        <v>2768</v>
      </c>
      <c r="D2008" t="s">
        <v>2769</v>
      </c>
      <c r="E2008" t="s">
        <v>29</v>
      </c>
      <c r="F2008" t="s">
        <v>30</v>
      </c>
      <c r="G2008">
        <v>2</v>
      </c>
      <c r="H2008">
        <v>0</v>
      </c>
      <c r="I2008">
        <v>0</v>
      </c>
      <c r="J2008">
        <v>0</v>
      </c>
      <c r="K2008">
        <v>4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 t="s">
        <v>31</v>
      </c>
      <c r="AA2008">
        <v>50</v>
      </c>
    </row>
    <row r="2009" spans="1:27" x14ac:dyDescent="0.2">
      <c r="A2009" t="s">
        <v>2411</v>
      </c>
      <c r="B2009">
        <v>2022</v>
      </c>
      <c r="C2009" t="s">
        <v>2770</v>
      </c>
      <c r="D2009" t="s">
        <v>2771</v>
      </c>
      <c r="E2009" t="s">
        <v>29</v>
      </c>
      <c r="F2009" t="s">
        <v>30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36</v>
      </c>
      <c r="N2009">
        <v>0</v>
      </c>
      <c r="O2009">
        <v>31</v>
      </c>
      <c r="P2009">
        <v>0</v>
      </c>
      <c r="Q2009">
        <v>8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 t="s">
        <v>31</v>
      </c>
      <c r="Z2009">
        <v>55</v>
      </c>
      <c r="AA2009">
        <v>20</v>
      </c>
    </row>
    <row r="2010" spans="1:27" x14ac:dyDescent="0.2">
      <c r="A2010" t="s">
        <v>1316</v>
      </c>
      <c r="B2010">
        <v>2018</v>
      </c>
      <c r="C2010">
        <v>43507214</v>
      </c>
      <c r="D2010" t="s">
        <v>2772</v>
      </c>
      <c r="E2010" t="s">
        <v>29</v>
      </c>
      <c r="F2010" t="s">
        <v>30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17</v>
      </c>
      <c r="T2010">
        <v>0</v>
      </c>
      <c r="U2010">
        <v>1</v>
      </c>
      <c r="V2010">
        <v>0</v>
      </c>
      <c r="W2010">
        <v>11</v>
      </c>
      <c r="X2010">
        <v>0</v>
      </c>
      <c r="Y2010" t="s">
        <v>31</v>
      </c>
      <c r="Z2010">
        <v>30</v>
      </c>
      <c r="AA2010">
        <v>0</v>
      </c>
    </row>
    <row r="2011" spans="1:27" x14ac:dyDescent="0.2">
      <c r="A2011" t="s">
        <v>75</v>
      </c>
      <c r="B2011">
        <v>2018</v>
      </c>
      <c r="C2011">
        <v>4714122800</v>
      </c>
      <c r="D2011" t="s">
        <v>2773</v>
      </c>
      <c r="E2011" t="s">
        <v>29</v>
      </c>
      <c r="F2011" t="s">
        <v>30</v>
      </c>
      <c r="G2011">
        <v>0</v>
      </c>
      <c r="H2011">
        <v>0</v>
      </c>
      <c r="I2011">
        <v>1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 t="s">
        <v>31</v>
      </c>
      <c r="AA2011">
        <v>0</v>
      </c>
    </row>
    <row r="2012" spans="1:27" x14ac:dyDescent="0.2">
      <c r="A2012" t="s">
        <v>75</v>
      </c>
      <c r="B2012">
        <v>2018</v>
      </c>
      <c r="C2012">
        <v>5334210400</v>
      </c>
      <c r="D2012" t="s">
        <v>2774</v>
      </c>
      <c r="E2012" t="s">
        <v>29</v>
      </c>
      <c r="F2012" t="s">
        <v>30</v>
      </c>
      <c r="G2012">
        <v>32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 t="s">
        <v>31</v>
      </c>
      <c r="AA2012">
        <v>0</v>
      </c>
    </row>
    <row r="2013" spans="1:27" x14ac:dyDescent="0.2">
      <c r="A2013" t="s">
        <v>75</v>
      </c>
      <c r="B2013">
        <v>2018</v>
      </c>
      <c r="C2013">
        <v>5351560800</v>
      </c>
      <c r="D2013" t="s">
        <v>2775</v>
      </c>
      <c r="E2013" t="s">
        <v>29</v>
      </c>
      <c r="F2013" t="s">
        <v>30</v>
      </c>
      <c r="G2013">
        <v>6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 t="s">
        <v>31</v>
      </c>
      <c r="AA2013">
        <v>0</v>
      </c>
    </row>
    <row r="2014" spans="1:27" x14ac:dyDescent="0.2">
      <c r="A2014" t="s">
        <v>75</v>
      </c>
      <c r="B2014">
        <v>2018</v>
      </c>
      <c r="C2014">
        <v>5351802500</v>
      </c>
      <c r="D2014" t="s">
        <v>2776</v>
      </c>
      <c r="E2014" t="s">
        <v>29</v>
      </c>
      <c r="F2014" t="s">
        <v>30</v>
      </c>
      <c r="G2014">
        <v>86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 t="s">
        <v>51</v>
      </c>
      <c r="AA2014">
        <v>0</v>
      </c>
    </row>
    <row r="2015" spans="1:27" x14ac:dyDescent="0.2">
      <c r="A2015" t="s">
        <v>38</v>
      </c>
      <c r="B2015">
        <v>2019</v>
      </c>
      <c r="C2015" t="s">
        <v>2777</v>
      </c>
      <c r="D2015" t="s">
        <v>2778</v>
      </c>
      <c r="E2015" t="s">
        <v>29</v>
      </c>
      <c r="F2015" t="s">
        <v>30</v>
      </c>
      <c r="G2015">
        <v>8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8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8</v>
      </c>
      <c r="T2015">
        <v>0</v>
      </c>
      <c r="U2015">
        <v>0</v>
      </c>
      <c r="V2015">
        <v>0</v>
      </c>
      <c r="W2015">
        <v>0</v>
      </c>
      <c r="X2015">
        <v>0</v>
      </c>
      <c r="Y2015" t="s">
        <v>31</v>
      </c>
      <c r="Z2015">
        <v>55</v>
      </c>
      <c r="AA2015">
        <v>0</v>
      </c>
    </row>
    <row r="2016" spans="1:27" x14ac:dyDescent="0.2">
      <c r="A2016" t="s">
        <v>1045</v>
      </c>
      <c r="B2016">
        <v>2019</v>
      </c>
      <c r="C2016">
        <v>1753233300</v>
      </c>
      <c r="D2016" t="s">
        <v>2779</v>
      </c>
      <c r="E2016" t="s">
        <v>29</v>
      </c>
      <c r="F2016" t="s">
        <v>30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60</v>
      </c>
      <c r="N2016">
        <v>0</v>
      </c>
      <c r="O2016">
        <v>20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 t="s">
        <v>31</v>
      </c>
      <c r="Z2016">
        <v>90</v>
      </c>
      <c r="AA2016">
        <v>0</v>
      </c>
    </row>
    <row r="2017" spans="1:27" x14ac:dyDescent="0.2">
      <c r="A2017" t="s">
        <v>2691</v>
      </c>
      <c r="B2017">
        <v>2021</v>
      </c>
      <c r="C2017">
        <v>55720015</v>
      </c>
      <c r="D2017" t="s">
        <v>2780</v>
      </c>
      <c r="E2017" t="s">
        <v>29</v>
      </c>
      <c r="F2017" t="s">
        <v>30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1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 t="s">
        <v>31</v>
      </c>
      <c r="AA2017">
        <v>25</v>
      </c>
    </row>
    <row r="2018" spans="1:27" x14ac:dyDescent="0.2">
      <c r="A2018" t="s">
        <v>2781</v>
      </c>
      <c r="B2018">
        <v>2021</v>
      </c>
      <c r="C2018" t="s">
        <v>2782</v>
      </c>
      <c r="D2018" t="s">
        <v>2783</v>
      </c>
      <c r="E2018" t="s">
        <v>29</v>
      </c>
      <c r="F2018" t="s">
        <v>30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15</v>
      </c>
      <c r="P2018">
        <v>0</v>
      </c>
      <c r="Q2018">
        <v>8</v>
      </c>
      <c r="R2018">
        <v>51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 t="s">
        <v>51</v>
      </c>
      <c r="Z2018">
        <v>30</v>
      </c>
      <c r="AA2018">
        <v>0</v>
      </c>
    </row>
    <row r="2019" spans="1:27" x14ac:dyDescent="0.2">
      <c r="A2019" t="s">
        <v>2784</v>
      </c>
      <c r="B2019">
        <v>2020</v>
      </c>
      <c r="C2019" t="s">
        <v>2785</v>
      </c>
      <c r="D2019" t="s">
        <v>2786</v>
      </c>
      <c r="E2019" t="s">
        <v>29</v>
      </c>
      <c r="F2019" t="s">
        <v>30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43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 t="s">
        <v>31</v>
      </c>
      <c r="Z2019">
        <v>55</v>
      </c>
      <c r="AA2019">
        <v>0</v>
      </c>
    </row>
    <row r="2020" spans="1:27" x14ac:dyDescent="0.2">
      <c r="A2020" t="s">
        <v>2419</v>
      </c>
      <c r="B2020">
        <v>2021</v>
      </c>
      <c r="C2020">
        <v>60242057</v>
      </c>
      <c r="D2020" t="s">
        <v>2549</v>
      </c>
      <c r="E2020" t="s">
        <v>29</v>
      </c>
      <c r="F2020" t="s">
        <v>30</v>
      </c>
      <c r="G2020">
        <v>0</v>
      </c>
      <c r="H2020">
        <v>0</v>
      </c>
      <c r="I2020">
        <v>53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 t="s">
        <v>31</v>
      </c>
      <c r="AA2020">
        <v>71</v>
      </c>
    </row>
    <row r="2021" spans="1:27" x14ac:dyDescent="0.2">
      <c r="A2021" t="s">
        <v>318</v>
      </c>
      <c r="B2021">
        <v>2020</v>
      </c>
      <c r="C2021">
        <v>-4498</v>
      </c>
      <c r="D2021" t="s">
        <v>2787</v>
      </c>
      <c r="E2021" t="s">
        <v>29</v>
      </c>
      <c r="F2021" t="s">
        <v>30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9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 t="s">
        <v>31</v>
      </c>
      <c r="Z2021">
        <v>55</v>
      </c>
      <c r="AA2021">
        <v>0</v>
      </c>
    </row>
    <row r="2022" spans="1:27" x14ac:dyDescent="0.2">
      <c r="A2022" t="s">
        <v>1624</v>
      </c>
      <c r="B2022">
        <v>2019</v>
      </c>
      <c r="C2022" t="s">
        <v>2788</v>
      </c>
      <c r="D2022" t="s">
        <v>2789</v>
      </c>
      <c r="E2022" t="s">
        <v>29</v>
      </c>
      <c r="F2022" t="s">
        <v>41</v>
      </c>
      <c r="G2022">
        <v>5</v>
      </c>
      <c r="H2022">
        <v>0</v>
      </c>
      <c r="I2022">
        <v>5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 t="s">
        <v>51</v>
      </c>
      <c r="Z2022">
        <v>55</v>
      </c>
      <c r="AA2022">
        <v>0</v>
      </c>
    </row>
    <row r="2023" spans="1:27" x14ac:dyDescent="0.2">
      <c r="A2023" t="s">
        <v>75</v>
      </c>
      <c r="B2023">
        <v>2018</v>
      </c>
      <c r="C2023">
        <v>6450407500</v>
      </c>
      <c r="D2023" t="s">
        <v>2790</v>
      </c>
      <c r="E2023" t="s">
        <v>29</v>
      </c>
      <c r="F2023" t="s">
        <v>30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2</v>
      </c>
      <c r="N2023">
        <v>0</v>
      </c>
      <c r="O2023">
        <v>12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 t="s">
        <v>51</v>
      </c>
      <c r="AA2023">
        <v>0</v>
      </c>
    </row>
    <row r="2024" spans="1:27" x14ac:dyDescent="0.2">
      <c r="A2024" t="s">
        <v>75</v>
      </c>
      <c r="B2024">
        <v>2018</v>
      </c>
      <c r="C2024">
        <v>6661700800</v>
      </c>
      <c r="D2024" t="s">
        <v>2791</v>
      </c>
      <c r="E2024" t="s">
        <v>29</v>
      </c>
      <c r="F2024" t="s">
        <v>30</v>
      </c>
      <c r="G2024">
        <v>0</v>
      </c>
      <c r="H2024">
        <v>0</v>
      </c>
      <c r="I2024">
        <v>2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 t="s">
        <v>31</v>
      </c>
      <c r="AA2024">
        <v>0</v>
      </c>
    </row>
    <row r="2025" spans="1:27" x14ac:dyDescent="0.2">
      <c r="A2025" t="s">
        <v>75</v>
      </c>
      <c r="B2025">
        <v>2018</v>
      </c>
      <c r="C2025">
        <v>5395312900</v>
      </c>
      <c r="D2025" t="s">
        <v>2792</v>
      </c>
      <c r="E2025" t="s">
        <v>29</v>
      </c>
      <c r="F2025" t="s">
        <v>30</v>
      </c>
      <c r="G2025">
        <v>2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 t="s">
        <v>31</v>
      </c>
      <c r="AA2025">
        <v>0</v>
      </c>
    </row>
    <row r="2026" spans="1:27" x14ac:dyDescent="0.2">
      <c r="A2026" t="s">
        <v>75</v>
      </c>
      <c r="B2026">
        <v>2018</v>
      </c>
      <c r="C2026">
        <v>5395222500</v>
      </c>
      <c r="D2026" t="s">
        <v>2793</v>
      </c>
      <c r="E2026" t="s">
        <v>29</v>
      </c>
      <c r="F2026" t="s">
        <v>30</v>
      </c>
      <c r="G2026">
        <v>4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 t="s">
        <v>31</v>
      </c>
      <c r="AA2026">
        <v>0</v>
      </c>
    </row>
    <row r="2027" spans="1:27" x14ac:dyDescent="0.2">
      <c r="A2027" t="s">
        <v>75</v>
      </c>
      <c r="B2027">
        <v>2018</v>
      </c>
      <c r="C2027">
        <v>44630325</v>
      </c>
      <c r="D2027" t="s">
        <v>2794</v>
      </c>
      <c r="E2027" t="s">
        <v>29</v>
      </c>
      <c r="F2027" t="s">
        <v>30</v>
      </c>
      <c r="G2027">
        <v>3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 t="s">
        <v>31</v>
      </c>
      <c r="AA2027">
        <v>0</v>
      </c>
    </row>
    <row r="2028" spans="1:27" x14ac:dyDescent="0.2">
      <c r="A2028" t="s">
        <v>75</v>
      </c>
      <c r="B2028">
        <v>2018</v>
      </c>
      <c r="C2028">
        <v>3064200400</v>
      </c>
      <c r="D2028" t="s">
        <v>2795</v>
      </c>
      <c r="E2028" t="s">
        <v>29</v>
      </c>
      <c r="F2028" t="s">
        <v>30</v>
      </c>
      <c r="G2028">
        <v>0</v>
      </c>
      <c r="H2028">
        <v>0</v>
      </c>
      <c r="I2028">
        <v>47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 t="s">
        <v>31</v>
      </c>
      <c r="AA2028">
        <v>0</v>
      </c>
    </row>
    <row r="2029" spans="1:27" x14ac:dyDescent="0.2">
      <c r="A2029" t="s">
        <v>75</v>
      </c>
      <c r="B2029">
        <v>2018</v>
      </c>
      <c r="C2029">
        <v>5343341000</v>
      </c>
      <c r="D2029" t="s">
        <v>2796</v>
      </c>
      <c r="E2029" t="s">
        <v>29</v>
      </c>
      <c r="F2029" t="s">
        <v>41</v>
      </c>
      <c r="G2029">
        <v>0</v>
      </c>
      <c r="H2029">
        <v>0</v>
      </c>
      <c r="I2029">
        <v>15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 t="s">
        <v>31</v>
      </c>
      <c r="AA2029">
        <v>0</v>
      </c>
    </row>
    <row r="2030" spans="1:27" x14ac:dyDescent="0.2">
      <c r="A2030" t="s">
        <v>1986</v>
      </c>
      <c r="B2030">
        <v>2022</v>
      </c>
      <c r="C2030">
        <v>16040105000</v>
      </c>
      <c r="D2030" t="s">
        <v>2797</v>
      </c>
      <c r="E2030" t="s">
        <v>29</v>
      </c>
      <c r="F2030" t="s">
        <v>30</v>
      </c>
      <c r="G2030">
        <v>0</v>
      </c>
      <c r="H2030">
        <v>0</v>
      </c>
      <c r="I2030">
        <v>8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8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 t="s">
        <v>31</v>
      </c>
      <c r="Z2030">
        <v>55</v>
      </c>
      <c r="AA2030">
        <v>0</v>
      </c>
    </row>
    <row r="2031" spans="1:27" x14ac:dyDescent="0.2">
      <c r="A2031" t="s">
        <v>1988</v>
      </c>
      <c r="B2031">
        <v>2021</v>
      </c>
      <c r="C2031" t="s">
        <v>2798</v>
      </c>
      <c r="D2031" t="s">
        <v>2799</v>
      </c>
      <c r="E2031" t="s">
        <v>29</v>
      </c>
      <c r="F2031" t="s">
        <v>30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2</v>
      </c>
      <c r="N2031">
        <v>0</v>
      </c>
      <c r="O2031">
        <v>8</v>
      </c>
      <c r="P2031">
        <v>0</v>
      </c>
      <c r="Q2031">
        <v>9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 t="s">
        <v>31</v>
      </c>
      <c r="AA2031">
        <v>33</v>
      </c>
    </row>
    <row r="2032" spans="1:27" x14ac:dyDescent="0.2">
      <c r="A2032" t="s">
        <v>2411</v>
      </c>
      <c r="B2032">
        <v>2022</v>
      </c>
      <c r="C2032" t="s">
        <v>2800</v>
      </c>
      <c r="D2032" t="s">
        <v>2801</v>
      </c>
      <c r="E2032" t="s">
        <v>29</v>
      </c>
      <c r="F2032" t="s">
        <v>30</v>
      </c>
      <c r="G2032">
        <v>79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 t="s">
        <v>31</v>
      </c>
      <c r="Z2032">
        <v>55</v>
      </c>
      <c r="AA2032">
        <v>45</v>
      </c>
    </row>
    <row r="2033" spans="1:27" x14ac:dyDescent="0.2">
      <c r="A2033" t="s">
        <v>835</v>
      </c>
      <c r="B2033">
        <v>2021</v>
      </c>
      <c r="C2033" s="2" t="s">
        <v>1439</v>
      </c>
      <c r="D2033" t="s">
        <v>1440</v>
      </c>
      <c r="E2033" t="s">
        <v>29</v>
      </c>
      <c r="F2033" t="s">
        <v>41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2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 t="s">
        <v>51</v>
      </c>
      <c r="Z2033">
        <v>55</v>
      </c>
      <c r="AA2033">
        <v>0</v>
      </c>
    </row>
    <row r="2034" spans="1:27" x14ac:dyDescent="0.2">
      <c r="A2034" t="s">
        <v>600</v>
      </c>
      <c r="B2034">
        <v>2020</v>
      </c>
      <c r="C2034" s="2" t="s">
        <v>1937</v>
      </c>
      <c r="D2034" t="s">
        <v>1938</v>
      </c>
      <c r="E2034" t="s">
        <v>29</v>
      </c>
      <c r="F2034" t="s">
        <v>30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11</v>
      </c>
      <c r="X2034">
        <v>0</v>
      </c>
      <c r="Y2034" t="s">
        <v>51</v>
      </c>
      <c r="AA2034">
        <v>0</v>
      </c>
    </row>
    <row r="2035" spans="1:27" x14ac:dyDescent="0.2">
      <c r="A2035" t="s">
        <v>600</v>
      </c>
      <c r="B2035">
        <v>2020</v>
      </c>
      <c r="C2035" t="s">
        <v>2802</v>
      </c>
      <c r="D2035" t="s">
        <v>2803</v>
      </c>
      <c r="E2035" t="s">
        <v>29</v>
      </c>
      <c r="F2035" t="s">
        <v>30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4</v>
      </c>
      <c r="V2035">
        <v>0</v>
      </c>
      <c r="W2035">
        <v>1</v>
      </c>
      <c r="X2035">
        <v>0</v>
      </c>
      <c r="Y2035" t="s">
        <v>51</v>
      </c>
      <c r="AA2035">
        <v>0</v>
      </c>
    </row>
    <row r="2036" spans="1:27" x14ac:dyDescent="0.2">
      <c r="A2036" t="s">
        <v>894</v>
      </c>
      <c r="B2036">
        <v>2018</v>
      </c>
      <c r="C2036" s="2" t="s">
        <v>2804</v>
      </c>
      <c r="D2036" t="s">
        <v>1737</v>
      </c>
      <c r="E2036" t="s">
        <v>29</v>
      </c>
      <c r="F2036" t="s">
        <v>41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1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 t="s">
        <v>51</v>
      </c>
      <c r="AA2036">
        <v>0</v>
      </c>
    </row>
    <row r="2037" spans="1:27" x14ac:dyDescent="0.2">
      <c r="A2037" t="s">
        <v>1500</v>
      </c>
      <c r="B2037">
        <v>2022</v>
      </c>
      <c r="C2037">
        <v>6076013028</v>
      </c>
      <c r="D2037" t="s">
        <v>2805</v>
      </c>
      <c r="E2037" t="s">
        <v>29</v>
      </c>
      <c r="F2037" t="s">
        <v>30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21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 t="s">
        <v>31</v>
      </c>
      <c r="Z2037">
        <v>55</v>
      </c>
      <c r="AA2037">
        <v>315</v>
      </c>
    </row>
    <row r="2038" spans="1:27" x14ac:dyDescent="0.2">
      <c r="A2038" t="s">
        <v>1500</v>
      </c>
      <c r="B2038">
        <v>2022</v>
      </c>
      <c r="C2038">
        <v>8030002900</v>
      </c>
      <c r="D2038" t="s">
        <v>2806</v>
      </c>
      <c r="E2038" t="s">
        <v>29</v>
      </c>
      <c r="F2038" t="s">
        <v>30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26</v>
      </c>
      <c r="V2038">
        <v>0</v>
      </c>
      <c r="W2038">
        <v>0</v>
      </c>
      <c r="X2038">
        <v>0</v>
      </c>
      <c r="Y2038" t="s">
        <v>31</v>
      </c>
      <c r="Z2038">
        <v>55</v>
      </c>
      <c r="AA2038">
        <v>35</v>
      </c>
    </row>
    <row r="2039" spans="1:27" x14ac:dyDescent="0.2">
      <c r="A2039" t="s">
        <v>1500</v>
      </c>
      <c r="B2039">
        <v>2022</v>
      </c>
      <c r="C2039">
        <v>6149011007</v>
      </c>
      <c r="D2039" t="s">
        <v>2807</v>
      </c>
      <c r="E2039" t="s">
        <v>29</v>
      </c>
      <c r="F2039" t="s">
        <v>30</v>
      </c>
      <c r="G2039">
        <v>4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 t="s">
        <v>31</v>
      </c>
      <c r="Z2039">
        <v>1000</v>
      </c>
      <c r="AA2039">
        <v>35</v>
      </c>
    </row>
    <row r="2040" spans="1:27" x14ac:dyDescent="0.2">
      <c r="A2040" t="s">
        <v>402</v>
      </c>
      <c r="B2040">
        <v>2023</v>
      </c>
      <c r="C2040" t="s">
        <v>701</v>
      </c>
      <c r="D2040" t="s">
        <v>702</v>
      </c>
      <c r="E2040" t="s">
        <v>29</v>
      </c>
      <c r="F2040" t="s">
        <v>30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8</v>
      </c>
      <c r="V2040">
        <v>0</v>
      </c>
      <c r="W2040">
        <v>0</v>
      </c>
      <c r="X2040">
        <v>0</v>
      </c>
      <c r="Y2040" t="s">
        <v>31</v>
      </c>
      <c r="AA2040">
        <v>35</v>
      </c>
    </row>
    <row r="2041" spans="1:27" x14ac:dyDescent="0.2">
      <c r="A2041" t="s">
        <v>2808</v>
      </c>
      <c r="B2041">
        <v>2019</v>
      </c>
      <c r="C2041">
        <v>52020006</v>
      </c>
      <c r="D2041" t="s">
        <v>2809</v>
      </c>
      <c r="E2041" t="s">
        <v>29</v>
      </c>
      <c r="F2041" t="s">
        <v>30</v>
      </c>
      <c r="G2041">
        <v>10</v>
      </c>
      <c r="H2041">
        <v>0</v>
      </c>
      <c r="I2041">
        <v>38</v>
      </c>
      <c r="J2041">
        <v>0</v>
      </c>
      <c r="K2041">
        <v>0</v>
      </c>
      <c r="L2041">
        <v>1</v>
      </c>
      <c r="M2041">
        <v>10</v>
      </c>
      <c r="N2041">
        <v>0</v>
      </c>
      <c r="O2041">
        <v>38</v>
      </c>
      <c r="P2041">
        <v>0</v>
      </c>
      <c r="Q2041">
        <v>0</v>
      </c>
      <c r="R2041">
        <v>1</v>
      </c>
      <c r="S2041">
        <v>10</v>
      </c>
      <c r="T2041">
        <v>0</v>
      </c>
      <c r="U2041">
        <v>38</v>
      </c>
      <c r="V2041">
        <v>0</v>
      </c>
      <c r="W2041">
        <v>0</v>
      </c>
      <c r="X2041">
        <v>1</v>
      </c>
      <c r="Y2041" t="s">
        <v>31</v>
      </c>
      <c r="Z2041">
        <v>55</v>
      </c>
      <c r="AA2041">
        <v>0</v>
      </c>
    </row>
    <row r="2042" spans="1:27" x14ac:dyDescent="0.2">
      <c r="A2042" t="s">
        <v>2810</v>
      </c>
      <c r="B2042">
        <v>2020</v>
      </c>
      <c r="C2042" s="2" t="s">
        <v>2811</v>
      </c>
      <c r="D2042" t="s">
        <v>2812</v>
      </c>
      <c r="E2042" t="s">
        <v>29</v>
      </c>
      <c r="F2042" t="s">
        <v>30</v>
      </c>
      <c r="G2042">
        <v>1</v>
      </c>
      <c r="H2042">
        <v>0</v>
      </c>
      <c r="I2042">
        <v>2</v>
      </c>
      <c r="J2042">
        <v>0</v>
      </c>
      <c r="K2042">
        <v>13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 t="s">
        <v>31</v>
      </c>
      <c r="Z2042">
        <v>55</v>
      </c>
      <c r="AA2042">
        <v>0</v>
      </c>
    </row>
    <row r="2043" spans="1:27" x14ac:dyDescent="0.2">
      <c r="A2043" t="s">
        <v>1127</v>
      </c>
      <c r="B2043">
        <v>2020</v>
      </c>
      <c r="C2043" t="s">
        <v>1267</v>
      </c>
      <c r="D2043" t="s">
        <v>1268</v>
      </c>
      <c r="E2043" t="s">
        <v>29</v>
      </c>
      <c r="F2043" t="s">
        <v>30</v>
      </c>
      <c r="G2043">
        <v>0</v>
      </c>
      <c r="H2043">
        <v>0</v>
      </c>
      <c r="I2043">
        <v>1</v>
      </c>
      <c r="J2043">
        <v>0</v>
      </c>
      <c r="K2043">
        <v>0</v>
      </c>
      <c r="L2043">
        <v>1</v>
      </c>
      <c r="M2043">
        <v>0</v>
      </c>
      <c r="N2043">
        <v>0</v>
      </c>
      <c r="O2043">
        <v>1</v>
      </c>
      <c r="P2043">
        <v>0</v>
      </c>
      <c r="Q2043">
        <v>1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 t="s">
        <v>31</v>
      </c>
      <c r="AA2043">
        <v>0</v>
      </c>
    </row>
    <row r="2044" spans="1:27" x14ac:dyDescent="0.2">
      <c r="A2044" t="s">
        <v>1316</v>
      </c>
      <c r="B2044">
        <v>2018</v>
      </c>
      <c r="C2044">
        <v>58086114</v>
      </c>
      <c r="D2044" t="s">
        <v>2813</v>
      </c>
      <c r="E2044" t="s">
        <v>29</v>
      </c>
      <c r="F2044" t="s">
        <v>30</v>
      </c>
      <c r="G2044">
        <v>22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 t="s">
        <v>31</v>
      </c>
      <c r="AA2044">
        <v>0</v>
      </c>
    </row>
    <row r="2045" spans="1:27" x14ac:dyDescent="0.2">
      <c r="A2045" t="s">
        <v>43</v>
      </c>
      <c r="B2045">
        <v>2018</v>
      </c>
      <c r="C2045">
        <v>5531009004</v>
      </c>
      <c r="D2045" t="s">
        <v>2814</v>
      </c>
      <c r="E2045" t="s">
        <v>29</v>
      </c>
      <c r="F2045" t="s">
        <v>30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22</v>
      </c>
      <c r="T2045">
        <v>0</v>
      </c>
      <c r="U2045">
        <v>0</v>
      </c>
      <c r="V2045">
        <v>0</v>
      </c>
      <c r="W2045">
        <v>0</v>
      </c>
      <c r="X2045">
        <v>0</v>
      </c>
      <c r="Y2045" t="s">
        <v>31</v>
      </c>
      <c r="Z2045">
        <v>1000</v>
      </c>
      <c r="AA2045">
        <v>0</v>
      </c>
    </row>
    <row r="2046" spans="1:27" x14ac:dyDescent="0.2">
      <c r="A2046" t="s">
        <v>533</v>
      </c>
      <c r="B2046">
        <v>2020</v>
      </c>
      <c r="C2046" t="s">
        <v>2815</v>
      </c>
      <c r="D2046" t="s">
        <v>2816</v>
      </c>
      <c r="E2046" t="s">
        <v>29</v>
      </c>
      <c r="F2046" t="s">
        <v>41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1</v>
      </c>
      <c r="N2046">
        <v>0</v>
      </c>
      <c r="O2046">
        <v>1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 t="s">
        <v>31</v>
      </c>
      <c r="Z2046">
        <v>50</v>
      </c>
      <c r="AA2046">
        <v>0</v>
      </c>
    </row>
    <row r="2047" spans="1:27" x14ac:dyDescent="0.2">
      <c r="A2047" t="s">
        <v>38</v>
      </c>
      <c r="B2047">
        <v>2019</v>
      </c>
      <c r="C2047" s="3">
        <v>28251</v>
      </c>
      <c r="D2047" t="s">
        <v>2817</v>
      </c>
      <c r="E2047" t="s">
        <v>29</v>
      </c>
      <c r="F2047" t="s">
        <v>30</v>
      </c>
      <c r="G2047">
        <v>7</v>
      </c>
      <c r="H2047">
        <v>0</v>
      </c>
      <c r="I2047">
        <v>53</v>
      </c>
      <c r="J2047">
        <v>0</v>
      </c>
      <c r="K2047">
        <v>0</v>
      </c>
      <c r="L2047">
        <v>0</v>
      </c>
      <c r="M2047">
        <v>7</v>
      </c>
      <c r="N2047">
        <v>0</v>
      </c>
      <c r="O2047">
        <v>53</v>
      </c>
      <c r="P2047">
        <v>0</v>
      </c>
      <c r="Q2047">
        <v>0</v>
      </c>
      <c r="R2047">
        <v>0</v>
      </c>
      <c r="S2047">
        <v>7</v>
      </c>
      <c r="T2047">
        <v>0</v>
      </c>
      <c r="U2047">
        <v>53</v>
      </c>
      <c r="V2047">
        <v>0</v>
      </c>
      <c r="W2047">
        <v>0</v>
      </c>
      <c r="X2047">
        <v>0</v>
      </c>
      <c r="Y2047" t="s">
        <v>31</v>
      </c>
      <c r="Z2047">
        <v>55</v>
      </c>
      <c r="AA2047">
        <v>0</v>
      </c>
    </row>
    <row r="2048" spans="1:27" x14ac:dyDescent="0.2">
      <c r="A2048" t="s">
        <v>1045</v>
      </c>
      <c r="B2048">
        <v>2019</v>
      </c>
      <c r="C2048" t="s">
        <v>2818</v>
      </c>
      <c r="D2048" t="s">
        <v>2819</v>
      </c>
      <c r="E2048" t="s">
        <v>29</v>
      </c>
      <c r="F2048" t="s">
        <v>30</v>
      </c>
      <c r="G2048">
        <v>19</v>
      </c>
      <c r="H2048">
        <v>0</v>
      </c>
      <c r="I2048">
        <v>25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 t="s">
        <v>31</v>
      </c>
      <c r="Z2048">
        <v>99</v>
      </c>
      <c r="AA2048">
        <v>0</v>
      </c>
    </row>
    <row r="2049" spans="1:27" x14ac:dyDescent="0.2">
      <c r="A2049" t="s">
        <v>533</v>
      </c>
      <c r="B2049">
        <v>2020</v>
      </c>
      <c r="C2049" t="s">
        <v>2820</v>
      </c>
      <c r="D2049" t="s">
        <v>2821</v>
      </c>
      <c r="E2049" t="s">
        <v>29</v>
      </c>
      <c r="F2049" t="s">
        <v>41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1</v>
      </c>
      <c r="N2049">
        <v>0</v>
      </c>
      <c r="O2049">
        <v>1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 t="s">
        <v>31</v>
      </c>
      <c r="Z2049">
        <v>50</v>
      </c>
      <c r="AA2049">
        <v>0</v>
      </c>
    </row>
    <row r="2050" spans="1:27" x14ac:dyDescent="0.2">
      <c r="A2050" t="s">
        <v>533</v>
      </c>
      <c r="B2050">
        <v>2020</v>
      </c>
      <c r="C2050" t="s">
        <v>2820</v>
      </c>
      <c r="D2050" t="s">
        <v>2822</v>
      </c>
      <c r="E2050" t="s">
        <v>29</v>
      </c>
      <c r="F2050" t="s">
        <v>41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1</v>
      </c>
      <c r="N2050">
        <v>0</v>
      </c>
      <c r="O2050">
        <v>1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 t="s">
        <v>31</v>
      </c>
      <c r="AA2050">
        <v>0</v>
      </c>
    </row>
    <row r="2051" spans="1:27" x14ac:dyDescent="0.2">
      <c r="A2051" t="s">
        <v>584</v>
      </c>
      <c r="B2051">
        <v>2021</v>
      </c>
      <c r="C2051">
        <v>1119306</v>
      </c>
      <c r="D2051" t="s">
        <v>675</v>
      </c>
      <c r="E2051" t="s">
        <v>29</v>
      </c>
      <c r="F2051" t="s">
        <v>30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1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 t="s">
        <v>51</v>
      </c>
      <c r="AA2051">
        <v>0</v>
      </c>
    </row>
    <row r="2052" spans="1:27" x14ac:dyDescent="0.2">
      <c r="A2052" t="s">
        <v>1558</v>
      </c>
      <c r="B2052">
        <v>2019</v>
      </c>
      <c r="C2052" t="s">
        <v>2823</v>
      </c>
      <c r="D2052" t="s">
        <v>2824</v>
      </c>
      <c r="E2052" t="s">
        <v>29</v>
      </c>
      <c r="F2052" t="s">
        <v>41</v>
      </c>
      <c r="G2052">
        <v>5</v>
      </c>
      <c r="H2052">
        <v>0</v>
      </c>
      <c r="I2052">
        <v>4</v>
      </c>
      <c r="J2052">
        <v>0</v>
      </c>
      <c r="K2052">
        <v>0</v>
      </c>
      <c r="L2052">
        <v>21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 t="s">
        <v>51</v>
      </c>
      <c r="Z2052">
        <v>45</v>
      </c>
      <c r="AA2052">
        <v>0</v>
      </c>
    </row>
    <row r="2053" spans="1:27" x14ac:dyDescent="0.2">
      <c r="A2053" t="s">
        <v>1316</v>
      </c>
      <c r="B2053">
        <v>2018</v>
      </c>
      <c r="C2053">
        <v>58086116</v>
      </c>
      <c r="D2053" t="s">
        <v>2813</v>
      </c>
      <c r="E2053" t="s">
        <v>29</v>
      </c>
      <c r="F2053" t="s">
        <v>30</v>
      </c>
      <c r="G2053">
        <v>117</v>
      </c>
      <c r="H2053">
        <v>0</v>
      </c>
      <c r="I2053">
        <v>0</v>
      </c>
      <c r="J2053">
        <v>0</v>
      </c>
      <c r="K2053">
        <v>48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 t="s">
        <v>31</v>
      </c>
      <c r="AA2053">
        <v>0</v>
      </c>
    </row>
    <row r="2054" spans="1:27" x14ac:dyDescent="0.2">
      <c r="A2054" t="s">
        <v>547</v>
      </c>
      <c r="B2054">
        <v>2019</v>
      </c>
      <c r="C2054">
        <v>5163025009</v>
      </c>
      <c r="D2054" t="s">
        <v>2825</v>
      </c>
      <c r="E2054" t="s">
        <v>29</v>
      </c>
      <c r="F2054" t="s">
        <v>30</v>
      </c>
      <c r="G2054">
        <v>15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 t="s">
        <v>31</v>
      </c>
      <c r="Z2054">
        <v>55</v>
      </c>
      <c r="AA2054">
        <v>0</v>
      </c>
    </row>
    <row r="2055" spans="1:27" x14ac:dyDescent="0.2">
      <c r="A2055" t="s">
        <v>547</v>
      </c>
      <c r="B2055">
        <v>2019</v>
      </c>
      <c r="C2055">
        <v>5080001005</v>
      </c>
      <c r="D2055" t="s">
        <v>2826</v>
      </c>
      <c r="E2055" t="s">
        <v>29</v>
      </c>
      <c r="F2055" t="s">
        <v>30</v>
      </c>
      <c r="G2055">
        <v>8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 t="s">
        <v>31</v>
      </c>
      <c r="Z2055">
        <v>55</v>
      </c>
      <c r="AA2055">
        <v>0</v>
      </c>
    </row>
    <row r="2056" spans="1:27" x14ac:dyDescent="0.2">
      <c r="A2056" t="s">
        <v>547</v>
      </c>
      <c r="B2056">
        <v>2019</v>
      </c>
      <c r="C2056">
        <v>2347023003</v>
      </c>
      <c r="D2056" t="s">
        <v>2827</v>
      </c>
      <c r="E2056" t="s">
        <v>29</v>
      </c>
      <c r="F2056" t="s">
        <v>30</v>
      </c>
      <c r="G2056">
        <v>1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 t="s">
        <v>31</v>
      </c>
      <c r="Z2056">
        <v>55</v>
      </c>
      <c r="AA2056">
        <v>0</v>
      </c>
    </row>
    <row r="2057" spans="1:27" x14ac:dyDescent="0.2">
      <c r="A2057" t="s">
        <v>547</v>
      </c>
      <c r="B2057">
        <v>2019</v>
      </c>
      <c r="C2057">
        <v>2284001016</v>
      </c>
      <c r="D2057" t="s">
        <v>2828</v>
      </c>
      <c r="E2057" t="s">
        <v>29</v>
      </c>
      <c r="F2057" t="s">
        <v>30</v>
      </c>
      <c r="G2057">
        <v>4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 t="s">
        <v>31</v>
      </c>
      <c r="Z2057">
        <v>55</v>
      </c>
      <c r="AA2057">
        <v>0</v>
      </c>
    </row>
    <row r="2058" spans="1:27" x14ac:dyDescent="0.2">
      <c r="A2058" t="s">
        <v>547</v>
      </c>
      <c r="B2058">
        <v>2019</v>
      </c>
      <c r="C2058">
        <v>4263008062</v>
      </c>
      <c r="D2058" t="s">
        <v>2829</v>
      </c>
      <c r="E2058" t="s">
        <v>29</v>
      </c>
      <c r="F2058" t="s">
        <v>30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16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 t="s">
        <v>31</v>
      </c>
      <c r="Z2058">
        <v>55</v>
      </c>
      <c r="AA2058">
        <v>0</v>
      </c>
    </row>
    <row r="2059" spans="1:27" x14ac:dyDescent="0.2">
      <c r="A2059" t="s">
        <v>547</v>
      </c>
      <c r="B2059">
        <v>2019</v>
      </c>
      <c r="C2059">
        <v>4314014002</v>
      </c>
      <c r="D2059" t="s">
        <v>2830</v>
      </c>
      <c r="E2059" t="s">
        <v>29</v>
      </c>
      <c r="F2059" t="s">
        <v>30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4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 t="s">
        <v>31</v>
      </c>
      <c r="Z2059">
        <v>55</v>
      </c>
      <c r="AA2059">
        <v>0</v>
      </c>
    </row>
    <row r="2060" spans="1:27" x14ac:dyDescent="0.2">
      <c r="A2060" t="s">
        <v>1558</v>
      </c>
      <c r="B2060">
        <v>2019</v>
      </c>
      <c r="C2060" t="s">
        <v>2831</v>
      </c>
      <c r="D2060" t="s">
        <v>2832</v>
      </c>
      <c r="E2060" t="s">
        <v>29</v>
      </c>
      <c r="F2060" t="s">
        <v>41</v>
      </c>
      <c r="G2060">
        <v>9</v>
      </c>
      <c r="H2060">
        <v>0</v>
      </c>
      <c r="I2060">
        <v>7</v>
      </c>
      <c r="J2060">
        <v>0</v>
      </c>
      <c r="K2060">
        <v>0</v>
      </c>
      <c r="L2060">
        <v>3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 t="s">
        <v>51</v>
      </c>
      <c r="Z2060">
        <v>45</v>
      </c>
      <c r="AA2060">
        <v>0</v>
      </c>
    </row>
    <row r="2061" spans="1:27" x14ac:dyDescent="0.2">
      <c r="A2061" t="s">
        <v>1311</v>
      </c>
      <c r="B2061">
        <v>2020</v>
      </c>
      <c r="C2061" t="s">
        <v>2833</v>
      </c>
      <c r="D2061" t="s">
        <v>2834</v>
      </c>
      <c r="E2061" t="s">
        <v>29</v>
      </c>
      <c r="F2061" t="s">
        <v>30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3</v>
      </c>
      <c r="V2061">
        <v>0</v>
      </c>
      <c r="W2061">
        <v>5</v>
      </c>
      <c r="X2061">
        <v>0</v>
      </c>
      <c r="Y2061" t="s">
        <v>51</v>
      </c>
      <c r="Z2061">
        <v>55</v>
      </c>
      <c r="AA2061">
        <v>0</v>
      </c>
    </row>
    <row r="2062" spans="1:27" x14ac:dyDescent="0.2">
      <c r="A2062" t="s">
        <v>1316</v>
      </c>
      <c r="B2062">
        <v>2019</v>
      </c>
      <c r="C2062">
        <v>58049129</v>
      </c>
      <c r="D2062" t="s">
        <v>2835</v>
      </c>
      <c r="E2062" t="s">
        <v>29</v>
      </c>
      <c r="F2062" t="s">
        <v>30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58</v>
      </c>
      <c r="N2062">
        <v>0</v>
      </c>
      <c r="O2062">
        <v>11</v>
      </c>
      <c r="P2062">
        <v>0</v>
      </c>
      <c r="Q2062">
        <v>1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 t="s">
        <v>31</v>
      </c>
      <c r="Z2062">
        <v>1000</v>
      </c>
      <c r="AA2062">
        <v>0</v>
      </c>
    </row>
    <row r="2063" spans="1:27" x14ac:dyDescent="0.2">
      <c r="A2063" t="s">
        <v>547</v>
      </c>
      <c r="B2063">
        <v>2019</v>
      </c>
      <c r="C2063">
        <v>2332021018</v>
      </c>
      <c r="D2063" t="s">
        <v>2836</v>
      </c>
      <c r="E2063" t="s">
        <v>29</v>
      </c>
      <c r="F2063" t="s">
        <v>30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2</v>
      </c>
      <c r="N2063">
        <v>0</v>
      </c>
      <c r="O2063">
        <v>1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 t="s">
        <v>31</v>
      </c>
      <c r="Z2063">
        <v>55</v>
      </c>
      <c r="AA2063">
        <v>0</v>
      </c>
    </row>
    <row r="2064" spans="1:27" x14ac:dyDescent="0.2">
      <c r="A2064" t="s">
        <v>1316</v>
      </c>
      <c r="B2064">
        <v>2018</v>
      </c>
      <c r="C2064">
        <v>58086122</v>
      </c>
      <c r="D2064" t="s">
        <v>2837</v>
      </c>
      <c r="E2064" t="s">
        <v>29</v>
      </c>
      <c r="F2064" t="s">
        <v>30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98</v>
      </c>
      <c r="T2064">
        <v>0</v>
      </c>
      <c r="U2064">
        <v>0</v>
      </c>
      <c r="V2064">
        <v>0</v>
      </c>
      <c r="W2064">
        <v>58</v>
      </c>
      <c r="X2064">
        <v>0</v>
      </c>
      <c r="Y2064" t="s">
        <v>31</v>
      </c>
      <c r="Z2064" s="4">
        <v>1000</v>
      </c>
      <c r="AA2064">
        <v>0</v>
      </c>
    </row>
    <row r="2065" spans="1:27" x14ac:dyDescent="0.2">
      <c r="A2065" t="s">
        <v>547</v>
      </c>
      <c r="B2065">
        <v>2020</v>
      </c>
      <c r="C2065">
        <v>6048021020</v>
      </c>
      <c r="D2065" t="s">
        <v>2838</v>
      </c>
      <c r="E2065" t="s">
        <v>29</v>
      </c>
      <c r="F2065" t="s">
        <v>30</v>
      </c>
      <c r="G2065">
        <v>24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24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 t="s">
        <v>31</v>
      </c>
      <c r="Z2065">
        <v>55</v>
      </c>
      <c r="AA2065">
        <v>0</v>
      </c>
    </row>
    <row r="2066" spans="1:27" x14ac:dyDescent="0.2">
      <c r="A2066" t="s">
        <v>547</v>
      </c>
      <c r="B2066">
        <v>2020</v>
      </c>
      <c r="C2066">
        <v>5092027007</v>
      </c>
      <c r="D2066" t="s">
        <v>2839</v>
      </c>
      <c r="E2066" t="s">
        <v>29</v>
      </c>
      <c r="F2066" t="s">
        <v>30</v>
      </c>
      <c r="G2066">
        <v>4</v>
      </c>
      <c r="H2066">
        <v>0</v>
      </c>
      <c r="I2066">
        <v>1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 t="s">
        <v>31</v>
      </c>
      <c r="Z2066">
        <v>55</v>
      </c>
      <c r="AA2066">
        <v>0</v>
      </c>
    </row>
    <row r="2067" spans="1:27" x14ac:dyDescent="0.2">
      <c r="A2067" t="s">
        <v>547</v>
      </c>
      <c r="B2067">
        <v>2020</v>
      </c>
      <c r="C2067">
        <v>4327006008</v>
      </c>
      <c r="D2067" t="s">
        <v>2840</v>
      </c>
      <c r="E2067" t="s">
        <v>29</v>
      </c>
      <c r="F2067" t="s">
        <v>30</v>
      </c>
      <c r="G2067">
        <v>5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 t="s">
        <v>31</v>
      </c>
      <c r="Z2067">
        <v>55</v>
      </c>
      <c r="AA2067">
        <v>0</v>
      </c>
    </row>
    <row r="2068" spans="1:27" x14ac:dyDescent="0.2">
      <c r="A2068" t="s">
        <v>547</v>
      </c>
      <c r="B2068">
        <v>2020</v>
      </c>
      <c r="C2068">
        <v>5101030030</v>
      </c>
      <c r="D2068" t="s">
        <v>2841</v>
      </c>
      <c r="E2068" t="s">
        <v>29</v>
      </c>
      <c r="F2068" t="s">
        <v>30</v>
      </c>
      <c r="G2068">
        <v>56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 t="s">
        <v>31</v>
      </c>
      <c r="Z2068">
        <v>55</v>
      </c>
      <c r="AA2068">
        <v>0</v>
      </c>
    </row>
    <row r="2069" spans="1:27" x14ac:dyDescent="0.2">
      <c r="A2069" t="s">
        <v>547</v>
      </c>
      <c r="B2069">
        <v>2020</v>
      </c>
      <c r="C2069">
        <v>5442024045</v>
      </c>
      <c r="D2069" t="s">
        <v>2842</v>
      </c>
      <c r="E2069" t="s">
        <v>29</v>
      </c>
      <c r="F2069" t="s">
        <v>30</v>
      </c>
      <c r="G2069">
        <v>5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 t="s">
        <v>31</v>
      </c>
      <c r="Z2069">
        <v>55</v>
      </c>
      <c r="AA2069">
        <v>0</v>
      </c>
    </row>
    <row r="2070" spans="1:27" x14ac:dyDescent="0.2">
      <c r="A2070" t="s">
        <v>547</v>
      </c>
      <c r="B2070">
        <v>2020</v>
      </c>
      <c r="C2070">
        <v>4234021011</v>
      </c>
      <c r="D2070" t="s">
        <v>2843</v>
      </c>
      <c r="E2070" t="s">
        <v>29</v>
      </c>
      <c r="F2070" t="s">
        <v>30</v>
      </c>
      <c r="G2070">
        <v>5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 t="s">
        <v>31</v>
      </c>
      <c r="Z2070">
        <v>55</v>
      </c>
      <c r="AA2070">
        <v>0</v>
      </c>
    </row>
    <row r="2071" spans="1:27" x14ac:dyDescent="0.2">
      <c r="A2071" t="s">
        <v>547</v>
      </c>
      <c r="B2071">
        <v>2020</v>
      </c>
      <c r="C2071">
        <v>4415018018</v>
      </c>
      <c r="D2071" t="s">
        <v>2844</v>
      </c>
      <c r="E2071" t="s">
        <v>29</v>
      </c>
      <c r="F2071" t="s">
        <v>30</v>
      </c>
      <c r="G2071">
        <v>4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 t="s">
        <v>31</v>
      </c>
      <c r="Z2071">
        <v>55</v>
      </c>
      <c r="AA2071">
        <v>0</v>
      </c>
    </row>
    <row r="2072" spans="1:27" x14ac:dyDescent="0.2">
      <c r="A2072" t="s">
        <v>547</v>
      </c>
      <c r="B2072">
        <v>2019</v>
      </c>
      <c r="C2072">
        <v>2350012031</v>
      </c>
      <c r="D2072" t="s">
        <v>2845</v>
      </c>
      <c r="E2072" t="s">
        <v>29</v>
      </c>
      <c r="F2072" t="s">
        <v>30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11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 t="s">
        <v>31</v>
      </c>
      <c r="Z2072">
        <v>55</v>
      </c>
      <c r="AA2072">
        <v>0</v>
      </c>
    </row>
    <row r="2073" spans="1:27" x14ac:dyDescent="0.2">
      <c r="A2073" t="s">
        <v>547</v>
      </c>
      <c r="B2073">
        <v>2019</v>
      </c>
      <c r="C2073">
        <v>5471015005</v>
      </c>
      <c r="D2073" t="s">
        <v>2846</v>
      </c>
      <c r="E2073" t="s">
        <v>29</v>
      </c>
      <c r="F2073" t="s">
        <v>30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2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 t="s">
        <v>31</v>
      </c>
      <c r="Z2073">
        <v>55</v>
      </c>
      <c r="AA2073">
        <v>0</v>
      </c>
    </row>
    <row r="2074" spans="1:27" x14ac:dyDescent="0.2">
      <c r="A2074" t="s">
        <v>1311</v>
      </c>
      <c r="B2074">
        <v>2020</v>
      </c>
      <c r="C2074" t="s">
        <v>2847</v>
      </c>
      <c r="D2074" t="s">
        <v>2848</v>
      </c>
      <c r="E2074" t="s">
        <v>29</v>
      </c>
      <c r="F2074" t="s">
        <v>30</v>
      </c>
      <c r="G2074">
        <v>51</v>
      </c>
      <c r="H2074">
        <v>0</v>
      </c>
      <c r="I2074">
        <v>38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 t="s">
        <v>51</v>
      </c>
      <c r="Z2074">
        <v>75</v>
      </c>
      <c r="AA2074">
        <v>0</v>
      </c>
    </row>
    <row r="2075" spans="1:27" x14ac:dyDescent="0.2">
      <c r="A2075" t="s">
        <v>1311</v>
      </c>
      <c r="B2075">
        <v>2020</v>
      </c>
      <c r="C2075" t="s">
        <v>2849</v>
      </c>
      <c r="D2075" t="s">
        <v>2850</v>
      </c>
      <c r="E2075" t="s">
        <v>29</v>
      </c>
      <c r="F2075" t="s">
        <v>30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3</v>
      </c>
      <c r="V2075">
        <v>0</v>
      </c>
      <c r="W2075">
        <v>4</v>
      </c>
      <c r="X2075">
        <v>0</v>
      </c>
      <c r="Y2075" t="s">
        <v>51</v>
      </c>
      <c r="Z2075">
        <v>55</v>
      </c>
      <c r="AA2075">
        <v>0</v>
      </c>
    </row>
    <row r="2076" spans="1:27" x14ac:dyDescent="0.2">
      <c r="A2076" t="s">
        <v>711</v>
      </c>
      <c r="B2076">
        <v>2018</v>
      </c>
      <c r="C2076" t="s">
        <v>2851</v>
      </c>
      <c r="D2076" t="s">
        <v>2852</v>
      </c>
      <c r="E2076" t="s">
        <v>29</v>
      </c>
      <c r="F2076" t="s">
        <v>30</v>
      </c>
      <c r="G2076">
        <v>0</v>
      </c>
      <c r="H2076">
        <v>0</v>
      </c>
      <c r="I2076">
        <v>0</v>
      </c>
      <c r="J2076">
        <v>0</v>
      </c>
      <c r="K2076">
        <v>22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 t="s">
        <v>51</v>
      </c>
      <c r="Z2076">
        <v>55</v>
      </c>
      <c r="AA2076">
        <v>0</v>
      </c>
    </row>
    <row r="2077" spans="1:27" x14ac:dyDescent="0.2">
      <c r="A2077" t="s">
        <v>75</v>
      </c>
      <c r="B2077">
        <v>2018</v>
      </c>
      <c r="C2077">
        <v>4444910400</v>
      </c>
      <c r="D2077" t="s">
        <v>2853</v>
      </c>
      <c r="E2077" t="s">
        <v>29</v>
      </c>
      <c r="F2077" t="s">
        <v>30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1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 t="s">
        <v>31</v>
      </c>
      <c r="AA2077">
        <v>0</v>
      </c>
    </row>
    <row r="2078" spans="1:27" x14ac:dyDescent="0.2">
      <c r="A2078" t="s">
        <v>75</v>
      </c>
      <c r="B2078">
        <v>2018</v>
      </c>
      <c r="C2078">
        <v>5330722600</v>
      </c>
      <c r="D2078" t="s">
        <v>2854</v>
      </c>
      <c r="E2078" t="s">
        <v>29</v>
      </c>
      <c r="F2078" t="s">
        <v>30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1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 t="s">
        <v>31</v>
      </c>
      <c r="AA2078">
        <v>0</v>
      </c>
    </row>
    <row r="2079" spans="1:27" x14ac:dyDescent="0.2">
      <c r="A2079" t="s">
        <v>75</v>
      </c>
      <c r="B2079">
        <v>2018</v>
      </c>
      <c r="C2079">
        <v>5333531000</v>
      </c>
      <c r="D2079" t="s">
        <v>2855</v>
      </c>
      <c r="E2079" t="s">
        <v>29</v>
      </c>
      <c r="F2079" t="s">
        <v>30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5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 t="s">
        <v>31</v>
      </c>
      <c r="AA2079">
        <v>0</v>
      </c>
    </row>
    <row r="2080" spans="1:27" x14ac:dyDescent="0.2">
      <c r="A2080" t="s">
        <v>75</v>
      </c>
      <c r="B2080">
        <v>2018</v>
      </c>
      <c r="C2080">
        <v>4462330700</v>
      </c>
      <c r="D2080" t="s">
        <v>2856</v>
      </c>
      <c r="E2080" t="s">
        <v>29</v>
      </c>
      <c r="F2080" t="s">
        <v>30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3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 t="s">
        <v>31</v>
      </c>
      <c r="AA2080">
        <v>0</v>
      </c>
    </row>
    <row r="2081" spans="1:27" x14ac:dyDescent="0.2">
      <c r="A2081" t="s">
        <v>75</v>
      </c>
      <c r="B2081">
        <v>2018</v>
      </c>
      <c r="C2081">
        <v>3512702100</v>
      </c>
      <c r="D2081" t="s">
        <v>2857</v>
      </c>
      <c r="E2081" t="s">
        <v>29</v>
      </c>
      <c r="F2081" t="s">
        <v>30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1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 t="s">
        <v>31</v>
      </c>
      <c r="AA2081">
        <v>0</v>
      </c>
    </row>
    <row r="2082" spans="1:27" x14ac:dyDescent="0.2">
      <c r="A2082" t="s">
        <v>75</v>
      </c>
      <c r="B2082">
        <v>2018</v>
      </c>
      <c r="C2082">
        <v>4320110300</v>
      </c>
      <c r="D2082" t="s">
        <v>2858</v>
      </c>
      <c r="E2082" t="s">
        <v>29</v>
      </c>
      <c r="F2082" t="s">
        <v>30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8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 t="s">
        <v>51</v>
      </c>
      <c r="AA2082">
        <v>0</v>
      </c>
    </row>
    <row r="2083" spans="1:27" x14ac:dyDescent="0.2">
      <c r="A2083" t="s">
        <v>894</v>
      </c>
      <c r="B2083">
        <v>2018</v>
      </c>
      <c r="C2083" s="2" t="s">
        <v>2859</v>
      </c>
      <c r="D2083" t="s">
        <v>1737</v>
      </c>
      <c r="E2083" t="s">
        <v>29</v>
      </c>
      <c r="F2083" t="s">
        <v>41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1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 t="s">
        <v>51</v>
      </c>
      <c r="AA2083">
        <v>0</v>
      </c>
    </row>
    <row r="2084" spans="1:27" x14ac:dyDescent="0.2">
      <c r="A2084" t="s">
        <v>904</v>
      </c>
      <c r="B2084">
        <v>2021</v>
      </c>
      <c r="C2084" t="s">
        <v>2860</v>
      </c>
      <c r="D2084" t="s">
        <v>2861</v>
      </c>
      <c r="E2084" t="s">
        <v>29</v>
      </c>
      <c r="F2084" t="s">
        <v>30</v>
      </c>
      <c r="G2084">
        <v>0</v>
      </c>
      <c r="H2084">
        <v>0</v>
      </c>
      <c r="I2084">
        <v>76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 t="s">
        <v>31</v>
      </c>
      <c r="Z2084">
        <v>55</v>
      </c>
      <c r="AA2084">
        <v>65</v>
      </c>
    </row>
    <row r="2085" spans="1:27" x14ac:dyDescent="0.2">
      <c r="A2085" t="s">
        <v>2862</v>
      </c>
      <c r="B2085">
        <v>2023</v>
      </c>
      <c r="C2085">
        <v>9807035</v>
      </c>
      <c r="D2085" t="s">
        <v>2863</v>
      </c>
      <c r="E2085" t="s">
        <v>29</v>
      </c>
      <c r="F2085" t="s">
        <v>30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118</v>
      </c>
      <c r="V2085">
        <v>0</v>
      </c>
      <c r="W2085">
        <v>0</v>
      </c>
      <c r="X2085">
        <v>0</v>
      </c>
      <c r="Y2085" t="s">
        <v>31</v>
      </c>
      <c r="Z2085">
        <v>55</v>
      </c>
      <c r="AA2085">
        <v>35</v>
      </c>
    </row>
    <row r="2086" spans="1:27" x14ac:dyDescent="0.2">
      <c r="A2086" t="s">
        <v>587</v>
      </c>
      <c r="B2086">
        <v>2020</v>
      </c>
      <c r="C2086" t="s">
        <v>588</v>
      </c>
      <c r="D2086" t="s">
        <v>1566</v>
      </c>
      <c r="E2086" t="s">
        <v>29</v>
      </c>
      <c r="F2086" t="s">
        <v>41</v>
      </c>
      <c r="G2086">
        <v>2</v>
      </c>
      <c r="H2086">
        <v>0</v>
      </c>
      <c r="I2086">
        <v>0</v>
      </c>
      <c r="J2086">
        <v>0</v>
      </c>
      <c r="K2086">
        <v>2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 t="s">
        <v>31</v>
      </c>
      <c r="Z2086">
        <v>45</v>
      </c>
      <c r="AA2086">
        <v>0</v>
      </c>
    </row>
    <row r="2087" spans="1:27" ht="85" x14ac:dyDescent="0.2">
      <c r="A2087" t="s">
        <v>48</v>
      </c>
      <c r="B2087">
        <v>2023</v>
      </c>
      <c r="C2087" t="s">
        <v>2864</v>
      </c>
      <c r="D2087" s="1" t="s">
        <v>2865</v>
      </c>
      <c r="E2087" t="s">
        <v>29</v>
      </c>
      <c r="F2087" t="s">
        <v>30</v>
      </c>
      <c r="G2087">
        <v>0</v>
      </c>
      <c r="H2087">
        <v>0</v>
      </c>
      <c r="I2087">
        <v>1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 t="s">
        <v>31</v>
      </c>
      <c r="AA2087">
        <v>50</v>
      </c>
    </row>
    <row r="2088" spans="1:27" x14ac:dyDescent="0.2">
      <c r="A2088" t="s">
        <v>1206</v>
      </c>
      <c r="B2088">
        <v>2023</v>
      </c>
      <c r="C2088">
        <v>6670113075</v>
      </c>
      <c r="D2088" t="s">
        <v>2866</v>
      </c>
      <c r="E2088" t="s">
        <v>29</v>
      </c>
      <c r="F2088" t="s">
        <v>30</v>
      </c>
      <c r="G2088">
        <v>30</v>
      </c>
      <c r="H2088">
        <v>0</v>
      </c>
      <c r="I2088">
        <v>0</v>
      </c>
      <c r="J2088">
        <v>0</v>
      </c>
      <c r="K2088">
        <v>3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 t="s">
        <v>31</v>
      </c>
      <c r="Z2088">
        <v>55</v>
      </c>
      <c r="AA2088">
        <v>35</v>
      </c>
    </row>
    <row r="2089" spans="1:27" x14ac:dyDescent="0.2">
      <c r="A2089" t="s">
        <v>1038</v>
      </c>
      <c r="B2089">
        <v>2020</v>
      </c>
      <c r="C2089" t="s">
        <v>1202</v>
      </c>
      <c r="D2089" t="s">
        <v>1203</v>
      </c>
      <c r="E2089" t="s">
        <v>29</v>
      </c>
      <c r="F2089" t="s">
        <v>30</v>
      </c>
      <c r="G2089">
        <v>6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 t="s">
        <v>31</v>
      </c>
      <c r="Z2089">
        <v>55</v>
      </c>
      <c r="AA2089">
        <v>0</v>
      </c>
    </row>
    <row r="2090" spans="1:27" x14ac:dyDescent="0.2">
      <c r="A2090" t="s">
        <v>2867</v>
      </c>
      <c r="B2090">
        <v>2018</v>
      </c>
      <c r="C2090" t="s">
        <v>2868</v>
      </c>
      <c r="D2090" t="s">
        <v>2869</v>
      </c>
      <c r="E2090" t="s">
        <v>29</v>
      </c>
      <c r="F2090" t="s">
        <v>30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16</v>
      </c>
      <c r="V2090">
        <v>0</v>
      </c>
      <c r="W2090">
        <v>0</v>
      </c>
      <c r="X2090">
        <v>0</v>
      </c>
      <c r="Y2090" t="s">
        <v>51</v>
      </c>
      <c r="AA2090">
        <v>0</v>
      </c>
    </row>
    <row r="2091" spans="1:27" x14ac:dyDescent="0.2">
      <c r="A2091" t="s">
        <v>890</v>
      </c>
      <c r="B2091">
        <v>2020</v>
      </c>
      <c r="C2091">
        <v>63271090</v>
      </c>
      <c r="D2091" t="s">
        <v>2870</v>
      </c>
      <c r="E2091" t="s">
        <v>29</v>
      </c>
      <c r="F2091" t="s">
        <v>41</v>
      </c>
      <c r="G2091">
        <v>0</v>
      </c>
      <c r="H2091">
        <v>0</v>
      </c>
      <c r="I2091">
        <v>3</v>
      </c>
      <c r="J2091">
        <v>0</v>
      </c>
      <c r="K2091">
        <v>3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 t="s">
        <v>51</v>
      </c>
      <c r="AA2091">
        <v>0</v>
      </c>
    </row>
    <row r="2092" spans="1:27" x14ac:dyDescent="0.2">
      <c r="A2092" t="s">
        <v>387</v>
      </c>
      <c r="B2092">
        <v>2021</v>
      </c>
      <c r="C2092" t="s">
        <v>2871</v>
      </c>
      <c r="D2092" t="s">
        <v>2872</v>
      </c>
      <c r="E2092" t="s">
        <v>29</v>
      </c>
      <c r="F2092" t="s">
        <v>41</v>
      </c>
      <c r="G2092">
        <v>15</v>
      </c>
      <c r="H2092">
        <v>0</v>
      </c>
      <c r="I2092">
        <v>5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 t="s">
        <v>31</v>
      </c>
      <c r="Z2092">
        <v>1000</v>
      </c>
      <c r="AA2092" s="2" t="s">
        <v>2873</v>
      </c>
    </row>
    <row r="2093" spans="1:27" x14ac:dyDescent="0.2">
      <c r="A2093" t="s">
        <v>547</v>
      </c>
      <c r="B2093">
        <v>2020</v>
      </c>
      <c r="C2093">
        <v>4230006232</v>
      </c>
      <c r="D2093" t="s">
        <v>2874</v>
      </c>
      <c r="E2093" t="s">
        <v>29</v>
      </c>
      <c r="F2093" t="s">
        <v>30</v>
      </c>
      <c r="G2093">
        <v>9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 t="s">
        <v>31</v>
      </c>
      <c r="Z2093">
        <v>55</v>
      </c>
      <c r="AA2093">
        <v>0</v>
      </c>
    </row>
    <row r="2094" spans="1:27" x14ac:dyDescent="0.2">
      <c r="A2094" t="s">
        <v>547</v>
      </c>
      <c r="B2094">
        <v>2020</v>
      </c>
      <c r="C2094">
        <v>4006020027</v>
      </c>
      <c r="D2094" t="s">
        <v>2875</v>
      </c>
      <c r="E2094" t="s">
        <v>29</v>
      </c>
      <c r="F2094" t="s">
        <v>30</v>
      </c>
      <c r="G2094">
        <v>15</v>
      </c>
      <c r="H2094">
        <v>0</v>
      </c>
      <c r="I2094">
        <v>48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 t="s">
        <v>31</v>
      </c>
      <c r="Z2094">
        <v>55</v>
      </c>
      <c r="AA2094">
        <v>0</v>
      </c>
    </row>
    <row r="2095" spans="1:27" x14ac:dyDescent="0.2">
      <c r="A2095" t="s">
        <v>547</v>
      </c>
      <c r="B2095">
        <v>2020</v>
      </c>
      <c r="C2095">
        <v>7455026051</v>
      </c>
      <c r="D2095" t="s">
        <v>2876</v>
      </c>
      <c r="E2095" t="s">
        <v>29</v>
      </c>
      <c r="F2095" t="s">
        <v>30</v>
      </c>
      <c r="G2095">
        <v>16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 t="s">
        <v>31</v>
      </c>
      <c r="Z2095">
        <v>55</v>
      </c>
      <c r="AA2095">
        <v>0</v>
      </c>
    </row>
    <row r="2096" spans="1:27" x14ac:dyDescent="0.2">
      <c r="A2096" t="s">
        <v>547</v>
      </c>
      <c r="B2096">
        <v>2020</v>
      </c>
      <c r="C2096">
        <v>5060027024</v>
      </c>
      <c r="D2096" t="s">
        <v>2877</v>
      </c>
      <c r="E2096" t="s">
        <v>29</v>
      </c>
      <c r="F2096" t="s">
        <v>30</v>
      </c>
      <c r="G2096">
        <v>0</v>
      </c>
      <c r="H2096">
        <v>0</v>
      </c>
      <c r="I2096">
        <v>31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 t="s">
        <v>31</v>
      </c>
      <c r="Z2096">
        <v>55</v>
      </c>
      <c r="AA2096">
        <v>0</v>
      </c>
    </row>
    <row r="2097" spans="1:27" x14ac:dyDescent="0.2">
      <c r="A2097" t="s">
        <v>547</v>
      </c>
      <c r="B2097">
        <v>2020</v>
      </c>
      <c r="C2097">
        <v>6053006926</v>
      </c>
      <c r="D2097" t="s">
        <v>2878</v>
      </c>
      <c r="E2097" t="s">
        <v>29</v>
      </c>
      <c r="F2097" t="s">
        <v>30</v>
      </c>
      <c r="G2097">
        <v>20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 t="s">
        <v>31</v>
      </c>
      <c r="Z2097">
        <v>55</v>
      </c>
      <c r="AA2097">
        <v>0</v>
      </c>
    </row>
    <row r="2098" spans="1:27" x14ac:dyDescent="0.2">
      <c r="A2098" t="s">
        <v>547</v>
      </c>
      <c r="B2098">
        <v>2020</v>
      </c>
      <c r="C2098">
        <v>5040012029</v>
      </c>
      <c r="D2098" t="s">
        <v>2879</v>
      </c>
      <c r="E2098" t="s">
        <v>29</v>
      </c>
      <c r="F2098" t="s">
        <v>30</v>
      </c>
      <c r="G2098">
        <v>11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 t="s">
        <v>31</v>
      </c>
      <c r="Z2098">
        <v>55</v>
      </c>
      <c r="AA2098">
        <v>0</v>
      </c>
    </row>
    <row r="2099" spans="1:27" x14ac:dyDescent="0.2">
      <c r="A2099" t="s">
        <v>547</v>
      </c>
      <c r="B2099">
        <v>2020</v>
      </c>
      <c r="C2099">
        <v>5157023015</v>
      </c>
      <c r="D2099" t="s">
        <v>2880</v>
      </c>
      <c r="E2099" t="s">
        <v>29</v>
      </c>
      <c r="F2099" t="s">
        <v>30</v>
      </c>
      <c r="G2099">
        <v>6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 t="s">
        <v>31</v>
      </c>
      <c r="Z2099">
        <v>55</v>
      </c>
      <c r="AA2099">
        <v>0</v>
      </c>
    </row>
    <row r="2100" spans="1:27" x14ac:dyDescent="0.2">
      <c r="A2100" t="s">
        <v>547</v>
      </c>
      <c r="B2100">
        <v>2020</v>
      </c>
      <c r="C2100">
        <v>2429019009</v>
      </c>
      <c r="D2100" t="s">
        <v>2881</v>
      </c>
      <c r="E2100" t="s">
        <v>29</v>
      </c>
      <c r="F2100" t="s">
        <v>30</v>
      </c>
      <c r="G2100">
        <v>4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 t="s">
        <v>31</v>
      </c>
      <c r="Z2100">
        <v>55</v>
      </c>
      <c r="AA2100">
        <v>0</v>
      </c>
    </row>
    <row r="2101" spans="1:27" x14ac:dyDescent="0.2">
      <c r="A2101" t="s">
        <v>547</v>
      </c>
      <c r="B2101">
        <v>2020</v>
      </c>
      <c r="C2101">
        <v>5545014021</v>
      </c>
      <c r="D2101" t="s">
        <v>2882</v>
      </c>
      <c r="E2101" t="s">
        <v>29</v>
      </c>
      <c r="F2101" t="s">
        <v>30</v>
      </c>
      <c r="G2101">
        <v>4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 t="s">
        <v>31</v>
      </c>
      <c r="Z2101">
        <v>55</v>
      </c>
      <c r="AA2101">
        <v>0</v>
      </c>
    </row>
    <row r="2102" spans="1:27" x14ac:dyDescent="0.2">
      <c r="A2102" t="s">
        <v>43</v>
      </c>
      <c r="B2102">
        <v>2018</v>
      </c>
      <c r="C2102">
        <v>5529008016</v>
      </c>
      <c r="D2102" t="s">
        <v>2883</v>
      </c>
      <c r="E2102" t="s">
        <v>29</v>
      </c>
      <c r="F2102" t="s">
        <v>41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2</v>
      </c>
      <c r="T2102">
        <v>0</v>
      </c>
      <c r="U2102">
        <v>0</v>
      </c>
      <c r="V2102">
        <v>0</v>
      </c>
      <c r="W2102">
        <v>3</v>
      </c>
      <c r="X2102">
        <v>0</v>
      </c>
      <c r="Y2102" t="s">
        <v>31</v>
      </c>
      <c r="Z2102">
        <v>1000</v>
      </c>
      <c r="AA2102">
        <v>0</v>
      </c>
    </row>
    <row r="2103" spans="1:27" x14ac:dyDescent="0.2">
      <c r="A2103" t="s">
        <v>533</v>
      </c>
      <c r="B2103">
        <v>2020</v>
      </c>
      <c r="C2103" t="s">
        <v>1772</v>
      </c>
      <c r="D2103" t="s">
        <v>2884</v>
      </c>
      <c r="E2103" t="s">
        <v>29</v>
      </c>
      <c r="F2103" t="s">
        <v>41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1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 t="s">
        <v>31</v>
      </c>
      <c r="Z2103">
        <v>50</v>
      </c>
      <c r="AA2103">
        <v>0</v>
      </c>
    </row>
    <row r="2104" spans="1:27" x14ac:dyDescent="0.2">
      <c r="A2104" t="s">
        <v>547</v>
      </c>
      <c r="B2104">
        <v>2020</v>
      </c>
      <c r="C2104">
        <v>2135032015</v>
      </c>
      <c r="D2104" t="s">
        <v>2885</v>
      </c>
      <c r="E2104" t="s">
        <v>29</v>
      </c>
      <c r="F2104" t="s">
        <v>30</v>
      </c>
      <c r="G2104">
        <v>2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 t="s">
        <v>31</v>
      </c>
      <c r="Z2104">
        <v>55</v>
      </c>
      <c r="AA2104">
        <v>0</v>
      </c>
    </row>
    <row r="2105" spans="1:27" x14ac:dyDescent="0.2">
      <c r="A2105" t="s">
        <v>876</v>
      </c>
      <c r="B2105">
        <v>2018</v>
      </c>
      <c r="C2105">
        <v>41208065</v>
      </c>
      <c r="D2105" t="s">
        <v>877</v>
      </c>
      <c r="E2105" t="s">
        <v>29</v>
      </c>
      <c r="F2105" t="s">
        <v>30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7</v>
      </c>
      <c r="T2105">
        <v>0</v>
      </c>
      <c r="U2105">
        <v>0</v>
      </c>
      <c r="V2105">
        <v>0</v>
      </c>
      <c r="W2105">
        <v>0</v>
      </c>
      <c r="X2105">
        <v>0</v>
      </c>
      <c r="Y2105" t="s">
        <v>31</v>
      </c>
      <c r="Z2105">
        <v>55</v>
      </c>
      <c r="AA2105">
        <v>0</v>
      </c>
    </row>
    <row r="2106" spans="1:27" x14ac:dyDescent="0.2">
      <c r="A2106" t="s">
        <v>547</v>
      </c>
      <c r="B2106">
        <v>2020</v>
      </c>
      <c r="C2106">
        <v>2412019026</v>
      </c>
      <c r="D2106" t="s">
        <v>2886</v>
      </c>
      <c r="E2106" t="s">
        <v>29</v>
      </c>
      <c r="F2106" t="s">
        <v>30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51</v>
      </c>
      <c r="N2106">
        <v>0</v>
      </c>
      <c r="O2106">
        <v>50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 t="s">
        <v>31</v>
      </c>
      <c r="Z2106">
        <v>55</v>
      </c>
      <c r="AA2106">
        <v>0</v>
      </c>
    </row>
    <row r="2107" spans="1:27" x14ac:dyDescent="0.2">
      <c r="A2107" t="s">
        <v>547</v>
      </c>
      <c r="B2107">
        <v>2020</v>
      </c>
      <c r="C2107">
        <v>5016020006</v>
      </c>
      <c r="D2107" t="s">
        <v>2887</v>
      </c>
      <c r="E2107" t="s">
        <v>29</v>
      </c>
      <c r="F2107" t="s">
        <v>30</v>
      </c>
      <c r="G2107">
        <v>42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42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 t="s">
        <v>31</v>
      </c>
      <c r="Z2107">
        <v>55</v>
      </c>
      <c r="AA2107">
        <v>0</v>
      </c>
    </row>
    <row r="2108" spans="1:27" x14ac:dyDescent="0.2">
      <c r="A2108" t="s">
        <v>547</v>
      </c>
      <c r="B2108">
        <v>2020</v>
      </c>
      <c r="C2108">
        <v>2747005022</v>
      </c>
      <c r="D2108" t="s">
        <v>2888</v>
      </c>
      <c r="E2108" t="s">
        <v>29</v>
      </c>
      <c r="F2108" t="s">
        <v>30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6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 t="s">
        <v>31</v>
      </c>
      <c r="Z2108">
        <v>55</v>
      </c>
      <c r="AA2108">
        <v>0</v>
      </c>
    </row>
    <row r="2109" spans="1:27" x14ac:dyDescent="0.2">
      <c r="A2109" t="s">
        <v>547</v>
      </c>
      <c r="B2109">
        <v>2020</v>
      </c>
      <c r="C2109">
        <v>6074024900</v>
      </c>
      <c r="D2109" t="s">
        <v>2889</v>
      </c>
      <c r="E2109" t="s">
        <v>29</v>
      </c>
      <c r="F2109" t="s">
        <v>30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53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 t="s">
        <v>31</v>
      </c>
      <c r="Z2109">
        <v>55</v>
      </c>
      <c r="AA2109">
        <v>0</v>
      </c>
    </row>
    <row r="2110" spans="1:27" x14ac:dyDescent="0.2">
      <c r="A2110" t="s">
        <v>547</v>
      </c>
      <c r="B2110">
        <v>2020</v>
      </c>
      <c r="C2110">
        <v>4235013027</v>
      </c>
      <c r="D2110" t="s">
        <v>2890</v>
      </c>
      <c r="E2110" t="s">
        <v>29</v>
      </c>
      <c r="F2110" t="s">
        <v>30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7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 t="s">
        <v>31</v>
      </c>
      <c r="Z2110">
        <v>55</v>
      </c>
      <c r="AA2110">
        <v>0</v>
      </c>
    </row>
    <row r="2111" spans="1:27" x14ac:dyDescent="0.2">
      <c r="A2111" t="s">
        <v>547</v>
      </c>
      <c r="B2111">
        <v>2020</v>
      </c>
      <c r="C2111">
        <v>2224004006</v>
      </c>
      <c r="D2111" t="s">
        <v>846</v>
      </c>
      <c r="E2111" t="s">
        <v>29</v>
      </c>
      <c r="F2111" t="s">
        <v>30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7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 t="s">
        <v>31</v>
      </c>
      <c r="Z2111">
        <v>55</v>
      </c>
      <c r="AA2111">
        <v>0</v>
      </c>
    </row>
    <row r="2112" spans="1:27" x14ac:dyDescent="0.2">
      <c r="A2112" t="s">
        <v>547</v>
      </c>
      <c r="B2112">
        <v>2020</v>
      </c>
      <c r="C2112">
        <v>2530008901</v>
      </c>
      <c r="D2112" t="s">
        <v>2891</v>
      </c>
      <c r="E2112" t="s">
        <v>29</v>
      </c>
      <c r="F2112" t="s">
        <v>30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48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 t="s">
        <v>31</v>
      </c>
      <c r="Z2112">
        <v>55</v>
      </c>
      <c r="AA2112">
        <v>0</v>
      </c>
    </row>
    <row r="2113" spans="1:27" x14ac:dyDescent="0.2">
      <c r="A2113" t="s">
        <v>38</v>
      </c>
      <c r="B2113">
        <v>2019</v>
      </c>
      <c r="C2113" t="s">
        <v>2892</v>
      </c>
      <c r="D2113" t="s">
        <v>2893</v>
      </c>
      <c r="E2113" t="s">
        <v>29</v>
      </c>
      <c r="F2113" t="s">
        <v>30</v>
      </c>
      <c r="G2113">
        <v>0</v>
      </c>
      <c r="H2113">
        <v>0</v>
      </c>
      <c r="I2113">
        <v>5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5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 t="s">
        <v>31</v>
      </c>
      <c r="Z2113">
        <v>55</v>
      </c>
      <c r="AA2113">
        <v>0</v>
      </c>
    </row>
    <row r="2114" spans="1:27" x14ac:dyDescent="0.2">
      <c r="A2114" t="s">
        <v>353</v>
      </c>
      <c r="B2114">
        <v>2019</v>
      </c>
      <c r="C2114">
        <v>2081951000</v>
      </c>
      <c r="D2114" t="s">
        <v>2894</v>
      </c>
      <c r="E2114" t="s">
        <v>29</v>
      </c>
      <c r="F2114" t="s">
        <v>30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56</v>
      </c>
      <c r="X2114">
        <v>0</v>
      </c>
      <c r="Y2114" t="s">
        <v>51</v>
      </c>
      <c r="AA2114">
        <v>0</v>
      </c>
    </row>
    <row r="2115" spans="1:27" x14ac:dyDescent="0.2">
      <c r="A2115" t="s">
        <v>172</v>
      </c>
      <c r="B2115">
        <v>2018</v>
      </c>
      <c r="C2115" t="s">
        <v>2895</v>
      </c>
      <c r="D2115" t="s">
        <v>2896</v>
      </c>
      <c r="E2115" t="s">
        <v>29</v>
      </c>
      <c r="F2115" t="s">
        <v>30</v>
      </c>
      <c r="G2115">
        <v>20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 t="s">
        <v>31</v>
      </c>
      <c r="Z2115">
        <v>55</v>
      </c>
      <c r="AA2115">
        <v>0</v>
      </c>
    </row>
    <row r="2116" spans="1:27" x14ac:dyDescent="0.2">
      <c r="A2116" t="s">
        <v>547</v>
      </c>
      <c r="B2116">
        <v>2020</v>
      </c>
      <c r="C2116">
        <v>7455007903</v>
      </c>
      <c r="D2116" t="s">
        <v>2897</v>
      </c>
      <c r="E2116" t="s">
        <v>29</v>
      </c>
      <c r="F2116" t="s">
        <v>30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63</v>
      </c>
      <c r="N2116">
        <v>0</v>
      </c>
      <c r="O2116">
        <v>27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 t="s">
        <v>31</v>
      </c>
      <c r="Z2116">
        <v>55</v>
      </c>
      <c r="AA2116">
        <v>0</v>
      </c>
    </row>
    <row r="2117" spans="1:27" x14ac:dyDescent="0.2">
      <c r="A2117" t="s">
        <v>75</v>
      </c>
      <c r="B2117">
        <v>2018</v>
      </c>
      <c r="C2117">
        <v>4463031600</v>
      </c>
      <c r="D2117" t="s">
        <v>2898</v>
      </c>
      <c r="E2117" t="s">
        <v>29</v>
      </c>
      <c r="F2117" t="s">
        <v>30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3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 t="s">
        <v>31</v>
      </c>
      <c r="AA2117">
        <v>0</v>
      </c>
    </row>
    <row r="2118" spans="1:27" x14ac:dyDescent="0.2">
      <c r="A2118" t="s">
        <v>75</v>
      </c>
      <c r="B2118">
        <v>2018</v>
      </c>
      <c r="C2118">
        <v>5491400300</v>
      </c>
      <c r="D2118" t="s">
        <v>2899</v>
      </c>
      <c r="E2118" t="s">
        <v>29</v>
      </c>
      <c r="F2118" t="s">
        <v>30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48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 t="s">
        <v>31</v>
      </c>
      <c r="AA2118">
        <v>0</v>
      </c>
    </row>
    <row r="2119" spans="1:27" x14ac:dyDescent="0.2">
      <c r="A2119" t="s">
        <v>547</v>
      </c>
      <c r="B2119">
        <v>2020</v>
      </c>
      <c r="C2119">
        <v>2239023014</v>
      </c>
      <c r="D2119" t="s">
        <v>2900</v>
      </c>
      <c r="E2119" t="s">
        <v>29</v>
      </c>
      <c r="F2119" t="s">
        <v>30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1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 t="s">
        <v>31</v>
      </c>
      <c r="Z2119">
        <v>55</v>
      </c>
      <c r="AA2119">
        <v>0</v>
      </c>
    </row>
    <row r="2120" spans="1:27" x14ac:dyDescent="0.2">
      <c r="A2120" t="s">
        <v>547</v>
      </c>
      <c r="B2120">
        <v>2020</v>
      </c>
      <c r="C2120">
        <v>5127029904</v>
      </c>
      <c r="D2120" t="s">
        <v>2901</v>
      </c>
      <c r="E2120" t="s">
        <v>29</v>
      </c>
      <c r="F2120" t="s">
        <v>30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18</v>
      </c>
      <c r="N2120">
        <v>0</v>
      </c>
      <c r="O2120">
        <v>23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 t="s">
        <v>31</v>
      </c>
      <c r="Z2120">
        <v>55</v>
      </c>
      <c r="AA2120">
        <v>0</v>
      </c>
    </row>
    <row r="2121" spans="1:27" x14ac:dyDescent="0.2">
      <c r="A2121" t="s">
        <v>547</v>
      </c>
      <c r="B2121">
        <v>2020</v>
      </c>
      <c r="C2121">
        <v>2119020901</v>
      </c>
      <c r="D2121" t="s">
        <v>2902</v>
      </c>
      <c r="E2121" t="s">
        <v>29</v>
      </c>
      <c r="F2121" t="s">
        <v>30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13</v>
      </c>
      <c r="N2121">
        <v>0</v>
      </c>
      <c r="O2121">
        <v>12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 t="s">
        <v>31</v>
      </c>
      <c r="Z2121">
        <v>55</v>
      </c>
      <c r="AA2121">
        <v>0</v>
      </c>
    </row>
    <row r="2122" spans="1:27" x14ac:dyDescent="0.2">
      <c r="A2122" t="s">
        <v>547</v>
      </c>
      <c r="B2122">
        <v>2020</v>
      </c>
      <c r="C2122">
        <v>5078012901</v>
      </c>
      <c r="D2122" t="s">
        <v>2903</v>
      </c>
      <c r="E2122" t="s">
        <v>29</v>
      </c>
      <c r="F2122" t="s">
        <v>30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41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 t="s">
        <v>31</v>
      </c>
      <c r="Z2122">
        <v>55</v>
      </c>
      <c r="AA2122">
        <v>0</v>
      </c>
    </row>
    <row r="2123" spans="1:27" x14ac:dyDescent="0.2">
      <c r="A2123" t="s">
        <v>2862</v>
      </c>
      <c r="B2123">
        <v>2019</v>
      </c>
      <c r="C2123">
        <v>9701106</v>
      </c>
      <c r="D2123" t="s">
        <v>2904</v>
      </c>
      <c r="E2123" t="s">
        <v>29</v>
      </c>
      <c r="F2123" t="s">
        <v>30</v>
      </c>
      <c r="G2123">
        <v>0</v>
      </c>
      <c r="H2123">
        <v>0</v>
      </c>
      <c r="I2123">
        <v>8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 t="s">
        <v>31</v>
      </c>
      <c r="Z2123">
        <v>55</v>
      </c>
      <c r="AA2123">
        <v>0</v>
      </c>
    </row>
    <row r="2124" spans="1:27" x14ac:dyDescent="0.2">
      <c r="A2124" t="s">
        <v>75</v>
      </c>
      <c r="B2124">
        <v>2018</v>
      </c>
      <c r="C2124">
        <v>4531540100</v>
      </c>
      <c r="D2124" t="s">
        <v>2905</v>
      </c>
      <c r="E2124" t="s">
        <v>29</v>
      </c>
      <c r="F2124" t="s">
        <v>30</v>
      </c>
      <c r="G2124">
        <v>2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 t="s">
        <v>31</v>
      </c>
      <c r="AA2124">
        <v>0</v>
      </c>
    </row>
    <row r="2125" spans="1:27" x14ac:dyDescent="0.2">
      <c r="A2125" t="s">
        <v>75</v>
      </c>
      <c r="B2125">
        <v>2018</v>
      </c>
      <c r="C2125">
        <v>43403117</v>
      </c>
      <c r="D2125" t="s">
        <v>2906</v>
      </c>
      <c r="E2125" t="s">
        <v>29</v>
      </c>
      <c r="F2125" t="s">
        <v>41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6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 t="s">
        <v>51</v>
      </c>
      <c r="AA2125">
        <v>0</v>
      </c>
    </row>
    <row r="2126" spans="1:27" x14ac:dyDescent="0.2">
      <c r="A2126" t="s">
        <v>1316</v>
      </c>
      <c r="B2126">
        <v>2019</v>
      </c>
      <c r="C2126">
        <v>43515126</v>
      </c>
      <c r="D2126" t="s">
        <v>1621</v>
      </c>
      <c r="E2126" t="s">
        <v>29</v>
      </c>
      <c r="F2126" t="s">
        <v>30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16</v>
      </c>
      <c r="N2126">
        <v>0</v>
      </c>
      <c r="O2126">
        <v>1</v>
      </c>
      <c r="P2126">
        <v>0</v>
      </c>
      <c r="Q2126">
        <v>11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 t="s">
        <v>31</v>
      </c>
      <c r="Z2126">
        <v>55</v>
      </c>
      <c r="AA2126">
        <v>0</v>
      </c>
    </row>
    <row r="2127" spans="1:27" x14ac:dyDescent="0.2">
      <c r="A2127" t="s">
        <v>2907</v>
      </c>
      <c r="B2127">
        <v>2019</v>
      </c>
      <c r="C2127" t="s">
        <v>2908</v>
      </c>
      <c r="D2127" t="s">
        <v>2909</v>
      </c>
      <c r="E2127" t="s">
        <v>29</v>
      </c>
      <c r="F2127" t="s">
        <v>30</v>
      </c>
      <c r="G2127">
        <v>30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30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 t="s">
        <v>31</v>
      </c>
      <c r="Z2127">
        <v>55</v>
      </c>
      <c r="AA2127">
        <v>0</v>
      </c>
    </row>
    <row r="2128" spans="1:27" x14ac:dyDescent="0.2">
      <c r="A2128" t="s">
        <v>547</v>
      </c>
      <c r="B2128">
        <v>2020</v>
      </c>
      <c r="C2128">
        <v>6132026030</v>
      </c>
      <c r="D2128" t="s">
        <v>2910</v>
      </c>
      <c r="E2128" t="s">
        <v>29</v>
      </c>
      <c r="F2128" t="s">
        <v>30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9</v>
      </c>
      <c r="N2128">
        <v>0</v>
      </c>
      <c r="O2128">
        <v>46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 t="s">
        <v>31</v>
      </c>
      <c r="Z2128">
        <v>55</v>
      </c>
      <c r="AA2128">
        <v>0</v>
      </c>
    </row>
    <row r="2129" spans="1:27" x14ac:dyDescent="0.2">
      <c r="A2129" t="s">
        <v>547</v>
      </c>
      <c r="B2129">
        <v>2020</v>
      </c>
      <c r="C2129" t="s">
        <v>555</v>
      </c>
      <c r="D2129" t="s">
        <v>2911</v>
      </c>
      <c r="E2129" t="s">
        <v>29</v>
      </c>
      <c r="F2129" t="s">
        <v>30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25</v>
      </c>
      <c r="N2129">
        <v>0</v>
      </c>
      <c r="O2129">
        <v>16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 t="s">
        <v>31</v>
      </c>
      <c r="Z2129">
        <v>55</v>
      </c>
      <c r="AA2129">
        <v>0</v>
      </c>
    </row>
    <row r="2130" spans="1:27" x14ac:dyDescent="0.2">
      <c r="A2130" t="s">
        <v>43</v>
      </c>
      <c r="B2130">
        <v>2018</v>
      </c>
      <c r="C2130">
        <v>4336019033</v>
      </c>
      <c r="D2130" t="s">
        <v>2912</v>
      </c>
      <c r="E2130" t="s">
        <v>29</v>
      </c>
      <c r="F2130" t="s">
        <v>30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7</v>
      </c>
      <c r="N2130">
        <v>0</v>
      </c>
      <c r="O2130">
        <v>0</v>
      </c>
      <c r="P2130">
        <v>0</v>
      </c>
      <c r="Q2130">
        <v>8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 t="s">
        <v>31</v>
      </c>
      <c r="Z2130">
        <v>1000</v>
      </c>
      <c r="AA2130">
        <v>0</v>
      </c>
    </row>
    <row r="2131" spans="1:27" x14ac:dyDescent="0.2">
      <c r="A2131" t="s">
        <v>1255</v>
      </c>
      <c r="B2131">
        <v>2018</v>
      </c>
      <c r="C2131" s="2" t="s">
        <v>2913</v>
      </c>
      <c r="D2131" t="s">
        <v>2914</v>
      </c>
      <c r="E2131" t="s">
        <v>29</v>
      </c>
      <c r="F2131" t="s">
        <v>30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85</v>
      </c>
      <c r="T2131">
        <v>0</v>
      </c>
      <c r="U2131">
        <v>0</v>
      </c>
      <c r="V2131">
        <v>0</v>
      </c>
      <c r="W2131">
        <v>0</v>
      </c>
      <c r="X2131">
        <v>0</v>
      </c>
      <c r="Y2131" t="s">
        <v>31</v>
      </c>
      <c r="Z2131">
        <v>55</v>
      </c>
      <c r="AA2131">
        <v>0</v>
      </c>
    </row>
    <row r="2132" spans="1:27" x14ac:dyDescent="0.2">
      <c r="A2132" t="s">
        <v>1316</v>
      </c>
      <c r="B2132">
        <v>2019</v>
      </c>
      <c r="C2132">
        <v>58049129</v>
      </c>
      <c r="D2132" t="s">
        <v>2915</v>
      </c>
      <c r="E2132" t="s">
        <v>29</v>
      </c>
      <c r="F2132" t="s">
        <v>30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59</v>
      </c>
      <c r="N2132">
        <v>0</v>
      </c>
      <c r="O2132">
        <v>12</v>
      </c>
      <c r="P2132">
        <v>0</v>
      </c>
      <c r="Q2132">
        <v>1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 t="s">
        <v>31</v>
      </c>
      <c r="Z2132">
        <v>1000</v>
      </c>
      <c r="AA2132">
        <v>0</v>
      </c>
    </row>
    <row r="2133" spans="1:27" x14ac:dyDescent="0.2">
      <c r="A2133" t="s">
        <v>1311</v>
      </c>
      <c r="B2133">
        <v>2020</v>
      </c>
      <c r="C2133" t="s">
        <v>1807</v>
      </c>
      <c r="D2133" t="s">
        <v>1808</v>
      </c>
      <c r="E2133" t="s">
        <v>29</v>
      </c>
      <c r="F2133" t="s">
        <v>30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8</v>
      </c>
      <c r="N2133">
        <v>0</v>
      </c>
      <c r="O2133">
        <v>8</v>
      </c>
      <c r="P2133">
        <v>0</v>
      </c>
      <c r="Q2133">
        <v>6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 t="s">
        <v>51</v>
      </c>
      <c r="Z2133">
        <v>55</v>
      </c>
      <c r="AA2133">
        <v>0</v>
      </c>
    </row>
    <row r="2134" spans="1:27" x14ac:dyDescent="0.2">
      <c r="A2134" t="s">
        <v>1541</v>
      </c>
      <c r="B2134">
        <v>2018</v>
      </c>
      <c r="C2134" t="s">
        <v>2916</v>
      </c>
      <c r="D2134" t="s">
        <v>2917</v>
      </c>
      <c r="E2134" t="s">
        <v>29</v>
      </c>
      <c r="F2134" t="s">
        <v>30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5</v>
      </c>
      <c r="N2134">
        <v>0</v>
      </c>
      <c r="O2134">
        <v>15</v>
      </c>
      <c r="P2134">
        <v>0</v>
      </c>
      <c r="Q2134">
        <v>0</v>
      </c>
      <c r="R2134">
        <v>0</v>
      </c>
      <c r="S2134">
        <v>5</v>
      </c>
      <c r="T2134">
        <v>0</v>
      </c>
      <c r="U2134">
        <v>15</v>
      </c>
      <c r="V2134">
        <v>0</v>
      </c>
      <c r="W2134">
        <v>0</v>
      </c>
      <c r="X2134">
        <v>0</v>
      </c>
      <c r="Y2134" t="s">
        <v>31</v>
      </c>
      <c r="AA2134">
        <v>0</v>
      </c>
    </row>
    <row r="2135" spans="1:27" x14ac:dyDescent="0.2">
      <c r="A2135" t="s">
        <v>560</v>
      </c>
      <c r="B2135">
        <v>2019</v>
      </c>
      <c r="C2135" t="s">
        <v>1763</v>
      </c>
      <c r="D2135" t="s">
        <v>1764</v>
      </c>
      <c r="E2135" t="s">
        <v>29</v>
      </c>
      <c r="F2135" t="s">
        <v>30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1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 t="s">
        <v>31</v>
      </c>
      <c r="Z2135">
        <v>55</v>
      </c>
      <c r="AA2135">
        <v>0</v>
      </c>
    </row>
    <row r="2136" spans="1:27" x14ac:dyDescent="0.2">
      <c r="A2136" t="s">
        <v>75</v>
      </c>
      <c r="B2136">
        <v>2018</v>
      </c>
      <c r="C2136">
        <v>5491400600</v>
      </c>
      <c r="D2136" t="s">
        <v>2918</v>
      </c>
      <c r="E2136" t="s">
        <v>29</v>
      </c>
      <c r="F2136" t="s">
        <v>30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2</v>
      </c>
      <c r="N2136">
        <v>0</v>
      </c>
      <c r="O2136">
        <v>15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 t="s">
        <v>31</v>
      </c>
      <c r="AA2136">
        <v>0</v>
      </c>
    </row>
    <row r="2137" spans="1:27" x14ac:dyDescent="0.2">
      <c r="A2137" t="s">
        <v>75</v>
      </c>
      <c r="B2137">
        <v>2018</v>
      </c>
      <c r="C2137">
        <v>4456310100</v>
      </c>
      <c r="D2137" t="s">
        <v>2919</v>
      </c>
      <c r="E2137" t="s">
        <v>29</v>
      </c>
      <c r="F2137" t="s">
        <v>30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3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 t="s">
        <v>31</v>
      </c>
      <c r="AA2137">
        <v>0</v>
      </c>
    </row>
    <row r="2138" spans="1:27" x14ac:dyDescent="0.2">
      <c r="A2138" t="s">
        <v>894</v>
      </c>
      <c r="B2138">
        <v>2018</v>
      </c>
      <c r="C2138" s="2" t="s">
        <v>2920</v>
      </c>
      <c r="D2138" t="s">
        <v>1737</v>
      </c>
      <c r="E2138" t="s">
        <v>29</v>
      </c>
      <c r="F2138" t="s">
        <v>41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1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 t="s">
        <v>51</v>
      </c>
      <c r="AA2138">
        <v>0</v>
      </c>
    </row>
    <row r="2139" spans="1:27" x14ac:dyDescent="0.2">
      <c r="A2139" t="s">
        <v>1045</v>
      </c>
      <c r="B2139">
        <v>2022</v>
      </c>
      <c r="C2139" t="s">
        <v>2921</v>
      </c>
      <c r="D2139" t="s">
        <v>2922</v>
      </c>
      <c r="E2139" t="s">
        <v>29</v>
      </c>
      <c r="F2139" t="s">
        <v>30</v>
      </c>
      <c r="G2139">
        <v>2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 t="s">
        <v>31</v>
      </c>
      <c r="Z2139">
        <v>55</v>
      </c>
      <c r="AA2139">
        <v>0</v>
      </c>
    </row>
    <row r="2140" spans="1:27" x14ac:dyDescent="0.2">
      <c r="A2140" t="s">
        <v>1959</v>
      </c>
      <c r="B2140">
        <v>2021</v>
      </c>
      <c r="C2140" t="s">
        <v>2260</v>
      </c>
      <c r="D2140" t="s">
        <v>2261</v>
      </c>
      <c r="E2140" t="s">
        <v>29</v>
      </c>
      <c r="F2140" t="s">
        <v>30</v>
      </c>
      <c r="G2140">
        <v>0</v>
      </c>
      <c r="H2140">
        <v>38</v>
      </c>
      <c r="I2140">
        <v>0</v>
      </c>
      <c r="J2140">
        <v>0</v>
      </c>
      <c r="K2140">
        <v>0</v>
      </c>
      <c r="L2140">
        <v>0</v>
      </c>
      <c r="M2140">
        <v>19</v>
      </c>
      <c r="N2140">
        <v>0</v>
      </c>
      <c r="O2140">
        <v>19</v>
      </c>
      <c r="P2140">
        <v>0</v>
      </c>
      <c r="Q2140">
        <v>0</v>
      </c>
      <c r="R2140">
        <v>0</v>
      </c>
      <c r="S2140">
        <v>19</v>
      </c>
      <c r="T2140">
        <v>0</v>
      </c>
      <c r="U2140">
        <v>19</v>
      </c>
      <c r="V2140">
        <v>0</v>
      </c>
      <c r="W2140">
        <v>0</v>
      </c>
      <c r="X2140">
        <v>0</v>
      </c>
      <c r="Y2140" t="s">
        <v>51</v>
      </c>
      <c r="Z2140">
        <v>1000</v>
      </c>
      <c r="AA2140">
        <v>0</v>
      </c>
    </row>
    <row r="2141" spans="1:27" x14ac:dyDescent="0.2">
      <c r="A2141" t="s">
        <v>1247</v>
      </c>
      <c r="B2141">
        <v>2023</v>
      </c>
      <c r="C2141">
        <v>41042012</v>
      </c>
      <c r="D2141" t="s">
        <v>2923</v>
      </c>
      <c r="E2141" t="s">
        <v>29</v>
      </c>
      <c r="F2141" t="s">
        <v>30</v>
      </c>
      <c r="G2141">
        <v>4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 t="s">
        <v>31</v>
      </c>
      <c r="Z2141">
        <v>55</v>
      </c>
      <c r="AA2141">
        <v>100</v>
      </c>
    </row>
    <row r="2142" spans="1:27" x14ac:dyDescent="0.2">
      <c r="A2142" t="s">
        <v>547</v>
      </c>
      <c r="B2142">
        <v>2020</v>
      </c>
      <c r="C2142">
        <v>2565014031</v>
      </c>
      <c r="D2142" t="s">
        <v>2924</v>
      </c>
      <c r="E2142" t="s">
        <v>29</v>
      </c>
      <c r="F2142" t="s">
        <v>30</v>
      </c>
      <c r="G2142">
        <v>4</v>
      </c>
      <c r="H2142">
        <v>0</v>
      </c>
      <c r="I2142">
        <v>2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 t="s">
        <v>31</v>
      </c>
      <c r="Z2142">
        <v>55</v>
      </c>
      <c r="AA2142">
        <v>0</v>
      </c>
    </row>
    <row r="2143" spans="1:27" x14ac:dyDescent="0.2">
      <c r="A2143" t="s">
        <v>547</v>
      </c>
      <c r="B2143">
        <v>2020</v>
      </c>
      <c r="C2143">
        <v>2206035034</v>
      </c>
      <c r="D2143" t="s">
        <v>2925</v>
      </c>
      <c r="E2143" t="s">
        <v>29</v>
      </c>
      <c r="F2143" t="s">
        <v>30</v>
      </c>
      <c r="G2143">
        <v>45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 t="s">
        <v>31</v>
      </c>
      <c r="Z2143">
        <v>55</v>
      </c>
      <c r="AA2143">
        <v>0</v>
      </c>
    </row>
    <row r="2144" spans="1:27" x14ac:dyDescent="0.2">
      <c r="A2144" t="s">
        <v>547</v>
      </c>
      <c r="B2144">
        <v>2020</v>
      </c>
      <c r="C2144">
        <v>5547014029</v>
      </c>
      <c r="D2144" t="s">
        <v>2926</v>
      </c>
      <c r="E2144" t="s">
        <v>29</v>
      </c>
      <c r="F2144" t="s">
        <v>30</v>
      </c>
      <c r="G2144">
        <v>0</v>
      </c>
      <c r="H2144">
        <v>0</v>
      </c>
      <c r="I2144">
        <v>69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 t="s">
        <v>31</v>
      </c>
      <c r="Z2144">
        <v>55</v>
      </c>
      <c r="AA2144">
        <v>0</v>
      </c>
    </row>
    <row r="2145" spans="1:27" x14ac:dyDescent="0.2">
      <c r="A2145" t="s">
        <v>547</v>
      </c>
      <c r="B2145">
        <v>2020</v>
      </c>
      <c r="C2145">
        <v>5442025039</v>
      </c>
      <c r="D2145" t="s">
        <v>2927</v>
      </c>
      <c r="E2145" t="s">
        <v>29</v>
      </c>
      <c r="F2145" t="s">
        <v>30</v>
      </c>
      <c r="G2145">
        <v>4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 t="s">
        <v>31</v>
      </c>
      <c r="Z2145">
        <v>55</v>
      </c>
      <c r="AA2145">
        <v>0</v>
      </c>
    </row>
    <row r="2146" spans="1:27" x14ac:dyDescent="0.2">
      <c r="A2146" t="s">
        <v>547</v>
      </c>
      <c r="B2146">
        <v>2020</v>
      </c>
      <c r="C2146">
        <v>6011003066</v>
      </c>
      <c r="D2146" t="s">
        <v>2928</v>
      </c>
      <c r="E2146" t="s">
        <v>29</v>
      </c>
      <c r="F2146" t="s">
        <v>30</v>
      </c>
      <c r="G2146">
        <v>59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 t="s">
        <v>31</v>
      </c>
      <c r="Z2146">
        <v>55</v>
      </c>
      <c r="AA2146">
        <v>0</v>
      </c>
    </row>
    <row r="2147" spans="1:27" x14ac:dyDescent="0.2">
      <c r="A2147" t="s">
        <v>547</v>
      </c>
      <c r="B2147">
        <v>2020</v>
      </c>
      <c r="C2147">
        <v>5544023023</v>
      </c>
      <c r="D2147" t="s">
        <v>2929</v>
      </c>
      <c r="E2147" t="s">
        <v>29</v>
      </c>
      <c r="F2147" t="s">
        <v>30</v>
      </c>
      <c r="G2147">
        <v>61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 t="s">
        <v>31</v>
      </c>
      <c r="Z2147">
        <v>55</v>
      </c>
      <c r="AA2147">
        <v>0</v>
      </c>
    </row>
    <row r="2148" spans="1:27" x14ac:dyDescent="0.2">
      <c r="A2148" t="s">
        <v>547</v>
      </c>
      <c r="B2148">
        <v>2018</v>
      </c>
      <c r="C2148">
        <v>5180002013</v>
      </c>
      <c r="D2148" t="s">
        <v>2930</v>
      </c>
      <c r="E2148" t="s">
        <v>29</v>
      </c>
      <c r="F2148" t="s">
        <v>30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29</v>
      </c>
      <c r="N2148">
        <v>0</v>
      </c>
      <c r="O2148">
        <v>0</v>
      </c>
      <c r="P2148">
        <v>0</v>
      </c>
      <c r="Q2148">
        <v>0</v>
      </c>
      <c r="R2148">
        <v>1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 t="s">
        <v>31</v>
      </c>
      <c r="Z2148">
        <v>55</v>
      </c>
      <c r="AA2148">
        <v>0</v>
      </c>
    </row>
    <row r="2149" spans="1:27" x14ac:dyDescent="0.2">
      <c r="A2149" t="s">
        <v>547</v>
      </c>
      <c r="B2149">
        <v>2018</v>
      </c>
      <c r="C2149">
        <v>5019026009</v>
      </c>
      <c r="D2149" t="s">
        <v>2931</v>
      </c>
      <c r="E2149" t="s">
        <v>29</v>
      </c>
      <c r="F2149" t="s">
        <v>30</v>
      </c>
      <c r="G2149">
        <v>14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56</v>
      </c>
      <c r="N2149">
        <v>0</v>
      </c>
      <c r="O2149">
        <v>0</v>
      </c>
      <c r="P2149">
        <v>0</v>
      </c>
      <c r="Q2149">
        <v>0</v>
      </c>
      <c r="R2149">
        <v>1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 t="s">
        <v>31</v>
      </c>
      <c r="Z2149">
        <v>55</v>
      </c>
      <c r="AA2149">
        <v>0</v>
      </c>
    </row>
    <row r="2150" spans="1:27" x14ac:dyDescent="0.2">
      <c r="A2150" t="s">
        <v>547</v>
      </c>
      <c r="B2150">
        <v>2018</v>
      </c>
      <c r="C2150" t="s">
        <v>2932</v>
      </c>
      <c r="D2150" t="s">
        <v>2933</v>
      </c>
      <c r="E2150" t="s">
        <v>29</v>
      </c>
      <c r="F2150" t="s">
        <v>30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1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 t="s">
        <v>31</v>
      </c>
      <c r="Z2150">
        <v>55</v>
      </c>
      <c r="AA2150">
        <v>0</v>
      </c>
    </row>
    <row r="2151" spans="1:27" x14ac:dyDescent="0.2">
      <c r="A2151" t="s">
        <v>547</v>
      </c>
      <c r="B2151">
        <v>2018</v>
      </c>
      <c r="C2151">
        <v>5586035040</v>
      </c>
      <c r="D2151" t="s">
        <v>2934</v>
      </c>
      <c r="E2151" t="s">
        <v>29</v>
      </c>
      <c r="F2151" t="s">
        <v>30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14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 t="s">
        <v>31</v>
      </c>
      <c r="Z2151">
        <v>55</v>
      </c>
      <c r="AA2151">
        <v>0</v>
      </c>
    </row>
    <row r="2152" spans="1:27" x14ac:dyDescent="0.2">
      <c r="A2152" t="s">
        <v>547</v>
      </c>
      <c r="B2152">
        <v>2018</v>
      </c>
      <c r="C2152">
        <v>5544019014</v>
      </c>
      <c r="D2152" t="s">
        <v>2935</v>
      </c>
      <c r="E2152" t="s">
        <v>29</v>
      </c>
      <c r="F2152" t="s">
        <v>30</v>
      </c>
      <c r="G2152">
        <v>2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 t="s">
        <v>31</v>
      </c>
      <c r="Z2152">
        <v>55</v>
      </c>
      <c r="AA2152">
        <v>0</v>
      </c>
    </row>
    <row r="2153" spans="1:27" x14ac:dyDescent="0.2">
      <c r="A2153" t="s">
        <v>547</v>
      </c>
      <c r="B2153">
        <v>2018</v>
      </c>
      <c r="C2153">
        <v>2240012012</v>
      </c>
      <c r="D2153" t="s">
        <v>2936</v>
      </c>
      <c r="E2153" t="s">
        <v>29</v>
      </c>
      <c r="F2153" t="s">
        <v>30</v>
      </c>
      <c r="G2153">
        <v>4</v>
      </c>
      <c r="H2153">
        <v>0</v>
      </c>
      <c r="I2153">
        <v>2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 t="s">
        <v>31</v>
      </c>
      <c r="Z2153">
        <v>55</v>
      </c>
      <c r="AA2153">
        <v>0</v>
      </c>
    </row>
    <row r="2154" spans="1:27" x14ac:dyDescent="0.2">
      <c r="A2154" t="s">
        <v>547</v>
      </c>
      <c r="B2154">
        <v>2018</v>
      </c>
      <c r="C2154">
        <v>4261020002</v>
      </c>
      <c r="D2154" t="s">
        <v>2937</v>
      </c>
      <c r="E2154" t="s">
        <v>29</v>
      </c>
      <c r="F2154" t="s">
        <v>30</v>
      </c>
      <c r="G2154">
        <v>3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 t="s">
        <v>31</v>
      </c>
      <c r="Z2154">
        <v>55</v>
      </c>
      <c r="AA2154">
        <v>0</v>
      </c>
    </row>
    <row r="2155" spans="1:27" x14ac:dyDescent="0.2">
      <c r="A2155" t="s">
        <v>547</v>
      </c>
      <c r="B2155">
        <v>2018</v>
      </c>
      <c r="C2155">
        <v>5094024015</v>
      </c>
      <c r="D2155" t="s">
        <v>2938</v>
      </c>
      <c r="E2155" t="s">
        <v>29</v>
      </c>
      <c r="F2155" t="s">
        <v>30</v>
      </c>
      <c r="G2155">
        <v>4</v>
      </c>
      <c r="H2155">
        <v>0</v>
      </c>
      <c r="I2155">
        <v>2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 t="s">
        <v>31</v>
      </c>
      <c r="Z2155">
        <v>55</v>
      </c>
      <c r="AA2155">
        <v>0</v>
      </c>
    </row>
    <row r="2156" spans="1:27" x14ac:dyDescent="0.2">
      <c r="A2156" t="s">
        <v>547</v>
      </c>
      <c r="B2156">
        <v>2018</v>
      </c>
      <c r="C2156">
        <v>4313019046</v>
      </c>
      <c r="D2156" t="s">
        <v>2939</v>
      </c>
      <c r="E2156" t="s">
        <v>29</v>
      </c>
      <c r="F2156" t="s">
        <v>30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1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 t="s">
        <v>31</v>
      </c>
      <c r="Z2156">
        <v>55</v>
      </c>
      <c r="AA2156">
        <v>0</v>
      </c>
    </row>
    <row r="2157" spans="1:27" x14ac:dyDescent="0.2">
      <c r="A2157" t="s">
        <v>547</v>
      </c>
      <c r="B2157">
        <v>2018</v>
      </c>
      <c r="C2157">
        <v>5473024021</v>
      </c>
      <c r="D2157" t="s">
        <v>2940</v>
      </c>
      <c r="E2157" t="s">
        <v>29</v>
      </c>
      <c r="F2157" t="s">
        <v>30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2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 t="s">
        <v>31</v>
      </c>
      <c r="Z2157">
        <v>55</v>
      </c>
      <c r="AA2157">
        <v>0</v>
      </c>
    </row>
    <row r="2158" spans="1:27" x14ac:dyDescent="0.2">
      <c r="A2158" t="s">
        <v>547</v>
      </c>
      <c r="B2158">
        <v>2018</v>
      </c>
      <c r="C2158">
        <v>2347031029</v>
      </c>
      <c r="D2158" t="s">
        <v>2941</v>
      </c>
      <c r="E2158" t="s">
        <v>29</v>
      </c>
      <c r="F2158" t="s">
        <v>30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9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 t="s">
        <v>31</v>
      </c>
      <c r="Z2158">
        <v>55</v>
      </c>
      <c r="AA2158">
        <v>0</v>
      </c>
    </row>
    <row r="2159" spans="1:27" x14ac:dyDescent="0.2">
      <c r="A2159" t="s">
        <v>547</v>
      </c>
      <c r="B2159">
        <v>2018</v>
      </c>
      <c r="C2159">
        <v>5518002012</v>
      </c>
      <c r="D2159" t="s">
        <v>2942</v>
      </c>
      <c r="E2159" t="s">
        <v>29</v>
      </c>
      <c r="F2159" t="s">
        <v>30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1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 t="s">
        <v>31</v>
      </c>
      <c r="Z2159">
        <v>55</v>
      </c>
      <c r="AA2159">
        <v>0</v>
      </c>
    </row>
    <row r="2160" spans="1:27" x14ac:dyDescent="0.2">
      <c r="A2160" t="s">
        <v>547</v>
      </c>
      <c r="B2160">
        <v>2018</v>
      </c>
      <c r="C2160">
        <v>2530008901</v>
      </c>
      <c r="D2160" t="s">
        <v>2943</v>
      </c>
      <c r="E2160" t="s">
        <v>29</v>
      </c>
      <c r="F2160" t="s">
        <v>30</v>
      </c>
      <c r="G2160">
        <v>48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 t="s">
        <v>31</v>
      </c>
      <c r="Z2160">
        <v>55</v>
      </c>
      <c r="AA2160">
        <v>0</v>
      </c>
    </row>
    <row r="2161" spans="1:27" x14ac:dyDescent="0.2">
      <c r="A2161" t="s">
        <v>547</v>
      </c>
      <c r="B2161">
        <v>2018</v>
      </c>
      <c r="C2161">
        <v>2347019010</v>
      </c>
      <c r="D2161" t="s">
        <v>2944</v>
      </c>
      <c r="E2161" t="s">
        <v>29</v>
      </c>
      <c r="F2161" t="s">
        <v>30</v>
      </c>
      <c r="G2161">
        <v>4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 t="s">
        <v>31</v>
      </c>
      <c r="Z2161">
        <v>55</v>
      </c>
      <c r="AA2161">
        <v>0</v>
      </c>
    </row>
    <row r="2162" spans="1:27" x14ac:dyDescent="0.2">
      <c r="A2162" t="s">
        <v>547</v>
      </c>
      <c r="B2162">
        <v>2018</v>
      </c>
      <c r="C2162">
        <v>2248004026</v>
      </c>
      <c r="D2162" t="s">
        <v>2945</v>
      </c>
      <c r="E2162" t="s">
        <v>29</v>
      </c>
      <c r="F2162" t="s">
        <v>30</v>
      </c>
      <c r="G2162">
        <v>1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 t="s">
        <v>31</v>
      </c>
      <c r="Z2162">
        <v>55</v>
      </c>
      <c r="AA2162">
        <v>0</v>
      </c>
    </row>
    <row r="2163" spans="1:27" x14ac:dyDescent="0.2">
      <c r="A2163" t="s">
        <v>547</v>
      </c>
      <c r="B2163">
        <v>2018</v>
      </c>
      <c r="C2163">
        <v>5166033004</v>
      </c>
      <c r="D2163" t="s">
        <v>2946</v>
      </c>
      <c r="E2163" t="s">
        <v>29</v>
      </c>
      <c r="F2163" t="s">
        <v>30</v>
      </c>
      <c r="G2163">
        <v>14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 t="s">
        <v>31</v>
      </c>
      <c r="Z2163">
        <v>55</v>
      </c>
      <c r="AA2163">
        <v>0</v>
      </c>
    </row>
    <row r="2164" spans="1:27" x14ac:dyDescent="0.2">
      <c r="A2164" t="s">
        <v>547</v>
      </c>
      <c r="B2164">
        <v>2018</v>
      </c>
      <c r="C2164">
        <v>5501021003</v>
      </c>
      <c r="D2164" t="s">
        <v>2947</v>
      </c>
      <c r="E2164" t="s">
        <v>29</v>
      </c>
      <c r="F2164" t="s">
        <v>30</v>
      </c>
      <c r="G2164">
        <v>2</v>
      </c>
      <c r="H2164">
        <v>0</v>
      </c>
      <c r="I2164">
        <v>1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 t="s">
        <v>31</v>
      </c>
      <c r="Z2164">
        <v>55</v>
      </c>
      <c r="AA2164">
        <v>0</v>
      </c>
    </row>
    <row r="2165" spans="1:27" x14ac:dyDescent="0.2">
      <c r="A2165" t="s">
        <v>547</v>
      </c>
      <c r="B2165">
        <v>2018</v>
      </c>
      <c r="C2165">
        <v>5049016046</v>
      </c>
      <c r="D2165" t="s">
        <v>2948</v>
      </c>
      <c r="E2165" t="s">
        <v>29</v>
      </c>
      <c r="F2165" t="s">
        <v>30</v>
      </c>
      <c r="G2165">
        <v>13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 t="s">
        <v>31</v>
      </c>
      <c r="Z2165">
        <v>55</v>
      </c>
      <c r="AA2165">
        <v>0</v>
      </c>
    </row>
    <row r="2166" spans="1:27" x14ac:dyDescent="0.2">
      <c r="A2166" t="s">
        <v>547</v>
      </c>
      <c r="B2166">
        <v>2018</v>
      </c>
      <c r="C2166">
        <v>2125009016</v>
      </c>
      <c r="D2166" t="s">
        <v>2949</v>
      </c>
      <c r="E2166" t="s">
        <v>29</v>
      </c>
      <c r="F2166" t="s">
        <v>30</v>
      </c>
      <c r="G2166">
        <v>12</v>
      </c>
      <c r="H2166">
        <v>0</v>
      </c>
      <c r="I2166">
        <v>0</v>
      </c>
      <c r="J2166">
        <v>0</v>
      </c>
      <c r="K2166">
        <v>3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 t="s">
        <v>31</v>
      </c>
      <c r="Z2166">
        <v>55</v>
      </c>
      <c r="AA2166">
        <v>0</v>
      </c>
    </row>
    <row r="2167" spans="1:27" x14ac:dyDescent="0.2">
      <c r="A2167" t="s">
        <v>547</v>
      </c>
      <c r="B2167">
        <v>2018</v>
      </c>
      <c r="C2167">
        <v>5550025014</v>
      </c>
      <c r="D2167" t="s">
        <v>2950</v>
      </c>
      <c r="E2167" t="s">
        <v>29</v>
      </c>
      <c r="F2167" t="s">
        <v>30</v>
      </c>
      <c r="G2167">
        <v>20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 t="s">
        <v>31</v>
      </c>
      <c r="Z2167">
        <v>55</v>
      </c>
      <c r="AA2167">
        <v>0</v>
      </c>
    </row>
    <row r="2168" spans="1:27" x14ac:dyDescent="0.2">
      <c r="A2168" t="s">
        <v>547</v>
      </c>
      <c r="B2168">
        <v>2018</v>
      </c>
      <c r="C2168">
        <v>6032005023</v>
      </c>
      <c r="D2168" t="s">
        <v>2951</v>
      </c>
      <c r="E2168" t="s">
        <v>29</v>
      </c>
      <c r="F2168" t="s">
        <v>30</v>
      </c>
      <c r="G2168">
        <v>2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 t="s">
        <v>31</v>
      </c>
      <c r="Z2168">
        <v>55</v>
      </c>
      <c r="AA2168">
        <v>0</v>
      </c>
    </row>
    <row r="2169" spans="1:27" x14ac:dyDescent="0.2">
      <c r="A2169" t="s">
        <v>547</v>
      </c>
      <c r="B2169">
        <v>2020</v>
      </c>
      <c r="C2169">
        <v>5078014024</v>
      </c>
      <c r="D2169" t="s">
        <v>2952</v>
      </c>
      <c r="E2169" t="s">
        <v>29</v>
      </c>
      <c r="F2169" t="s">
        <v>30</v>
      </c>
      <c r="G2169">
        <v>13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 t="s">
        <v>31</v>
      </c>
      <c r="Z2169">
        <v>55</v>
      </c>
      <c r="AA2169">
        <v>0</v>
      </c>
    </row>
    <row r="2170" spans="1:27" x14ac:dyDescent="0.2">
      <c r="A2170" t="s">
        <v>547</v>
      </c>
      <c r="B2170">
        <v>2020</v>
      </c>
      <c r="C2170">
        <v>5148011023</v>
      </c>
      <c r="D2170" t="s">
        <v>2953</v>
      </c>
      <c r="E2170" t="s">
        <v>29</v>
      </c>
      <c r="F2170" t="s">
        <v>30</v>
      </c>
      <c r="G2170">
        <v>0</v>
      </c>
      <c r="H2170">
        <v>0</v>
      </c>
      <c r="I2170">
        <v>150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 t="s">
        <v>31</v>
      </c>
      <c r="Z2170">
        <v>55</v>
      </c>
      <c r="AA2170">
        <v>0</v>
      </c>
    </row>
    <row r="2171" spans="1:27" x14ac:dyDescent="0.2">
      <c r="A2171" t="s">
        <v>547</v>
      </c>
      <c r="B2171">
        <v>2020</v>
      </c>
      <c r="C2171">
        <v>5143011004</v>
      </c>
      <c r="D2171" t="s">
        <v>2954</v>
      </c>
      <c r="E2171" t="s">
        <v>29</v>
      </c>
      <c r="F2171" t="s">
        <v>30</v>
      </c>
      <c r="G2171">
        <v>8</v>
      </c>
      <c r="H2171">
        <v>0</v>
      </c>
      <c r="I2171">
        <v>142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 t="s">
        <v>31</v>
      </c>
      <c r="Z2171">
        <v>55</v>
      </c>
      <c r="AA2171">
        <v>0</v>
      </c>
    </row>
    <row r="2172" spans="1:27" x14ac:dyDescent="0.2">
      <c r="A2172" t="s">
        <v>547</v>
      </c>
      <c r="B2172">
        <v>2020</v>
      </c>
      <c r="C2172">
        <v>5111007029</v>
      </c>
      <c r="D2172" t="s">
        <v>2955</v>
      </c>
      <c r="E2172" t="s">
        <v>29</v>
      </c>
      <c r="F2172" t="s">
        <v>30</v>
      </c>
      <c r="G2172">
        <v>0</v>
      </c>
      <c r="H2172">
        <v>0</v>
      </c>
      <c r="I2172">
        <v>87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 t="s">
        <v>31</v>
      </c>
      <c r="Z2172">
        <v>55</v>
      </c>
      <c r="AA2172">
        <v>0</v>
      </c>
    </row>
    <row r="2173" spans="1:27" x14ac:dyDescent="0.2">
      <c r="A2173" t="s">
        <v>547</v>
      </c>
      <c r="B2173">
        <v>2020</v>
      </c>
      <c r="C2173">
        <v>4207004023</v>
      </c>
      <c r="D2173" t="s">
        <v>2956</v>
      </c>
      <c r="E2173" t="s">
        <v>29</v>
      </c>
      <c r="F2173" t="s">
        <v>30</v>
      </c>
      <c r="G2173">
        <v>6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 t="s">
        <v>31</v>
      </c>
      <c r="Z2173">
        <v>55</v>
      </c>
      <c r="AA2173">
        <v>0</v>
      </c>
    </row>
    <row r="2174" spans="1:27" x14ac:dyDescent="0.2">
      <c r="A2174" t="s">
        <v>547</v>
      </c>
      <c r="B2174">
        <v>2020</v>
      </c>
      <c r="C2174">
        <v>2654012026</v>
      </c>
      <c r="D2174" t="s">
        <v>2957</v>
      </c>
      <c r="E2174" t="s">
        <v>29</v>
      </c>
      <c r="F2174" t="s">
        <v>30</v>
      </c>
      <c r="G2174">
        <v>0</v>
      </c>
      <c r="H2174">
        <v>0</v>
      </c>
      <c r="I2174">
        <v>71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 t="s">
        <v>31</v>
      </c>
      <c r="Z2174">
        <v>55</v>
      </c>
      <c r="AA2174">
        <v>0</v>
      </c>
    </row>
    <row r="2175" spans="1:27" x14ac:dyDescent="0.2">
      <c r="A2175" t="s">
        <v>547</v>
      </c>
      <c r="B2175">
        <v>2020</v>
      </c>
      <c r="C2175">
        <v>7454026011</v>
      </c>
      <c r="D2175" t="s">
        <v>2958</v>
      </c>
      <c r="E2175" t="s">
        <v>29</v>
      </c>
      <c r="F2175" t="s">
        <v>30</v>
      </c>
      <c r="G2175">
        <v>12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 t="s">
        <v>31</v>
      </c>
      <c r="Z2175">
        <v>55</v>
      </c>
      <c r="AA2175">
        <v>0</v>
      </c>
    </row>
    <row r="2176" spans="1:27" x14ac:dyDescent="0.2">
      <c r="A2176" t="s">
        <v>547</v>
      </c>
      <c r="B2176">
        <v>2020</v>
      </c>
      <c r="C2176">
        <v>4237023018</v>
      </c>
      <c r="D2176" t="s">
        <v>2959</v>
      </c>
      <c r="E2176" t="s">
        <v>29</v>
      </c>
      <c r="F2176" t="s">
        <v>30</v>
      </c>
      <c r="G2176">
        <v>39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 t="s">
        <v>31</v>
      </c>
      <c r="Z2176">
        <v>55</v>
      </c>
      <c r="AA2176">
        <v>0</v>
      </c>
    </row>
    <row r="2177" spans="1:27" x14ac:dyDescent="0.2">
      <c r="A2177" t="s">
        <v>547</v>
      </c>
      <c r="B2177">
        <v>2020</v>
      </c>
      <c r="C2177">
        <v>2348010026</v>
      </c>
      <c r="D2177" t="s">
        <v>2960</v>
      </c>
      <c r="E2177" t="s">
        <v>29</v>
      </c>
      <c r="F2177" t="s">
        <v>30</v>
      </c>
      <c r="G2177">
        <v>1</v>
      </c>
      <c r="H2177">
        <v>0</v>
      </c>
      <c r="I2177">
        <v>2</v>
      </c>
      <c r="J2177">
        <v>0</v>
      </c>
      <c r="K2177">
        <v>1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 t="s">
        <v>31</v>
      </c>
      <c r="Z2177">
        <v>55</v>
      </c>
      <c r="AA2177">
        <v>0</v>
      </c>
    </row>
    <row r="2178" spans="1:27" x14ac:dyDescent="0.2">
      <c r="A2178" t="s">
        <v>547</v>
      </c>
      <c r="B2178">
        <v>2020</v>
      </c>
      <c r="C2178">
        <v>2347020004</v>
      </c>
      <c r="D2178" t="s">
        <v>2961</v>
      </c>
      <c r="E2178" t="s">
        <v>29</v>
      </c>
      <c r="F2178" t="s">
        <v>30</v>
      </c>
      <c r="G2178">
        <v>1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 t="s">
        <v>31</v>
      </c>
      <c r="Z2178">
        <v>55</v>
      </c>
      <c r="AA2178">
        <v>0</v>
      </c>
    </row>
    <row r="2179" spans="1:27" x14ac:dyDescent="0.2">
      <c r="A2179" t="s">
        <v>547</v>
      </c>
      <c r="B2179">
        <v>2020</v>
      </c>
      <c r="C2179">
        <v>5514012009</v>
      </c>
      <c r="D2179" t="s">
        <v>2962</v>
      </c>
      <c r="E2179" t="s">
        <v>29</v>
      </c>
      <c r="F2179" t="s">
        <v>30</v>
      </c>
      <c r="G2179">
        <v>5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 t="s">
        <v>31</v>
      </c>
      <c r="Z2179">
        <v>55</v>
      </c>
      <c r="AA2179">
        <v>0</v>
      </c>
    </row>
    <row r="2180" spans="1:27" x14ac:dyDescent="0.2">
      <c r="A2180" t="s">
        <v>547</v>
      </c>
      <c r="B2180">
        <v>2020</v>
      </c>
      <c r="C2180">
        <v>4260034036</v>
      </c>
      <c r="D2180" t="s">
        <v>2963</v>
      </c>
      <c r="E2180" t="s">
        <v>29</v>
      </c>
      <c r="F2180" t="s">
        <v>30</v>
      </c>
      <c r="G2180">
        <v>3</v>
      </c>
      <c r="H2180">
        <v>0</v>
      </c>
      <c r="I2180">
        <v>0</v>
      </c>
      <c r="J2180">
        <v>0</v>
      </c>
      <c r="K2180">
        <v>27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 t="s">
        <v>31</v>
      </c>
      <c r="Z2180">
        <v>55</v>
      </c>
      <c r="AA2180">
        <v>0</v>
      </c>
    </row>
    <row r="2181" spans="1:27" x14ac:dyDescent="0.2">
      <c r="A2181" t="s">
        <v>547</v>
      </c>
      <c r="B2181">
        <v>2020</v>
      </c>
      <c r="C2181">
        <v>6011003062</v>
      </c>
      <c r="D2181" t="s">
        <v>2964</v>
      </c>
      <c r="E2181" t="s">
        <v>29</v>
      </c>
      <c r="F2181" t="s">
        <v>30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27</v>
      </c>
      <c r="N2181">
        <v>0</v>
      </c>
      <c r="O2181">
        <v>25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 t="s">
        <v>31</v>
      </c>
      <c r="Z2181">
        <v>55</v>
      </c>
      <c r="AA2181">
        <v>0</v>
      </c>
    </row>
    <row r="2182" spans="1:27" x14ac:dyDescent="0.2">
      <c r="A2182" t="s">
        <v>547</v>
      </c>
      <c r="B2182">
        <v>2020</v>
      </c>
      <c r="C2182">
        <v>2338015002</v>
      </c>
      <c r="D2182" t="s">
        <v>2965</v>
      </c>
      <c r="E2182" t="s">
        <v>29</v>
      </c>
      <c r="F2182" t="s">
        <v>30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1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 t="s">
        <v>31</v>
      </c>
      <c r="Z2182">
        <v>55</v>
      </c>
      <c r="AA2182">
        <v>0</v>
      </c>
    </row>
    <row r="2183" spans="1:27" x14ac:dyDescent="0.2">
      <c r="A2183" t="s">
        <v>547</v>
      </c>
      <c r="B2183">
        <v>2020</v>
      </c>
      <c r="C2183">
        <v>2604028031</v>
      </c>
      <c r="D2183" t="s">
        <v>2966</v>
      </c>
      <c r="E2183" t="s">
        <v>29</v>
      </c>
      <c r="F2183" t="s">
        <v>30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54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 t="s">
        <v>31</v>
      </c>
      <c r="Z2183">
        <v>55</v>
      </c>
      <c r="AA2183">
        <v>0</v>
      </c>
    </row>
    <row r="2184" spans="1:27" x14ac:dyDescent="0.2">
      <c r="A2184" t="s">
        <v>547</v>
      </c>
      <c r="B2184">
        <v>2020</v>
      </c>
      <c r="C2184">
        <v>2138007005</v>
      </c>
      <c r="D2184" t="s">
        <v>2967</v>
      </c>
      <c r="E2184" t="s">
        <v>29</v>
      </c>
      <c r="F2184" t="s">
        <v>30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41</v>
      </c>
      <c r="N2184">
        <v>0</v>
      </c>
      <c r="O2184">
        <v>38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 t="s">
        <v>31</v>
      </c>
      <c r="Z2184">
        <v>55</v>
      </c>
      <c r="AA2184">
        <v>0</v>
      </c>
    </row>
    <row r="2185" spans="1:27" x14ac:dyDescent="0.2">
      <c r="A2185" t="s">
        <v>547</v>
      </c>
      <c r="B2185">
        <v>2020</v>
      </c>
      <c r="C2185">
        <v>5156006003</v>
      </c>
      <c r="D2185" t="s">
        <v>2968</v>
      </c>
      <c r="E2185" t="s">
        <v>29</v>
      </c>
      <c r="F2185" t="s">
        <v>30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63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 t="s">
        <v>31</v>
      </c>
      <c r="Z2185">
        <v>55</v>
      </c>
      <c r="AA2185">
        <v>0</v>
      </c>
    </row>
    <row r="2186" spans="1:27" x14ac:dyDescent="0.2">
      <c r="A2186" t="s">
        <v>547</v>
      </c>
      <c r="B2186">
        <v>2020</v>
      </c>
      <c r="C2186">
        <v>5501004006</v>
      </c>
      <c r="D2186" t="s">
        <v>2969</v>
      </c>
      <c r="E2186" t="s">
        <v>29</v>
      </c>
      <c r="F2186" t="s">
        <v>30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19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 t="s">
        <v>31</v>
      </c>
      <c r="Z2186">
        <v>55</v>
      </c>
      <c r="AA2186">
        <v>0</v>
      </c>
    </row>
    <row r="2187" spans="1:27" x14ac:dyDescent="0.2">
      <c r="A2187" t="s">
        <v>547</v>
      </c>
      <c r="B2187">
        <v>2020</v>
      </c>
      <c r="C2187">
        <v>5109023005</v>
      </c>
      <c r="D2187" t="s">
        <v>2970</v>
      </c>
      <c r="E2187" t="s">
        <v>29</v>
      </c>
      <c r="F2187" t="s">
        <v>30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3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 t="s">
        <v>31</v>
      </c>
      <c r="Z2187">
        <v>55</v>
      </c>
      <c r="AA2187">
        <v>0</v>
      </c>
    </row>
    <row r="2188" spans="1:27" x14ac:dyDescent="0.2">
      <c r="A2188" t="s">
        <v>1127</v>
      </c>
      <c r="B2188">
        <v>2020</v>
      </c>
      <c r="C2188" t="s">
        <v>1128</v>
      </c>
      <c r="D2188" t="s">
        <v>1129</v>
      </c>
      <c r="E2188" t="s">
        <v>29</v>
      </c>
      <c r="F2188" t="s">
        <v>30</v>
      </c>
      <c r="G2188">
        <v>0</v>
      </c>
      <c r="H2188">
        <v>0</v>
      </c>
      <c r="I2188">
        <v>4</v>
      </c>
      <c r="J2188">
        <v>0</v>
      </c>
      <c r="K2188">
        <v>0</v>
      </c>
      <c r="L2188">
        <v>4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 t="s">
        <v>31</v>
      </c>
      <c r="AA2188">
        <v>0</v>
      </c>
    </row>
    <row r="2189" spans="1:27" x14ac:dyDescent="0.2">
      <c r="A2189" t="s">
        <v>1127</v>
      </c>
      <c r="B2189">
        <v>2020</v>
      </c>
      <c r="C2189" t="s">
        <v>1400</v>
      </c>
      <c r="D2189" t="s">
        <v>1401</v>
      </c>
      <c r="E2189" t="s">
        <v>29</v>
      </c>
      <c r="F2189" t="s">
        <v>41</v>
      </c>
      <c r="G2189">
        <v>0</v>
      </c>
      <c r="H2189">
        <v>0</v>
      </c>
      <c r="I2189">
        <v>1</v>
      </c>
      <c r="J2189">
        <v>0</v>
      </c>
      <c r="K2189">
        <v>0</v>
      </c>
      <c r="L2189">
        <v>1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 t="s">
        <v>31</v>
      </c>
      <c r="AA2189">
        <v>0</v>
      </c>
    </row>
    <row r="2190" spans="1:27" x14ac:dyDescent="0.2">
      <c r="A2190" t="s">
        <v>547</v>
      </c>
      <c r="B2190">
        <v>2020</v>
      </c>
      <c r="C2190">
        <v>2502024020</v>
      </c>
      <c r="D2190" t="s">
        <v>2971</v>
      </c>
      <c r="E2190" t="s">
        <v>29</v>
      </c>
      <c r="F2190" t="s">
        <v>30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3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 t="s">
        <v>31</v>
      </c>
      <c r="Z2190">
        <v>55</v>
      </c>
      <c r="AA2190">
        <v>0</v>
      </c>
    </row>
    <row r="2191" spans="1:27" x14ac:dyDescent="0.2">
      <c r="A2191" t="s">
        <v>547</v>
      </c>
      <c r="B2191">
        <v>2020</v>
      </c>
      <c r="C2191">
        <v>5160022012</v>
      </c>
      <c r="D2191" t="s">
        <v>2972</v>
      </c>
      <c r="E2191" t="s">
        <v>29</v>
      </c>
      <c r="F2191" t="s">
        <v>30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45</v>
      </c>
      <c r="N2191">
        <v>0</v>
      </c>
      <c r="O2191">
        <v>18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 t="s">
        <v>31</v>
      </c>
      <c r="Z2191">
        <v>55</v>
      </c>
      <c r="AA2191">
        <v>0</v>
      </c>
    </row>
    <row r="2192" spans="1:27" x14ac:dyDescent="0.2">
      <c r="A2192" t="s">
        <v>547</v>
      </c>
      <c r="B2192">
        <v>2020</v>
      </c>
      <c r="C2192">
        <v>6046021917</v>
      </c>
      <c r="D2192" t="s">
        <v>2973</v>
      </c>
      <c r="E2192" t="s">
        <v>29</v>
      </c>
      <c r="F2192" t="s">
        <v>30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73</v>
      </c>
      <c r="N2192">
        <v>0</v>
      </c>
      <c r="O2192">
        <v>18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 t="s">
        <v>31</v>
      </c>
      <c r="Z2192">
        <v>55</v>
      </c>
      <c r="AA2192">
        <v>0</v>
      </c>
    </row>
    <row r="2193" spans="1:27" x14ac:dyDescent="0.2">
      <c r="A2193" t="s">
        <v>1247</v>
      </c>
      <c r="B2193">
        <v>2020</v>
      </c>
      <c r="C2193" s="2" t="s">
        <v>2974</v>
      </c>
      <c r="D2193" t="s">
        <v>2975</v>
      </c>
      <c r="E2193" t="s">
        <v>29</v>
      </c>
      <c r="F2193" t="s">
        <v>30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3</v>
      </c>
      <c r="V2193">
        <v>0</v>
      </c>
      <c r="W2193">
        <v>0</v>
      </c>
      <c r="X2193">
        <v>0</v>
      </c>
      <c r="Y2193" t="s">
        <v>31</v>
      </c>
      <c r="Z2193">
        <v>55</v>
      </c>
      <c r="AA2193">
        <v>0</v>
      </c>
    </row>
    <row r="2194" spans="1:27" x14ac:dyDescent="0.2">
      <c r="A2194" t="s">
        <v>547</v>
      </c>
      <c r="B2194">
        <v>2020</v>
      </c>
      <c r="C2194">
        <v>5543008029</v>
      </c>
      <c r="D2194" t="s">
        <v>2976</v>
      </c>
      <c r="E2194" t="s">
        <v>29</v>
      </c>
      <c r="F2194" t="s">
        <v>30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24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 t="s">
        <v>31</v>
      </c>
      <c r="Z2194">
        <v>55</v>
      </c>
      <c r="AA2194">
        <v>0</v>
      </c>
    </row>
    <row r="2195" spans="1:27" x14ac:dyDescent="0.2">
      <c r="A2195" t="s">
        <v>424</v>
      </c>
      <c r="B2195">
        <v>2020</v>
      </c>
      <c r="C2195">
        <v>148170001</v>
      </c>
      <c r="D2195" t="s">
        <v>2977</v>
      </c>
      <c r="E2195" t="s">
        <v>29</v>
      </c>
      <c r="F2195" t="s">
        <v>30</v>
      </c>
      <c r="G2195">
        <v>12</v>
      </c>
      <c r="H2195">
        <v>0</v>
      </c>
      <c r="I2195">
        <v>0</v>
      </c>
      <c r="J2195">
        <v>0</v>
      </c>
      <c r="K2195">
        <v>24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 t="s">
        <v>31</v>
      </c>
      <c r="Z2195">
        <v>55</v>
      </c>
      <c r="AA2195">
        <v>0</v>
      </c>
    </row>
    <row r="2196" spans="1:27" x14ac:dyDescent="0.2">
      <c r="A2196" t="s">
        <v>219</v>
      </c>
      <c r="B2196">
        <v>2020</v>
      </c>
      <c r="C2196" t="s">
        <v>2978</v>
      </c>
      <c r="D2196" t="s">
        <v>223</v>
      </c>
      <c r="E2196" t="s">
        <v>29</v>
      </c>
      <c r="F2196" t="s">
        <v>30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28</v>
      </c>
      <c r="N2196">
        <v>0</v>
      </c>
      <c r="O2196">
        <v>315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 t="s">
        <v>31</v>
      </c>
      <c r="Z2196">
        <v>55</v>
      </c>
      <c r="AA2196">
        <v>0</v>
      </c>
    </row>
    <row r="2197" spans="1:27" x14ac:dyDescent="0.2">
      <c r="A2197" t="s">
        <v>524</v>
      </c>
      <c r="B2197">
        <v>2023</v>
      </c>
      <c r="C2197" s="2" t="s">
        <v>2979</v>
      </c>
      <c r="D2197" t="s">
        <v>2980</v>
      </c>
      <c r="E2197" t="s">
        <v>29</v>
      </c>
      <c r="F2197" t="s">
        <v>30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14</v>
      </c>
      <c r="V2197">
        <v>0</v>
      </c>
      <c r="W2197">
        <v>6</v>
      </c>
      <c r="X2197">
        <v>0</v>
      </c>
      <c r="Y2197" t="s">
        <v>51</v>
      </c>
      <c r="AA2197">
        <v>0</v>
      </c>
    </row>
    <row r="2198" spans="1:27" x14ac:dyDescent="0.2">
      <c r="A2198" t="s">
        <v>291</v>
      </c>
      <c r="B2198">
        <v>2020</v>
      </c>
      <c r="C2198" t="s">
        <v>2981</v>
      </c>
      <c r="D2198" t="s">
        <v>2982</v>
      </c>
      <c r="E2198" t="s">
        <v>29</v>
      </c>
      <c r="F2198" t="s">
        <v>30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20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 t="s">
        <v>51</v>
      </c>
      <c r="AA2198">
        <v>0</v>
      </c>
    </row>
    <row r="2199" spans="1:27" x14ac:dyDescent="0.2">
      <c r="A2199" t="s">
        <v>547</v>
      </c>
      <c r="B2199">
        <v>2020</v>
      </c>
      <c r="C2199">
        <v>5210024002</v>
      </c>
      <c r="D2199" t="s">
        <v>2983</v>
      </c>
      <c r="E2199" t="s">
        <v>29</v>
      </c>
      <c r="F2199" t="s">
        <v>30</v>
      </c>
      <c r="G2199">
        <v>49</v>
      </c>
      <c r="H2199">
        <v>0</v>
      </c>
      <c r="I2199">
        <v>47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 t="s">
        <v>31</v>
      </c>
      <c r="Z2199">
        <v>55</v>
      </c>
      <c r="AA2199">
        <v>0</v>
      </c>
    </row>
    <row r="2200" spans="1:27" x14ac:dyDescent="0.2">
      <c r="A2200" t="s">
        <v>547</v>
      </c>
      <c r="B2200">
        <v>2020</v>
      </c>
      <c r="C2200">
        <v>5082026012</v>
      </c>
      <c r="D2200" t="s">
        <v>2984</v>
      </c>
      <c r="E2200" t="s">
        <v>29</v>
      </c>
      <c r="F2200" t="s">
        <v>30</v>
      </c>
      <c r="G2200">
        <v>0</v>
      </c>
      <c r="H2200">
        <v>0</v>
      </c>
      <c r="I2200">
        <v>42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 t="s">
        <v>31</v>
      </c>
      <c r="Z2200">
        <v>55</v>
      </c>
      <c r="AA2200">
        <v>0</v>
      </c>
    </row>
    <row r="2201" spans="1:27" x14ac:dyDescent="0.2">
      <c r="A2201" t="s">
        <v>547</v>
      </c>
      <c r="B2201">
        <v>2020</v>
      </c>
      <c r="C2201">
        <v>5442025022</v>
      </c>
      <c r="D2201" t="s">
        <v>2985</v>
      </c>
      <c r="E2201" t="s">
        <v>29</v>
      </c>
      <c r="F2201" t="s">
        <v>30</v>
      </c>
      <c r="G2201">
        <v>3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 t="s">
        <v>31</v>
      </c>
      <c r="Z2201">
        <v>55</v>
      </c>
      <c r="AA2201">
        <v>0</v>
      </c>
    </row>
    <row r="2202" spans="1:27" x14ac:dyDescent="0.2">
      <c r="A2202" t="s">
        <v>547</v>
      </c>
      <c r="B2202">
        <v>2020</v>
      </c>
      <c r="C2202">
        <v>2264016004</v>
      </c>
      <c r="D2202" t="s">
        <v>2986</v>
      </c>
      <c r="E2202" t="s">
        <v>29</v>
      </c>
      <c r="F2202" t="s">
        <v>30</v>
      </c>
      <c r="G2202">
        <v>4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 t="s">
        <v>31</v>
      </c>
      <c r="Z2202">
        <v>55</v>
      </c>
      <c r="AA2202">
        <v>0</v>
      </c>
    </row>
    <row r="2203" spans="1:27" x14ac:dyDescent="0.2">
      <c r="A2203" t="s">
        <v>2529</v>
      </c>
      <c r="B2203">
        <v>2019</v>
      </c>
      <c r="C2203" t="s">
        <v>2530</v>
      </c>
      <c r="D2203" t="s">
        <v>2531</v>
      </c>
      <c r="E2203" t="s">
        <v>29</v>
      </c>
      <c r="F2203" t="s">
        <v>41</v>
      </c>
      <c r="G2203">
        <v>0</v>
      </c>
      <c r="H2203">
        <v>0</v>
      </c>
      <c r="I2203">
        <v>2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 t="s">
        <v>31</v>
      </c>
      <c r="AA2203">
        <v>0</v>
      </c>
    </row>
    <row r="2204" spans="1:27" x14ac:dyDescent="0.2">
      <c r="A2204" t="s">
        <v>547</v>
      </c>
      <c r="B2204">
        <v>2020</v>
      </c>
      <c r="C2204">
        <v>2419017013</v>
      </c>
      <c r="D2204" t="s">
        <v>2987</v>
      </c>
      <c r="E2204" t="s">
        <v>29</v>
      </c>
      <c r="F2204" t="s">
        <v>30</v>
      </c>
      <c r="G2204">
        <v>1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 t="s">
        <v>31</v>
      </c>
      <c r="Z2204">
        <v>55</v>
      </c>
      <c r="AA2204">
        <v>0</v>
      </c>
    </row>
    <row r="2205" spans="1:27" x14ac:dyDescent="0.2">
      <c r="A2205" t="s">
        <v>533</v>
      </c>
      <c r="B2205">
        <v>2022</v>
      </c>
      <c r="C2205" t="s">
        <v>1928</v>
      </c>
      <c r="D2205" t="s">
        <v>1929</v>
      </c>
      <c r="E2205" t="s">
        <v>29</v>
      </c>
      <c r="F2205" t="s">
        <v>41</v>
      </c>
      <c r="G2205">
        <v>0</v>
      </c>
      <c r="H2205">
        <v>0</v>
      </c>
      <c r="I2205">
        <v>0</v>
      </c>
      <c r="J2205">
        <v>0</v>
      </c>
      <c r="K2205">
        <v>2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2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 t="s">
        <v>31</v>
      </c>
      <c r="Z2205">
        <v>1000</v>
      </c>
      <c r="AA2205">
        <v>20</v>
      </c>
    </row>
    <row r="2206" spans="1:27" x14ac:dyDescent="0.2">
      <c r="A2206" t="s">
        <v>533</v>
      </c>
      <c r="B2206">
        <v>2022</v>
      </c>
      <c r="C2206" t="s">
        <v>2192</v>
      </c>
      <c r="D2206" t="s">
        <v>2193</v>
      </c>
      <c r="E2206" t="s">
        <v>29</v>
      </c>
      <c r="F2206" t="s">
        <v>41</v>
      </c>
      <c r="G2206">
        <v>0</v>
      </c>
      <c r="H2206">
        <v>0</v>
      </c>
      <c r="I2206">
        <v>0</v>
      </c>
      <c r="J2206">
        <v>0</v>
      </c>
      <c r="K2206">
        <v>1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1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 t="s">
        <v>31</v>
      </c>
      <c r="Z2206">
        <v>1000</v>
      </c>
      <c r="AA2206">
        <v>20</v>
      </c>
    </row>
    <row r="2207" spans="1:27" x14ac:dyDescent="0.2">
      <c r="A2207" t="s">
        <v>1418</v>
      </c>
      <c r="B2207">
        <v>2022</v>
      </c>
      <c r="C2207" t="s">
        <v>2988</v>
      </c>
      <c r="D2207" t="s">
        <v>2989</v>
      </c>
      <c r="E2207" t="s">
        <v>29</v>
      </c>
      <c r="F2207" t="s">
        <v>30</v>
      </c>
      <c r="G2207">
        <v>36</v>
      </c>
      <c r="H2207">
        <v>0</v>
      </c>
      <c r="I2207">
        <v>131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 t="s">
        <v>31</v>
      </c>
      <c r="Z2207">
        <v>55</v>
      </c>
      <c r="AA2207">
        <v>80</v>
      </c>
    </row>
    <row r="2208" spans="1:27" x14ac:dyDescent="0.2">
      <c r="A2208" t="s">
        <v>1418</v>
      </c>
      <c r="B2208">
        <v>2022</v>
      </c>
      <c r="C2208" t="s">
        <v>2990</v>
      </c>
      <c r="D2208" t="s">
        <v>2991</v>
      </c>
      <c r="E2208" t="s">
        <v>29</v>
      </c>
      <c r="F2208" t="s">
        <v>30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3</v>
      </c>
      <c r="N2208">
        <v>0</v>
      </c>
      <c r="O2208">
        <v>52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 t="s">
        <v>31</v>
      </c>
      <c r="AA2208">
        <v>0</v>
      </c>
    </row>
    <row r="2209" spans="1:27" x14ac:dyDescent="0.2">
      <c r="A2209" t="s">
        <v>88</v>
      </c>
      <c r="B2209">
        <v>2019</v>
      </c>
      <c r="C2209" t="s">
        <v>2992</v>
      </c>
      <c r="D2209" t="s">
        <v>2993</v>
      </c>
      <c r="E2209" t="s">
        <v>29</v>
      </c>
      <c r="F2209" t="s">
        <v>30</v>
      </c>
      <c r="G2209">
        <v>131</v>
      </c>
      <c r="H2209">
        <v>0</v>
      </c>
      <c r="I2209">
        <v>32</v>
      </c>
      <c r="J2209">
        <v>0</v>
      </c>
      <c r="K2209">
        <v>2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 t="s">
        <v>51</v>
      </c>
      <c r="AA2209">
        <v>0</v>
      </c>
    </row>
    <row r="2210" spans="1:27" x14ac:dyDescent="0.2">
      <c r="A2210" t="s">
        <v>88</v>
      </c>
      <c r="B2210">
        <v>2019</v>
      </c>
      <c r="C2210" t="s">
        <v>2994</v>
      </c>
      <c r="D2210" t="s">
        <v>2995</v>
      </c>
      <c r="E2210" t="s">
        <v>29</v>
      </c>
      <c r="F2210" t="s">
        <v>30</v>
      </c>
      <c r="G2210">
        <v>0</v>
      </c>
      <c r="H2210">
        <v>0</v>
      </c>
      <c r="I2210">
        <v>6</v>
      </c>
      <c r="J2210">
        <v>0</v>
      </c>
      <c r="K2210">
        <v>28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 t="s">
        <v>51</v>
      </c>
      <c r="AA2210">
        <v>0</v>
      </c>
    </row>
    <row r="2211" spans="1:27" x14ac:dyDescent="0.2">
      <c r="A2211" t="s">
        <v>43</v>
      </c>
      <c r="B2211">
        <v>2018</v>
      </c>
      <c r="C2211">
        <v>5531003010</v>
      </c>
      <c r="D2211" t="s">
        <v>2996</v>
      </c>
      <c r="E2211" t="s">
        <v>29</v>
      </c>
      <c r="F2211" t="s">
        <v>30</v>
      </c>
      <c r="G2211">
        <v>0</v>
      </c>
      <c r="H2211">
        <v>0</v>
      </c>
      <c r="I2211">
        <v>1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1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 t="s">
        <v>31</v>
      </c>
      <c r="Z2211">
        <v>1000</v>
      </c>
      <c r="AA2211">
        <v>0</v>
      </c>
    </row>
    <row r="2212" spans="1:27" x14ac:dyDescent="0.2">
      <c r="A2212" t="s">
        <v>533</v>
      </c>
      <c r="B2212">
        <v>2020</v>
      </c>
      <c r="C2212" t="s">
        <v>2997</v>
      </c>
      <c r="D2212" t="s">
        <v>2998</v>
      </c>
      <c r="E2212" t="s">
        <v>29</v>
      </c>
      <c r="F2212" t="s">
        <v>30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50</v>
      </c>
      <c r="N2212">
        <v>0</v>
      </c>
      <c r="O2212">
        <v>19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 t="s">
        <v>31</v>
      </c>
      <c r="Z2212">
        <v>50</v>
      </c>
      <c r="AA2212">
        <v>0</v>
      </c>
    </row>
    <row r="2213" spans="1:27" x14ac:dyDescent="0.2">
      <c r="A2213" t="s">
        <v>622</v>
      </c>
      <c r="B2213">
        <v>2019</v>
      </c>
      <c r="C2213" t="s">
        <v>909</v>
      </c>
      <c r="D2213" t="s">
        <v>910</v>
      </c>
      <c r="E2213" t="s">
        <v>29</v>
      </c>
      <c r="F2213" t="s">
        <v>30</v>
      </c>
      <c r="G2213">
        <v>43</v>
      </c>
      <c r="H2213">
        <v>0</v>
      </c>
      <c r="I2213">
        <v>20</v>
      </c>
      <c r="J2213">
        <v>0</v>
      </c>
      <c r="K2213">
        <v>0</v>
      </c>
      <c r="L2213">
        <v>2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 t="s">
        <v>51</v>
      </c>
      <c r="Z2213">
        <v>55</v>
      </c>
      <c r="AA2213">
        <v>0</v>
      </c>
    </row>
    <row r="2214" spans="1:27" x14ac:dyDescent="0.2">
      <c r="A2214" t="s">
        <v>622</v>
      </c>
      <c r="B2214">
        <v>2019</v>
      </c>
      <c r="C2214" t="s">
        <v>2999</v>
      </c>
      <c r="D2214" t="s">
        <v>3000</v>
      </c>
      <c r="E2214" t="s">
        <v>29</v>
      </c>
      <c r="F2214" t="s">
        <v>30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3</v>
      </c>
      <c r="T2214">
        <v>0</v>
      </c>
      <c r="U2214">
        <v>0</v>
      </c>
      <c r="V2214">
        <v>0</v>
      </c>
      <c r="W2214">
        <v>0</v>
      </c>
      <c r="X2214">
        <v>0</v>
      </c>
      <c r="Y2214" t="s">
        <v>51</v>
      </c>
      <c r="Z2214">
        <v>55</v>
      </c>
      <c r="AA2214">
        <v>0</v>
      </c>
    </row>
    <row r="2215" spans="1:27" x14ac:dyDescent="0.2">
      <c r="A2215" t="s">
        <v>547</v>
      </c>
      <c r="B2215">
        <v>2020</v>
      </c>
      <c r="C2215">
        <v>5082023002</v>
      </c>
      <c r="D2215" t="s">
        <v>3001</v>
      </c>
      <c r="E2215" t="s">
        <v>29</v>
      </c>
      <c r="F2215" t="s">
        <v>30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53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 t="s">
        <v>31</v>
      </c>
      <c r="Z2215">
        <v>55</v>
      </c>
      <c r="AA2215">
        <v>0</v>
      </c>
    </row>
    <row r="2216" spans="1:27" x14ac:dyDescent="0.2">
      <c r="A2216" t="s">
        <v>547</v>
      </c>
      <c r="B2216">
        <v>2020</v>
      </c>
      <c r="C2216">
        <v>5522015010</v>
      </c>
      <c r="D2216" t="s">
        <v>3002</v>
      </c>
      <c r="E2216" t="s">
        <v>29</v>
      </c>
      <c r="F2216" t="s">
        <v>30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3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 t="s">
        <v>31</v>
      </c>
      <c r="Z2216">
        <v>55</v>
      </c>
      <c r="AA2216">
        <v>0</v>
      </c>
    </row>
    <row r="2217" spans="1:27" x14ac:dyDescent="0.2">
      <c r="A2217" t="s">
        <v>547</v>
      </c>
      <c r="B2217">
        <v>2020</v>
      </c>
      <c r="C2217">
        <v>5521004020</v>
      </c>
      <c r="D2217" t="s">
        <v>3003</v>
      </c>
      <c r="E2217" t="s">
        <v>29</v>
      </c>
      <c r="F2217" t="s">
        <v>30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1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 t="s">
        <v>31</v>
      </c>
      <c r="Z2217">
        <v>55</v>
      </c>
      <c r="AA2217">
        <v>0</v>
      </c>
    </row>
    <row r="2218" spans="1:27" x14ac:dyDescent="0.2">
      <c r="A2218" t="s">
        <v>227</v>
      </c>
      <c r="B2218">
        <v>2019</v>
      </c>
      <c r="C2218" t="s">
        <v>3004</v>
      </c>
      <c r="D2218" t="s">
        <v>3005</v>
      </c>
      <c r="E2218" t="s">
        <v>29</v>
      </c>
      <c r="F2218" t="s">
        <v>41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1</v>
      </c>
      <c r="V2218">
        <v>0</v>
      </c>
      <c r="W2218">
        <v>2</v>
      </c>
      <c r="X2218">
        <v>0</v>
      </c>
      <c r="Y2218" t="s">
        <v>51</v>
      </c>
      <c r="Z2218">
        <v>45</v>
      </c>
      <c r="AA2218">
        <v>0</v>
      </c>
    </row>
    <row r="2219" spans="1:27" x14ac:dyDescent="0.2">
      <c r="A2219" t="s">
        <v>928</v>
      </c>
      <c r="B2219">
        <v>2019</v>
      </c>
      <c r="C2219" t="s">
        <v>3006</v>
      </c>
      <c r="D2219" t="s">
        <v>1374</v>
      </c>
      <c r="E2219" t="s">
        <v>29</v>
      </c>
      <c r="F2219" t="s">
        <v>41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1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 t="s">
        <v>51</v>
      </c>
      <c r="Z2219">
        <v>50</v>
      </c>
      <c r="AA2219">
        <v>0</v>
      </c>
    </row>
    <row r="2220" spans="1:27" x14ac:dyDescent="0.2">
      <c r="A2220" t="s">
        <v>1624</v>
      </c>
      <c r="B2220">
        <v>2020</v>
      </c>
      <c r="C2220" t="s">
        <v>2569</v>
      </c>
      <c r="D2220" t="s">
        <v>2570</v>
      </c>
      <c r="E2220" t="s">
        <v>29</v>
      </c>
      <c r="F2220" t="s">
        <v>30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34</v>
      </c>
      <c r="T2220">
        <v>0</v>
      </c>
      <c r="U2220">
        <v>68</v>
      </c>
      <c r="V2220">
        <v>0</v>
      </c>
      <c r="W2220">
        <v>0</v>
      </c>
      <c r="X2220">
        <v>0</v>
      </c>
      <c r="Y2220" t="s">
        <v>51</v>
      </c>
      <c r="Z2220">
        <v>55</v>
      </c>
      <c r="AA2220">
        <v>0</v>
      </c>
    </row>
    <row r="2221" spans="1:27" x14ac:dyDescent="0.2">
      <c r="A2221" t="s">
        <v>409</v>
      </c>
      <c r="B2221">
        <v>2019</v>
      </c>
      <c r="C2221" s="2" t="s">
        <v>3007</v>
      </c>
      <c r="D2221" t="s">
        <v>3008</v>
      </c>
      <c r="E2221" t="s">
        <v>29</v>
      </c>
      <c r="F2221" t="s">
        <v>30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2</v>
      </c>
      <c r="T2221">
        <v>0</v>
      </c>
      <c r="U2221">
        <v>0</v>
      </c>
      <c r="V2221">
        <v>0</v>
      </c>
      <c r="W2221">
        <v>0</v>
      </c>
      <c r="X2221">
        <v>0</v>
      </c>
      <c r="Y2221" t="s">
        <v>31</v>
      </c>
      <c r="Z2221">
        <v>55</v>
      </c>
      <c r="AA2221">
        <v>0</v>
      </c>
    </row>
    <row r="2222" spans="1:27" x14ac:dyDescent="0.2">
      <c r="A2222" t="s">
        <v>409</v>
      </c>
      <c r="B2222">
        <v>2019</v>
      </c>
      <c r="C2222" s="2" t="s">
        <v>3009</v>
      </c>
      <c r="D2222" t="s">
        <v>3010</v>
      </c>
      <c r="E2222" t="s">
        <v>29</v>
      </c>
      <c r="F2222" t="s">
        <v>30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49</v>
      </c>
      <c r="V2222">
        <v>0</v>
      </c>
      <c r="W2222">
        <v>0</v>
      </c>
      <c r="X2222">
        <v>0</v>
      </c>
      <c r="Y2222" t="s">
        <v>51</v>
      </c>
      <c r="Z2222">
        <v>30</v>
      </c>
      <c r="AA2222">
        <v>0</v>
      </c>
    </row>
    <row r="2223" spans="1:27" x14ac:dyDescent="0.2">
      <c r="A2223" t="s">
        <v>387</v>
      </c>
      <c r="B2223">
        <v>2020</v>
      </c>
      <c r="C2223" t="s">
        <v>3011</v>
      </c>
      <c r="D2223" t="s">
        <v>3012</v>
      </c>
      <c r="E2223" t="s">
        <v>29</v>
      </c>
      <c r="F2223" t="s">
        <v>30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12</v>
      </c>
      <c r="V2223">
        <v>0</v>
      </c>
      <c r="W2223">
        <v>0</v>
      </c>
      <c r="X2223">
        <v>0</v>
      </c>
      <c r="Y2223" t="s">
        <v>51</v>
      </c>
      <c r="Z2223">
        <v>1000</v>
      </c>
      <c r="AA2223">
        <v>0</v>
      </c>
    </row>
    <row r="2224" spans="1:27" ht="255" x14ac:dyDescent="0.2">
      <c r="A2224" t="s">
        <v>260</v>
      </c>
      <c r="B2224">
        <v>2021</v>
      </c>
      <c r="C2224" t="s">
        <v>2172</v>
      </c>
      <c r="D2224" s="1" t="s">
        <v>2173</v>
      </c>
      <c r="E2224" t="s">
        <v>29</v>
      </c>
      <c r="F2224" t="s">
        <v>30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24</v>
      </c>
      <c r="T2224">
        <v>0</v>
      </c>
      <c r="U2224">
        <v>23</v>
      </c>
      <c r="V2224">
        <v>0</v>
      </c>
      <c r="W2224">
        <v>0</v>
      </c>
      <c r="X2224">
        <v>0</v>
      </c>
      <c r="Y2224" t="s">
        <v>51</v>
      </c>
      <c r="Z2224">
        <v>1000</v>
      </c>
      <c r="AA2224">
        <v>0</v>
      </c>
    </row>
    <row r="2225" spans="1:27" x14ac:dyDescent="0.2">
      <c r="A2225" t="s">
        <v>1609</v>
      </c>
      <c r="B2225">
        <v>2021</v>
      </c>
      <c r="C2225">
        <v>1546102</v>
      </c>
      <c r="D2225" t="s">
        <v>1610</v>
      </c>
      <c r="E2225" t="s">
        <v>29</v>
      </c>
      <c r="F2225" t="s">
        <v>41</v>
      </c>
      <c r="G2225">
        <v>0</v>
      </c>
      <c r="H2225">
        <v>0</v>
      </c>
      <c r="I2225">
        <v>4</v>
      </c>
      <c r="J2225">
        <v>0</v>
      </c>
      <c r="K2225">
        <v>3</v>
      </c>
      <c r="L2225">
        <v>0</v>
      </c>
      <c r="M2225">
        <v>0</v>
      </c>
      <c r="N2225">
        <v>0</v>
      </c>
      <c r="O2225">
        <v>4</v>
      </c>
      <c r="P2225">
        <v>0</v>
      </c>
      <c r="Q2225">
        <v>3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 t="s">
        <v>51</v>
      </c>
      <c r="Z2225">
        <v>55</v>
      </c>
      <c r="AA2225">
        <v>0</v>
      </c>
    </row>
    <row r="2226" spans="1:27" x14ac:dyDescent="0.2">
      <c r="A2226" t="s">
        <v>876</v>
      </c>
      <c r="B2226">
        <v>2020</v>
      </c>
      <c r="C2226">
        <v>41208065</v>
      </c>
      <c r="D2226" t="s">
        <v>877</v>
      </c>
      <c r="E2226" t="s">
        <v>29</v>
      </c>
      <c r="F2226" t="s">
        <v>30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7</v>
      </c>
      <c r="T2226">
        <v>0</v>
      </c>
      <c r="U2226">
        <v>0</v>
      </c>
      <c r="V2226">
        <v>0</v>
      </c>
      <c r="W2226">
        <v>0</v>
      </c>
      <c r="X2226">
        <v>0</v>
      </c>
      <c r="Y2226" t="s">
        <v>31</v>
      </c>
      <c r="Z2226">
        <v>55</v>
      </c>
      <c r="AA2226">
        <v>0</v>
      </c>
    </row>
    <row r="2227" spans="1:27" x14ac:dyDescent="0.2">
      <c r="A2227" t="s">
        <v>876</v>
      </c>
      <c r="B2227">
        <v>2020</v>
      </c>
      <c r="C2227">
        <v>41208061</v>
      </c>
      <c r="D2227" t="s">
        <v>1160</v>
      </c>
      <c r="E2227" t="s">
        <v>29</v>
      </c>
      <c r="F2227" t="s">
        <v>41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1</v>
      </c>
      <c r="X2227">
        <v>0</v>
      </c>
      <c r="Y2227" t="s">
        <v>51</v>
      </c>
      <c r="Z2227">
        <v>45</v>
      </c>
      <c r="AA2227">
        <v>0</v>
      </c>
    </row>
    <row r="2228" spans="1:27" x14ac:dyDescent="0.2">
      <c r="A2228" t="s">
        <v>1285</v>
      </c>
      <c r="B2228">
        <v>2020</v>
      </c>
      <c r="C2228" t="s">
        <v>3013</v>
      </c>
      <c r="D2228" t="s">
        <v>3014</v>
      </c>
      <c r="E2228" t="s">
        <v>29</v>
      </c>
      <c r="F2228" t="s">
        <v>30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24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 t="s">
        <v>51</v>
      </c>
      <c r="Z2228">
        <v>55</v>
      </c>
      <c r="AA2228">
        <v>0</v>
      </c>
    </row>
    <row r="2229" spans="1:27" x14ac:dyDescent="0.2">
      <c r="A2229" t="s">
        <v>1285</v>
      </c>
      <c r="B2229">
        <v>2020</v>
      </c>
      <c r="C2229" t="s">
        <v>3015</v>
      </c>
      <c r="D2229" t="s">
        <v>3016</v>
      </c>
      <c r="E2229" t="s">
        <v>29</v>
      </c>
      <c r="F2229" t="s">
        <v>30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13</v>
      </c>
      <c r="N2229">
        <v>0</v>
      </c>
      <c r="O2229">
        <v>11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 t="s">
        <v>51</v>
      </c>
      <c r="Z2229">
        <v>55</v>
      </c>
      <c r="AA2229">
        <v>0</v>
      </c>
    </row>
    <row r="2230" spans="1:27" x14ac:dyDescent="0.2">
      <c r="A2230" t="s">
        <v>1285</v>
      </c>
      <c r="B2230">
        <v>2020</v>
      </c>
      <c r="C2230" t="s">
        <v>3017</v>
      </c>
      <c r="D2230" t="s">
        <v>3018</v>
      </c>
      <c r="E2230" t="s">
        <v>29</v>
      </c>
      <c r="F2230" t="s">
        <v>30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23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 t="s">
        <v>51</v>
      </c>
      <c r="Z2230">
        <v>55</v>
      </c>
      <c r="AA2230">
        <v>0</v>
      </c>
    </row>
    <row r="2231" spans="1:27" x14ac:dyDescent="0.2">
      <c r="A2231" t="s">
        <v>1327</v>
      </c>
      <c r="B2231">
        <v>2021</v>
      </c>
      <c r="C2231" t="s">
        <v>3019</v>
      </c>
      <c r="D2231" t="s">
        <v>3020</v>
      </c>
      <c r="E2231" t="s">
        <v>29</v>
      </c>
      <c r="F2231" t="s">
        <v>30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22</v>
      </c>
      <c r="N2231">
        <v>0</v>
      </c>
      <c r="O2231">
        <v>14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 t="s">
        <v>31</v>
      </c>
      <c r="Z2231">
        <v>99</v>
      </c>
      <c r="AA2231" s="2" t="s">
        <v>3021</v>
      </c>
    </row>
    <row r="2232" spans="1:27" x14ac:dyDescent="0.2">
      <c r="A2232" t="s">
        <v>27</v>
      </c>
      <c r="B2232">
        <v>2020</v>
      </c>
      <c r="C2232">
        <v>7269015028</v>
      </c>
      <c r="D2232" t="s">
        <v>3022</v>
      </c>
      <c r="E2232" t="s">
        <v>29</v>
      </c>
      <c r="F2232" t="s">
        <v>41</v>
      </c>
      <c r="G2232">
        <v>0</v>
      </c>
      <c r="H2232">
        <v>0</v>
      </c>
      <c r="I2232">
        <v>22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 t="s">
        <v>31</v>
      </c>
      <c r="Z2232">
        <v>55</v>
      </c>
      <c r="AA2232">
        <v>0</v>
      </c>
    </row>
    <row r="2233" spans="1:27" x14ac:dyDescent="0.2">
      <c r="A2233" t="s">
        <v>1226</v>
      </c>
      <c r="B2233">
        <v>2020</v>
      </c>
      <c r="C2233" t="s">
        <v>3023</v>
      </c>
      <c r="D2233" t="s">
        <v>3024</v>
      </c>
      <c r="E2233" t="s">
        <v>29</v>
      </c>
      <c r="F2233" t="s">
        <v>41</v>
      </c>
      <c r="G2233">
        <v>0</v>
      </c>
      <c r="H2233">
        <v>0</v>
      </c>
      <c r="I2233">
        <v>0</v>
      </c>
      <c r="J2233">
        <v>0</v>
      </c>
      <c r="K2233">
        <v>67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 t="s">
        <v>51</v>
      </c>
      <c r="AA2233">
        <v>0</v>
      </c>
    </row>
    <row r="2234" spans="1:27" x14ac:dyDescent="0.2">
      <c r="A2234" t="s">
        <v>3025</v>
      </c>
      <c r="B2234">
        <v>2019</v>
      </c>
      <c r="C2234">
        <v>129181120</v>
      </c>
      <c r="D2234" t="s">
        <v>3026</v>
      </c>
      <c r="E2234" t="s">
        <v>29</v>
      </c>
      <c r="F2234" t="s">
        <v>30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15</v>
      </c>
      <c r="V2234">
        <v>0</v>
      </c>
      <c r="W2234">
        <v>0</v>
      </c>
      <c r="X2234">
        <v>0</v>
      </c>
      <c r="Y2234" t="s">
        <v>31</v>
      </c>
      <c r="Z2234">
        <v>55</v>
      </c>
      <c r="AA2234">
        <v>0</v>
      </c>
    </row>
    <row r="2235" spans="1:27" x14ac:dyDescent="0.2">
      <c r="A2235" t="s">
        <v>271</v>
      </c>
      <c r="B2235">
        <v>2019</v>
      </c>
      <c r="C2235">
        <v>8636034</v>
      </c>
      <c r="D2235" t="s">
        <v>3027</v>
      </c>
      <c r="E2235" t="s">
        <v>29</v>
      </c>
      <c r="F2235" t="s">
        <v>41</v>
      </c>
      <c r="G2235">
        <v>0</v>
      </c>
      <c r="H2235">
        <v>0</v>
      </c>
      <c r="I2235">
        <v>0</v>
      </c>
      <c r="J2235">
        <v>0</v>
      </c>
      <c r="K2235">
        <v>6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 t="s">
        <v>51</v>
      </c>
      <c r="Z2235">
        <v>45</v>
      </c>
      <c r="AA2235">
        <v>0</v>
      </c>
    </row>
    <row r="2236" spans="1:27" x14ac:dyDescent="0.2">
      <c r="A2236" t="s">
        <v>27</v>
      </c>
      <c r="B2236">
        <v>2023</v>
      </c>
      <c r="C2236">
        <v>7281005003</v>
      </c>
      <c r="D2236" t="s">
        <v>3028</v>
      </c>
      <c r="E2236" t="s">
        <v>29</v>
      </c>
      <c r="F2236" t="s">
        <v>30</v>
      </c>
      <c r="G2236">
        <v>9</v>
      </c>
      <c r="H2236">
        <v>0</v>
      </c>
      <c r="I2236">
        <v>0</v>
      </c>
      <c r="J2236">
        <v>0</v>
      </c>
      <c r="K2236">
        <v>71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 t="s">
        <v>51</v>
      </c>
      <c r="AA2236">
        <v>0</v>
      </c>
    </row>
    <row r="2237" spans="1:27" x14ac:dyDescent="0.2">
      <c r="A2237" t="s">
        <v>321</v>
      </c>
      <c r="B2237">
        <v>2023</v>
      </c>
      <c r="C2237">
        <v>4276013030</v>
      </c>
      <c r="D2237" t="s">
        <v>3029</v>
      </c>
      <c r="E2237" t="s">
        <v>29</v>
      </c>
      <c r="F2237" t="s">
        <v>30</v>
      </c>
      <c r="G2237">
        <v>21</v>
      </c>
      <c r="H2237">
        <v>0</v>
      </c>
      <c r="I2237">
        <v>17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 t="s">
        <v>31</v>
      </c>
      <c r="Z2237">
        <v>55</v>
      </c>
      <c r="AA2237">
        <v>26</v>
      </c>
    </row>
    <row r="2238" spans="1:27" x14ac:dyDescent="0.2">
      <c r="A2238" t="s">
        <v>321</v>
      </c>
      <c r="B2238">
        <v>2023</v>
      </c>
      <c r="C2238" t="s">
        <v>3030</v>
      </c>
      <c r="D2238" t="s">
        <v>3031</v>
      </c>
      <c r="E2238" t="s">
        <v>29</v>
      </c>
      <c r="F2238" t="s">
        <v>30</v>
      </c>
      <c r="G2238">
        <v>0</v>
      </c>
      <c r="H2238">
        <v>0</v>
      </c>
      <c r="I2238">
        <v>0</v>
      </c>
      <c r="J2238">
        <v>0</v>
      </c>
      <c r="K2238">
        <v>8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 t="s">
        <v>51</v>
      </c>
      <c r="Z2238">
        <v>55</v>
      </c>
      <c r="AA2238">
        <v>0</v>
      </c>
    </row>
    <row r="2239" spans="1:27" x14ac:dyDescent="0.2">
      <c r="A2239" t="s">
        <v>321</v>
      </c>
      <c r="B2239">
        <v>2023</v>
      </c>
      <c r="C2239" t="s">
        <v>3032</v>
      </c>
      <c r="D2239" t="s">
        <v>3033</v>
      </c>
      <c r="E2239" t="s">
        <v>29</v>
      </c>
      <c r="F2239" t="s">
        <v>30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2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 t="s">
        <v>51</v>
      </c>
      <c r="Z2239">
        <v>55</v>
      </c>
      <c r="AA2239">
        <v>0</v>
      </c>
    </row>
    <row r="2240" spans="1:27" x14ac:dyDescent="0.2">
      <c r="A2240" t="s">
        <v>1500</v>
      </c>
      <c r="B2240">
        <v>2020</v>
      </c>
      <c r="C2240">
        <v>6021019013</v>
      </c>
      <c r="D2240" t="s">
        <v>2259</v>
      </c>
      <c r="E2240" t="s">
        <v>29</v>
      </c>
      <c r="F2240" t="s">
        <v>30</v>
      </c>
      <c r="G2240">
        <v>29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 t="s">
        <v>31</v>
      </c>
      <c r="Z2240">
        <v>55</v>
      </c>
      <c r="AA2240">
        <v>0</v>
      </c>
    </row>
    <row r="2241" spans="1:27" x14ac:dyDescent="0.2">
      <c r="A2241" t="s">
        <v>1500</v>
      </c>
      <c r="B2241">
        <v>2020</v>
      </c>
      <c r="C2241">
        <v>6076013028</v>
      </c>
      <c r="D2241" t="s">
        <v>2805</v>
      </c>
      <c r="E2241" t="s">
        <v>29</v>
      </c>
      <c r="F2241" t="s">
        <v>30</v>
      </c>
      <c r="G2241">
        <v>0</v>
      </c>
      <c r="H2241">
        <v>0</v>
      </c>
      <c r="I2241">
        <v>21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 t="s">
        <v>31</v>
      </c>
      <c r="Z2241">
        <v>55</v>
      </c>
      <c r="AA2241">
        <v>0</v>
      </c>
    </row>
    <row r="2242" spans="1:27" ht="85" x14ac:dyDescent="0.2">
      <c r="A2242" t="s">
        <v>1500</v>
      </c>
      <c r="B2242">
        <v>2020</v>
      </c>
      <c r="C2242">
        <v>6009010031</v>
      </c>
      <c r="D2242" s="1" t="s">
        <v>3034</v>
      </c>
      <c r="E2242" t="s">
        <v>29</v>
      </c>
      <c r="F2242" t="s">
        <v>30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2</v>
      </c>
      <c r="N2242">
        <v>0</v>
      </c>
      <c r="O2242">
        <v>53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 t="s">
        <v>31</v>
      </c>
      <c r="Z2242">
        <v>55</v>
      </c>
      <c r="AA2242">
        <v>0</v>
      </c>
    </row>
    <row r="2243" spans="1:27" x14ac:dyDescent="0.2">
      <c r="A2243" t="s">
        <v>3035</v>
      </c>
      <c r="B2243">
        <v>2021</v>
      </c>
      <c r="C2243" s="2" t="s">
        <v>3036</v>
      </c>
      <c r="D2243" t="s">
        <v>3037</v>
      </c>
      <c r="E2243" t="s">
        <v>29</v>
      </c>
      <c r="F2243" t="s">
        <v>30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38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 t="s">
        <v>51</v>
      </c>
      <c r="Z2243">
        <v>99</v>
      </c>
      <c r="AA2243">
        <v>0</v>
      </c>
    </row>
    <row r="2244" spans="1:27" x14ac:dyDescent="0.2">
      <c r="A2244" t="s">
        <v>433</v>
      </c>
      <c r="B2244">
        <v>2021</v>
      </c>
      <c r="C2244">
        <v>16741019</v>
      </c>
      <c r="D2244" t="s">
        <v>3038</v>
      </c>
      <c r="E2244" t="s">
        <v>29</v>
      </c>
      <c r="F2244" t="s">
        <v>41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1</v>
      </c>
      <c r="P2244">
        <v>0</v>
      </c>
      <c r="Q2244">
        <v>2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 t="s">
        <v>31</v>
      </c>
      <c r="Z2244">
        <v>55</v>
      </c>
      <c r="AA2244">
        <v>0</v>
      </c>
    </row>
    <row r="2245" spans="1:27" x14ac:dyDescent="0.2">
      <c r="A2245" t="s">
        <v>321</v>
      </c>
      <c r="B2245">
        <v>2023</v>
      </c>
      <c r="C2245" t="s">
        <v>3039</v>
      </c>
      <c r="D2245" t="s">
        <v>3040</v>
      </c>
      <c r="E2245" t="s">
        <v>29</v>
      </c>
      <c r="F2245" t="s">
        <v>30</v>
      </c>
      <c r="G2245">
        <v>12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 t="s">
        <v>51</v>
      </c>
      <c r="Z2245">
        <v>55</v>
      </c>
      <c r="AA2245">
        <v>0</v>
      </c>
    </row>
    <row r="2246" spans="1:27" x14ac:dyDescent="0.2">
      <c r="A2246" t="s">
        <v>1327</v>
      </c>
      <c r="B2246">
        <v>2021</v>
      </c>
      <c r="C2246" t="s">
        <v>3019</v>
      </c>
      <c r="D2246" t="s">
        <v>3020</v>
      </c>
      <c r="E2246" t="s">
        <v>29</v>
      </c>
      <c r="F2246" t="s">
        <v>30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7</v>
      </c>
      <c r="N2246">
        <v>0</v>
      </c>
      <c r="O2246">
        <v>5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 t="s">
        <v>31</v>
      </c>
      <c r="Z2246">
        <v>55</v>
      </c>
      <c r="AA2246" s="2" t="s">
        <v>3021</v>
      </c>
    </row>
    <row r="2247" spans="1:27" x14ac:dyDescent="0.2">
      <c r="A2247" t="s">
        <v>2268</v>
      </c>
      <c r="B2247">
        <v>2019</v>
      </c>
      <c r="C2247">
        <v>51336140</v>
      </c>
      <c r="D2247" t="s">
        <v>3041</v>
      </c>
      <c r="E2247" t="s">
        <v>29</v>
      </c>
      <c r="F2247" t="s">
        <v>41</v>
      </c>
      <c r="G2247">
        <v>0</v>
      </c>
      <c r="H2247">
        <v>0</v>
      </c>
      <c r="I2247">
        <v>0</v>
      </c>
      <c r="J2247">
        <v>0</v>
      </c>
      <c r="K2247">
        <v>1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 t="s">
        <v>51</v>
      </c>
      <c r="Z2247">
        <v>45</v>
      </c>
      <c r="AA2247">
        <v>0</v>
      </c>
    </row>
    <row r="2248" spans="1:27" x14ac:dyDescent="0.2">
      <c r="A2248" t="s">
        <v>876</v>
      </c>
      <c r="B2248">
        <v>2020</v>
      </c>
      <c r="C2248">
        <v>41208061</v>
      </c>
      <c r="D2248" t="s">
        <v>1096</v>
      </c>
      <c r="E2248" t="s">
        <v>29</v>
      </c>
      <c r="F2248" t="s">
        <v>41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1</v>
      </c>
      <c r="T2248">
        <v>0</v>
      </c>
      <c r="U2248">
        <v>0</v>
      </c>
      <c r="V2248">
        <v>0</v>
      </c>
      <c r="W2248">
        <v>0</v>
      </c>
      <c r="X2248">
        <v>0</v>
      </c>
      <c r="Y2248" t="s">
        <v>51</v>
      </c>
      <c r="Z2248">
        <v>45</v>
      </c>
      <c r="AA2248">
        <v>0</v>
      </c>
    </row>
    <row r="2249" spans="1:27" x14ac:dyDescent="0.2">
      <c r="A2249" t="s">
        <v>547</v>
      </c>
      <c r="B2249">
        <v>2020</v>
      </c>
      <c r="C2249">
        <v>2654012007</v>
      </c>
      <c r="D2249" t="s">
        <v>3042</v>
      </c>
      <c r="E2249" t="s">
        <v>29</v>
      </c>
      <c r="F2249" t="s">
        <v>30</v>
      </c>
      <c r="G2249">
        <v>5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 t="s">
        <v>31</v>
      </c>
      <c r="Z2249">
        <v>55</v>
      </c>
      <c r="AA2249">
        <v>0</v>
      </c>
    </row>
    <row r="2250" spans="1:27" x14ac:dyDescent="0.2">
      <c r="A2250" t="s">
        <v>547</v>
      </c>
      <c r="B2250">
        <v>2020</v>
      </c>
      <c r="C2250">
        <v>2565012028</v>
      </c>
      <c r="D2250" t="s">
        <v>3043</v>
      </c>
      <c r="E2250" t="s">
        <v>29</v>
      </c>
      <c r="F2250" t="s">
        <v>30</v>
      </c>
      <c r="G2250">
        <v>2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 t="s">
        <v>31</v>
      </c>
      <c r="Z2250">
        <v>55</v>
      </c>
      <c r="AA2250">
        <v>0</v>
      </c>
    </row>
    <row r="2251" spans="1:27" x14ac:dyDescent="0.2">
      <c r="A2251" t="s">
        <v>547</v>
      </c>
      <c r="B2251">
        <v>2020</v>
      </c>
      <c r="C2251">
        <v>5534019011</v>
      </c>
      <c r="D2251" t="s">
        <v>3044</v>
      </c>
      <c r="E2251" t="s">
        <v>29</v>
      </c>
      <c r="F2251" t="s">
        <v>30</v>
      </c>
      <c r="G2251">
        <v>2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 t="s">
        <v>31</v>
      </c>
      <c r="Z2251">
        <v>55</v>
      </c>
      <c r="AA2251">
        <v>0</v>
      </c>
    </row>
    <row r="2252" spans="1:27" x14ac:dyDescent="0.2">
      <c r="A2252" t="s">
        <v>1309</v>
      </c>
      <c r="B2252">
        <v>2022</v>
      </c>
      <c r="C2252" t="s">
        <v>1310</v>
      </c>
      <c r="E2252" t="s">
        <v>29</v>
      </c>
      <c r="F2252" t="s">
        <v>30</v>
      </c>
      <c r="G2252">
        <v>48</v>
      </c>
      <c r="H2252">
        <v>0</v>
      </c>
      <c r="I2252">
        <v>32</v>
      </c>
      <c r="J2252">
        <v>0</v>
      </c>
      <c r="K2252">
        <v>0</v>
      </c>
      <c r="L2252">
        <v>0</v>
      </c>
      <c r="M2252">
        <v>48</v>
      </c>
      <c r="N2252">
        <v>0</v>
      </c>
      <c r="O2252">
        <v>32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 t="s">
        <v>31</v>
      </c>
      <c r="Z2252">
        <v>55</v>
      </c>
      <c r="AA2252">
        <v>0</v>
      </c>
    </row>
    <row r="2253" spans="1:27" x14ac:dyDescent="0.2">
      <c r="A2253" t="s">
        <v>547</v>
      </c>
      <c r="B2253">
        <v>2020</v>
      </c>
      <c r="C2253">
        <v>5059003901</v>
      </c>
      <c r="D2253" t="s">
        <v>3045</v>
      </c>
      <c r="E2253" t="s">
        <v>29</v>
      </c>
      <c r="F2253" t="s">
        <v>30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5</v>
      </c>
      <c r="N2253">
        <v>0</v>
      </c>
      <c r="O2253">
        <v>42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 t="s">
        <v>31</v>
      </c>
      <c r="Z2253">
        <v>55</v>
      </c>
      <c r="AA2253">
        <v>0</v>
      </c>
    </row>
    <row r="2254" spans="1:27" x14ac:dyDescent="0.2">
      <c r="A2254" t="s">
        <v>904</v>
      </c>
      <c r="B2254">
        <v>2020</v>
      </c>
      <c r="C2254" t="s">
        <v>3046</v>
      </c>
      <c r="D2254" t="s">
        <v>3047</v>
      </c>
      <c r="E2254" t="s">
        <v>29</v>
      </c>
      <c r="F2254" t="s">
        <v>30</v>
      </c>
      <c r="G2254">
        <v>0</v>
      </c>
      <c r="H2254">
        <v>0</v>
      </c>
      <c r="I2254">
        <v>1</v>
      </c>
      <c r="J2254">
        <v>0</v>
      </c>
      <c r="K2254">
        <v>0</v>
      </c>
      <c r="L2254">
        <v>9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 t="s">
        <v>31</v>
      </c>
      <c r="Z2254">
        <v>55</v>
      </c>
      <c r="AA2254">
        <v>0</v>
      </c>
    </row>
    <row r="2255" spans="1:27" x14ac:dyDescent="0.2">
      <c r="A2255" t="s">
        <v>1609</v>
      </c>
      <c r="B2255">
        <v>2021</v>
      </c>
      <c r="C2255">
        <v>1824120</v>
      </c>
      <c r="D2255" t="s">
        <v>1903</v>
      </c>
      <c r="E2255" t="s">
        <v>29</v>
      </c>
      <c r="F2255" t="s">
        <v>30</v>
      </c>
      <c r="G2255">
        <v>0</v>
      </c>
      <c r="H2255">
        <v>10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 t="s">
        <v>51</v>
      </c>
      <c r="Z2255">
        <v>55</v>
      </c>
      <c r="AA2255">
        <v>0</v>
      </c>
    </row>
    <row r="2256" spans="1:27" x14ac:dyDescent="0.2">
      <c r="A2256" t="s">
        <v>3025</v>
      </c>
      <c r="B2256">
        <v>2019</v>
      </c>
      <c r="C2256">
        <v>129181120</v>
      </c>
      <c r="D2256" t="s">
        <v>3026</v>
      </c>
      <c r="E2256" t="s">
        <v>29</v>
      </c>
      <c r="F2256" t="s">
        <v>30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24</v>
      </c>
      <c r="V2256">
        <v>0</v>
      </c>
      <c r="W2256">
        <v>0</v>
      </c>
      <c r="X2256">
        <v>0</v>
      </c>
      <c r="Y2256" t="s">
        <v>31</v>
      </c>
      <c r="Z2256">
        <v>55</v>
      </c>
      <c r="AA2256">
        <v>0</v>
      </c>
    </row>
    <row r="2257" spans="1:27" x14ac:dyDescent="0.2">
      <c r="A2257" t="s">
        <v>547</v>
      </c>
      <c r="B2257">
        <v>2020</v>
      </c>
      <c r="C2257">
        <v>5037031023</v>
      </c>
      <c r="D2257" t="s">
        <v>3048</v>
      </c>
      <c r="E2257" t="s">
        <v>29</v>
      </c>
      <c r="F2257" t="s">
        <v>30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8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 t="s">
        <v>31</v>
      </c>
      <c r="Z2257">
        <v>55</v>
      </c>
      <c r="AA2257">
        <v>0</v>
      </c>
    </row>
    <row r="2258" spans="1:27" x14ac:dyDescent="0.2">
      <c r="A2258" t="s">
        <v>547</v>
      </c>
      <c r="B2258">
        <v>2020</v>
      </c>
      <c r="C2258">
        <v>4240018045</v>
      </c>
      <c r="D2258" t="s">
        <v>3049</v>
      </c>
      <c r="E2258" t="s">
        <v>29</v>
      </c>
      <c r="F2258" t="s">
        <v>30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34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 t="s">
        <v>31</v>
      </c>
      <c r="Z2258">
        <v>55</v>
      </c>
      <c r="AA2258">
        <v>0</v>
      </c>
    </row>
    <row r="2259" spans="1:27" x14ac:dyDescent="0.2">
      <c r="A2259" t="s">
        <v>547</v>
      </c>
      <c r="B2259">
        <v>2020</v>
      </c>
      <c r="C2259">
        <v>5124034005</v>
      </c>
      <c r="D2259" t="s">
        <v>3050</v>
      </c>
      <c r="E2259" t="s">
        <v>29</v>
      </c>
      <c r="F2259" t="s">
        <v>30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121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 t="s">
        <v>31</v>
      </c>
      <c r="Z2259">
        <v>55</v>
      </c>
      <c r="AA2259">
        <v>0</v>
      </c>
    </row>
    <row r="2260" spans="1:27" x14ac:dyDescent="0.2">
      <c r="A2260" t="s">
        <v>547</v>
      </c>
      <c r="B2260">
        <v>2020</v>
      </c>
      <c r="C2260">
        <v>5160009004</v>
      </c>
      <c r="D2260" t="s">
        <v>3051</v>
      </c>
      <c r="E2260" t="s">
        <v>29</v>
      </c>
      <c r="F2260" t="s">
        <v>30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3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 t="s">
        <v>31</v>
      </c>
      <c r="Z2260">
        <v>55</v>
      </c>
      <c r="AA2260">
        <v>0</v>
      </c>
    </row>
    <row r="2261" spans="1:27" x14ac:dyDescent="0.2">
      <c r="A2261" t="s">
        <v>547</v>
      </c>
      <c r="B2261">
        <v>2020</v>
      </c>
      <c r="C2261">
        <v>5160013039</v>
      </c>
      <c r="D2261" t="s">
        <v>3052</v>
      </c>
      <c r="E2261" t="s">
        <v>29</v>
      </c>
      <c r="F2261" t="s">
        <v>30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5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 t="s">
        <v>31</v>
      </c>
      <c r="Z2261">
        <v>55</v>
      </c>
      <c r="AA2261">
        <v>0</v>
      </c>
    </row>
    <row r="2262" spans="1:27" x14ac:dyDescent="0.2">
      <c r="A2262" t="s">
        <v>163</v>
      </c>
      <c r="B2262">
        <v>2019</v>
      </c>
      <c r="C2262">
        <v>4702301300</v>
      </c>
      <c r="D2262" t="s">
        <v>3053</v>
      </c>
      <c r="E2262" t="s">
        <v>29</v>
      </c>
      <c r="F2262" t="s">
        <v>30</v>
      </c>
      <c r="G2262">
        <v>10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 t="s">
        <v>31</v>
      </c>
      <c r="Z2262">
        <v>55</v>
      </c>
      <c r="AA2262">
        <v>0</v>
      </c>
    </row>
    <row r="2263" spans="1:27" x14ac:dyDescent="0.2">
      <c r="A2263" t="s">
        <v>321</v>
      </c>
      <c r="B2263">
        <v>2022</v>
      </c>
      <c r="C2263">
        <v>4283013024</v>
      </c>
      <c r="D2263" t="s">
        <v>3054</v>
      </c>
      <c r="E2263" t="s">
        <v>29</v>
      </c>
      <c r="F2263" t="s">
        <v>30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57</v>
      </c>
      <c r="N2263">
        <v>0</v>
      </c>
      <c r="O2263">
        <v>1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 t="s">
        <v>51</v>
      </c>
      <c r="Z2263">
        <v>55</v>
      </c>
      <c r="AA2263">
        <v>0</v>
      </c>
    </row>
    <row r="2264" spans="1:27" x14ac:dyDescent="0.2">
      <c r="A2264" t="s">
        <v>321</v>
      </c>
      <c r="B2264">
        <v>2022</v>
      </c>
      <c r="C2264" t="s">
        <v>3055</v>
      </c>
      <c r="D2264" t="s">
        <v>3056</v>
      </c>
      <c r="E2264" t="s">
        <v>29</v>
      </c>
      <c r="F2264" t="s">
        <v>30</v>
      </c>
      <c r="G2264">
        <v>0</v>
      </c>
      <c r="H2264">
        <v>0</v>
      </c>
      <c r="I2264">
        <v>84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 t="s">
        <v>31</v>
      </c>
      <c r="Z2264">
        <v>99</v>
      </c>
      <c r="AA2264">
        <v>73</v>
      </c>
    </row>
    <row r="2265" spans="1:27" x14ac:dyDescent="0.2">
      <c r="A2265" t="s">
        <v>2316</v>
      </c>
      <c r="B2265">
        <v>2022</v>
      </c>
      <c r="C2265">
        <v>38912020</v>
      </c>
      <c r="D2265" t="s">
        <v>2317</v>
      </c>
      <c r="E2265" t="s">
        <v>29</v>
      </c>
      <c r="F2265" t="s">
        <v>41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 t="s">
        <v>31</v>
      </c>
      <c r="Z2265">
        <v>1000</v>
      </c>
      <c r="AA2265">
        <v>32.5</v>
      </c>
    </row>
    <row r="2266" spans="1:27" x14ac:dyDescent="0.2">
      <c r="A2266" t="s">
        <v>2316</v>
      </c>
      <c r="B2266">
        <v>2022</v>
      </c>
      <c r="C2266">
        <v>38912020</v>
      </c>
      <c r="D2266" t="s">
        <v>2317</v>
      </c>
      <c r="E2266" t="s">
        <v>29</v>
      </c>
      <c r="F2266" t="s">
        <v>41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1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 t="s">
        <v>31</v>
      </c>
      <c r="Z2266">
        <v>1000</v>
      </c>
      <c r="AA2266">
        <v>32.5</v>
      </c>
    </row>
    <row r="2267" spans="1:27" x14ac:dyDescent="0.2">
      <c r="A2267" t="s">
        <v>2316</v>
      </c>
      <c r="B2267">
        <v>2022</v>
      </c>
      <c r="C2267">
        <v>38912020</v>
      </c>
      <c r="D2267" t="s">
        <v>2317</v>
      </c>
      <c r="E2267" t="s">
        <v>29</v>
      </c>
      <c r="F2267" t="s">
        <v>41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 t="s">
        <v>31</v>
      </c>
      <c r="Z2267">
        <v>1000</v>
      </c>
      <c r="AA2267">
        <v>32.5</v>
      </c>
    </row>
    <row r="2268" spans="1:27" x14ac:dyDescent="0.2">
      <c r="A2268" t="s">
        <v>227</v>
      </c>
      <c r="B2268">
        <v>2022</v>
      </c>
      <c r="C2268" t="s">
        <v>3057</v>
      </c>
      <c r="D2268" t="s">
        <v>3058</v>
      </c>
      <c r="E2268" t="s">
        <v>29</v>
      </c>
      <c r="F2268" t="s">
        <v>41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 t="s">
        <v>51</v>
      </c>
      <c r="Z2268">
        <v>45</v>
      </c>
      <c r="AA2268">
        <v>0</v>
      </c>
    </row>
    <row r="2269" spans="1:27" x14ac:dyDescent="0.2">
      <c r="A2269" t="s">
        <v>260</v>
      </c>
      <c r="B2269">
        <v>2021</v>
      </c>
      <c r="C2269" t="s">
        <v>3059</v>
      </c>
      <c r="D2269" t="s">
        <v>3060</v>
      </c>
      <c r="E2269" t="s">
        <v>29</v>
      </c>
      <c r="F2269" t="s">
        <v>30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64</v>
      </c>
      <c r="T2269">
        <v>0</v>
      </c>
      <c r="U2269">
        <v>12</v>
      </c>
      <c r="V2269">
        <v>0</v>
      </c>
      <c r="W2269">
        <v>0</v>
      </c>
      <c r="X2269">
        <v>0</v>
      </c>
      <c r="Y2269" t="s">
        <v>51</v>
      </c>
      <c r="Z2269">
        <v>55</v>
      </c>
      <c r="AA2269">
        <v>0</v>
      </c>
    </row>
    <row r="2270" spans="1:27" x14ac:dyDescent="0.2">
      <c r="A2270" t="s">
        <v>1658</v>
      </c>
      <c r="B2270">
        <v>2022</v>
      </c>
      <c r="C2270" t="s">
        <v>3061</v>
      </c>
      <c r="D2270" t="s">
        <v>3062</v>
      </c>
      <c r="E2270" t="s">
        <v>29</v>
      </c>
      <c r="F2270" t="s">
        <v>41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1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 t="s">
        <v>51</v>
      </c>
      <c r="Z2270">
        <v>1000</v>
      </c>
      <c r="AA2270">
        <v>0</v>
      </c>
    </row>
    <row r="2271" spans="1:27" x14ac:dyDescent="0.2">
      <c r="A2271" t="s">
        <v>1449</v>
      </c>
      <c r="B2271">
        <v>2021</v>
      </c>
      <c r="C2271" t="s">
        <v>2090</v>
      </c>
      <c r="D2271" t="s">
        <v>2536</v>
      </c>
      <c r="E2271" t="s">
        <v>29</v>
      </c>
      <c r="F2271" t="s">
        <v>30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7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 t="s">
        <v>31</v>
      </c>
      <c r="AA2271">
        <v>35</v>
      </c>
    </row>
    <row r="2272" spans="1:27" x14ac:dyDescent="0.2">
      <c r="A2272" t="s">
        <v>1449</v>
      </c>
      <c r="B2272">
        <v>2021</v>
      </c>
      <c r="C2272" t="s">
        <v>1462</v>
      </c>
      <c r="D2272" t="s">
        <v>3063</v>
      </c>
      <c r="E2272" t="s">
        <v>29</v>
      </c>
      <c r="F2272" t="s">
        <v>30</v>
      </c>
      <c r="G2272">
        <v>7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 t="s">
        <v>31</v>
      </c>
      <c r="AA2272">
        <v>35</v>
      </c>
    </row>
    <row r="2273" spans="1:27" x14ac:dyDescent="0.2">
      <c r="A2273" t="s">
        <v>1188</v>
      </c>
      <c r="B2273">
        <v>2020</v>
      </c>
      <c r="C2273" t="s">
        <v>1189</v>
      </c>
      <c r="D2273" t="s">
        <v>3064</v>
      </c>
      <c r="E2273" t="s">
        <v>29</v>
      </c>
      <c r="F2273" t="s">
        <v>30</v>
      </c>
      <c r="G2273">
        <v>12</v>
      </c>
      <c r="H2273">
        <v>0</v>
      </c>
      <c r="I2273">
        <v>117</v>
      </c>
      <c r="J2273">
        <v>0</v>
      </c>
      <c r="K2273">
        <v>0</v>
      </c>
      <c r="L2273">
        <v>1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 t="s">
        <v>31</v>
      </c>
      <c r="Z2273">
        <v>55</v>
      </c>
      <c r="AA2273">
        <v>0</v>
      </c>
    </row>
    <row r="2274" spans="1:27" x14ac:dyDescent="0.2">
      <c r="A2274" t="s">
        <v>260</v>
      </c>
      <c r="B2274">
        <v>2019</v>
      </c>
      <c r="C2274" t="s">
        <v>3065</v>
      </c>
      <c r="D2274" t="s">
        <v>3066</v>
      </c>
      <c r="E2274" t="s">
        <v>29</v>
      </c>
      <c r="F2274" t="s">
        <v>30</v>
      </c>
      <c r="G2274">
        <v>64</v>
      </c>
      <c r="H2274">
        <v>0</v>
      </c>
      <c r="I2274">
        <v>12</v>
      </c>
      <c r="J2274">
        <v>0</v>
      </c>
      <c r="K2274">
        <v>0</v>
      </c>
      <c r="L2274">
        <v>0</v>
      </c>
      <c r="M2274">
        <v>64</v>
      </c>
      <c r="N2274">
        <v>0</v>
      </c>
      <c r="O2274">
        <v>12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 t="s">
        <v>51</v>
      </c>
      <c r="AA2274">
        <v>0</v>
      </c>
    </row>
    <row r="2275" spans="1:27" x14ac:dyDescent="0.2">
      <c r="A2275" t="s">
        <v>1809</v>
      </c>
      <c r="B2275">
        <v>2020</v>
      </c>
      <c r="C2275" t="s">
        <v>1810</v>
      </c>
      <c r="D2275" t="s">
        <v>3067</v>
      </c>
      <c r="E2275" t="s">
        <v>29</v>
      </c>
      <c r="F2275" t="s">
        <v>30</v>
      </c>
      <c r="G2275">
        <v>20</v>
      </c>
      <c r="H2275">
        <v>0</v>
      </c>
      <c r="I2275">
        <v>30</v>
      </c>
      <c r="J2275">
        <v>0</v>
      </c>
      <c r="K2275">
        <v>27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 t="s">
        <v>31</v>
      </c>
      <c r="Z2275">
        <v>55</v>
      </c>
      <c r="AA2275">
        <v>0</v>
      </c>
    </row>
    <row r="2276" spans="1:27" x14ac:dyDescent="0.2">
      <c r="A2276" t="s">
        <v>3068</v>
      </c>
      <c r="B2276">
        <v>2020</v>
      </c>
      <c r="C2276" t="s">
        <v>3069</v>
      </c>
      <c r="D2276" t="s">
        <v>3070</v>
      </c>
      <c r="E2276" t="s">
        <v>29</v>
      </c>
      <c r="F2276" t="s">
        <v>30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36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 t="s">
        <v>31</v>
      </c>
      <c r="Z2276">
        <v>55</v>
      </c>
      <c r="AA2276">
        <v>0</v>
      </c>
    </row>
    <row r="2277" spans="1:27" x14ac:dyDescent="0.2">
      <c r="A2277" t="s">
        <v>88</v>
      </c>
      <c r="B2277">
        <v>2018</v>
      </c>
      <c r="C2277" t="s">
        <v>3071</v>
      </c>
      <c r="D2277" t="s">
        <v>3072</v>
      </c>
      <c r="E2277" t="s">
        <v>29</v>
      </c>
      <c r="F2277" t="s">
        <v>41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1</v>
      </c>
      <c r="X2277">
        <v>0</v>
      </c>
      <c r="Y2277" t="s">
        <v>31</v>
      </c>
      <c r="Z2277">
        <v>20</v>
      </c>
      <c r="AA2277">
        <v>0</v>
      </c>
    </row>
    <row r="2278" spans="1:27" x14ac:dyDescent="0.2">
      <c r="A2278" t="s">
        <v>88</v>
      </c>
      <c r="B2278">
        <v>2018</v>
      </c>
      <c r="C2278" t="s">
        <v>3073</v>
      </c>
      <c r="D2278" t="s">
        <v>3074</v>
      </c>
      <c r="E2278" t="s">
        <v>29</v>
      </c>
      <c r="F2278" t="s">
        <v>41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1</v>
      </c>
      <c r="X2278">
        <v>0</v>
      </c>
      <c r="Y2278" t="s">
        <v>51</v>
      </c>
      <c r="Z2278">
        <v>20</v>
      </c>
      <c r="AA2278">
        <v>0</v>
      </c>
    </row>
    <row r="2279" spans="1:27" x14ac:dyDescent="0.2">
      <c r="A2279" t="s">
        <v>88</v>
      </c>
      <c r="B2279">
        <v>2018</v>
      </c>
      <c r="C2279" t="s">
        <v>3075</v>
      </c>
      <c r="D2279" t="s">
        <v>3076</v>
      </c>
      <c r="E2279" t="s">
        <v>29</v>
      </c>
      <c r="F2279" t="s">
        <v>41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1</v>
      </c>
      <c r="X2279">
        <v>0</v>
      </c>
      <c r="Y2279" t="s">
        <v>51</v>
      </c>
      <c r="Z2279">
        <v>20</v>
      </c>
      <c r="AA2279">
        <v>0</v>
      </c>
    </row>
    <row r="2280" spans="1:27" x14ac:dyDescent="0.2">
      <c r="A2280" t="s">
        <v>737</v>
      </c>
      <c r="B2280">
        <v>2019</v>
      </c>
      <c r="C2280" t="s">
        <v>3077</v>
      </c>
      <c r="D2280" t="s">
        <v>3078</v>
      </c>
      <c r="E2280" t="s">
        <v>29</v>
      </c>
      <c r="F2280" t="s">
        <v>30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1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 t="s">
        <v>31</v>
      </c>
      <c r="Z2280">
        <v>55</v>
      </c>
      <c r="AA2280">
        <v>0</v>
      </c>
    </row>
    <row r="2281" spans="1:27" x14ac:dyDescent="0.2">
      <c r="A2281" t="s">
        <v>271</v>
      </c>
      <c r="B2281">
        <v>2020</v>
      </c>
      <c r="C2281">
        <v>2606009</v>
      </c>
      <c r="D2281" t="s">
        <v>3079</v>
      </c>
      <c r="E2281" t="s">
        <v>29</v>
      </c>
      <c r="F2281" t="s">
        <v>30</v>
      </c>
      <c r="G2281">
        <v>7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 t="s">
        <v>51</v>
      </c>
      <c r="Z2281">
        <v>55</v>
      </c>
      <c r="AA2281">
        <v>0</v>
      </c>
    </row>
    <row r="2282" spans="1:27" x14ac:dyDescent="0.2">
      <c r="A2282" t="s">
        <v>267</v>
      </c>
      <c r="B2282">
        <v>2020</v>
      </c>
      <c r="C2282" t="s">
        <v>3080</v>
      </c>
      <c r="D2282" t="s">
        <v>3081</v>
      </c>
      <c r="E2282" t="s">
        <v>29</v>
      </c>
      <c r="F2282" t="s">
        <v>30</v>
      </c>
      <c r="G2282">
        <v>4</v>
      </c>
      <c r="H2282">
        <v>0</v>
      </c>
      <c r="I2282">
        <v>1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 t="s">
        <v>31</v>
      </c>
      <c r="Z2282">
        <v>55</v>
      </c>
      <c r="AA2282">
        <v>0</v>
      </c>
    </row>
    <row r="2283" spans="1:27" x14ac:dyDescent="0.2">
      <c r="A2283" t="s">
        <v>219</v>
      </c>
      <c r="B2283">
        <v>2022</v>
      </c>
      <c r="C2283" t="s">
        <v>3082</v>
      </c>
      <c r="D2283" t="s">
        <v>3083</v>
      </c>
      <c r="E2283" t="s">
        <v>29</v>
      </c>
      <c r="F2283" t="s">
        <v>41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 t="s">
        <v>51</v>
      </c>
      <c r="Z2283">
        <v>55</v>
      </c>
      <c r="AA2283">
        <v>0</v>
      </c>
    </row>
    <row r="2284" spans="1:27" x14ac:dyDescent="0.2">
      <c r="A2284" t="s">
        <v>267</v>
      </c>
      <c r="B2284">
        <v>2018</v>
      </c>
      <c r="C2284" t="s">
        <v>3084</v>
      </c>
      <c r="D2284" t="s">
        <v>3085</v>
      </c>
      <c r="E2284" t="s">
        <v>29</v>
      </c>
      <c r="F2284" t="s">
        <v>30</v>
      </c>
      <c r="G2284">
        <v>0</v>
      </c>
      <c r="H2284">
        <v>0</v>
      </c>
      <c r="I2284">
        <v>8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 t="s">
        <v>31</v>
      </c>
      <c r="Z2284">
        <v>55</v>
      </c>
      <c r="AA2284">
        <v>0</v>
      </c>
    </row>
    <row r="2285" spans="1:27" x14ac:dyDescent="0.2">
      <c r="A2285" t="s">
        <v>1653</v>
      </c>
      <c r="B2285">
        <v>2019</v>
      </c>
      <c r="C2285">
        <v>7361003</v>
      </c>
      <c r="D2285" t="s">
        <v>3086</v>
      </c>
      <c r="E2285" t="s">
        <v>29</v>
      </c>
      <c r="F2285" t="s">
        <v>30</v>
      </c>
      <c r="G2285">
        <v>1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 t="s">
        <v>51</v>
      </c>
      <c r="AA2285">
        <v>0</v>
      </c>
    </row>
    <row r="2286" spans="1:27" x14ac:dyDescent="0.2">
      <c r="A2286" t="s">
        <v>2268</v>
      </c>
      <c r="B2286">
        <v>2019</v>
      </c>
      <c r="C2286">
        <v>50123170</v>
      </c>
      <c r="D2286" t="s">
        <v>3087</v>
      </c>
      <c r="E2286" t="s">
        <v>29</v>
      </c>
      <c r="F2286" t="s">
        <v>41</v>
      </c>
      <c r="G2286">
        <v>0</v>
      </c>
      <c r="H2286">
        <v>0</v>
      </c>
      <c r="I2286">
        <v>1</v>
      </c>
      <c r="J2286">
        <v>0</v>
      </c>
      <c r="K2286">
        <v>2</v>
      </c>
      <c r="L2286">
        <v>0</v>
      </c>
      <c r="M2286">
        <v>0</v>
      </c>
      <c r="N2286">
        <v>0</v>
      </c>
      <c r="O2286">
        <v>1</v>
      </c>
      <c r="P2286">
        <v>0</v>
      </c>
      <c r="Q2286">
        <v>2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 t="s">
        <v>51</v>
      </c>
      <c r="Z2286">
        <v>45</v>
      </c>
      <c r="AA2286">
        <v>0</v>
      </c>
    </row>
    <row r="2287" spans="1:27" x14ac:dyDescent="0.2">
      <c r="A2287" t="s">
        <v>2561</v>
      </c>
      <c r="B2287">
        <v>2021</v>
      </c>
      <c r="C2287">
        <v>3171521400</v>
      </c>
      <c r="D2287" t="s">
        <v>3088</v>
      </c>
      <c r="E2287" t="s">
        <v>29</v>
      </c>
      <c r="F2287" t="s">
        <v>41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33</v>
      </c>
      <c r="T2287">
        <v>0</v>
      </c>
      <c r="U2287">
        <v>20</v>
      </c>
      <c r="V2287">
        <v>0</v>
      </c>
      <c r="W2287">
        <v>0</v>
      </c>
      <c r="X2287">
        <v>0</v>
      </c>
      <c r="Y2287" t="s">
        <v>51</v>
      </c>
      <c r="Z2287">
        <v>57</v>
      </c>
      <c r="AA2287">
        <v>0</v>
      </c>
    </row>
    <row r="2288" spans="1:27" x14ac:dyDescent="0.2">
      <c r="A2288" t="s">
        <v>904</v>
      </c>
      <c r="B2288">
        <v>2021</v>
      </c>
      <c r="C2288" t="s">
        <v>3089</v>
      </c>
      <c r="D2288" t="s">
        <v>3090</v>
      </c>
      <c r="E2288" t="s">
        <v>29</v>
      </c>
      <c r="F2288" t="s">
        <v>30</v>
      </c>
      <c r="G2288">
        <v>0</v>
      </c>
      <c r="H2288">
        <v>0</v>
      </c>
      <c r="I2288">
        <v>32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 t="s">
        <v>31</v>
      </c>
      <c r="Z2288">
        <v>55</v>
      </c>
      <c r="AA2288">
        <v>18</v>
      </c>
    </row>
    <row r="2289" spans="1:27" x14ac:dyDescent="0.2">
      <c r="A2289" t="s">
        <v>313</v>
      </c>
      <c r="B2289">
        <v>2022</v>
      </c>
      <c r="C2289" t="s">
        <v>314</v>
      </c>
      <c r="D2289" t="s">
        <v>315</v>
      </c>
      <c r="E2289" t="s">
        <v>29</v>
      </c>
      <c r="F2289" t="s">
        <v>30</v>
      </c>
      <c r="G2289">
        <v>0</v>
      </c>
      <c r="H2289">
        <v>0</v>
      </c>
      <c r="I2289">
        <v>70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 t="s">
        <v>31</v>
      </c>
      <c r="Z2289">
        <v>55</v>
      </c>
      <c r="AA2289">
        <v>0</v>
      </c>
    </row>
    <row r="2290" spans="1:27" x14ac:dyDescent="0.2">
      <c r="A2290" t="s">
        <v>227</v>
      </c>
      <c r="B2290">
        <v>2019</v>
      </c>
      <c r="C2290" t="s">
        <v>3091</v>
      </c>
      <c r="D2290" t="s">
        <v>3092</v>
      </c>
      <c r="E2290" t="s">
        <v>29</v>
      </c>
      <c r="F2290" t="s">
        <v>41</v>
      </c>
      <c r="G2290">
        <v>0</v>
      </c>
      <c r="H2290">
        <v>0</v>
      </c>
      <c r="I2290">
        <v>0</v>
      </c>
      <c r="J2290">
        <v>0</v>
      </c>
      <c r="K2290">
        <v>2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 t="s">
        <v>51</v>
      </c>
      <c r="Z2290">
        <v>45</v>
      </c>
      <c r="AA2290">
        <v>0</v>
      </c>
    </row>
    <row r="2291" spans="1:27" x14ac:dyDescent="0.2">
      <c r="A2291" t="s">
        <v>1116</v>
      </c>
      <c r="B2291">
        <v>2019</v>
      </c>
      <c r="C2291" t="s">
        <v>3093</v>
      </c>
      <c r="D2291" t="s">
        <v>3094</v>
      </c>
      <c r="E2291" t="s">
        <v>29</v>
      </c>
      <c r="F2291" t="s">
        <v>30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3</v>
      </c>
      <c r="T2291">
        <v>0</v>
      </c>
      <c r="U2291">
        <v>1</v>
      </c>
      <c r="V2291">
        <v>0</v>
      </c>
      <c r="W2291">
        <v>0</v>
      </c>
      <c r="X2291">
        <v>0</v>
      </c>
      <c r="Y2291" t="s">
        <v>31</v>
      </c>
      <c r="AA2291">
        <v>0</v>
      </c>
    </row>
    <row r="2292" spans="1:27" x14ac:dyDescent="0.2">
      <c r="A2292" t="s">
        <v>1116</v>
      </c>
      <c r="B2292">
        <v>2019</v>
      </c>
      <c r="C2292" t="s">
        <v>3093</v>
      </c>
      <c r="D2292" t="s">
        <v>3095</v>
      </c>
      <c r="E2292" t="s">
        <v>29</v>
      </c>
      <c r="F2292" t="s">
        <v>30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3</v>
      </c>
      <c r="T2292">
        <v>0</v>
      </c>
      <c r="U2292">
        <v>1</v>
      </c>
      <c r="V2292">
        <v>0</v>
      </c>
      <c r="W2292">
        <v>0</v>
      </c>
      <c r="X2292">
        <v>0</v>
      </c>
      <c r="Y2292" t="s">
        <v>31</v>
      </c>
      <c r="AA2292">
        <v>0</v>
      </c>
    </row>
    <row r="2293" spans="1:27" x14ac:dyDescent="0.2">
      <c r="A2293" t="s">
        <v>2428</v>
      </c>
      <c r="B2293">
        <v>2022</v>
      </c>
      <c r="C2293">
        <v>416120029</v>
      </c>
      <c r="D2293" t="s">
        <v>3096</v>
      </c>
      <c r="E2293" t="s">
        <v>29</v>
      </c>
      <c r="F2293" t="s">
        <v>30</v>
      </c>
      <c r="G2293">
        <v>6</v>
      </c>
      <c r="H2293">
        <v>0</v>
      </c>
      <c r="I2293">
        <v>0</v>
      </c>
      <c r="J2293">
        <v>0</v>
      </c>
      <c r="K2293">
        <v>0</v>
      </c>
      <c r="L2293">
        <v>8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 t="s">
        <v>31</v>
      </c>
      <c r="AA2293">
        <v>32.5</v>
      </c>
    </row>
    <row r="2294" spans="1:27" x14ac:dyDescent="0.2">
      <c r="A2294" t="s">
        <v>3097</v>
      </c>
      <c r="B2294">
        <v>2022</v>
      </c>
      <c r="C2294" t="s">
        <v>3098</v>
      </c>
      <c r="D2294" t="s">
        <v>3099</v>
      </c>
      <c r="E2294" t="s">
        <v>29</v>
      </c>
      <c r="F2294" t="s">
        <v>30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75</v>
      </c>
      <c r="N2294">
        <v>0</v>
      </c>
      <c r="O2294">
        <v>25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 t="s">
        <v>31</v>
      </c>
      <c r="Z2294">
        <v>55</v>
      </c>
      <c r="AA2294">
        <v>31</v>
      </c>
    </row>
    <row r="2295" spans="1:27" x14ac:dyDescent="0.2">
      <c r="A2295" t="s">
        <v>1986</v>
      </c>
      <c r="B2295">
        <v>2022</v>
      </c>
      <c r="C2295">
        <v>16040105000</v>
      </c>
      <c r="D2295" t="s">
        <v>3100</v>
      </c>
      <c r="E2295" t="s">
        <v>29</v>
      </c>
      <c r="F2295" t="s">
        <v>30</v>
      </c>
      <c r="G2295">
        <v>0</v>
      </c>
      <c r="H2295">
        <v>0</v>
      </c>
      <c r="I2295">
        <v>12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12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 t="s">
        <v>31</v>
      </c>
      <c r="Z2295">
        <v>55</v>
      </c>
      <c r="AA2295">
        <v>0</v>
      </c>
    </row>
    <row r="2296" spans="1:27" x14ac:dyDescent="0.2">
      <c r="A2296" t="s">
        <v>928</v>
      </c>
      <c r="B2296">
        <v>2023</v>
      </c>
      <c r="C2296" t="s">
        <v>3101</v>
      </c>
      <c r="D2296" t="s">
        <v>3102</v>
      </c>
      <c r="E2296" t="s">
        <v>29</v>
      </c>
      <c r="F2296" t="s">
        <v>41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1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 t="s">
        <v>51</v>
      </c>
      <c r="Z2296">
        <v>55</v>
      </c>
      <c r="AA2296">
        <v>0</v>
      </c>
    </row>
    <row r="2297" spans="1:27" x14ac:dyDescent="0.2">
      <c r="A2297" t="s">
        <v>928</v>
      </c>
      <c r="B2297">
        <v>2023</v>
      </c>
      <c r="C2297" t="s">
        <v>3103</v>
      </c>
      <c r="D2297" t="s">
        <v>3104</v>
      </c>
      <c r="E2297" t="s">
        <v>29</v>
      </c>
      <c r="F2297" t="s">
        <v>41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1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 t="s">
        <v>51</v>
      </c>
      <c r="Z2297">
        <v>55</v>
      </c>
      <c r="AA2297">
        <v>0</v>
      </c>
    </row>
    <row r="2298" spans="1:27" x14ac:dyDescent="0.2">
      <c r="A2298" t="s">
        <v>2862</v>
      </c>
      <c r="B2298">
        <v>2021</v>
      </c>
      <c r="C2298" t="s">
        <v>3105</v>
      </c>
      <c r="D2298" t="s">
        <v>3106</v>
      </c>
      <c r="E2298" t="s">
        <v>29</v>
      </c>
      <c r="F2298" t="s">
        <v>30</v>
      </c>
      <c r="G2298">
        <v>1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 t="s">
        <v>31</v>
      </c>
      <c r="Z2298">
        <v>55</v>
      </c>
      <c r="AA2298">
        <v>0</v>
      </c>
    </row>
    <row r="2299" spans="1:27" x14ac:dyDescent="0.2">
      <c r="A2299" t="s">
        <v>3107</v>
      </c>
      <c r="B2299">
        <v>2023</v>
      </c>
      <c r="C2299" t="s">
        <v>3108</v>
      </c>
      <c r="D2299" t="s">
        <v>3109</v>
      </c>
      <c r="E2299" t="s">
        <v>29</v>
      </c>
      <c r="F2299" t="s">
        <v>30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50</v>
      </c>
      <c r="U2299">
        <v>0</v>
      </c>
      <c r="V2299">
        <v>25</v>
      </c>
      <c r="W2299">
        <v>0</v>
      </c>
      <c r="X2299">
        <v>1</v>
      </c>
      <c r="Y2299" t="s">
        <v>31</v>
      </c>
      <c r="Z2299">
        <v>55</v>
      </c>
      <c r="AA2299">
        <v>2</v>
      </c>
    </row>
    <row r="2300" spans="1:27" x14ac:dyDescent="0.2">
      <c r="A2300" t="s">
        <v>1316</v>
      </c>
      <c r="B2300">
        <v>2023</v>
      </c>
      <c r="C2300" t="s">
        <v>3110</v>
      </c>
      <c r="D2300" t="s">
        <v>3111</v>
      </c>
      <c r="E2300" t="s">
        <v>29</v>
      </c>
      <c r="F2300" t="s">
        <v>30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15</v>
      </c>
      <c r="N2300">
        <v>0</v>
      </c>
      <c r="O2300">
        <v>31</v>
      </c>
      <c r="P2300">
        <v>0</v>
      </c>
      <c r="Q2300">
        <v>13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 t="s">
        <v>31</v>
      </c>
      <c r="Z2300">
        <v>1000</v>
      </c>
      <c r="AA2300">
        <v>35</v>
      </c>
    </row>
    <row r="2301" spans="1:27" x14ac:dyDescent="0.2">
      <c r="A2301" t="s">
        <v>1316</v>
      </c>
      <c r="B2301">
        <v>2023</v>
      </c>
      <c r="C2301" t="s">
        <v>3112</v>
      </c>
      <c r="D2301" t="s">
        <v>3113</v>
      </c>
      <c r="E2301" t="s">
        <v>29</v>
      </c>
      <c r="F2301" t="s">
        <v>30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22</v>
      </c>
      <c r="T2301">
        <v>0</v>
      </c>
      <c r="U2301">
        <v>0</v>
      </c>
      <c r="V2301">
        <v>0</v>
      </c>
      <c r="W2301">
        <v>14</v>
      </c>
      <c r="X2301">
        <v>0</v>
      </c>
      <c r="Y2301" t="s">
        <v>31</v>
      </c>
      <c r="Z2301">
        <v>55</v>
      </c>
      <c r="AA2301">
        <v>25</v>
      </c>
    </row>
    <row r="2302" spans="1:27" x14ac:dyDescent="0.2">
      <c r="A2302" t="s">
        <v>88</v>
      </c>
      <c r="B2302">
        <v>2023</v>
      </c>
      <c r="C2302" t="s">
        <v>3114</v>
      </c>
      <c r="D2302" t="s">
        <v>3115</v>
      </c>
      <c r="E2302" t="s">
        <v>29</v>
      </c>
      <c r="F2302" t="s">
        <v>30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3</v>
      </c>
      <c r="P2302">
        <v>0</v>
      </c>
      <c r="Q2302">
        <v>8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 t="s">
        <v>51</v>
      </c>
      <c r="Z2302">
        <v>55</v>
      </c>
      <c r="AA2302">
        <v>0</v>
      </c>
    </row>
    <row r="2303" spans="1:27" x14ac:dyDescent="0.2">
      <c r="A2303" t="s">
        <v>418</v>
      </c>
      <c r="B2303">
        <v>2023</v>
      </c>
      <c r="C2303" t="s">
        <v>3116</v>
      </c>
      <c r="D2303" t="s">
        <v>3117</v>
      </c>
      <c r="E2303" t="s">
        <v>29</v>
      </c>
      <c r="F2303" t="s">
        <v>30</v>
      </c>
      <c r="G2303">
        <v>13</v>
      </c>
      <c r="H2303">
        <v>0</v>
      </c>
      <c r="I2303">
        <v>13</v>
      </c>
      <c r="J2303">
        <v>0</v>
      </c>
      <c r="K2303">
        <v>25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 t="s">
        <v>51</v>
      </c>
      <c r="Z2303">
        <v>99</v>
      </c>
      <c r="AA2303">
        <v>0</v>
      </c>
    </row>
    <row r="2304" spans="1:27" x14ac:dyDescent="0.2">
      <c r="A2304" t="s">
        <v>418</v>
      </c>
      <c r="B2304">
        <v>2023</v>
      </c>
      <c r="C2304" t="s">
        <v>3118</v>
      </c>
      <c r="D2304" t="s">
        <v>3119</v>
      </c>
      <c r="E2304" t="s">
        <v>29</v>
      </c>
      <c r="F2304" t="s">
        <v>30</v>
      </c>
      <c r="G2304">
        <v>0</v>
      </c>
      <c r="H2304">
        <v>0</v>
      </c>
      <c r="I2304">
        <v>186</v>
      </c>
      <c r="J2304">
        <v>0</v>
      </c>
      <c r="K2304">
        <v>47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 t="s">
        <v>31</v>
      </c>
      <c r="AA2304">
        <v>500</v>
      </c>
    </row>
    <row r="2305" spans="1:27" x14ac:dyDescent="0.2">
      <c r="A2305" t="s">
        <v>418</v>
      </c>
      <c r="B2305">
        <v>2023</v>
      </c>
      <c r="C2305">
        <v>28805045</v>
      </c>
      <c r="D2305" t="s">
        <v>3120</v>
      </c>
      <c r="E2305" t="s">
        <v>29</v>
      </c>
      <c r="F2305" t="s">
        <v>30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26</v>
      </c>
      <c r="N2305">
        <v>0</v>
      </c>
      <c r="O2305">
        <v>71</v>
      </c>
      <c r="P2305">
        <v>0</v>
      </c>
      <c r="Q2305">
        <v>25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 t="s">
        <v>31</v>
      </c>
      <c r="Z2305">
        <v>55</v>
      </c>
      <c r="AA2305">
        <v>0</v>
      </c>
    </row>
    <row r="2306" spans="1:27" x14ac:dyDescent="0.2">
      <c r="A2306" t="s">
        <v>418</v>
      </c>
      <c r="B2306">
        <v>2023</v>
      </c>
      <c r="C2306">
        <v>47212086</v>
      </c>
      <c r="D2306" t="s">
        <v>3121</v>
      </c>
      <c r="E2306" t="s">
        <v>29</v>
      </c>
      <c r="F2306" t="s">
        <v>30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97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 t="s">
        <v>31</v>
      </c>
      <c r="Z2306">
        <v>60</v>
      </c>
      <c r="AA2306">
        <v>26</v>
      </c>
    </row>
    <row r="2307" spans="1:27" x14ac:dyDescent="0.2">
      <c r="A2307" t="s">
        <v>1986</v>
      </c>
      <c r="B2307">
        <v>2022</v>
      </c>
      <c r="C2307">
        <v>16040105000</v>
      </c>
      <c r="D2307" t="s">
        <v>3122</v>
      </c>
      <c r="E2307" t="s">
        <v>29</v>
      </c>
      <c r="F2307" t="s">
        <v>30</v>
      </c>
      <c r="G2307">
        <v>0</v>
      </c>
      <c r="H2307">
        <v>0</v>
      </c>
      <c r="I2307">
        <v>8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8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 t="s">
        <v>31</v>
      </c>
      <c r="Z2307">
        <v>55</v>
      </c>
      <c r="AA2307">
        <v>0</v>
      </c>
    </row>
    <row r="2308" spans="1:27" x14ac:dyDescent="0.2">
      <c r="A2308" t="s">
        <v>2499</v>
      </c>
      <c r="B2308">
        <v>2021</v>
      </c>
      <c r="C2308">
        <v>504140015</v>
      </c>
      <c r="D2308" t="s">
        <v>3123</v>
      </c>
      <c r="E2308" t="s">
        <v>29</v>
      </c>
      <c r="F2308" t="s">
        <v>41</v>
      </c>
      <c r="G2308">
        <v>0</v>
      </c>
      <c r="H2308">
        <v>0</v>
      </c>
      <c r="I2308">
        <v>0</v>
      </c>
      <c r="J2308">
        <v>0</v>
      </c>
      <c r="K2308">
        <v>5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 t="s">
        <v>51</v>
      </c>
      <c r="AA2308">
        <v>0</v>
      </c>
    </row>
    <row r="2309" spans="1:27" x14ac:dyDescent="0.2">
      <c r="A2309" t="s">
        <v>3124</v>
      </c>
      <c r="B2309">
        <v>2023</v>
      </c>
      <c r="C2309">
        <v>646070016</v>
      </c>
      <c r="E2309" t="s">
        <v>29</v>
      </c>
      <c r="F2309" t="s">
        <v>30</v>
      </c>
      <c r="G2309">
        <v>0</v>
      </c>
      <c r="H2309">
        <v>0</v>
      </c>
      <c r="I2309">
        <v>0</v>
      </c>
      <c r="J2309">
        <v>0</v>
      </c>
      <c r="K2309">
        <v>74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 t="s">
        <v>31</v>
      </c>
      <c r="Z2309">
        <v>55</v>
      </c>
      <c r="AA2309">
        <v>50</v>
      </c>
    </row>
    <row r="2310" spans="1:27" x14ac:dyDescent="0.2">
      <c r="A2310" t="s">
        <v>3035</v>
      </c>
      <c r="B2310">
        <v>2023</v>
      </c>
      <c r="C2310" s="2" t="s">
        <v>3125</v>
      </c>
      <c r="D2310" t="s">
        <v>3126</v>
      </c>
      <c r="E2310" t="s">
        <v>29</v>
      </c>
      <c r="F2310" t="s">
        <v>30</v>
      </c>
      <c r="G2310">
        <v>22</v>
      </c>
      <c r="H2310">
        <v>0</v>
      </c>
      <c r="I2310">
        <v>14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 t="s">
        <v>31</v>
      </c>
      <c r="Z2310">
        <v>55</v>
      </c>
      <c r="AA2310">
        <v>61</v>
      </c>
    </row>
    <row r="2311" spans="1:27" x14ac:dyDescent="0.2">
      <c r="A2311" t="s">
        <v>32</v>
      </c>
      <c r="B2311">
        <v>2019</v>
      </c>
      <c r="C2311" t="s">
        <v>33</v>
      </c>
      <c r="D2311" t="s">
        <v>3127</v>
      </c>
      <c r="E2311" t="s">
        <v>29</v>
      </c>
      <c r="F2311" t="s">
        <v>30</v>
      </c>
      <c r="G2311">
        <v>75</v>
      </c>
      <c r="H2311">
        <v>0</v>
      </c>
      <c r="I2311">
        <v>50</v>
      </c>
      <c r="J2311">
        <v>0</v>
      </c>
      <c r="K2311">
        <v>0</v>
      </c>
      <c r="L2311">
        <v>2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 t="s">
        <v>31</v>
      </c>
      <c r="AA2311">
        <v>0</v>
      </c>
    </row>
    <row r="2312" spans="1:27" x14ac:dyDescent="0.2">
      <c r="A2312" t="s">
        <v>1045</v>
      </c>
      <c r="B2312">
        <v>2022</v>
      </c>
      <c r="C2312" t="s">
        <v>1046</v>
      </c>
      <c r="D2312" t="s">
        <v>3128</v>
      </c>
      <c r="E2312" t="s">
        <v>29</v>
      </c>
      <c r="F2312" t="s">
        <v>30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3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 t="s">
        <v>31</v>
      </c>
      <c r="Z2312">
        <v>55</v>
      </c>
      <c r="AA2312">
        <v>22.5</v>
      </c>
    </row>
    <row r="2313" spans="1:27" x14ac:dyDescent="0.2">
      <c r="A2313" t="s">
        <v>2117</v>
      </c>
      <c r="B2313">
        <v>2021</v>
      </c>
      <c r="C2313" t="s">
        <v>2118</v>
      </c>
      <c r="D2313" t="s">
        <v>2119</v>
      </c>
      <c r="E2313" t="s">
        <v>29</v>
      </c>
      <c r="F2313" t="s">
        <v>30</v>
      </c>
      <c r="G2313">
        <v>3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3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3</v>
      </c>
      <c r="T2313">
        <v>0</v>
      </c>
      <c r="U2313">
        <v>0</v>
      </c>
      <c r="V2313">
        <v>0</v>
      </c>
      <c r="W2313">
        <v>0</v>
      </c>
      <c r="X2313">
        <v>0</v>
      </c>
      <c r="Y2313" t="s">
        <v>31</v>
      </c>
      <c r="Z2313">
        <v>55</v>
      </c>
      <c r="AA2313">
        <v>15</v>
      </c>
    </row>
    <row r="2314" spans="1:27" x14ac:dyDescent="0.2">
      <c r="A2314" t="s">
        <v>3025</v>
      </c>
      <c r="B2314">
        <v>2018</v>
      </c>
      <c r="C2314">
        <v>129181120</v>
      </c>
      <c r="D2314" t="s">
        <v>3026</v>
      </c>
      <c r="E2314" t="s">
        <v>29</v>
      </c>
      <c r="F2314" t="s">
        <v>30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14</v>
      </c>
      <c r="N2314">
        <v>0</v>
      </c>
      <c r="O2314">
        <v>24</v>
      </c>
      <c r="P2314">
        <v>0</v>
      </c>
      <c r="Q2314">
        <v>0</v>
      </c>
      <c r="R2314">
        <v>1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 t="s">
        <v>31</v>
      </c>
      <c r="AA2314">
        <v>0</v>
      </c>
    </row>
    <row r="2315" spans="1:27" x14ac:dyDescent="0.2">
      <c r="A2315" t="s">
        <v>3129</v>
      </c>
      <c r="B2315">
        <v>2018</v>
      </c>
      <c r="C2315" t="s">
        <v>3130</v>
      </c>
      <c r="D2315" t="s">
        <v>3131</v>
      </c>
      <c r="E2315" t="s">
        <v>29</v>
      </c>
      <c r="F2315" t="s">
        <v>30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8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 t="s">
        <v>51</v>
      </c>
      <c r="Z2315">
        <v>30</v>
      </c>
      <c r="AA2315">
        <v>0</v>
      </c>
    </row>
    <row r="2316" spans="1:27" x14ac:dyDescent="0.2">
      <c r="A2316" t="s">
        <v>48</v>
      </c>
      <c r="B2316">
        <v>2019</v>
      </c>
      <c r="C2316" t="s">
        <v>3132</v>
      </c>
      <c r="D2316" t="s">
        <v>3133</v>
      </c>
      <c r="E2316" t="s">
        <v>29</v>
      </c>
      <c r="F2316" t="s">
        <v>30</v>
      </c>
      <c r="G2316">
        <v>0</v>
      </c>
      <c r="H2316">
        <v>0</v>
      </c>
      <c r="I2316">
        <v>2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 t="s">
        <v>31</v>
      </c>
      <c r="Z2316">
        <v>55</v>
      </c>
      <c r="AA2316">
        <v>0</v>
      </c>
    </row>
    <row r="2317" spans="1:27" x14ac:dyDescent="0.2">
      <c r="A2317" t="s">
        <v>48</v>
      </c>
      <c r="B2317">
        <v>2019</v>
      </c>
      <c r="C2317" t="s">
        <v>642</v>
      </c>
      <c r="D2317" t="s">
        <v>3134</v>
      </c>
      <c r="E2317" t="s">
        <v>29</v>
      </c>
      <c r="F2317" t="s">
        <v>30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1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 t="s">
        <v>51</v>
      </c>
      <c r="Z2317">
        <v>55</v>
      </c>
      <c r="AA2317">
        <v>0</v>
      </c>
    </row>
    <row r="2318" spans="1:27" x14ac:dyDescent="0.2">
      <c r="A2318" t="s">
        <v>48</v>
      </c>
      <c r="B2318">
        <v>2019</v>
      </c>
      <c r="C2318" t="s">
        <v>338</v>
      </c>
      <c r="D2318" t="s">
        <v>339</v>
      </c>
      <c r="E2318" t="s">
        <v>29</v>
      </c>
      <c r="F2318" t="s">
        <v>30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1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 t="s">
        <v>51</v>
      </c>
      <c r="Z2318">
        <v>55</v>
      </c>
      <c r="AA2318">
        <v>0</v>
      </c>
    </row>
    <row r="2319" spans="1:27" x14ac:dyDescent="0.2">
      <c r="A2319" t="s">
        <v>48</v>
      </c>
      <c r="B2319">
        <v>2019</v>
      </c>
      <c r="C2319" t="s">
        <v>3135</v>
      </c>
      <c r="D2319" t="s">
        <v>3136</v>
      </c>
      <c r="E2319" t="s">
        <v>29</v>
      </c>
      <c r="F2319" t="s">
        <v>30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1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 t="s">
        <v>51</v>
      </c>
      <c r="Z2319">
        <v>55</v>
      </c>
      <c r="AA2319">
        <v>0</v>
      </c>
    </row>
    <row r="2320" spans="1:27" x14ac:dyDescent="0.2">
      <c r="A2320" t="s">
        <v>48</v>
      </c>
      <c r="B2320">
        <v>2019</v>
      </c>
      <c r="C2320" t="s">
        <v>3135</v>
      </c>
      <c r="D2320" t="s">
        <v>3137</v>
      </c>
      <c r="E2320" t="s">
        <v>29</v>
      </c>
      <c r="F2320" t="s">
        <v>30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1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 t="s">
        <v>51</v>
      </c>
      <c r="Z2320">
        <v>55</v>
      </c>
      <c r="AA2320">
        <v>0</v>
      </c>
    </row>
    <row r="2321" spans="1:27" x14ac:dyDescent="0.2">
      <c r="A2321" t="s">
        <v>1541</v>
      </c>
      <c r="B2321">
        <v>2021</v>
      </c>
      <c r="C2321" t="s">
        <v>3138</v>
      </c>
      <c r="D2321" t="s">
        <v>3139</v>
      </c>
      <c r="E2321" t="s">
        <v>29</v>
      </c>
      <c r="F2321" t="s">
        <v>30</v>
      </c>
      <c r="G2321">
        <v>11</v>
      </c>
      <c r="H2321">
        <v>0</v>
      </c>
      <c r="I2321">
        <v>60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 t="s">
        <v>31</v>
      </c>
      <c r="AA2321">
        <v>10</v>
      </c>
    </row>
    <row r="2322" spans="1:27" x14ac:dyDescent="0.2">
      <c r="A2322" t="s">
        <v>2395</v>
      </c>
      <c r="B2322">
        <v>2020</v>
      </c>
      <c r="C2322" t="s">
        <v>3140</v>
      </c>
      <c r="D2322" t="s">
        <v>3141</v>
      </c>
      <c r="E2322" t="s">
        <v>29</v>
      </c>
      <c r="F2322" t="s">
        <v>41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1</v>
      </c>
      <c r="X2322">
        <v>0</v>
      </c>
      <c r="Y2322" t="s">
        <v>51</v>
      </c>
      <c r="Z2322">
        <v>45</v>
      </c>
      <c r="AA2322">
        <v>0</v>
      </c>
    </row>
    <row r="2323" spans="1:27" x14ac:dyDescent="0.2">
      <c r="A2323" t="s">
        <v>1609</v>
      </c>
      <c r="B2323">
        <v>2020</v>
      </c>
      <c r="C2323" t="s">
        <v>3142</v>
      </c>
      <c r="D2323" t="s">
        <v>3143</v>
      </c>
      <c r="E2323" t="s">
        <v>29</v>
      </c>
      <c r="F2323" t="s">
        <v>41</v>
      </c>
      <c r="G2323">
        <v>1</v>
      </c>
      <c r="H2323">
        <v>0</v>
      </c>
      <c r="I2323">
        <v>1</v>
      </c>
      <c r="J2323">
        <v>0</v>
      </c>
      <c r="K2323">
        <v>0</v>
      </c>
      <c r="L2323">
        <v>0</v>
      </c>
      <c r="M2323">
        <v>1</v>
      </c>
      <c r="N2323">
        <v>0</v>
      </c>
      <c r="O2323">
        <v>1</v>
      </c>
      <c r="P2323">
        <v>0</v>
      </c>
      <c r="Q2323">
        <v>0</v>
      </c>
      <c r="R2323">
        <v>0</v>
      </c>
      <c r="S2323">
        <v>1</v>
      </c>
      <c r="T2323">
        <v>0</v>
      </c>
      <c r="U2323">
        <v>1</v>
      </c>
      <c r="V2323">
        <v>0</v>
      </c>
      <c r="W2323">
        <v>0</v>
      </c>
      <c r="X2323">
        <v>0</v>
      </c>
      <c r="Y2323" t="s">
        <v>51</v>
      </c>
      <c r="AA2323">
        <v>0</v>
      </c>
    </row>
    <row r="2324" spans="1:27" x14ac:dyDescent="0.2">
      <c r="A2324" t="s">
        <v>1802</v>
      </c>
      <c r="B2324">
        <v>2020</v>
      </c>
      <c r="C2324" t="s">
        <v>2031</v>
      </c>
      <c r="D2324" t="s">
        <v>3144</v>
      </c>
      <c r="E2324" t="s">
        <v>29</v>
      </c>
      <c r="F2324" t="s">
        <v>41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18</v>
      </c>
      <c r="P2324">
        <v>0</v>
      </c>
      <c r="Q2324">
        <v>17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 t="s">
        <v>51</v>
      </c>
      <c r="Z2324">
        <v>1000</v>
      </c>
      <c r="AA2324">
        <v>0</v>
      </c>
    </row>
    <row r="2325" spans="1:27" x14ac:dyDescent="0.2">
      <c r="A2325" t="s">
        <v>1802</v>
      </c>
      <c r="B2325">
        <v>2020</v>
      </c>
      <c r="C2325" t="s">
        <v>3145</v>
      </c>
      <c r="D2325" t="s">
        <v>3146</v>
      </c>
      <c r="E2325" t="s">
        <v>29</v>
      </c>
      <c r="F2325" t="s">
        <v>30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6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 t="s">
        <v>51</v>
      </c>
      <c r="Z2325">
        <v>1000</v>
      </c>
      <c r="AA2325">
        <v>0</v>
      </c>
    </row>
    <row r="2326" spans="1:27" x14ac:dyDescent="0.2">
      <c r="A2326" t="s">
        <v>260</v>
      </c>
      <c r="B2326">
        <v>2021</v>
      </c>
      <c r="C2326" t="s">
        <v>3147</v>
      </c>
      <c r="D2326" t="s">
        <v>3148</v>
      </c>
      <c r="E2326" t="s">
        <v>29</v>
      </c>
      <c r="F2326" t="s">
        <v>30</v>
      </c>
      <c r="G2326">
        <v>33</v>
      </c>
      <c r="H2326">
        <v>0</v>
      </c>
      <c r="I2326">
        <v>34</v>
      </c>
      <c r="J2326">
        <v>0</v>
      </c>
      <c r="K2326">
        <v>0</v>
      </c>
      <c r="L2326">
        <v>0</v>
      </c>
      <c r="M2326">
        <v>33</v>
      </c>
      <c r="N2326">
        <v>0</v>
      </c>
      <c r="O2326">
        <v>34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 t="s">
        <v>31</v>
      </c>
      <c r="Z2326">
        <v>1000</v>
      </c>
      <c r="AA2326">
        <v>40</v>
      </c>
    </row>
    <row r="2327" spans="1:27" x14ac:dyDescent="0.2">
      <c r="A2327" t="s">
        <v>260</v>
      </c>
      <c r="B2327">
        <v>2021</v>
      </c>
      <c r="C2327" t="s">
        <v>3149</v>
      </c>
      <c r="D2327" t="s">
        <v>3150</v>
      </c>
      <c r="E2327" t="s">
        <v>29</v>
      </c>
      <c r="F2327" t="s">
        <v>30</v>
      </c>
      <c r="G2327">
        <v>0</v>
      </c>
      <c r="H2327">
        <v>0</v>
      </c>
      <c r="I2327">
        <v>1</v>
      </c>
      <c r="J2327">
        <v>0</v>
      </c>
      <c r="K2327">
        <v>0</v>
      </c>
      <c r="L2327">
        <v>2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 t="s">
        <v>51</v>
      </c>
      <c r="AA2327">
        <v>0</v>
      </c>
    </row>
    <row r="2328" spans="1:27" x14ac:dyDescent="0.2">
      <c r="A2328" t="s">
        <v>876</v>
      </c>
      <c r="B2328">
        <v>2021</v>
      </c>
      <c r="C2328">
        <v>41208061</v>
      </c>
      <c r="D2328" t="s">
        <v>1096</v>
      </c>
      <c r="E2328" t="s">
        <v>29</v>
      </c>
      <c r="F2328" t="s">
        <v>41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1</v>
      </c>
      <c r="T2328">
        <v>0</v>
      </c>
      <c r="U2328">
        <v>0</v>
      </c>
      <c r="V2328">
        <v>0</v>
      </c>
      <c r="W2328">
        <v>0</v>
      </c>
      <c r="X2328">
        <v>0</v>
      </c>
      <c r="Y2328" t="s">
        <v>51</v>
      </c>
      <c r="Z2328">
        <v>45</v>
      </c>
      <c r="AA2328">
        <v>0</v>
      </c>
    </row>
    <row r="2329" spans="1:27" x14ac:dyDescent="0.2">
      <c r="A2329" t="s">
        <v>219</v>
      </c>
      <c r="B2329">
        <v>2021</v>
      </c>
      <c r="C2329" t="s">
        <v>3151</v>
      </c>
      <c r="D2329" t="s">
        <v>3152</v>
      </c>
      <c r="E2329" t="s">
        <v>29</v>
      </c>
      <c r="F2329" t="s">
        <v>30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42</v>
      </c>
      <c r="T2329">
        <v>0</v>
      </c>
      <c r="U2329">
        <v>375</v>
      </c>
      <c r="V2329">
        <v>0</v>
      </c>
      <c r="W2329">
        <v>0</v>
      </c>
      <c r="X2329">
        <v>0</v>
      </c>
      <c r="Y2329" t="s">
        <v>31</v>
      </c>
      <c r="Z2329">
        <v>55</v>
      </c>
      <c r="AA2329">
        <v>55</v>
      </c>
    </row>
    <row r="2330" spans="1:27" x14ac:dyDescent="0.2">
      <c r="A2330" t="s">
        <v>318</v>
      </c>
      <c r="B2330">
        <v>2018</v>
      </c>
      <c r="C2330">
        <v>11011088</v>
      </c>
      <c r="D2330" t="s">
        <v>3153</v>
      </c>
      <c r="E2330" t="s">
        <v>29</v>
      </c>
      <c r="F2330" t="s">
        <v>41</v>
      </c>
      <c r="G2330">
        <v>0</v>
      </c>
      <c r="H2330">
        <v>0</v>
      </c>
      <c r="I2330">
        <v>0</v>
      </c>
      <c r="J2330">
        <v>0</v>
      </c>
      <c r="K2330">
        <v>2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 t="s">
        <v>51</v>
      </c>
      <c r="Z2330">
        <v>30</v>
      </c>
      <c r="AA2330">
        <v>0</v>
      </c>
    </row>
    <row r="2331" spans="1:27" x14ac:dyDescent="0.2">
      <c r="A2331" t="s">
        <v>318</v>
      </c>
      <c r="B2331">
        <v>2018</v>
      </c>
      <c r="C2331">
        <v>-3662</v>
      </c>
      <c r="D2331" t="s">
        <v>3154</v>
      </c>
      <c r="E2331" t="s">
        <v>29</v>
      </c>
      <c r="F2331" t="s">
        <v>41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1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 t="s">
        <v>51</v>
      </c>
      <c r="Z2331">
        <v>30</v>
      </c>
      <c r="AA2331">
        <v>0</v>
      </c>
    </row>
    <row r="2332" spans="1:27" x14ac:dyDescent="0.2">
      <c r="A2332" t="s">
        <v>318</v>
      </c>
      <c r="B2332">
        <v>2018</v>
      </c>
      <c r="C2332">
        <v>-3666</v>
      </c>
      <c r="D2332" t="s">
        <v>3155</v>
      </c>
      <c r="E2332" t="s">
        <v>29</v>
      </c>
      <c r="F2332" t="s">
        <v>41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1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 t="s">
        <v>51</v>
      </c>
      <c r="Z2332">
        <v>30</v>
      </c>
      <c r="AA2332">
        <v>0</v>
      </c>
    </row>
    <row r="2333" spans="1:27" x14ac:dyDescent="0.2">
      <c r="A2333" t="s">
        <v>318</v>
      </c>
      <c r="B2333">
        <v>2018</v>
      </c>
      <c r="C2333">
        <v>-3681</v>
      </c>
      <c r="D2333" t="s">
        <v>3156</v>
      </c>
      <c r="E2333" t="s">
        <v>29</v>
      </c>
      <c r="F2333" t="s">
        <v>41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1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 t="s">
        <v>51</v>
      </c>
      <c r="Z2333">
        <v>30</v>
      </c>
      <c r="AA2333">
        <v>0</v>
      </c>
    </row>
    <row r="2334" spans="1:27" x14ac:dyDescent="0.2">
      <c r="A2334" t="s">
        <v>318</v>
      </c>
      <c r="B2334">
        <v>2018</v>
      </c>
      <c r="C2334">
        <v>-3694</v>
      </c>
      <c r="D2334" t="s">
        <v>3157</v>
      </c>
      <c r="E2334" t="s">
        <v>29</v>
      </c>
      <c r="F2334" t="s">
        <v>41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1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 t="s">
        <v>51</v>
      </c>
      <c r="Z2334">
        <v>30</v>
      </c>
      <c r="AA2334">
        <v>0</v>
      </c>
    </row>
    <row r="2335" spans="1:27" x14ac:dyDescent="0.2">
      <c r="A2335" t="s">
        <v>318</v>
      </c>
      <c r="B2335">
        <v>2018</v>
      </c>
      <c r="C2335">
        <v>-3725</v>
      </c>
      <c r="D2335" t="s">
        <v>3158</v>
      </c>
      <c r="E2335" t="s">
        <v>29</v>
      </c>
      <c r="F2335" t="s">
        <v>41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1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 t="s">
        <v>51</v>
      </c>
      <c r="Z2335">
        <v>30</v>
      </c>
      <c r="AA2335">
        <v>0</v>
      </c>
    </row>
    <row r="2336" spans="1:27" x14ac:dyDescent="0.2">
      <c r="A2336" t="s">
        <v>318</v>
      </c>
      <c r="B2336">
        <v>2018</v>
      </c>
      <c r="C2336">
        <v>-3821</v>
      </c>
      <c r="D2336" t="s">
        <v>3159</v>
      </c>
      <c r="E2336" t="s">
        <v>29</v>
      </c>
      <c r="F2336" t="s">
        <v>41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1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 t="s">
        <v>51</v>
      </c>
      <c r="Z2336">
        <v>30</v>
      </c>
      <c r="AA2336">
        <v>0</v>
      </c>
    </row>
    <row r="2337" spans="1:27" x14ac:dyDescent="0.2">
      <c r="A2337" t="s">
        <v>318</v>
      </c>
      <c r="B2337">
        <v>2018</v>
      </c>
      <c r="C2337">
        <v>-3911</v>
      </c>
      <c r="D2337" t="s">
        <v>3160</v>
      </c>
      <c r="E2337" t="s">
        <v>29</v>
      </c>
      <c r="F2337" t="s">
        <v>41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1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 t="s">
        <v>51</v>
      </c>
      <c r="Z2337">
        <v>30</v>
      </c>
      <c r="AA2337">
        <v>0</v>
      </c>
    </row>
    <row r="2338" spans="1:27" x14ac:dyDescent="0.2">
      <c r="A2338" t="s">
        <v>318</v>
      </c>
      <c r="B2338">
        <v>2018</v>
      </c>
      <c r="C2338">
        <v>-3919</v>
      </c>
      <c r="D2338" t="s">
        <v>3161</v>
      </c>
      <c r="E2338" t="s">
        <v>29</v>
      </c>
      <c r="F2338" t="s">
        <v>41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1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 t="s">
        <v>51</v>
      </c>
      <c r="Z2338">
        <v>30</v>
      </c>
      <c r="AA2338">
        <v>0</v>
      </c>
    </row>
    <row r="2339" spans="1:27" x14ac:dyDescent="0.2">
      <c r="A2339" t="s">
        <v>318</v>
      </c>
      <c r="B2339">
        <v>2018</v>
      </c>
      <c r="C2339">
        <v>20564072</v>
      </c>
      <c r="D2339" t="s">
        <v>3162</v>
      </c>
      <c r="E2339" t="s">
        <v>29</v>
      </c>
      <c r="F2339" t="s">
        <v>41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1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1</v>
      </c>
      <c r="X2339">
        <v>0</v>
      </c>
      <c r="Y2339" t="s">
        <v>51</v>
      </c>
      <c r="Z2339">
        <v>30</v>
      </c>
      <c r="AA2339">
        <v>0</v>
      </c>
    </row>
    <row r="2340" spans="1:27" x14ac:dyDescent="0.2">
      <c r="A2340" t="s">
        <v>318</v>
      </c>
      <c r="B2340">
        <v>2018</v>
      </c>
      <c r="C2340">
        <v>20908061</v>
      </c>
      <c r="D2340" t="s">
        <v>3163</v>
      </c>
      <c r="E2340" t="s">
        <v>29</v>
      </c>
      <c r="F2340" t="s">
        <v>41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1</v>
      </c>
      <c r="X2340">
        <v>0</v>
      </c>
      <c r="Y2340" t="s">
        <v>51</v>
      </c>
      <c r="Z2340">
        <v>30</v>
      </c>
      <c r="AA2340">
        <v>0</v>
      </c>
    </row>
    <row r="2341" spans="1:27" x14ac:dyDescent="0.2">
      <c r="A2341" t="s">
        <v>318</v>
      </c>
      <c r="B2341">
        <v>2018</v>
      </c>
      <c r="C2341">
        <v>20908078</v>
      </c>
      <c r="D2341" t="s">
        <v>3164</v>
      </c>
      <c r="E2341" t="s">
        <v>29</v>
      </c>
      <c r="F2341" t="s">
        <v>41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1</v>
      </c>
      <c r="X2341">
        <v>0</v>
      </c>
      <c r="Y2341" t="s">
        <v>51</v>
      </c>
      <c r="Z2341">
        <v>30</v>
      </c>
      <c r="AA2341">
        <v>0</v>
      </c>
    </row>
    <row r="2342" spans="1:27" x14ac:dyDescent="0.2">
      <c r="A2342" t="s">
        <v>318</v>
      </c>
      <c r="B2342">
        <v>2018</v>
      </c>
      <c r="C2342">
        <v>20565034</v>
      </c>
      <c r="D2342" t="s">
        <v>3165</v>
      </c>
      <c r="E2342" t="s">
        <v>29</v>
      </c>
      <c r="F2342" t="s">
        <v>41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1</v>
      </c>
      <c r="X2342">
        <v>0</v>
      </c>
      <c r="Y2342" t="s">
        <v>51</v>
      </c>
      <c r="Z2342">
        <v>30</v>
      </c>
      <c r="AA2342">
        <v>0</v>
      </c>
    </row>
    <row r="2343" spans="1:27" x14ac:dyDescent="0.2">
      <c r="A2343" t="s">
        <v>318</v>
      </c>
      <c r="B2343">
        <v>2018</v>
      </c>
      <c r="C2343">
        <v>20568070</v>
      </c>
      <c r="D2343" t="s">
        <v>3166</v>
      </c>
      <c r="E2343" t="s">
        <v>29</v>
      </c>
      <c r="F2343" t="s">
        <v>41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1</v>
      </c>
      <c r="X2343">
        <v>0</v>
      </c>
      <c r="Y2343" t="s">
        <v>51</v>
      </c>
      <c r="Z2343">
        <v>30</v>
      </c>
      <c r="AA2343">
        <v>0</v>
      </c>
    </row>
    <row r="2344" spans="1:27" x14ac:dyDescent="0.2">
      <c r="A2344" t="s">
        <v>904</v>
      </c>
      <c r="B2344">
        <v>2021</v>
      </c>
      <c r="C2344" t="s">
        <v>3167</v>
      </c>
      <c r="D2344" t="s">
        <v>3168</v>
      </c>
      <c r="E2344" t="s">
        <v>29</v>
      </c>
      <c r="F2344" t="s">
        <v>30</v>
      </c>
      <c r="G2344">
        <v>0</v>
      </c>
      <c r="H2344">
        <v>0</v>
      </c>
      <c r="I2344">
        <v>25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 t="s">
        <v>31</v>
      </c>
      <c r="Z2344">
        <v>55</v>
      </c>
      <c r="AA2344">
        <v>0</v>
      </c>
    </row>
    <row r="2345" spans="1:27" x14ac:dyDescent="0.2">
      <c r="A2345" t="s">
        <v>1247</v>
      </c>
      <c r="B2345">
        <v>2020</v>
      </c>
      <c r="C2345" t="s">
        <v>3169</v>
      </c>
      <c r="D2345" t="s">
        <v>3170</v>
      </c>
      <c r="E2345" t="s">
        <v>29</v>
      </c>
      <c r="F2345" t="s">
        <v>30</v>
      </c>
      <c r="G2345">
        <v>0</v>
      </c>
      <c r="H2345">
        <v>0</v>
      </c>
      <c r="I2345">
        <v>0</v>
      </c>
      <c r="J2345">
        <v>26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 t="s">
        <v>31</v>
      </c>
      <c r="Z2345">
        <v>55</v>
      </c>
      <c r="AA2345">
        <v>0</v>
      </c>
    </row>
    <row r="2346" spans="1:27" x14ac:dyDescent="0.2">
      <c r="A2346" t="s">
        <v>904</v>
      </c>
      <c r="B2346">
        <v>2021</v>
      </c>
      <c r="C2346" t="s">
        <v>3046</v>
      </c>
      <c r="D2346" t="s">
        <v>3171</v>
      </c>
      <c r="E2346" t="s">
        <v>29</v>
      </c>
      <c r="F2346" t="s">
        <v>30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1</v>
      </c>
      <c r="P2346">
        <v>0</v>
      </c>
      <c r="Q2346">
        <v>0</v>
      </c>
      <c r="R2346">
        <v>9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 t="s">
        <v>31</v>
      </c>
      <c r="AA2346">
        <v>11</v>
      </c>
    </row>
    <row r="2347" spans="1:27" x14ac:dyDescent="0.2">
      <c r="A2347" t="s">
        <v>260</v>
      </c>
      <c r="B2347">
        <v>2020</v>
      </c>
      <c r="C2347" t="s">
        <v>3172</v>
      </c>
      <c r="D2347" t="s">
        <v>3173</v>
      </c>
      <c r="E2347" t="s">
        <v>29</v>
      </c>
      <c r="F2347" t="s">
        <v>30</v>
      </c>
      <c r="G2347">
        <v>0</v>
      </c>
      <c r="H2347">
        <v>0</v>
      </c>
      <c r="I2347">
        <v>6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6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6</v>
      </c>
      <c r="V2347">
        <v>0</v>
      </c>
      <c r="W2347">
        <v>0</v>
      </c>
      <c r="X2347">
        <v>0</v>
      </c>
      <c r="Y2347" t="s">
        <v>51</v>
      </c>
      <c r="Z2347">
        <v>1000</v>
      </c>
      <c r="AA2347">
        <v>0</v>
      </c>
    </row>
    <row r="2348" spans="1:27" x14ac:dyDescent="0.2">
      <c r="A2348" t="s">
        <v>533</v>
      </c>
      <c r="B2348">
        <v>2022</v>
      </c>
      <c r="C2348" t="s">
        <v>3174</v>
      </c>
      <c r="D2348" t="s">
        <v>3175</v>
      </c>
      <c r="E2348" t="s">
        <v>29</v>
      </c>
      <c r="F2348" t="s">
        <v>41</v>
      </c>
      <c r="G2348">
        <v>0</v>
      </c>
      <c r="H2348">
        <v>0</v>
      </c>
      <c r="I2348">
        <v>0</v>
      </c>
      <c r="J2348">
        <v>0</v>
      </c>
      <c r="K2348">
        <v>1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1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1</v>
      </c>
      <c r="X2348">
        <v>0</v>
      </c>
      <c r="Y2348" t="s">
        <v>31</v>
      </c>
      <c r="Z2348">
        <v>1000</v>
      </c>
      <c r="AA2348">
        <v>20</v>
      </c>
    </row>
    <row r="2349" spans="1:27" x14ac:dyDescent="0.2">
      <c r="A2349" t="s">
        <v>533</v>
      </c>
      <c r="B2349">
        <v>2022</v>
      </c>
      <c r="C2349" t="s">
        <v>3176</v>
      </c>
      <c r="D2349" t="s">
        <v>2065</v>
      </c>
      <c r="E2349" t="s">
        <v>29</v>
      </c>
      <c r="F2349" t="s">
        <v>41</v>
      </c>
      <c r="G2349">
        <v>0</v>
      </c>
      <c r="H2349">
        <v>0</v>
      </c>
      <c r="I2349">
        <v>0</v>
      </c>
      <c r="J2349">
        <v>0</v>
      </c>
      <c r="K2349">
        <v>1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1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 t="s">
        <v>31</v>
      </c>
      <c r="Z2349">
        <v>1000</v>
      </c>
      <c r="AA2349">
        <v>20</v>
      </c>
    </row>
    <row r="2350" spans="1:27" x14ac:dyDescent="0.2">
      <c r="A2350" t="s">
        <v>928</v>
      </c>
      <c r="B2350">
        <v>2019</v>
      </c>
      <c r="C2350" t="s">
        <v>2202</v>
      </c>
      <c r="D2350" t="s">
        <v>1302</v>
      </c>
      <c r="E2350" t="s">
        <v>29</v>
      </c>
      <c r="F2350" t="s">
        <v>41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1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 t="s">
        <v>51</v>
      </c>
      <c r="Z2350">
        <v>50</v>
      </c>
      <c r="AA2350">
        <v>0</v>
      </c>
    </row>
    <row r="2351" spans="1:27" x14ac:dyDescent="0.2">
      <c r="A2351" t="s">
        <v>928</v>
      </c>
      <c r="B2351">
        <v>2019</v>
      </c>
      <c r="C2351">
        <v>222270047</v>
      </c>
      <c r="D2351" t="s">
        <v>3177</v>
      </c>
      <c r="E2351" t="s">
        <v>29</v>
      </c>
      <c r="F2351" t="s">
        <v>30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9</v>
      </c>
      <c r="T2351">
        <v>0</v>
      </c>
      <c r="U2351">
        <v>36</v>
      </c>
      <c r="V2351">
        <v>0</v>
      </c>
      <c r="W2351">
        <v>72</v>
      </c>
      <c r="X2351">
        <v>0</v>
      </c>
      <c r="Y2351" t="s">
        <v>51</v>
      </c>
      <c r="Z2351">
        <v>20</v>
      </c>
      <c r="AA2351">
        <v>0</v>
      </c>
    </row>
    <row r="2352" spans="1:27" x14ac:dyDescent="0.2">
      <c r="A2352" t="s">
        <v>928</v>
      </c>
      <c r="B2352">
        <v>2019</v>
      </c>
      <c r="C2352" t="s">
        <v>3178</v>
      </c>
      <c r="D2352" t="s">
        <v>1364</v>
      </c>
      <c r="E2352" t="s">
        <v>29</v>
      </c>
      <c r="F2352" t="s">
        <v>41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1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 t="s">
        <v>51</v>
      </c>
      <c r="Z2352">
        <v>50</v>
      </c>
      <c r="AA2352">
        <v>0</v>
      </c>
    </row>
    <row r="2353" spans="1:27" x14ac:dyDescent="0.2">
      <c r="A2353" t="s">
        <v>2691</v>
      </c>
      <c r="B2353">
        <v>2022</v>
      </c>
      <c r="C2353" t="s">
        <v>3179</v>
      </c>
      <c r="D2353" t="s">
        <v>3180</v>
      </c>
      <c r="E2353" t="s">
        <v>29</v>
      </c>
      <c r="F2353" t="s">
        <v>30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2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 t="s">
        <v>31</v>
      </c>
      <c r="Z2353">
        <v>55</v>
      </c>
      <c r="AA2353">
        <v>35</v>
      </c>
    </row>
    <row r="2354" spans="1:27" x14ac:dyDescent="0.2">
      <c r="A2354" t="s">
        <v>3097</v>
      </c>
      <c r="B2354">
        <v>2020</v>
      </c>
      <c r="C2354" t="s">
        <v>3181</v>
      </c>
      <c r="D2354" t="s">
        <v>3182</v>
      </c>
      <c r="E2354" t="s">
        <v>29</v>
      </c>
      <c r="F2354" t="s">
        <v>30</v>
      </c>
      <c r="G2354">
        <v>34</v>
      </c>
      <c r="H2354">
        <v>0</v>
      </c>
      <c r="I2354">
        <v>130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 t="s">
        <v>31</v>
      </c>
      <c r="Z2354">
        <v>55</v>
      </c>
      <c r="AA2354">
        <v>0</v>
      </c>
    </row>
    <row r="2355" spans="1:27" x14ac:dyDescent="0.2">
      <c r="A2355" t="s">
        <v>792</v>
      </c>
      <c r="B2355">
        <v>2021</v>
      </c>
      <c r="C2355">
        <v>37529114</v>
      </c>
      <c r="D2355" t="s">
        <v>3183</v>
      </c>
      <c r="E2355" t="s">
        <v>29</v>
      </c>
      <c r="F2355" t="s">
        <v>30</v>
      </c>
      <c r="G2355">
        <v>0</v>
      </c>
      <c r="H2355">
        <v>0</v>
      </c>
      <c r="I2355">
        <v>34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 t="s">
        <v>31</v>
      </c>
      <c r="Z2355">
        <v>55</v>
      </c>
      <c r="AA2355">
        <v>0</v>
      </c>
    </row>
    <row r="2356" spans="1:27" x14ac:dyDescent="0.2">
      <c r="A2356" t="s">
        <v>883</v>
      </c>
      <c r="B2356">
        <v>2018</v>
      </c>
      <c r="C2356" t="s">
        <v>3184</v>
      </c>
      <c r="D2356" t="s">
        <v>3185</v>
      </c>
      <c r="E2356" t="s">
        <v>29</v>
      </c>
      <c r="F2356" t="s">
        <v>41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1</v>
      </c>
      <c r="X2356">
        <v>0</v>
      </c>
      <c r="Y2356" t="s">
        <v>51</v>
      </c>
      <c r="Z2356">
        <v>45</v>
      </c>
      <c r="AA2356">
        <v>0</v>
      </c>
    </row>
    <row r="2357" spans="1:27" x14ac:dyDescent="0.2">
      <c r="A2357" t="s">
        <v>883</v>
      </c>
      <c r="B2357">
        <v>2018</v>
      </c>
      <c r="C2357" s="2" t="s">
        <v>2703</v>
      </c>
      <c r="D2357" t="s">
        <v>3186</v>
      </c>
      <c r="E2357" t="s">
        <v>29</v>
      </c>
      <c r="F2357" t="s">
        <v>30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12</v>
      </c>
      <c r="T2357">
        <v>0</v>
      </c>
      <c r="U2357">
        <v>0</v>
      </c>
      <c r="V2357">
        <v>0</v>
      </c>
      <c r="W2357">
        <v>0</v>
      </c>
      <c r="X2357">
        <v>0</v>
      </c>
      <c r="Y2357" t="s">
        <v>51</v>
      </c>
      <c r="Z2357">
        <v>1000</v>
      </c>
      <c r="AA2357">
        <v>0</v>
      </c>
    </row>
    <row r="2358" spans="1:27" x14ac:dyDescent="0.2">
      <c r="A2358" t="s">
        <v>883</v>
      </c>
      <c r="B2358">
        <v>2018</v>
      </c>
      <c r="C2358">
        <v>35200120</v>
      </c>
      <c r="D2358" t="s">
        <v>3187</v>
      </c>
      <c r="E2358" t="s">
        <v>29</v>
      </c>
      <c r="F2358" t="s">
        <v>30</v>
      </c>
      <c r="G2358">
        <v>6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 t="s">
        <v>51</v>
      </c>
      <c r="Z2358">
        <v>1000</v>
      </c>
      <c r="AA2358">
        <v>0</v>
      </c>
    </row>
    <row r="2359" spans="1:27" x14ac:dyDescent="0.2">
      <c r="A2359" t="s">
        <v>3188</v>
      </c>
      <c r="B2359">
        <v>2018</v>
      </c>
      <c r="C2359">
        <v>8377020021</v>
      </c>
      <c r="D2359" t="s">
        <v>3189</v>
      </c>
      <c r="E2359" t="s">
        <v>29</v>
      </c>
      <c r="F2359" t="s">
        <v>30</v>
      </c>
      <c r="G2359">
        <v>2</v>
      </c>
      <c r="H2359">
        <v>0</v>
      </c>
      <c r="I2359">
        <v>0</v>
      </c>
      <c r="J2359">
        <v>0</v>
      </c>
      <c r="K2359">
        <v>4</v>
      </c>
      <c r="L2359">
        <v>0</v>
      </c>
      <c r="M2359">
        <v>2</v>
      </c>
      <c r="N2359">
        <v>0</v>
      </c>
      <c r="O2359">
        <v>0</v>
      </c>
      <c r="P2359">
        <v>0</v>
      </c>
      <c r="Q2359">
        <v>4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 t="s">
        <v>51</v>
      </c>
      <c r="Z2359">
        <v>55</v>
      </c>
      <c r="AA2359">
        <v>0</v>
      </c>
    </row>
    <row r="2360" spans="1:27" x14ac:dyDescent="0.2">
      <c r="A2360" t="s">
        <v>271</v>
      </c>
      <c r="B2360">
        <v>2019</v>
      </c>
      <c r="C2360">
        <v>8634023</v>
      </c>
      <c r="D2360" t="s">
        <v>3190</v>
      </c>
      <c r="E2360" t="s">
        <v>29</v>
      </c>
      <c r="F2360" t="s">
        <v>41</v>
      </c>
      <c r="G2360">
        <v>0</v>
      </c>
      <c r="H2360">
        <v>0</v>
      </c>
      <c r="I2360">
        <v>2</v>
      </c>
      <c r="J2360">
        <v>0</v>
      </c>
      <c r="K2360">
        <v>10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 t="s">
        <v>51</v>
      </c>
      <c r="Z2360">
        <v>45</v>
      </c>
      <c r="AA2360">
        <v>0</v>
      </c>
    </row>
    <row r="2361" spans="1:27" x14ac:dyDescent="0.2">
      <c r="A2361" t="s">
        <v>1255</v>
      </c>
      <c r="B2361">
        <v>2020</v>
      </c>
      <c r="C2361" s="2" t="s">
        <v>1256</v>
      </c>
      <c r="D2361" t="s">
        <v>1887</v>
      </c>
      <c r="E2361" t="s">
        <v>29</v>
      </c>
      <c r="F2361" t="s">
        <v>30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5</v>
      </c>
      <c r="N2361">
        <v>0</v>
      </c>
      <c r="O2361">
        <v>19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 t="s">
        <v>31</v>
      </c>
      <c r="AA2361">
        <v>0</v>
      </c>
    </row>
    <row r="2362" spans="1:27" x14ac:dyDescent="0.2">
      <c r="A2362" t="s">
        <v>1255</v>
      </c>
      <c r="B2362">
        <v>2020</v>
      </c>
      <c r="C2362" s="2" t="s">
        <v>1256</v>
      </c>
      <c r="D2362" t="s">
        <v>1907</v>
      </c>
      <c r="E2362" t="s">
        <v>29</v>
      </c>
      <c r="F2362" t="s">
        <v>30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5</v>
      </c>
      <c r="N2362">
        <v>0</v>
      </c>
      <c r="O2362">
        <v>19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 t="s">
        <v>31</v>
      </c>
      <c r="AA2362">
        <v>0</v>
      </c>
    </row>
    <row r="2363" spans="1:27" x14ac:dyDescent="0.2">
      <c r="A2363" t="s">
        <v>883</v>
      </c>
      <c r="B2363">
        <v>2022</v>
      </c>
      <c r="C2363">
        <v>40031404</v>
      </c>
      <c r="D2363" t="s">
        <v>3191</v>
      </c>
      <c r="E2363" t="s">
        <v>29</v>
      </c>
      <c r="F2363" t="s">
        <v>30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5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 t="s">
        <v>51</v>
      </c>
      <c r="Z2363">
        <v>1000</v>
      </c>
      <c r="AA2363">
        <v>0</v>
      </c>
    </row>
    <row r="2364" spans="1:27" x14ac:dyDescent="0.2">
      <c r="A2364" t="s">
        <v>883</v>
      </c>
      <c r="B2364">
        <v>2022</v>
      </c>
      <c r="C2364">
        <v>35401450</v>
      </c>
      <c r="D2364" t="s">
        <v>3192</v>
      </c>
      <c r="E2364" t="s">
        <v>29</v>
      </c>
      <c r="F2364" t="s">
        <v>41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 t="s">
        <v>31</v>
      </c>
      <c r="Z2364">
        <v>1000</v>
      </c>
      <c r="AA2364">
        <v>20</v>
      </c>
    </row>
    <row r="2365" spans="1:27" x14ac:dyDescent="0.2">
      <c r="A2365" t="s">
        <v>1959</v>
      </c>
      <c r="B2365">
        <v>2019</v>
      </c>
      <c r="C2365" t="s">
        <v>3193</v>
      </c>
      <c r="D2365" t="s">
        <v>3194</v>
      </c>
      <c r="E2365" t="s">
        <v>29</v>
      </c>
      <c r="F2365" t="s">
        <v>30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38</v>
      </c>
      <c r="P2365">
        <v>0</v>
      </c>
      <c r="Q2365">
        <v>0</v>
      </c>
      <c r="R2365">
        <v>160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 t="s">
        <v>51</v>
      </c>
      <c r="Z2365">
        <v>1000</v>
      </c>
      <c r="AA2365">
        <v>0</v>
      </c>
    </row>
    <row r="2366" spans="1:27" x14ac:dyDescent="0.2">
      <c r="A2366" t="s">
        <v>433</v>
      </c>
      <c r="B2366">
        <v>2021</v>
      </c>
      <c r="C2366">
        <v>16741078</v>
      </c>
      <c r="D2366" t="s">
        <v>3195</v>
      </c>
      <c r="E2366" t="s">
        <v>29</v>
      </c>
      <c r="F2366" t="s">
        <v>41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1</v>
      </c>
      <c r="P2366">
        <v>0</v>
      </c>
      <c r="Q2366">
        <v>3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 t="s">
        <v>31</v>
      </c>
      <c r="Z2366">
        <v>55</v>
      </c>
      <c r="AA2366">
        <v>0</v>
      </c>
    </row>
    <row r="2367" spans="1:27" x14ac:dyDescent="0.2">
      <c r="A2367" t="s">
        <v>1986</v>
      </c>
      <c r="B2367">
        <v>2022</v>
      </c>
      <c r="C2367">
        <v>16040105000</v>
      </c>
      <c r="D2367" t="s">
        <v>3196</v>
      </c>
      <c r="E2367" t="s">
        <v>29</v>
      </c>
      <c r="F2367" t="s">
        <v>30</v>
      </c>
      <c r="G2367">
        <v>0</v>
      </c>
      <c r="H2367">
        <v>0</v>
      </c>
      <c r="I2367">
        <v>8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8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 t="s">
        <v>31</v>
      </c>
      <c r="Z2367">
        <v>55</v>
      </c>
      <c r="AA2367">
        <v>0</v>
      </c>
    </row>
    <row r="2368" spans="1:27" x14ac:dyDescent="0.2">
      <c r="A2368" t="s">
        <v>1609</v>
      </c>
      <c r="B2368">
        <v>2021</v>
      </c>
      <c r="C2368">
        <v>1922641</v>
      </c>
      <c r="D2368" t="s">
        <v>1755</v>
      </c>
      <c r="E2368" t="s">
        <v>29</v>
      </c>
      <c r="F2368" t="s">
        <v>30</v>
      </c>
      <c r="G2368">
        <v>0</v>
      </c>
      <c r="H2368">
        <v>53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 t="s">
        <v>51</v>
      </c>
      <c r="Z2368">
        <v>55</v>
      </c>
      <c r="AA2368">
        <v>0</v>
      </c>
    </row>
    <row r="2369" spans="1:27" x14ac:dyDescent="0.2">
      <c r="A2369" t="s">
        <v>1500</v>
      </c>
      <c r="B2369">
        <v>2020</v>
      </c>
      <c r="C2369">
        <v>6032013008</v>
      </c>
      <c r="D2369" t="s">
        <v>3197</v>
      </c>
      <c r="E2369" t="s">
        <v>29</v>
      </c>
      <c r="F2369" t="s">
        <v>30</v>
      </c>
      <c r="G2369">
        <v>0</v>
      </c>
      <c r="H2369">
        <v>0</v>
      </c>
      <c r="I2369">
        <v>180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 t="s">
        <v>31</v>
      </c>
      <c r="Z2369">
        <v>55</v>
      </c>
      <c r="AA2369">
        <v>0</v>
      </c>
    </row>
    <row r="2370" spans="1:27" x14ac:dyDescent="0.2">
      <c r="A2370" t="s">
        <v>1500</v>
      </c>
      <c r="B2370">
        <v>2020</v>
      </c>
      <c r="C2370">
        <v>5242007010</v>
      </c>
      <c r="D2370" t="s">
        <v>3198</v>
      </c>
      <c r="E2370" t="s">
        <v>29</v>
      </c>
      <c r="F2370" t="s">
        <v>30</v>
      </c>
      <c r="G2370">
        <v>0</v>
      </c>
      <c r="H2370">
        <v>0</v>
      </c>
      <c r="I2370">
        <v>1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 t="s">
        <v>31</v>
      </c>
      <c r="Z2370">
        <v>55</v>
      </c>
      <c r="AA2370">
        <v>0</v>
      </c>
    </row>
    <row r="2371" spans="1:27" x14ac:dyDescent="0.2">
      <c r="A2371" t="s">
        <v>1500</v>
      </c>
      <c r="B2371">
        <v>2020</v>
      </c>
      <c r="C2371">
        <v>2210011900</v>
      </c>
      <c r="D2371" t="s">
        <v>3199</v>
      </c>
      <c r="E2371" t="s">
        <v>29</v>
      </c>
      <c r="F2371" t="s">
        <v>30</v>
      </c>
      <c r="G2371">
        <v>98</v>
      </c>
      <c r="H2371">
        <v>0</v>
      </c>
      <c r="I2371">
        <v>78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 t="s">
        <v>31</v>
      </c>
      <c r="Z2371">
        <v>55</v>
      </c>
      <c r="AA2371">
        <v>0</v>
      </c>
    </row>
    <row r="2372" spans="1:27" x14ac:dyDescent="0.2">
      <c r="A2372" t="s">
        <v>1500</v>
      </c>
      <c r="B2372">
        <v>2020</v>
      </c>
      <c r="C2372">
        <v>5250017901</v>
      </c>
      <c r="D2372" t="s">
        <v>3200</v>
      </c>
      <c r="E2372" t="s">
        <v>29</v>
      </c>
      <c r="F2372" t="s">
        <v>30</v>
      </c>
      <c r="G2372">
        <v>0</v>
      </c>
      <c r="H2372">
        <v>0</v>
      </c>
      <c r="I2372">
        <v>78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 t="s">
        <v>31</v>
      </c>
      <c r="Z2372">
        <v>55</v>
      </c>
      <c r="AA2372">
        <v>0</v>
      </c>
    </row>
    <row r="2373" spans="1:27" x14ac:dyDescent="0.2">
      <c r="A2373" t="s">
        <v>2862</v>
      </c>
      <c r="B2373">
        <v>2020</v>
      </c>
      <c r="C2373">
        <v>8921320</v>
      </c>
      <c r="D2373" t="s">
        <v>3201</v>
      </c>
      <c r="E2373" t="s">
        <v>29</v>
      </c>
      <c r="F2373" t="s">
        <v>30</v>
      </c>
      <c r="G2373">
        <v>1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 t="s">
        <v>31</v>
      </c>
      <c r="Z2373">
        <v>55</v>
      </c>
      <c r="AA2373">
        <v>0</v>
      </c>
    </row>
    <row r="2374" spans="1:27" x14ac:dyDescent="0.2">
      <c r="A2374" t="s">
        <v>457</v>
      </c>
      <c r="B2374">
        <v>2020</v>
      </c>
      <c r="C2374" t="s">
        <v>3202</v>
      </c>
      <c r="D2374" t="s">
        <v>3203</v>
      </c>
      <c r="E2374" t="s">
        <v>29</v>
      </c>
      <c r="F2374" t="s">
        <v>30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16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 t="s">
        <v>31</v>
      </c>
      <c r="AA2374">
        <v>0</v>
      </c>
    </row>
    <row r="2375" spans="1:27" x14ac:dyDescent="0.2">
      <c r="A2375" t="s">
        <v>457</v>
      </c>
      <c r="B2375">
        <v>2020</v>
      </c>
      <c r="C2375" t="s">
        <v>2069</v>
      </c>
      <c r="D2375" t="s">
        <v>3204</v>
      </c>
      <c r="E2375" t="s">
        <v>29</v>
      </c>
      <c r="F2375" t="s">
        <v>30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34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 t="s">
        <v>31</v>
      </c>
      <c r="AA2375">
        <v>0</v>
      </c>
    </row>
    <row r="2376" spans="1:27" x14ac:dyDescent="0.2">
      <c r="A2376" t="s">
        <v>27</v>
      </c>
      <c r="B2376">
        <v>2022</v>
      </c>
      <c r="C2376">
        <v>7203002005</v>
      </c>
      <c r="D2376" t="s">
        <v>3205</v>
      </c>
      <c r="E2376" t="s">
        <v>29</v>
      </c>
      <c r="F2376" t="s">
        <v>30</v>
      </c>
      <c r="G2376">
        <v>12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 t="s">
        <v>31</v>
      </c>
      <c r="Z2376">
        <v>55</v>
      </c>
      <c r="AA2376">
        <v>0</v>
      </c>
    </row>
    <row r="2377" spans="1:27" x14ac:dyDescent="0.2">
      <c r="A2377" t="s">
        <v>27</v>
      </c>
      <c r="B2377">
        <v>2022</v>
      </c>
      <c r="C2377">
        <v>7208010023</v>
      </c>
      <c r="D2377" t="s">
        <v>3206</v>
      </c>
      <c r="E2377" t="s">
        <v>29</v>
      </c>
      <c r="F2377" t="s">
        <v>30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11</v>
      </c>
      <c r="N2377">
        <v>0</v>
      </c>
      <c r="O2377">
        <v>87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 t="s">
        <v>31</v>
      </c>
      <c r="Z2377">
        <v>55</v>
      </c>
      <c r="AA2377">
        <v>0</v>
      </c>
    </row>
    <row r="2378" spans="1:27" x14ac:dyDescent="0.2">
      <c r="A2378" t="s">
        <v>27</v>
      </c>
      <c r="B2378">
        <v>2022</v>
      </c>
      <c r="C2378">
        <v>7259003038</v>
      </c>
      <c r="D2378" t="s">
        <v>3207</v>
      </c>
      <c r="E2378" t="s">
        <v>29</v>
      </c>
      <c r="F2378" t="s">
        <v>30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76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 t="s">
        <v>31</v>
      </c>
      <c r="Z2378">
        <v>55</v>
      </c>
      <c r="AA2378">
        <v>0</v>
      </c>
    </row>
    <row r="2379" spans="1:27" x14ac:dyDescent="0.2">
      <c r="A2379" t="s">
        <v>1576</v>
      </c>
      <c r="B2379">
        <v>2021</v>
      </c>
      <c r="C2379">
        <v>1430402600</v>
      </c>
      <c r="D2379" t="s">
        <v>3208</v>
      </c>
      <c r="E2379" t="s">
        <v>29</v>
      </c>
      <c r="F2379" t="s">
        <v>30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26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 t="s">
        <v>31</v>
      </c>
      <c r="Z2379">
        <v>55</v>
      </c>
      <c r="AA2379">
        <v>11</v>
      </c>
    </row>
    <row r="2380" spans="1:27" x14ac:dyDescent="0.2">
      <c r="A2380" t="s">
        <v>835</v>
      </c>
      <c r="B2380">
        <v>2021</v>
      </c>
      <c r="C2380" s="2" t="s">
        <v>1209</v>
      </c>
      <c r="D2380" t="s">
        <v>1210</v>
      </c>
      <c r="E2380" t="s">
        <v>29</v>
      </c>
      <c r="F2380" t="s">
        <v>41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19</v>
      </c>
      <c r="X2380">
        <v>0</v>
      </c>
      <c r="Y2380" t="s">
        <v>51</v>
      </c>
      <c r="Z2380">
        <v>55</v>
      </c>
      <c r="AA2380">
        <v>0</v>
      </c>
    </row>
    <row r="2381" spans="1:27" x14ac:dyDescent="0.2">
      <c r="A2381" t="s">
        <v>2184</v>
      </c>
      <c r="B2381">
        <v>2020</v>
      </c>
      <c r="C2381" t="s">
        <v>3209</v>
      </c>
      <c r="D2381" t="s">
        <v>3210</v>
      </c>
      <c r="E2381" t="s">
        <v>29</v>
      </c>
      <c r="F2381" t="s">
        <v>30</v>
      </c>
      <c r="G2381">
        <v>1</v>
      </c>
      <c r="H2381">
        <v>0</v>
      </c>
      <c r="I2381">
        <v>1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 t="s">
        <v>31</v>
      </c>
      <c r="AA2381">
        <v>0</v>
      </c>
    </row>
    <row r="2382" spans="1:27" x14ac:dyDescent="0.2">
      <c r="A2382" t="s">
        <v>2419</v>
      </c>
      <c r="B2382">
        <v>2021</v>
      </c>
      <c r="C2382">
        <v>60237018</v>
      </c>
      <c r="D2382" t="s">
        <v>2420</v>
      </c>
      <c r="E2382" t="s">
        <v>29</v>
      </c>
      <c r="F2382" t="s">
        <v>30</v>
      </c>
      <c r="G2382">
        <v>0</v>
      </c>
      <c r="H2382">
        <v>0</v>
      </c>
      <c r="I2382">
        <v>3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3</v>
      </c>
      <c r="P2382">
        <v>0</v>
      </c>
      <c r="Q2382">
        <v>0</v>
      </c>
      <c r="R2382">
        <v>16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 t="s">
        <v>31</v>
      </c>
      <c r="Z2382">
        <v>30</v>
      </c>
      <c r="AA2382">
        <v>0</v>
      </c>
    </row>
    <row r="2383" spans="1:27" x14ac:dyDescent="0.2">
      <c r="A2383" t="s">
        <v>1367</v>
      </c>
      <c r="B2383">
        <v>2021</v>
      </c>
      <c r="C2383" t="s">
        <v>3211</v>
      </c>
      <c r="D2383" t="s">
        <v>2028</v>
      </c>
      <c r="E2383" t="s">
        <v>29</v>
      </c>
      <c r="F2383" t="s">
        <v>30</v>
      </c>
      <c r="G2383">
        <v>0</v>
      </c>
      <c r="H2383">
        <v>0</v>
      </c>
      <c r="I2383">
        <v>28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28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 t="s">
        <v>31</v>
      </c>
      <c r="AA2383">
        <v>84</v>
      </c>
    </row>
    <row r="2384" spans="1:27" x14ac:dyDescent="0.2">
      <c r="A2384" t="s">
        <v>3035</v>
      </c>
      <c r="B2384">
        <v>2021</v>
      </c>
      <c r="C2384" s="2" t="s">
        <v>3212</v>
      </c>
      <c r="D2384" t="s">
        <v>3213</v>
      </c>
      <c r="E2384" t="s">
        <v>29</v>
      </c>
      <c r="F2384" t="s">
        <v>30</v>
      </c>
      <c r="G2384">
        <v>0</v>
      </c>
      <c r="H2384">
        <v>0</v>
      </c>
      <c r="I2384">
        <v>27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 t="s">
        <v>31</v>
      </c>
      <c r="Z2384">
        <v>99</v>
      </c>
      <c r="AA2384">
        <v>35</v>
      </c>
    </row>
    <row r="2385" spans="1:27" x14ac:dyDescent="0.2">
      <c r="A2385" t="s">
        <v>649</v>
      </c>
      <c r="B2385">
        <v>2020</v>
      </c>
      <c r="C2385" t="s">
        <v>3214</v>
      </c>
      <c r="D2385" t="s">
        <v>3215</v>
      </c>
      <c r="E2385" t="s">
        <v>29</v>
      </c>
      <c r="F2385" t="s">
        <v>30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25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 t="s">
        <v>51</v>
      </c>
      <c r="Z2385">
        <v>55</v>
      </c>
      <c r="AA2385">
        <v>0</v>
      </c>
    </row>
    <row r="2386" spans="1:27" x14ac:dyDescent="0.2">
      <c r="A2386" t="s">
        <v>649</v>
      </c>
      <c r="B2386">
        <v>2020</v>
      </c>
      <c r="C2386" t="s">
        <v>3216</v>
      </c>
      <c r="E2386" t="s">
        <v>29</v>
      </c>
      <c r="F2386" t="s">
        <v>30</v>
      </c>
      <c r="G2386">
        <v>72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 t="s">
        <v>31</v>
      </c>
      <c r="Z2386">
        <v>55</v>
      </c>
      <c r="AA2386">
        <v>0</v>
      </c>
    </row>
    <row r="2387" spans="1:27" x14ac:dyDescent="0.2">
      <c r="A2387" t="s">
        <v>38</v>
      </c>
      <c r="B2387">
        <v>2020</v>
      </c>
      <c r="C2387" t="s">
        <v>39</v>
      </c>
      <c r="D2387" t="s">
        <v>40</v>
      </c>
      <c r="E2387" t="s">
        <v>29</v>
      </c>
      <c r="F2387" t="s">
        <v>41</v>
      </c>
      <c r="G2387">
        <v>0</v>
      </c>
      <c r="H2387">
        <v>0</v>
      </c>
      <c r="I2387">
        <v>0</v>
      </c>
      <c r="J2387">
        <v>0</v>
      </c>
      <c r="K2387">
        <v>9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9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 t="s">
        <v>31</v>
      </c>
      <c r="Z2387">
        <v>30</v>
      </c>
      <c r="AA2387">
        <v>0</v>
      </c>
    </row>
    <row r="2388" spans="1:27" x14ac:dyDescent="0.2">
      <c r="A2388" t="s">
        <v>2862</v>
      </c>
      <c r="B2388">
        <v>2022</v>
      </c>
      <c r="C2388">
        <v>9722203</v>
      </c>
      <c r="D2388" t="s">
        <v>3217</v>
      </c>
      <c r="E2388" t="s">
        <v>29</v>
      </c>
      <c r="F2388" t="s">
        <v>41</v>
      </c>
      <c r="G2388">
        <v>1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 t="s">
        <v>31</v>
      </c>
      <c r="Z2388">
        <v>55</v>
      </c>
      <c r="AA2388">
        <v>5</v>
      </c>
    </row>
    <row r="2389" spans="1:27" x14ac:dyDescent="0.2">
      <c r="A2389" t="s">
        <v>433</v>
      </c>
      <c r="B2389">
        <v>2019</v>
      </c>
      <c r="C2389">
        <v>16741066</v>
      </c>
      <c r="D2389" t="s">
        <v>3218</v>
      </c>
      <c r="E2389" t="s">
        <v>29</v>
      </c>
      <c r="F2389" t="s">
        <v>41</v>
      </c>
      <c r="G2389">
        <v>0</v>
      </c>
      <c r="H2389">
        <v>0</v>
      </c>
      <c r="I2389">
        <v>0</v>
      </c>
      <c r="J2389">
        <v>0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 t="s">
        <v>51</v>
      </c>
      <c r="Z2389">
        <v>55</v>
      </c>
      <c r="AA2389">
        <v>0</v>
      </c>
    </row>
    <row r="2390" spans="1:27" x14ac:dyDescent="0.2">
      <c r="A2390" t="s">
        <v>3219</v>
      </c>
      <c r="B2390">
        <v>2021</v>
      </c>
      <c r="D2390" t="s">
        <v>3220</v>
      </c>
      <c r="E2390" t="s">
        <v>29</v>
      </c>
      <c r="F2390" t="s">
        <v>30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54</v>
      </c>
      <c r="N2390">
        <v>0</v>
      </c>
      <c r="O2390">
        <v>22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 t="s">
        <v>31</v>
      </c>
      <c r="Z2390">
        <v>55</v>
      </c>
      <c r="AA2390">
        <v>0</v>
      </c>
    </row>
    <row r="2391" spans="1:27" x14ac:dyDescent="0.2">
      <c r="A2391" t="s">
        <v>573</v>
      </c>
      <c r="B2391">
        <v>2020</v>
      </c>
      <c r="C2391" t="s">
        <v>3221</v>
      </c>
      <c r="E2391" t="s">
        <v>29</v>
      </c>
      <c r="F2391" t="s">
        <v>30</v>
      </c>
      <c r="G2391">
        <v>52</v>
      </c>
      <c r="H2391">
        <v>0</v>
      </c>
      <c r="I2391">
        <v>22</v>
      </c>
      <c r="J2391">
        <v>0</v>
      </c>
      <c r="K2391">
        <v>6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 t="s">
        <v>31</v>
      </c>
      <c r="AA2391">
        <v>0</v>
      </c>
    </row>
    <row r="2392" spans="1:27" x14ac:dyDescent="0.2">
      <c r="A2392" t="s">
        <v>1247</v>
      </c>
      <c r="B2392">
        <v>2020</v>
      </c>
      <c r="C2392">
        <v>183410060</v>
      </c>
      <c r="D2392" t="s">
        <v>3222</v>
      </c>
      <c r="E2392" t="s">
        <v>29</v>
      </c>
      <c r="F2392" t="s">
        <v>30</v>
      </c>
      <c r="G2392">
        <v>0</v>
      </c>
      <c r="H2392">
        <v>99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 t="s">
        <v>51</v>
      </c>
      <c r="AA2392">
        <v>0</v>
      </c>
    </row>
    <row r="2393" spans="1:27" x14ac:dyDescent="0.2">
      <c r="A2393" t="s">
        <v>1247</v>
      </c>
      <c r="B2393">
        <v>2020</v>
      </c>
      <c r="C2393" s="2" t="s">
        <v>2974</v>
      </c>
      <c r="D2393" t="s">
        <v>2975</v>
      </c>
      <c r="E2393" t="s">
        <v>29</v>
      </c>
      <c r="F2393" t="s">
        <v>30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3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3</v>
      </c>
      <c r="V2393">
        <v>0</v>
      </c>
      <c r="W2393">
        <v>0</v>
      </c>
      <c r="X2393">
        <v>0</v>
      </c>
      <c r="Y2393" t="s">
        <v>31</v>
      </c>
      <c r="Z2393">
        <v>55</v>
      </c>
      <c r="AA2393">
        <v>0</v>
      </c>
    </row>
    <row r="2394" spans="1:27" x14ac:dyDescent="0.2">
      <c r="A2394" t="s">
        <v>1247</v>
      </c>
      <c r="B2394">
        <v>2020</v>
      </c>
      <c r="C2394">
        <v>43132043</v>
      </c>
      <c r="D2394" t="s">
        <v>3223</v>
      </c>
      <c r="E2394" t="s">
        <v>29</v>
      </c>
      <c r="F2394" t="s">
        <v>30</v>
      </c>
      <c r="G2394">
        <v>0</v>
      </c>
      <c r="H2394">
        <v>0</v>
      </c>
      <c r="I2394">
        <v>0</v>
      </c>
      <c r="J2394">
        <v>154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 t="s">
        <v>31</v>
      </c>
      <c r="Z2394">
        <v>55</v>
      </c>
      <c r="AA2394">
        <v>0</v>
      </c>
    </row>
    <row r="2395" spans="1:27" x14ac:dyDescent="0.2">
      <c r="A2395" t="s">
        <v>38</v>
      </c>
      <c r="B2395">
        <v>2020</v>
      </c>
      <c r="C2395" t="s">
        <v>237</v>
      </c>
      <c r="D2395" t="s">
        <v>57</v>
      </c>
      <c r="E2395" t="s">
        <v>29</v>
      </c>
      <c r="F2395" t="s">
        <v>30</v>
      </c>
      <c r="G2395">
        <v>4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4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 t="s">
        <v>31</v>
      </c>
      <c r="Z2395">
        <v>30</v>
      </c>
      <c r="AA2395">
        <v>0</v>
      </c>
    </row>
    <row r="2396" spans="1:27" x14ac:dyDescent="0.2">
      <c r="A2396" t="s">
        <v>1449</v>
      </c>
      <c r="B2396">
        <v>2022</v>
      </c>
      <c r="C2396" t="s">
        <v>2004</v>
      </c>
      <c r="D2396" t="s">
        <v>3224</v>
      </c>
      <c r="E2396" t="s">
        <v>29</v>
      </c>
      <c r="F2396" t="s">
        <v>30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5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 t="s">
        <v>31</v>
      </c>
      <c r="Z2396">
        <v>1000</v>
      </c>
      <c r="AA2396">
        <v>35</v>
      </c>
    </row>
    <row r="2397" spans="1:27" x14ac:dyDescent="0.2">
      <c r="A2397" t="s">
        <v>1449</v>
      </c>
      <c r="B2397">
        <v>2022</v>
      </c>
      <c r="C2397" t="s">
        <v>2150</v>
      </c>
      <c r="D2397" t="s">
        <v>3225</v>
      </c>
      <c r="E2397" t="s">
        <v>29</v>
      </c>
      <c r="F2397" t="s">
        <v>30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1</v>
      </c>
      <c r="T2397">
        <v>0</v>
      </c>
      <c r="U2397">
        <v>0</v>
      </c>
      <c r="V2397">
        <v>0</v>
      </c>
      <c r="W2397">
        <v>0</v>
      </c>
      <c r="X2397">
        <v>0</v>
      </c>
      <c r="Y2397" t="s">
        <v>51</v>
      </c>
      <c r="Z2397">
        <v>1000</v>
      </c>
      <c r="AA2397">
        <v>0</v>
      </c>
    </row>
    <row r="2398" spans="1:27" x14ac:dyDescent="0.2">
      <c r="A2398" t="s">
        <v>1449</v>
      </c>
      <c r="B2398">
        <v>2022</v>
      </c>
      <c r="C2398" t="s">
        <v>3226</v>
      </c>
      <c r="D2398" t="s">
        <v>3227</v>
      </c>
      <c r="E2398" t="s">
        <v>29</v>
      </c>
      <c r="F2398" t="s">
        <v>30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8</v>
      </c>
      <c r="T2398">
        <v>0</v>
      </c>
      <c r="U2398">
        <v>0</v>
      </c>
      <c r="V2398">
        <v>0</v>
      </c>
      <c r="W2398">
        <v>0</v>
      </c>
      <c r="X2398">
        <v>0</v>
      </c>
      <c r="Y2398" t="s">
        <v>31</v>
      </c>
      <c r="Z2398">
        <v>1000</v>
      </c>
      <c r="AA2398">
        <v>25</v>
      </c>
    </row>
    <row r="2399" spans="1:27" x14ac:dyDescent="0.2">
      <c r="A2399" t="s">
        <v>260</v>
      </c>
      <c r="B2399">
        <v>2020</v>
      </c>
      <c r="C2399" t="s">
        <v>3149</v>
      </c>
      <c r="D2399" t="s">
        <v>3150</v>
      </c>
      <c r="E2399" t="s">
        <v>29</v>
      </c>
      <c r="F2399" t="s">
        <v>30</v>
      </c>
      <c r="G2399">
        <v>0</v>
      </c>
      <c r="H2399">
        <v>0</v>
      </c>
      <c r="I2399">
        <v>1</v>
      </c>
      <c r="J2399">
        <v>0</v>
      </c>
      <c r="K2399">
        <v>0</v>
      </c>
      <c r="L2399">
        <v>2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 t="s">
        <v>51</v>
      </c>
      <c r="AA2399">
        <v>0</v>
      </c>
    </row>
    <row r="2400" spans="1:27" x14ac:dyDescent="0.2">
      <c r="A2400" t="s">
        <v>1418</v>
      </c>
      <c r="B2400">
        <v>2022</v>
      </c>
      <c r="C2400" t="s">
        <v>3228</v>
      </c>
      <c r="D2400" t="s">
        <v>3229</v>
      </c>
      <c r="E2400" t="s">
        <v>29</v>
      </c>
      <c r="F2400" t="s">
        <v>30</v>
      </c>
      <c r="G2400">
        <v>16</v>
      </c>
      <c r="H2400">
        <v>0</v>
      </c>
      <c r="I2400">
        <v>17</v>
      </c>
      <c r="J2400">
        <v>0</v>
      </c>
      <c r="K2400">
        <v>17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 t="s">
        <v>51</v>
      </c>
      <c r="Z2400">
        <v>55</v>
      </c>
      <c r="AA2400">
        <v>0</v>
      </c>
    </row>
    <row r="2401" spans="1:27" x14ac:dyDescent="0.2">
      <c r="A2401" t="s">
        <v>928</v>
      </c>
      <c r="B2401">
        <v>2019</v>
      </c>
      <c r="C2401" t="s">
        <v>3230</v>
      </c>
      <c r="D2401" t="s">
        <v>1240</v>
      </c>
      <c r="E2401" t="s">
        <v>29</v>
      </c>
      <c r="F2401" t="s">
        <v>41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1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 t="s">
        <v>51</v>
      </c>
      <c r="Z2401">
        <v>50</v>
      </c>
      <c r="AA2401">
        <v>0</v>
      </c>
    </row>
    <row r="2402" spans="1:27" x14ac:dyDescent="0.2">
      <c r="A2402" t="s">
        <v>928</v>
      </c>
      <c r="B2402">
        <v>2019</v>
      </c>
      <c r="C2402" t="s">
        <v>1691</v>
      </c>
      <c r="D2402" t="s">
        <v>1692</v>
      </c>
      <c r="E2402" t="s">
        <v>29</v>
      </c>
      <c r="F2402" t="s">
        <v>41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1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 t="s">
        <v>51</v>
      </c>
      <c r="Z2402">
        <v>50</v>
      </c>
      <c r="AA2402">
        <v>0</v>
      </c>
    </row>
    <row r="2403" spans="1:27" x14ac:dyDescent="0.2">
      <c r="A2403" t="s">
        <v>928</v>
      </c>
      <c r="B2403">
        <v>2019</v>
      </c>
      <c r="C2403" t="s">
        <v>1446</v>
      </c>
      <c r="D2403" t="s">
        <v>1447</v>
      </c>
      <c r="E2403" t="s">
        <v>29</v>
      </c>
      <c r="F2403" t="s">
        <v>41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1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 t="s">
        <v>51</v>
      </c>
      <c r="Z2403">
        <v>50</v>
      </c>
      <c r="AA2403">
        <v>0</v>
      </c>
    </row>
    <row r="2404" spans="1:27" x14ac:dyDescent="0.2">
      <c r="A2404" t="s">
        <v>928</v>
      </c>
      <c r="B2404">
        <v>2019</v>
      </c>
      <c r="C2404" t="s">
        <v>1102</v>
      </c>
      <c r="D2404" t="s">
        <v>1103</v>
      </c>
      <c r="E2404" t="s">
        <v>29</v>
      </c>
      <c r="F2404" t="s">
        <v>41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1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 t="s">
        <v>51</v>
      </c>
      <c r="Z2404">
        <v>50</v>
      </c>
      <c r="AA2404">
        <v>0</v>
      </c>
    </row>
    <row r="2405" spans="1:27" x14ac:dyDescent="0.2">
      <c r="A2405" t="s">
        <v>928</v>
      </c>
      <c r="B2405">
        <v>2019</v>
      </c>
      <c r="C2405" t="s">
        <v>1104</v>
      </c>
      <c r="D2405" t="s">
        <v>1105</v>
      </c>
      <c r="E2405" t="s">
        <v>29</v>
      </c>
      <c r="F2405" t="s">
        <v>41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1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 t="s">
        <v>51</v>
      </c>
      <c r="Z2405">
        <v>50</v>
      </c>
      <c r="AA2405">
        <v>0</v>
      </c>
    </row>
    <row r="2406" spans="1:27" x14ac:dyDescent="0.2">
      <c r="A2406" t="s">
        <v>1075</v>
      </c>
      <c r="B2406">
        <v>2023</v>
      </c>
      <c r="C2406">
        <v>44923202</v>
      </c>
      <c r="D2406" t="s">
        <v>3231</v>
      </c>
      <c r="E2406" t="s">
        <v>29</v>
      </c>
      <c r="F2406" t="s">
        <v>30</v>
      </c>
      <c r="G2406">
        <v>0</v>
      </c>
      <c r="H2406">
        <v>9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9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 t="s">
        <v>31</v>
      </c>
      <c r="AA2406">
        <v>80</v>
      </c>
    </row>
    <row r="2407" spans="1:27" x14ac:dyDescent="0.2">
      <c r="A2407" t="s">
        <v>600</v>
      </c>
      <c r="B2407">
        <v>2019</v>
      </c>
      <c r="C2407">
        <v>6959019</v>
      </c>
      <c r="D2407" t="s">
        <v>1971</v>
      </c>
      <c r="E2407" t="s">
        <v>29</v>
      </c>
      <c r="F2407" t="s">
        <v>30</v>
      </c>
      <c r="G2407">
        <v>0</v>
      </c>
      <c r="H2407">
        <v>0</v>
      </c>
      <c r="I2407">
        <v>98</v>
      </c>
      <c r="J2407">
        <v>0</v>
      </c>
      <c r="K2407">
        <v>37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 t="s">
        <v>31</v>
      </c>
      <c r="AA2407">
        <v>0</v>
      </c>
    </row>
    <row r="2408" spans="1:27" x14ac:dyDescent="0.2">
      <c r="A2408" t="s">
        <v>600</v>
      </c>
      <c r="B2408">
        <v>2019</v>
      </c>
      <c r="C2408">
        <v>3784181</v>
      </c>
      <c r="D2408" t="s">
        <v>3232</v>
      </c>
      <c r="E2408" t="s">
        <v>29</v>
      </c>
      <c r="F2408" t="s">
        <v>30</v>
      </c>
      <c r="G2408">
        <v>5</v>
      </c>
      <c r="H2408">
        <v>0</v>
      </c>
      <c r="I2408">
        <v>1</v>
      </c>
      <c r="J2408">
        <v>0</v>
      </c>
      <c r="K2408">
        <v>2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 t="s">
        <v>31</v>
      </c>
      <c r="AA2408">
        <v>0</v>
      </c>
    </row>
    <row r="2409" spans="1:27" x14ac:dyDescent="0.2">
      <c r="A2409" t="s">
        <v>600</v>
      </c>
      <c r="B2409">
        <v>2019</v>
      </c>
      <c r="C2409" t="s">
        <v>3233</v>
      </c>
      <c r="D2409" t="s">
        <v>3234</v>
      </c>
      <c r="E2409" t="s">
        <v>29</v>
      </c>
      <c r="F2409" t="s">
        <v>30</v>
      </c>
      <c r="G2409">
        <v>0</v>
      </c>
      <c r="H2409">
        <v>0</v>
      </c>
      <c r="I2409">
        <v>9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 t="s">
        <v>51</v>
      </c>
      <c r="AA2409">
        <v>0</v>
      </c>
    </row>
    <row r="2410" spans="1:27" x14ac:dyDescent="0.2">
      <c r="A2410" t="s">
        <v>600</v>
      </c>
      <c r="B2410">
        <v>2019</v>
      </c>
      <c r="C2410" s="2" t="s">
        <v>3235</v>
      </c>
      <c r="D2410" t="s">
        <v>3236</v>
      </c>
      <c r="E2410" t="s">
        <v>29</v>
      </c>
      <c r="F2410" t="s">
        <v>30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 t="s">
        <v>51</v>
      </c>
      <c r="AA2410">
        <v>0</v>
      </c>
    </row>
    <row r="2411" spans="1:27" x14ac:dyDescent="0.2">
      <c r="A2411" t="s">
        <v>600</v>
      </c>
      <c r="B2411">
        <v>2019</v>
      </c>
      <c r="C2411">
        <v>3737012</v>
      </c>
      <c r="D2411" t="s">
        <v>3237</v>
      </c>
      <c r="E2411" t="s">
        <v>29</v>
      </c>
      <c r="F2411" t="s">
        <v>30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149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149</v>
      </c>
      <c r="T2411">
        <v>0</v>
      </c>
      <c r="U2411">
        <v>0</v>
      </c>
      <c r="V2411">
        <v>0</v>
      </c>
      <c r="W2411">
        <v>0</v>
      </c>
      <c r="X2411">
        <v>0</v>
      </c>
      <c r="Y2411" t="s">
        <v>51</v>
      </c>
      <c r="AA2411">
        <v>0</v>
      </c>
    </row>
    <row r="2412" spans="1:27" x14ac:dyDescent="0.2">
      <c r="A2412" t="s">
        <v>600</v>
      </c>
      <c r="B2412">
        <v>2019</v>
      </c>
      <c r="C2412" s="2" t="s">
        <v>1974</v>
      </c>
      <c r="D2412" t="s">
        <v>3238</v>
      </c>
      <c r="E2412" t="s">
        <v>29</v>
      </c>
      <c r="F2412" t="s">
        <v>30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 t="s">
        <v>51</v>
      </c>
      <c r="AA2412">
        <v>0</v>
      </c>
    </row>
    <row r="2413" spans="1:27" x14ac:dyDescent="0.2">
      <c r="A2413" t="s">
        <v>600</v>
      </c>
      <c r="B2413">
        <v>2019</v>
      </c>
      <c r="C2413">
        <v>3728019</v>
      </c>
      <c r="D2413" t="s">
        <v>1828</v>
      </c>
      <c r="E2413" t="s">
        <v>29</v>
      </c>
      <c r="F2413" t="s">
        <v>30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17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 t="s">
        <v>51</v>
      </c>
      <c r="AA2413">
        <v>0</v>
      </c>
    </row>
    <row r="2414" spans="1:27" x14ac:dyDescent="0.2">
      <c r="A2414" t="s">
        <v>600</v>
      </c>
      <c r="B2414">
        <v>2019</v>
      </c>
      <c r="C2414">
        <v>1107008</v>
      </c>
      <c r="D2414" t="s">
        <v>3239</v>
      </c>
      <c r="E2414" t="s">
        <v>29</v>
      </c>
      <c r="F2414" t="s">
        <v>30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 t="s">
        <v>51</v>
      </c>
      <c r="AA2414">
        <v>0</v>
      </c>
    </row>
    <row r="2415" spans="1:27" x14ac:dyDescent="0.2">
      <c r="A2415" t="s">
        <v>600</v>
      </c>
      <c r="B2415">
        <v>2019</v>
      </c>
      <c r="C2415" s="2" t="s">
        <v>992</v>
      </c>
      <c r="D2415" t="s">
        <v>993</v>
      </c>
      <c r="E2415" t="s">
        <v>29</v>
      </c>
      <c r="F2415" t="s">
        <v>41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6</v>
      </c>
      <c r="X2415">
        <v>0</v>
      </c>
      <c r="Y2415" t="s">
        <v>51</v>
      </c>
      <c r="AA2415">
        <v>0</v>
      </c>
    </row>
    <row r="2416" spans="1:27" x14ac:dyDescent="0.2">
      <c r="A2416" t="s">
        <v>600</v>
      </c>
      <c r="B2416">
        <v>2019</v>
      </c>
      <c r="C2416" s="2" t="s">
        <v>3240</v>
      </c>
      <c r="D2416" t="s">
        <v>3241</v>
      </c>
      <c r="E2416" t="s">
        <v>29</v>
      </c>
      <c r="F2416" t="s">
        <v>30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4</v>
      </c>
      <c r="X2416">
        <v>0</v>
      </c>
      <c r="Y2416" t="s">
        <v>51</v>
      </c>
      <c r="AA2416">
        <v>0</v>
      </c>
    </row>
    <row r="2417" spans="1:27" x14ac:dyDescent="0.2">
      <c r="A2417" t="s">
        <v>600</v>
      </c>
      <c r="B2417">
        <v>2019</v>
      </c>
      <c r="C2417">
        <v>3510058</v>
      </c>
      <c r="D2417" t="s">
        <v>1151</v>
      </c>
      <c r="E2417" t="s">
        <v>29</v>
      </c>
      <c r="F2417" t="s">
        <v>30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6</v>
      </c>
      <c r="V2417">
        <v>0</v>
      </c>
      <c r="W2417">
        <v>0</v>
      </c>
      <c r="X2417">
        <v>0</v>
      </c>
      <c r="Y2417" t="s">
        <v>51</v>
      </c>
      <c r="AA2417">
        <v>0</v>
      </c>
    </row>
    <row r="2418" spans="1:27" x14ac:dyDescent="0.2">
      <c r="A2418" t="s">
        <v>2862</v>
      </c>
      <c r="B2418">
        <v>2024</v>
      </c>
      <c r="C2418" s="2" t="s">
        <v>3242</v>
      </c>
      <c r="D2418" t="s">
        <v>3243</v>
      </c>
      <c r="E2418" t="s">
        <v>29</v>
      </c>
      <c r="F2418" t="s">
        <v>30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8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 t="s">
        <v>31</v>
      </c>
      <c r="Z2418">
        <v>55</v>
      </c>
      <c r="AA2418" s="2" t="s">
        <v>3244</v>
      </c>
    </row>
    <row r="2419" spans="1:27" x14ac:dyDescent="0.2">
      <c r="A2419" t="s">
        <v>3245</v>
      </c>
      <c r="B2419">
        <v>2024</v>
      </c>
      <c r="C2419" t="s">
        <v>3246</v>
      </c>
      <c r="D2419" t="s">
        <v>3247</v>
      </c>
      <c r="E2419" t="s">
        <v>29</v>
      </c>
      <c r="F2419" t="s">
        <v>30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24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 t="s">
        <v>31</v>
      </c>
      <c r="Z2419">
        <v>55</v>
      </c>
      <c r="AA2419" s="2" t="s">
        <v>3248</v>
      </c>
    </row>
    <row r="2420" spans="1:27" x14ac:dyDescent="0.2">
      <c r="A2420" t="s">
        <v>291</v>
      </c>
      <c r="B2420">
        <v>2024</v>
      </c>
      <c r="C2420" t="s">
        <v>3249</v>
      </c>
      <c r="D2420" t="s">
        <v>292</v>
      </c>
      <c r="E2420" t="s">
        <v>29</v>
      </c>
      <c r="F2420" t="s">
        <v>30</v>
      </c>
      <c r="G2420">
        <v>10</v>
      </c>
      <c r="H2420">
        <v>0</v>
      </c>
      <c r="I2420">
        <v>66</v>
      </c>
      <c r="J2420">
        <v>0</v>
      </c>
      <c r="K2420">
        <v>19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 t="s">
        <v>31</v>
      </c>
      <c r="AA2420">
        <v>0.75</v>
      </c>
    </row>
    <row r="2421" spans="1:27" x14ac:dyDescent="0.2">
      <c r="A2421" t="s">
        <v>1247</v>
      </c>
      <c r="B2421">
        <v>2020</v>
      </c>
      <c r="C2421" s="2" t="s">
        <v>3250</v>
      </c>
      <c r="D2421" t="s">
        <v>3251</v>
      </c>
      <c r="E2421" t="s">
        <v>29</v>
      </c>
      <c r="F2421" t="s">
        <v>30</v>
      </c>
      <c r="G2421">
        <v>57</v>
      </c>
      <c r="H2421">
        <v>0</v>
      </c>
      <c r="I2421">
        <v>56</v>
      </c>
      <c r="J2421">
        <v>16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 t="s">
        <v>31</v>
      </c>
      <c r="Z2421">
        <v>55</v>
      </c>
      <c r="AA2421">
        <v>0</v>
      </c>
    </row>
    <row r="2422" spans="1:27" x14ac:dyDescent="0.2">
      <c r="A2422" t="s">
        <v>1247</v>
      </c>
      <c r="B2422">
        <v>2020</v>
      </c>
      <c r="C2422" s="2" t="s">
        <v>3252</v>
      </c>
      <c r="D2422" t="s">
        <v>3253</v>
      </c>
      <c r="E2422" t="s">
        <v>29</v>
      </c>
      <c r="F2422" t="s">
        <v>30</v>
      </c>
      <c r="G2422">
        <v>0</v>
      </c>
      <c r="H2422">
        <v>1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 t="s">
        <v>31</v>
      </c>
      <c r="Z2422">
        <v>55</v>
      </c>
      <c r="AA2422">
        <v>0</v>
      </c>
    </row>
    <row r="2423" spans="1:27" x14ac:dyDescent="0.2">
      <c r="A2423" t="s">
        <v>1247</v>
      </c>
      <c r="B2423">
        <v>2020</v>
      </c>
      <c r="C2423" s="2" t="s">
        <v>3254</v>
      </c>
      <c r="D2423" t="s">
        <v>3255</v>
      </c>
      <c r="E2423" t="s">
        <v>29</v>
      </c>
      <c r="F2423" t="s">
        <v>30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151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 t="s">
        <v>31</v>
      </c>
      <c r="Z2423">
        <v>55</v>
      </c>
      <c r="AA2423">
        <v>0</v>
      </c>
    </row>
    <row r="2424" spans="1:27" x14ac:dyDescent="0.2">
      <c r="A2424" t="s">
        <v>1255</v>
      </c>
      <c r="B2424">
        <v>2020</v>
      </c>
      <c r="C2424" s="2" t="s">
        <v>1256</v>
      </c>
      <c r="D2424" t="s">
        <v>1967</v>
      </c>
      <c r="E2424" t="s">
        <v>29</v>
      </c>
      <c r="F2424" t="s">
        <v>30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5</v>
      </c>
      <c r="N2424">
        <v>0</v>
      </c>
      <c r="O2424">
        <v>19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 t="s">
        <v>31</v>
      </c>
      <c r="AA2424">
        <v>0</v>
      </c>
    </row>
    <row r="2425" spans="1:27" x14ac:dyDescent="0.2">
      <c r="A2425" t="s">
        <v>883</v>
      </c>
      <c r="B2425">
        <v>2022</v>
      </c>
      <c r="C2425">
        <v>35401450</v>
      </c>
      <c r="D2425" t="s">
        <v>3256</v>
      </c>
      <c r="E2425" t="s">
        <v>29</v>
      </c>
      <c r="F2425" t="s">
        <v>41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 t="s">
        <v>31</v>
      </c>
      <c r="Z2425">
        <v>1000</v>
      </c>
      <c r="AA2425">
        <v>20</v>
      </c>
    </row>
    <row r="2426" spans="1:27" x14ac:dyDescent="0.2">
      <c r="A2426" t="s">
        <v>883</v>
      </c>
      <c r="B2426">
        <v>2022</v>
      </c>
      <c r="C2426">
        <v>35401450</v>
      </c>
      <c r="D2426" t="s">
        <v>3257</v>
      </c>
      <c r="E2426" t="s">
        <v>29</v>
      </c>
      <c r="F2426" t="s">
        <v>41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 t="s">
        <v>31</v>
      </c>
      <c r="Z2426">
        <v>1000</v>
      </c>
      <c r="AA2426">
        <v>20</v>
      </c>
    </row>
    <row r="2427" spans="1:27" x14ac:dyDescent="0.2">
      <c r="A2427" t="s">
        <v>533</v>
      </c>
      <c r="B2427">
        <v>2022</v>
      </c>
      <c r="C2427" t="s">
        <v>3258</v>
      </c>
      <c r="D2427" t="s">
        <v>3259</v>
      </c>
      <c r="E2427" t="s">
        <v>29</v>
      </c>
      <c r="F2427" t="s">
        <v>41</v>
      </c>
      <c r="G2427">
        <v>0</v>
      </c>
      <c r="H2427">
        <v>0</v>
      </c>
      <c r="I2427">
        <v>0</v>
      </c>
      <c r="J2427">
        <v>0</v>
      </c>
      <c r="K2427">
        <v>1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1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1</v>
      </c>
      <c r="X2427">
        <v>0</v>
      </c>
      <c r="Y2427" t="s">
        <v>31</v>
      </c>
      <c r="Z2427">
        <v>1000</v>
      </c>
      <c r="AA2427">
        <v>20</v>
      </c>
    </row>
    <row r="2428" spans="1:27" x14ac:dyDescent="0.2">
      <c r="A2428" t="s">
        <v>1255</v>
      </c>
      <c r="B2428">
        <v>2020</v>
      </c>
      <c r="C2428" s="2" t="s">
        <v>1256</v>
      </c>
      <c r="D2428" t="s">
        <v>1965</v>
      </c>
      <c r="E2428" t="s">
        <v>29</v>
      </c>
      <c r="F2428" t="s">
        <v>30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23</v>
      </c>
      <c r="N2428">
        <v>0</v>
      </c>
      <c r="O2428">
        <v>64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 t="s">
        <v>31</v>
      </c>
      <c r="AA2428">
        <v>0</v>
      </c>
    </row>
    <row r="2429" spans="1:27" x14ac:dyDescent="0.2">
      <c r="A2429" t="s">
        <v>1255</v>
      </c>
      <c r="B2429">
        <v>2020</v>
      </c>
      <c r="C2429" s="2" t="s">
        <v>1256</v>
      </c>
      <c r="D2429" t="s">
        <v>1586</v>
      </c>
      <c r="E2429" t="s">
        <v>29</v>
      </c>
      <c r="F2429" t="s">
        <v>30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5</v>
      </c>
      <c r="N2429">
        <v>0</v>
      </c>
      <c r="O2429">
        <v>19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 t="s">
        <v>31</v>
      </c>
      <c r="AA2429">
        <v>0</v>
      </c>
    </row>
    <row r="2430" spans="1:27" x14ac:dyDescent="0.2">
      <c r="A2430" t="s">
        <v>1255</v>
      </c>
      <c r="B2430">
        <v>2020</v>
      </c>
      <c r="C2430" s="2" t="s">
        <v>1256</v>
      </c>
      <c r="D2430" t="s">
        <v>1908</v>
      </c>
      <c r="E2430" t="s">
        <v>29</v>
      </c>
      <c r="F2430" t="s">
        <v>30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5</v>
      </c>
      <c r="N2430">
        <v>0</v>
      </c>
      <c r="O2430">
        <v>18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0</v>
      </c>
      <c r="Y2430" t="s">
        <v>31</v>
      </c>
      <c r="AA2430">
        <v>0</v>
      </c>
    </row>
    <row r="2431" spans="1:27" x14ac:dyDescent="0.2">
      <c r="A2431" t="s">
        <v>1255</v>
      </c>
      <c r="B2431">
        <v>2020</v>
      </c>
      <c r="C2431" s="2" t="s">
        <v>1256</v>
      </c>
      <c r="D2431" t="s">
        <v>1966</v>
      </c>
      <c r="E2431" t="s">
        <v>29</v>
      </c>
      <c r="F2431" t="s">
        <v>30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5</v>
      </c>
      <c r="N2431">
        <v>0</v>
      </c>
      <c r="O2431">
        <v>18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 t="s">
        <v>31</v>
      </c>
      <c r="AA2431">
        <v>0</v>
      </c>
    </row>
    <row r="2432" spans="1:27" x14ac:dyDescent="0.2">
      <c r="A2432" t="s">
        <v>1255</v>
      </c>
      <c r="B2432">
        <v>2020</v>
      </c>
      <c r="C2432" s="2" t="s">
        <v>1256</v>
      </c>
      <c r="D2432" t="s">
        <v>1969</v>
      </c>
      <c r="E2432" t="s">
        <v>29</v>
      </c>
      <c r="F2432" t="s">
        <v>30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5</v>
      </c>
      <c r="N2432">
        <v>0</v>
      </c>
      <c r="O2432">
        <v>19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 t="s">
        <v>31</v>
      </c>
      <c r="AA2432">
        <v>0</v>
      </c>
    </row>
    <row r="2433" spans="1:27" x14ac:dyDescent="0.2">
      <c r="A2433" t="s">
        <v>883</v>
      </c>
      <c r="B2433">
        <v>2022</v>
      </c>
      <c r="C2433">
        <v>35401450</v>
      </c>
      <c r="D2433" t="s">
        <v>3260</v>
      </c>
      <c r="E2433" t="s">
        <v>29</v>
      </c>
      <c r="F2433" t="s">
        <v>41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1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1</v>
      </c>
      <c r="V2433">
        <v>0</v>
      </c>
      <c r="W2433">
        <v>0</v>
      </c>
      <c r="X2433">
        <v>0</v>
      </c>
      <c r="Y2433" t="s">
        <v>31</v>
      </c>
      <c r="Z2433">
        <v>1000</v>
      </c>
      <c r="AA2433">
        <v>20</v>
      </c>
    </row>
    <row r="2434" spans="1:27" x14ac:dyDescent="0.2">
      <c r="A2434" t="s">
        <v>883</v>
      </c>
      <c r="B2434">
        <v>2022</v>
      </c>
      <c r="C2434">
        <v>35200200</v>
      </c>
      <c r="D2434" t="s">
        <v>3261</v>
      </c>
      <c r="E2434" t="s">
        <v>29</v>
      </c>
      <c r="F2434" t="s">
        <v>30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11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11</v>
      </c>
      <c r="T2434">
        <v>0</v>
      </c>
      <c r="U2434">
        <v>0</v>
      </c>
      <c r="V2434">
        <v>0</v>
      </c>
      <c r="W2434">
        <v>0</v>
      </c>
      <c r="X2434">
        <v>0</v>
      </c>
      <c r="Y2434" t="s">
        <v>51</v>
      </c>
      <c r="Z2434">
        <v>1000</v>
      </c>
      <c r="AA2434">
        <v>0</v>
      </c>
    </row>
    <row r="2435" spans="1:27" x14ac:dyDescent="0.2">
      <c r="A2435" t="s">
        <v>2862</v>
      </c>
      <c r="B2435">
        <v>2019</v>
      </c>
      <c r="C2435">
        <v>9807072</v>
      </c>
      <c r="D2435" t="s">
        <v>2863</v>
      </c>
      <c r="E2435" t="s">
        <v>29</v>
      </c>
      <c r="F2435" t="s">
        <v>30</v>
      </c>
      <c r="G2435">
        <v>0</v>
      </c>
      <c r="H2435">
        <v>0</v>
      </c>
      <c r="I2435">
        <v>118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 t="s">
        <v>31</v>
      </c>
      <c r="Z2435">
        <v>55</v>
      </c>
      <c r="AA2435">
        <v>0</v>
      </c>
    </row>
    <row r="2436" spans="1:27" x14ac:dyDescent="0.2">
      <c r="A2436" t="s">
        <v>163</v>
      </c>
      <c r="B2436">
        <v>2019</v>
      </c>
      <c r="C2436">
        <v>4943001100</v>
      </c>
      <c r="D2436" t="s">
        <v>3262</v>
      </c>
      <c r="E2436" t="s">
        <v>29</v>
      </c>
      <c r="F2436" t="s">
        <v>30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13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 t="s">
        <v>31</v>
      </c>
      <c r="Z2436">
        <v>55</v>
      </c>
      <c r="AA2436">
        <v>0</v>
      </c>
    </row>
    <row r="2437" spans="1:27" x14ac:dyDescent="0.2">
      <c r="A2437" t="s">
        <v>321</v>
      </c>
      <c r="B2437">
        <v>2022</v>
      </c>
      <c r="C2437">
        <v>4283032008</v>
      </c>
      <c r="D2437" t="s">
        <v>3263</v>
      </c>
      <c r="E2437" t="s">
        <v>29</v>
      </c>
      <c r="F2437" t="s">
        <v>41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1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 t="s">
        <v>51</v>
      </c>
      <c r="Z2437">
        <v>55</v>
      </c>
      <c r="AA2437">
        <v>0</v>
      </c>
    </row>
    <row r="2438" spans="1:27" x14ac:dyDescent="0.2">
      <c r="A2438" t="s">
        <v>227</v>
      </c>
      <c r="B2438">
        <v>2022</v>
      </c>
      <c r="C2438" t="s">
        <v>428</v>
      </c>
      <c r="D2438" t="s">
        <v>429</v>
      </c>
      <c r="E2438" t="s">
        <v>29</v>
      </c>
      <c r="F2438" t="s">
        <v>41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 t="s">
        <v>51</v>
      </c>
      <c r="Z2438">
        <v>45</v>
      </c>
      <c r="AA2438">
        <v>0</v>
      </c>
    </row>
    <row r="2439" spans="1:27" x14ac:dyDescent="0.2">
      <c r="A2439" t="s">
        <v>1500</v>
      </c>
      <c r="B2439">
        <v>2020</v>
      </c>
      <c r="C2439">
        <v>6026031030</v>
      </c>
      <c r="D2439" t="s">
        <v>2372</v>
      </c>
      <c r="E2439" t="s">
        <v>29</v>
      </c>
      <c r="F2439" t="s">
        <v>30</v>
      </c>
      <c r="G2439">
        <v>41</v>
      </c>
      <c r="H2439">
        <v>0</v>
      </c>
      <c r="I2439">
        <v>42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 t="s">
        <v>31</v>
      </c>
      <c r="Z2439">
        <v>55</v>
      </c>
      <c r="AA2439">
        <v>0</v>
      </c>
    </row>
    <row r="2440" spans="1:27" x14ac:dyDescent="0.2">
      <c r="A2440" t="s">
        <v>1500</v>
      </c>
      <c r="B2440">
        <v>2024</v>
      </c>
      <c r="C2440">
        <v>6021019013</v>
      </c>
      <c r="D2440" t="s">
        <v>2259</v>
      </c>
      <c r="E2440" t="s">
        <v>29</v>
      </c>
      <c r="F2440" t="s">
        <v>30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23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  <c r="Y2440" t="s">
        <v>31</v>
      </c>
      <c r="Z2440">
        <v>55</v>
      </c>
      <c r="AA2440">
        <v>0.37</v>
      </c>
    </row>
    <row r="2441" spans="1:27" x14ac:dyDescent="0.2">
      <c r="A2441" t="s">
        <v>1500</v>
      </c>
      <c r="B2441">
        <v>2024</v>
      </c>
      <c r="C2441">
        <v>5235020050</v>
      </c>
      <c r="D2441" t="s">
        <v>3264</v>
      </c>
      <c r="E2441" t="s">
        <v>29</v>
      </c>
      <c r="F2441" t="s">
        <v>30</v>
      </c>
      <c r="G2441">
        <v>0</v>
      </c>
      <c r="H2441">
        <v>0</v>
      </c>
      <c r="I2441">
        <v>8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 t="s">
        <v>31</v>
      </c>
      <c r="Z2441">
        <v>55</v>
      </c>
      <c r="AA2441" s="2" t="s">
        <v>3265</v>
      </c>
    </row>
    <row r="2442" spans="1:27" x14ac:dyDescent="0.2">
      <c r="A2442" t="s">
        <v>1500</v>
      </c>
      <c r="B2442">
        <v>2024</v>
      </c>
      <c r="C2442">
        <v>6047015023</v>
      </c>
      <c r="D2442" t="s">
        <v>3266</v>
      </c>
      <c r="E2442" t="s">
        <v>29</v>
      </c>
      <c r="F2442" t="s">
        <v>30</v>
      </c>
      <c r="G2442">
        <v>0</v>
      </c>
      <c r="H2442">
        <v>0</v>
      </c>
      <c r="I2442">
        <v>5</v>
      </c>
      <c r="J2442">
        <v>0</v>
      </c>
      <c r="K2442">
        <v>21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 t="s">
        <v>31</v>
      </c>
      <c r="Z2442">
        <v>55</v>
      </c>
      <c r="AA2442">
        <v>3.5</v>
      </c>
    </row>
    <row r="2443" spans="1:27" x14ac:dyDescent="0.2">
      <c r="A2443" t="s">
        <v>1500</v>
      </c>
      <c r="B2443">
        <v>2024</v>
      </c>
      <c r="C2443">
        <v>5240003009</v>
      </c>
      <c r="D2443" t="s">
        <v>3267</v>
      </c>
      <c r="E2443" t="s">
        <v>29</v>
      </c>
      <c r="F2443" t="s">
        <v>30</v>
      </c>
      <c r="G2443">
        <v>0</v>
      </c>
      <c r="H2443">
        <v>0</v>
      </c>
      <c r="I2443">
        <v>0</v>
      </c>
      <c r="J2443">
        <v>0</v>
      </c>
      <c r="K2443">
        <v>36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 t="s">
        <v>31</v>
      </c>
      <c r="Z2443">
        <v>55</v>
      </c>
      <c r="AA2443" s="2" t="s">
        <v>3268</v>
      </c>
    </row>
    <row r="2444" spans="1:27" x14ac:dyDescent="0.2">
      <c r="A2444" t="s">
        <v>1418</v>
      </c>
      <c r="B2444">
        <v>2022</v>
      </c>
      <c r="C2444" t="s">
        <v>3269</v>
      </c>
      <c r="D2444" t="s">
        <v>3270</v>
      </c>
      <c r="E2444" t="s">
        <v>29</v>
      </c>
      <c r="F2444" t="s">
        <v>30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86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 t="s">
        <v>31</v>
      </c>
      <c r="AA2444">
        <v>0</v>
      </c>
    </row>
    <row r="2445" spans="1:27" x14ac:dyDescent="0.2">
      <c r="A2445" t="s">
        <v>418</v>
      </c>
      <c r="B2445">
        <v>2022</v>
      </c>
      <c r="C2445">
        <v>26415003</v>
      </c>
      <c r="D2445" t="s">
        <v>3271</v>
      </c>
      <c r="E2445" t="s">
        <v>29</v>
      </c>
      <c r="F2445" t="s">
        <v>30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80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 t="s">
        <v>31</v>
      </c>
      <c r="Z2445">
        <v>55</v>
      </c>
      <c r="AA2445">
        <v>0</v>
      </c>
    </row>
    <row r="2446" spans="1:27" x14ac:dyDescent="0.2">
      <c r="A2446" t="s">
        <v>1500</v>
      </c>
      <c r="B2446">
        <v>2024</v>
      </c>
      <c r="C2446">
        <v>6059018011</v>
      </c>
      <c r="D2446" t="s">
        <v>3272</v>
      </c>
      <c r="E2446" t="s">
        <v>29</v>
      </c>
      <c r="F2446" t="s">
        <v>30</v>
      </c>
      <c r="G2446">
        <v>6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 t="s">
        <v>31</v>
      </c>
      <c r="Z2446">
        <v>55</v>
      </c>
      <c r="AA2446" s="2" t="s">
        <v>3273</v>
      </c>
    </row>
    <row r="2447" spans="1:27" ht="102" x14ac:dyDescent="0.2">
      <c r="A2447" t="s">
        <v>1500</v>
      </c>
      <c r="B2447">
        <v>2020</v>
      </c>
      <c r="C2447">
        <v>6147016037</v>
      </c>
      <c r="D2447" s="1" t="s">
        <v>3274</v>
      </c>
      <c r="E2447" t="s">
        <v>29</v>
      </c>
      <c r="F2447" t="s">
        <v>30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5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 t="s">
        <v>31</v>
      </c>
      <c r="Z2447">
        <v>55</v>
      </c>
      <c r="AA2447">
        <v>0</v>
      </c>
    </row>
    <row r="2448" spans="1:27" ht="102" x14ac:dyDescent="0.2">
      <c r="A2448" t="s">
        <v>1500</v>
      </c>
      <c r="B2448">
        <v>2020</v>
      </c>
      <c r="C2448">
        <v>6077011040</v>
      </c>
      <c r="D2448" s="1" t="s">
        <v>3275</v>
      </c>
      <c r="E2448" t="s">
        <v>29</v>
      </c>
      <c r="F2448" t="s">
        <v>30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38</v>
      </c>
      <c r="V2448">
        <v>0</v>
      </c>
      <c r="W2448">
        <v>0</v>
      </c>
      <c r="X2448">
        <v>0</v>
      </c>
      <c r="Y2448" t="s">
        <v>31</v>
      </c>
      <c r="Z2448">
        <v>55</v>
      </c>
      <c r="AA2448">
        <v>0</v>
      </c>
    </row>
    <row r="2449" spans="1:27" x14ac:dyDescent="0.2">
      <c r="A2449" t="s">
        <v>1449</v>
      </c>
      <c r="B2449">
        <v>2021</v>
      </c>
      <c r="C2449" t="s">
        <v>2012</v>
      </c>
      <c r="D2449" t="s">
        <v>3276</v>
      </c>
      <c r="E2449" t="s">
        <v>29</v>
      </c>
      <c r="F2449" t="s">
        <v>30</v>
      </c>
      <c r="G2449">
        <v>9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 t="s">
        <v>31</v>
      </c>
      <c r="AA2449">
        <v>35</v>
      </c>
    </row>
    <row r="2450" spans="1:27" x14ac:dyDescent="0.2">
      <c r="A2450" t="s">
        <v>457</v>
      </c>
      <c r="B2450">
        <v>2020</v>
      </c>
      <c r="C2450" t="s">
        <v>458</v>
      </c>
      <c r="D2450" t="s">
        <v>3277</v>
      </c>
      <c r="E2450" t="s">
        <v>29</v>
      </c>
      <c r="F2450" t="s">
        <v>30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32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 t="s">
        <v>31</v>
      </c>
      <c r="AA2450">
        <v>0</v>
      </c>
    </row>
    <row r="2451" spans="1:27" x14ac:dyDescent="0.2">
      <c r="A2451" t="s">
        <v>894</v>
      </c>
      <c r="B2451">
        <v>2019</v>
      </c>
      <c r="C2451" s="2" t="s">
        <v>1736</v>
      </c>
      <c r="D2451" t="s">
        <v>3278</v>
      </c>
      <c r="E2451" t="s">
        <v>29</v>
      </c>
      <c r="F2451" t="s">
        <v>41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1</v>
      </c>
      <c r="X2451">
        <v>0</v>
      </c>
      <c r="Y2451" t="s">
        <v>51</v>
      </c>
      <c r="Z2451">
        <v>1000</v>
      </c>
      <c r="AA2451">
        <v>0</v>
      </c>
    </row>
    <row r="2452" spans="1:27" x14ac:dyDescent="0.2">
      <c r="A2452" t="s">
        <v>894</v>
      </c>
      <c r="B2452">
        <v>2019</v>
      </c>
      <c r="C2452" s="2" t="s">
        <v>2804</v>
      </c>
      <c r="D2452" t="s">
        <v>3278</v>
      </c>
      <c r="E2452" t="s">
        <v>29</v>
      </c>
      <c r="F2452" t="s">
        <v>41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1</v>
      </c>
      <c r="X2452">
        <v>0</v>
      </c>
      <c r="Y2452" t="s">
        <v>51</v>
      </c>
      <c r="Z2452">
        <v>1000</v>
      </c>
      <c r="AA2452">
        <v>0</v>
      </c>
    </row>
    <row r="2453" spans="1:27" x14ac:dyDescent="0.2">
      <c r="A2453" t="s">
        <v>1255</v>
      </c>
      <c r="B2453">
        <v>2020</v>
      </c>
      <c r="C2453" s="2" t="s">
        <v>1256</v>
      </c>
      <c r="D2453" t="s">
        <v>1257</v>
      </c>
      <c r="E2453" t="s">
        <v>29</v>
      </c>
      <c r="F2453" t="s">
        <v>30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5</v>
      </c>
      <c r="N2453">
        <v>0</v>
      </c>
      <c r="O2453">
        <v>19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 t="s">
        <v>31</v>
      </c>
      <c r="AA2453">
        <v>0</v>
      </c>
    </row>
    <row r="2454" spans="1:27" x14ac:dyDescent="0.2">
      <c r="A2454" t="s">
        <v>1255</v>
      </c>
      <c r="B2454">
        <v>2020</v>
      </c>
      <c r="C2454" s="2" t="s">
        <v>1256</v>
      </c>
      <c r="D2454" t="s">
        <v>1968</v>
      </c>
      <c r="E2454" t="s">
        <v>29</v>
      </c>
      <c r="F2454" t="s">
        <v>30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5</v>
      </c>
      <c r="N2454">
        <v>0</v>
      </c>
      <c r="O2454">
        <v>19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 t="s">
        <v>31</v>
      </c>
      <c r="AA2454">
        <v>0</v>
      </c>
    </row>
    <row r="2455" spans="1:27" x14ac:dyDescent="0.2">
      <c r="A2455" t="s">
        <v>883</v>
      </c>
      <c r="B2455">
        <v>2022</v>
      </c>
      <c r="C2455">
        <v>34183060</v>
      </c>
      <c r="D2455" t="s">
        <v>3279</v>
      </c>
      <c r="E2455" t="s">
        <v>29</v>
      </c>
      <c r="F2455" t="s">
        <v>30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121</v>
      </c>
      <c r="N2455">
        <v>0</v>
      </c>
      <c r="O2455">
        <v>102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 t="s">
        <v>31</v>
      </c>
      <c r="Z2455">
        <v>99</v>
      </c>
      <c r="AA2455">
        <v>80</v>
      </c>
    </row>
    <row r="2456" spans="1:27" x14ac:dyDescent="0.2">
      <c r="A2456" t="s">
        <v>883</v>
      </c>
      <c r="B2456">
        <v>2022</v>
      </c>
      <c r="C2456">
        <v>35401450</v>
      </c>
      <c r="D2456" t="s">
        <v>3280</v>
      </c>
      <c r="E2456" t="s">
        <v>29</v>
      </c>
      <c r="F2456" t="s">
        <v>41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 t="s">
        <v>31</v>
      </c>
      <c r="Z2456">
        <v>1000</v>
      </c>
      <c r="AA2456">
        <v>20</v>
      </c>
    </row>
    <row r="2457" spans="1:27" x14ac:dyDescent="0.2">
      <c r="A2457" t="s">
        <v>1500</v>
      </c>
      <c r="B2457">
        <v>2020</v>
      </c>
      <c r="C2457">
        <v>5247024038</v>
      </c>
      <c r="D2457" t="s">
        <v>3281</v>
      </c>
      <c r="E2457" t="s">
        <v>29</v>
      </c>
      <c r="F2457" t="s">
        <v>30</v>
      </c>
      <c r="G2457">
        <v>5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 t="s">
        <v>31</v>
      </c>
      <c r="Z2457">
        <v>55</v>
      </c>
      <c r="AA2457">
        <v>0</v>
      </c>
    </row>
    <row r="2458" spans="1:27" x14ac:dyDescent="0.2">
      <c r="A2458" t="s">
        <v>1500</v>
      </c>
      <c r="B2458">
        <v>2020</v>
      </c>
      <c r="C2458">
        <v>6086020063</v>
      </c>
      <c r="D2458" t="s">
        <v>2209</v>
      </c>
      <c r="E2458" t="s">
        <v>29</v>
      </c>
      <c r="F2458" t="s">
        <v>30</v>
      </c>
      <c r="G2458">
        <v>0</v>
      </c>
      <c r="H2458">
        <v>0</v>
      </c>
      <c r="I2458">
        <v>87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 t="s">
        <v>31</v>
      </c>
      <c r="Z2458">
        <v>55</v>
      </c>
      <c r="AA2458">
        <v>0</v>
      </c>
    </row>
    <row r="2459" spans="1:27" x14ac:dyDescent="0.2">
      <c r="A2459" t="s">
        <v>1500</v>
      </c>
      <c r="B2459">
        <v>2020</v>
      </c>
      <c r="C2459">
        <v>8401021003</v>
      </c>
      <c r="D2459" t="s">
        <v>1501</v>
      </c>
      <c r="E2459" t="s">
        <v>29</v>
      </c>
      <c r="F2459" t="s">
        <v>30</v>
      </c>
      <c r="G2459">
        <v>2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 t="s">
        <v>31</v>
      </c>
      <c r="Z2459">
        <v>55</v>
      </c>
      <c r="AA2459">
        <v>0</v>
      </c>
    </row>
    <row r="2460" spans="1:27" x14ac:dyDescent="0.2">
      <c r="A2460" t="s">
        <v>1500</v>
      </c>
      <c r="B2460">
        <v>2020</v>
      </c>
      <c r="C2460">
        <v>7407008018</v>
      </c>
      <c r="D2460" t="s">
        <v>3282</v>
      </c>
      <c r="E2460" t="s">
        <v>29</v>
      </c>
      <c r="F2460" t="s">
        <v>30</v>
      </c>
      <c r="G2460">
        <v>0</v>
      </c>
      <c r="H2460">
        <v>0</v>
      </c>
      <c r="I2460">
        <v>110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0</v>
      </c>
      <c r="Y2460" t="s">
        <v>31</v>
      </c>
      <c r="Z2460">
        <v>55</v>
      </c>
      <c r="AA2460">
        <v>0</v>
      </c>
    </row>
    <row r="2461" spans="1:27" x14ac:dyDescent="0.2">
      <c r="A2461" t="s">
        <v>1500</v>
      </c>
      <c r="B2461">
        <v>2020</v>
      </c>
      <c r="C2461">
        <v>6201023034</v>
      </c>
      <c r="D2461" t="s">
        <v>3283</v>
      </c>
      <c r="E2461" t="s">
        <v>29</v>
      </c>
      <c r="F2461" t="s">
        <v>30</v>
      </c>
      <c r="G2461">
        <v>0</v>
      </c>
      <c r="H2461">
        <v>0</v>
      </c>
      <c r="I2461">
        <v>62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 t="s">
        <v>31</v>
      </c>
      <c r="Z2461">
        <v>55</v>
      </c>
      <c r="AA2461">
        <v>0</v>
      </c>
    </row>
    <row r="2462" spans="1:27" x14ac:dyDescent="0.2">
      <c r="A2462" t="s">
        <v>1500</v>
      </c>
      <c r="B2462">
        <v>2020</v>
      </c>
      <c r="C2462">
        <v>8206010077</v>
      </c>
      <c r="D2462" t="s">
        <v>3284</v>
      </c>
      <c r="E2462" t="s">
        <v>29</v>
      </c>
      <c r="F2462" t="s">
        <v>30</v>
      </c>
      <c r="G2462">
        <v>0</v>
      </c>
      <c r="H2462">
        <v>0</v>
      </c>
      <c r="I2462">
        <v>70</v>
      </c>
      <c r="J2462">
        <v>0</v>
      </c>
      <c r="K2462">
        <v>10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 t="s">
        <v>31</v>
      </c>
      <c r="Z2462">
        <v>55</v>
      </c>
      <c r="AA2462">
        <v>0</v>
      </c>
    </row>
    <row r="2463" spans="1:27" x14ac:dyDescent="0.2">
      <c r="A2463" t="s">
        <v>254</v>
      </c>
      <c r="B2463">
        <v>2022</v>
      </c>
      <c r="C2463" t="s">
        <v>327</v>
      </c>
      <c r="D2463" t="s">
        <v>328</v>
      </c>
      <c r="E2463" t="s">
        <v>29</v>
      </c>
      <c r="F2463" t="s">
        <v>30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18</v>
      </c>
      <c r="N2463">
        <v>0</v>
      </c>
      <c r="O2463">
        <v>35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 t="s">
        <v>31</v>
      </c>
      <c r="AA2463">
        <v>35</v>
      </c>
    </row>
    <row r="2464" spans="1:27" x14ac:dyDescent="0.2">
      <c r="A2464" t="s">
        <v>2184</v>
      </c>
      <c r="B2464">
        <v>2020</v>
      </c>
      <c r="C2464" t="s">
        <v>3285</v>
      </c>
      <c r="D2464" t="s">
        <v>3286</v>
      </c>
      <c r="E2464" t="s">
        <v>29</v>
      </c>
      <c r="F2464" t="s">
        <v>41</v>
      </c>
      <c r="G2464">
        <v>0</v>
      </c>
      <c r="H2464">
        <v>0</v>
      </c>
      <c r="I2464">
        <v>1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1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 t="s">
        <v>31</v>
      </c>
      <c r="Z2464">
        <v>1000</v>
      </c>
      <c r="AA2464">
        <v>0</v>
      </c>
    </row>
    <row r="2465" spans="1:27" x14ac:dyDescent="0.2">
      <c r="A2465" t="s">
        <v>460</v>
      </c>
      <c r="B2465">
        <v>2023</v>
      </c>
      <c r="C2465" t="s">
        <v>3287</v>
      </c>
      <c r="D2465" t="s">
        <v>3288</v>
      </c>
      <c r="E2465" t="s">
        <v>29</v>
      </c>
      <c r="F2465" t="s">
        <v>30</v>
      </c>
      <c r="G2465">
        <v>13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 t="s">
        <v>31</v>
      </c>
      <c r="AA2465">
        <v>20</v>
      </c>
    </row>
    <row r="2466" spans="1:27" x14ac:dyDescent="0.2">
      <c r="A2466" t="s">
        <v>460</v>
      </c>
      <c r="B2466">
        <v>2023</v>
      </c>
      <c r="C2466" t="s">
        <v>3289</v>
      </c>
      <c r="D2466" t="s">
        <v>3290</v>
      </c>
      <c r="E2466" t="s">
        <v>29</v>
      </c>
      <c r="F2466" t="s">
        <v>30</v>
      </c>
      <c r="G2466">
        <v>0</v>
      </c>
      <c r="H2466">
        <v>0</v>
      </c>
      <c r="I2466">
        <v>79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 t="s">
        <v>31</v>
      </c>
      <c r="AA2466">
        <v>12.5</v>
      </c>
    </row>
    <row r="2467" spans="1:27" ht="119" x14ac:dyDescent="0.2">
      <c r="A2467" t="s">
        <v>1500</v>
      </c>
      <c r="B2467">
        <v>2020</v>
      </c>
      <c r="C2467">
        <v>4038025005</v>
      </c>
      <c r="D2467" s="1" t="s">
        <v>3291</v>
      </c>
      <c r="E2467" t="s">
        <v>29</v>
      </c>
      <c r="F2467" t="s">
        <v>30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2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 t="s">
        <v>31</v>
      </c>
      <c r="Z2467">
        <v>55</v>
      </c>
      <c r="AA2467">
        <v>0</v>
      </c>
    </row>
    <row r="2468" spans="1:27" x14ac:dyDescent="0.2">
      <c r="A2468" t="s">
        <v>1576</v>
      </c>
      <c r="B2468">
        <v>2021</v>
      </c>
      <c r="C2468">
        <v>1531120100</v>
      </c>
      <c r="D2468" t="s">
        <v>3292</v>
      </c>
      <c r="E2468" t="s">
        <v>29</v>
      </c>
      <c r="F2468" t="s">
        <v>41</v>
      </c>
      <c r="G2468">
        <v>0</v>
      </c>
      <c r="H2468">
        <v>5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 t="s">
        <v>31</v>
      </c>
      <c r="Z2468">
        <v>55</v>
      </c>
      <c r="AA2468">
        <v>11</v>
      </c>
    </row>
    <row r="2469" spans="1:27" x14ac:dyDescent="0.2">
      <c r="A2469" t="s">
        <v>1500</v>
      </c>
      <c r="B2469">
        <v>2024</v>
      </c>
      <c r="C2469">
        <v>8404002029</v>
      </c>
      <c r="D2469" t="s">
        <v>3293</v>
      </c>
      <c r="E2469" t="s">
        <v>29</v>
      </c>
      <c r="F2469" t="s">
        <v>30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3</v>
      </c>
      <c r="T2469">
        <v>0</v>
      </c>
      <c r="U2469">
        <v>0</v>
      </c>
      <c r="V2469">
        <v>0</v>
      </c>
      <c r="W2469">
        <v>0</v>
      </c>
      <c r="X2469">
        <v>0</v>
      </c>
      <c r="Y2469" t="s">
        <v>31</v>
      </c>
      <c r="Z2469">
        <v>55</v>
      </c>
      <c r="AA2469">
        <v>0.37</v>
      </c>
    </row>
    <row r="2470" spans="1:27" x14ac:dyDescent="0.2">
      <c r="A2470" t="s">
        <v>1500</v>
      </c>
      <c r="B2470">
        <v>2020</v>
      </c>
      <c r="C2470">
        <v>8112004086</v>
      </c>
      <c r="D2470" t="s">
        <v>3294</v>
      </c>
      <c r="E2470" t="s">
        <v>29</v>
      </c>
      <c r="F2470" t="s">
        <v>30</v>
      </c>
      <c r="G2470">
        <v>0</v>
      </c>
      <c r="H2470">
        <v>0</v>
      </c>
      <c r="I2470">
        <v>7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 t="s">
        <v>31</v>
      </c>
      <c r="Z2470">
        <v>55</v>
      </c>
      <c r="AA2470">
        <v>0</v>
      </c>
    </row>
    <row r="2471" spans="1:27" x14ac:dyDescent="0.2">
      <c r="A2471" t="s">
        <v>1500</v>
      </c>
      <c r="B2471">
        <v>2020</v>
      </c>
      <c r="C2471">
        <v>6056007023</v>
      </c>
      <c r="D2471" t="s">
        <v>3295</v>
      </c>
      <c r="E2471" t="s">
        <v>29</v>
      </c>
      <c r="F2471" t="s">
        <v>30</v>
      </c>
      <c r="G2471">
        <v>0</v>
      </c>
      <c r="H2471">
        <v>0</v>
      </c>
      <c r="I2471">
        <v>56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 t="s">
        <v>31</v>
      </c>
      <c r="Z2471">
        <v>55</v>
      </c>
      <c r="AA2471">
        <v>0</v>
      </c>
    </row>
    <row r="2472" spans="1:27" ht="102" x14ac:dyDescent="0.2">
      <c r="A2472" t="s">
        <v>1500</v>
      </c>
      <c r="B2472">
        <v>2020</v>
      </c>
      <c r="C2472">
        <v>6149014907</v>
      </c>
      <c r="D2472" s="1" t="s">
        <v>3296</v>
      </c>
      <c r="E2472" t="s">
        <v>29</v>
      </c>
      <c r="F2472" t="s">
        <v>30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60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 t="s">
        <v>31</v>
      </c>
      <c r="Z2472">
        <v>55</v>
      </c>
      <c r="AA2472">
        <v>0</v>
      </c>
    </row>
    <row r="2473" spans="1:27" x14ac:dyDescent="0.2">
      <c r="A2473" t="s">
        <v>2808</v>
      </c>
      <c r="B2473">
        <v>2024</v>
      </c>
      <c r="C2473" t="s">
        <v>3297</v>
      </c>
      <c r="D2473" t="s">
        <v>3298</v>
      </c>
      <c r="E2473" t="s">
        <v>29</v>
      </c>
      <c r="F2473" t="s">
        <v>41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2</v>
      </c>
      <c r="T2473">
        <v>0</v>
      </c>
      <c r="U2473">
        <v>2</v>
      </c>
      <c r="V2473">
        <v>0</v>
      </c>
      <c r="W2473">
        <v>0</v>
      </c>
      <c r="X2473">
        <v>0</v>
      </c>
      <c r="Y2473" t="s">
        <v>31</v>
      </c>
      <c r="Z2473">
        <v>55</v>
      </c>
      <c r="AA2473" s="2" t="s">
        <v>3299</v>
      </c>
    </row>
    <row r="2474" spans="1:27" x14ac:dyDescent="0.2">
      <c r="A2474" t="s">
        <v>1658</v>
      </c>
      <c r="B2474">
        <v>2021</v>
      </c>
      <c r="C2474" t="s">
        <v>3061</v>
      </c>
      <c r="D2474" t="s">
        <v>3300</v>
      </c>
      <c r="E2474" t="s">
        <v>29</v>
      </c>
      <c r="F2474" t="s">
        <v>41</v>
      </c>
      <c r="G2474">
        <v>0</v>
      </c>
      <c r="H2474">
        <v>0</v>
      </c>
      <c r="I2474">
        <v>0</v>
      </c>
      <c r="J2474">
        <v>0</v>
      </c>
      <c r="K2474">
        <v>1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1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 t="s">
        <v>51</v>
      </c>
      <c r="Z2474">
        <v>1000</v>
      </c>
      <c r="AA2474">
        <v>0</v>
      </c>
    </row>
    <row r="2475" spans="1:27" x14ac:dyDescent="0.2">
      <c r="A2475" t="s">
        <v>1127</v>
      </c>
      <c r="B2475">
        <v>2021</v>
      </c>
      <c r="C2475" t="s">
        <v>1128</v>
      </c>
      <c r="D2475" t="s">
        <v>1129</v>
      </c>
      <c r="E2475" t="s">
        <v>29</v>
      </c>
      <c r="F2475" t="s">
        <v>30</v>
      </c>
      <c r="G2475">
        <v>0</v>
      </c>
      <c r="H2475">
        <v>0</v>
      </c>
      <c r="I2475">
        <v>4</v>
      </c>
      <c r="J2475">
        <v>0</v>
      </c>
      <c r="K2475">
        <v>0</v>
      </c>
      <c r="L2475">
        <v>4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 t="s">
        <v>31</v>
      </c>
      <c r="AA2475">
        <v>0</v>
      </c>
    </row>
    <row r="2476" spans="1:27" x14ac:dyDescent="0.2">
      <c r="A2476" t="s">
        <v>172</v>
      </c>
      <c r="B2476">
        <v>2021</v>
      </c>
      <c r="C2476" t="s">
        <v>3301</v>
      </c>
      <c r="D2476" t="s">
        <v>3302</v>
      </c>
      <c r="E2476" t="s">
        <v>29</v>
      </c>
      <c r="F2476" t="s">
        <v>30</v>
      </c>
      <c r="G2476">
        <v>38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 t="s">
        <v>31</v>
      </c>
      <c r="Z2476">
        <v>55</v>
      </c>
      <c r="AA2476">
        <v>0</v>
      </c>
    </row>
    <row r="2477" spans="1:27" x14ac:dyDescent="0.2">
      <c r="A2477" t="s">
        <v>38</v>
      </c>
      <c r="B2477">
        <v>2020</v>
      </c>
      <c r="C2477">
        <v>5695018044</v>
      </c>
      <c r="D2477" t="s">
        <v>3303</v>
      </c>
      <c r="E2477" t="s">
        <v>29</v>
      </c>
      <c r="F2477" t="s">
        <v>30</v>
      </c>
      <c r="G2477">
        <v>5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5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5</v>
      </c>
      <c r="T2477">
        <v>0</v>
      </c>
      <c r="U2477">
        <v>0</v>
      </c>
      <c r="V2477">
        <v>0</v>
      </c>
      <c r="W2477">
        <v>0</v>
      </c>
      <c r="X2477">
        <v>0</v>
      </c>
      <c r="Y2477" t="s">
        <v>31</v>
      </c>
      <c r="Z2477">
        <v>30</v>
      </c>
      <c r="AA2477">
        <v>0</v>
      </c>
    </row>
    <row r="2478" spans="1:27" x14ac:dyDescent="0.2">
      <c r="A2478" t="s">
        <v>38</v>
      </c>
      <c r="B2478">
        <v>2020</v>
      </c>
      <c r="C2478" t="s">
        <v>3304</v>
      </c>
      <c r="D2478" t="s">
        <v>3305</v>
      </c>
      <c r="E2478" t="s">
        <v>29</v>
      </c>
      <c r="F2478" t="s">
        <v>30</v>
      </c>
      <c r="G2478">
        <v>12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12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12</v>
      </c>
      <c r="T2478">
        <v>0</v>
      </c>
      <c r="U2478">
        <v>0</v>
      </c>
      <c r="V2478">
        <v>0</v>
      </c>
      <c r="W2478">
        <v>0</v>
      </c>
      <c r="X2478">
        <v>0</v>
      </c>
      <c r="Y2478" t="s">
        <v>31</v>
      </c>
      <c r="Z2478">
        <v>30</v>
      </c>
      <c r="AA2478">
        <v>0</v>
      </c>
    </row>
    <row r="2479" spans="1:27" x14ac:dyDescent="0.2">
      <c r="A2479" t="s">
        <v>1247</v>
      </c>
      <c r="B2479">
        <v>2020</v>
      </c>
      <c r="C2479" s="2" t="s">
        <v>2974</v>
      </c>
      <c r="D2479" t="s">
        <v>3306</v>
      </c>
      <c r="E2479" t="s">
        <v>29</v>
      </c>
      <c r="F2479" t="s">
        <v>30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2</v>
      </c>
      <c r="N2479">
        <v>0</v>
      </c>
      <c r="O2479">
        <v>3</v>
      </c>
      <c r="P2479">
        <v>0</v>
      </c>
      <c r="Q2479">
        <v>0</v>
      </c>
      <c r="R2479">
        <v>0</v>
      </c>
      <c r="S2479">
        <v>2</v>
      </c>
      <c r="T2479">
        <v>0</v>
      </c>
      <c r="U2479">
        <v>3</v>
      </c>
      <c r="V2479">
        <v>0</v>
      </c>
      <c r="W2479">
        <v>0</v>
      </c>
      <c r="X2479">
        <v>0</v>
      </c>
      <c r="Y2479" t="s">
        <v>31</v>
      </c>
      <c r="Z2479">
        <v>55</v>
      </c>
      <c r="AA2479">
        <v>0</v>
      </c>
    </row>
    <row r="2480" spans="1:27" x14ac:dyDescent="0.2">
      <c r="A2480" t="s">
        <v>1247</v>
      </c>
      <c r="B2480">
        <v>2020</v>
      </c>
      <c r="C2480" s="2" t="s">
        <v>2974</v>
      </c>
      <c r="D2480" t="s">
        <v>3307</v>
      </c>
      <c r="E2480" t="s">
        <v>29</v>
      </c>
      <c r="F2480" t="s">
        <v>30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1</v>
      </c>
      <c r="N2480">
        <v>0</v>
      </c>
      <c r="O2480">
        <v>2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 t="s">
        <v>31</v>
      </c>
      <c r="Z2480">
        <v>55</v>
      </c>
      <c r="AA2480">
        <v>0</v>
      </c>
    </row>
    <row r="2481" spans="1:27" x14ac:dyDescent="0.2">
      <c r="A2481" t="s">
        <v>1247</v>
      </c>
      <c r="B2481">
        <v>2020</v>
      </c>
      <c r="C2481" s="2" t="s">
        <v>2974</v>
      </c>
      <c r="D2481" t="s">
        <v>3308</v>
      </c>
      <c r="E2481" t="s">
        <v>29</v>
      </c>
      <c r="F2481" t="s">
        <v>30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1</v>
      </c>
      <c r="N2481">
        <v>0</v>
      </c>
      <c r="O2481">
        <v>2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 t="s">
        <v>31</v>
      </c>
      <c r="Z2481">
        <v>55</v>
      </c>
      <c r="AA2481">
        <v>0</v>
      </c>
    </row>
    <row r="2482" spans="1:27" x14ac:dyDescent="0.2">
      <c r="A2482" t="s">
        <v>2561</v>
      </c>
      <c r="B2482">
        <v>2021</v>
      </c>
      <c r="C2482">
        <v>31747320</v>
      </c>
      <c r="D2482" t="s">
        <v>3309</v>
      </c>
      <c r="E2482" t="s">
        <v>29</v>
      </c>
      <c r="F2482" t="s">
        <v>30</v>
      </c>
      <c r="G2482">
        <v>0</v>
      </c>
      <c r="H2482">
        <v>0</v>
      </c>
      <c r="I2482">
        <v>9</v>
      </c>
      <c r="J2482">
        <v>0</v>
      </c>
      <c r="K2482">
        <v>0</v>
      </c>
      <c r="L2482">
        <v>63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 t="s">
        <v>31</v>
      </c>
      <c r="AA2482">
        <v>29</v>
      </c>
    </row>
    <row r="2483" spans="1:27" x14ac:dyDescent="0.2">
      <c r="A2483" t="s">
        <v>260</v>
      </c>
      <c r="B2483">
        <v>2020</v>
      </c>
      <c r="C2483" t="s">
        <v>3059</v>
      </c>
      <c r="D2483" t="s">
        <v>3060</v>
      </c>
      <c r="E2483" t="s">
        <v>29</v>
      </c>
      <c r="F2483" t="s">
        <v>30</v>
      </c>
      <c r="G2483">
        <v>64</v>
      </c>
      <c r="H2483">
        <v>0</v>
      </c>
      <c r="I2483">
        <v>12</v>
      </c>
      <c r="J2483">
        <v>0</v>
      </c>
      <c r="K2483">
        <v>0</v>
      </c>
      <c r="L2483">
        <v>0</v>
      </c>
      <c r="M2483">
        <v>64</v>
      </c>
      <c r="N2483">
        <v>0</v>
      </c>
      <c r="O2483">
        <v>12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 t="s">
        <v>51</v>
      </c>
      <c r="Z2483">
        <v>55</v>
      </c>
      <c r="AA2483">
        <v>0</v>
      </c>
    </row>
    <row r="2484" spans="1:27" x14ac:dyDescent="0.2">
      <c r="A2484" t="s">
        <v>260</v>
      </c>
      <c r="B2484">
        <v>2020</v>
      </c>
      <c r="C2484" t="s">
        <v>3147</v>
      </c>
      <c r="D2484" t="s">
        <v>3148</v>
      </c>
      <c r="E2484" t="s">
        <v>29</v>
      </c>
      <c r="F2484" t="s">
        <v>30</v>
      </c>
      <c r="G2484">
        <v>33</v>
      </c>
      <c r="H2484">
        <v>0</v>
      </c>
      <c r="I2484">
        <v>34</v>
      </c>
      <c r="J2484">
        <v>0</v>
      </c>
      <c r="K2484">
        <v>0</v>
      </c>
      <c r="L2484">
        <v>0</v>
      </c>
      <c r="M2484">
        <v>33</v>
      </c>
      <c r="N2484">
        <v>0</v>
      </c>
      <c r="O2484">
        <v>34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 t="s">
        <v>51</v>
      </c>
      <c r="Z2484">
        <v>1000</v>
      </c>
      <c r="AA2484">
        <v>0</v>
      </c>
    </row>
    <row r="2485" spans="1:27" x14ac:dyDescent="0.2">
      <c r="A2485" t="s">
        <v>1176</v>
      </c>
      <c r="B2485">
        <v>2024</v>
      </c>
      <c r="C2485" t="s">
        <v>3310</v>
      </c>
      <c r="D2485" t="s">
        <v>3311</v>
      </c>
      <c r="E2485" t="s">
        <v>29</v>
      </c>
      <c r="F2485" t="s">
        <v>41</v>
      </c>
      <c r="G2485">
        <v>0</v>
      </c>
      <c r="H2485">
        <v>0</v>
      </c>
      <c r="I2485">
        <v>1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 t="s">
        <v>31</v>
      </c>
      <c r="Z2485">
        <v>55</v>
      </c>
      <c r="AA2485" s="2" t="s">
        <v>3312</v>
      </c>
    </row>
    <row r="2486" spans="1:27" x14ac:dyDescent="0.2">
      <c r="A2486" t="s">
        <v>43</v>
      </c>
      <c r="B2486">
        <v>2024</v>
      </c>
      <c r="C2486">
        <v>5529014045</v>
      </c>
      <c r="D2486" t="s">
        <v>3313</v>
      </c>
      <c r="E2486" t="s">
        <v>29</v>
      </c>
      <c r="F2486" t="s">
        <v>30</v>
      </c>
      <c r="G2486">
        <v>2</v>
      </c>
      <c r="H2486">
        <v>0</v>
      </c>
      <c r="I2486">
        <v>0</v>
      </c>
      <c r="J2486">
        <v>0</v>
      </c>
      <c r="K2486">
        <v>1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 t="s">
        <v>31</v>
      </c>
      <c r="Z2486">
        <v>1000</v>
      </c>
      <c r="AA2486">
        <v>0.5</v>
      </c>
    </row>
    <row r="2487" spans="1:27" x14ac:dyDescent="0.2">
      <c r="A2487" t="s">
        <v>1010</v>
      </c>
      <c r="B2487">
        <v>2024</v>
      </c>
      <c r="C2487" t="s">
        <v>1099</v>
      </c>
      <c r="D2487" t="s">
        <v>1100</v>
      </c>
      <c r="E2487" t="s">
        <v>29</v>
      </c>
      <c r="F2487" t="s">
        <v>30</v>
      </c>
      <c r="G2487">
        <v>122</v>
      </c>
      <c r="H2487">
        <v>0</v>
      </c>
      <c r="I2487">
        <v>62</v>
      </c>
      <c r="J2487">
        <v>0</v>
      </c>
      <c r="K2487">
        <v>2</v>
      </c>
      <c r="L2487">
        <v>0</v>
      </c>
      <c r="M2487">
        <v>122</v>
      </c>
      <c r="N2487">
        <v>0</v>
      </c>
      <c r="O2487">
        <v>62</v>
      </c>
      <c r="P2487">
        <v>0</v>
      </c>
      <c r="Q2487">
        <v>2</v>
      </c>
      <c r="R2487">
        <v>0</v>
      </c>
      <c r="S2487">
        <v>122</v>
      </c>
      <c r="T2487">
        <v>0</v>
      </c>
      <c r="U2487">
        <v>62</v>
      </c>
      <c r="V2487">
        <v>0</v>
      </c>
      <c r="W2487">
        <v>2</v>
      </c>
      <c r="X2487">
        <v>0</v>
      </c>
      <c r="Y2487" t="s">
        <v>51</v>
      </c>
      <c r="Z2487">
        <v>55</v>
      </c>
      <c r="AA2487">
        <v>0</v>
      </c>
    </row>
    <row r="2488" spans="1:27" x14ac:dyDescent="0.2">
      <c r="A2488" t="s">
        <v>2614</v>
      </c>
      <c r="B2488">
        <v>2024</v>
      </c>
      <c r="C2488">
        <v>2546121400</v>
      </c>
      <c r="D2488" t="s">
        <v>3314</v>
      </c>
      <c r="E2488" t="s">
        <v>29</v>
      </c>
      <c r="F2488" t="s">
        <v>30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1</v>
      </c>
      <c r="T2488">
        <v>0</v>
      </c>
      <c r="U2488">
        <v>0</v>
      </c>
      <c r="V2488">
        <v>0</v>
      </c>
      <c r="W2488">
        <v>0</v>
      </c>
      <c r="X2488">
        <v>0</v>
      </c>
      <c r="Y2488" t="s">
        <v>31</v>
      </c>
      <c r="Z2488">
        <v>1000</v>
      </c>
      <c r="AA2488">
        <v>0</v>
      </c>
    </row>
    <row r="2489" spans="1:27" x14ac:dyDescent="0.2">
      <c r="A2489" t="s">
        <v>2614</v>
      </c>
      <c r="B2489">
        <v>2024</v>
      </c>
      <c r="C2489">
        <v>2541440100</v>
      </c>
      <c r="E2489" t="s">
        <v>29</v>
      </c>
      <c r="F2489" t="s">
        <v>41</v>
      </c>
      <c r="G2489">
        <v>14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 t="s">
        <v>31</v>
      </c>
      <c r="Z2489">
        <v>1000</v>
      </c>
      <c r="AA2489">
        <v>0.5</v>
      </c>
    </row>
    <row r="2490" spans="1:27" x14ac:dyDescent="0.2">
      <c r="A2490" t="s">
        <v>2614</v>
      </c>
      <c r="B2490">
        <v>2024</v>
      </c>
      <c r="C2490">
        <v>2581630700</v>
      </c>
      <c r="D2490" t="s">
        <v>3315</v>
      </c>
      <c r="E2490" t="s">
        <v>29</v>
      </c>
      <c r="F2490" t="s">
        <v>30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1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 t="s">
        <v>31</v>
      </c>
      <c r="Z2490">
        <v>1000</v>
      </c>
      <c r="AA2490" s="2" t="s">
        <v>3316</v>
      </c>
    </row>
    <row r="2491" spans="1:27" x14ac:dyDescent="0.2">
      <c r="A2491" t="s">
        <v>2614</v>
      </c>
      <c r="B2491">
        <v>2024</v>
      </c>
      <c r="C2491">
        <v>2546121400</v>
      </c>
      <c r="D2491" t="s">
        <v>3317</v>
      </c>
      <c r="E2491" t="s">
        <v>29</v>
      </c>
      <c r="F2491" t="s">
        <v>30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1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 t="s">
        <v>31</v>
      </c>
      <c r="Z2491">
        <v>55</v>
      </c>
      <c r="AA2491">
        <v>0</v>
      </c>
    </row>
    <row r="2492" spans="1:27" x14ac:dyDescent="0.2">
      <c r="A2492" t="s">
        <v>2614</v>
      </c>
      <c r="B2492">
        <v>2024</v>
      </c>
      <c r="C2492">
        <v>2546122214</v>
      </c>
      <c r="D2492" t="s">
        <v>3318</v>
      </c>
      <c r="E2492" t="s">
        <v>29</v>
      </c>
      <c r="F2492" t="s">
        <v>30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1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 t="s">
        <v>31</v>
      </c>
      <c r="Z2492">
        <v>55</v>
      </c>
      <c r="AA2492">
        <v>0</v>
      </c>
    </row>
    <row r="2493" spans="1:27" x14ac:dyDescent="0.2">
      <c r="A2493" t="s">
        <v>2614</v>
      </c>
      <c r="B2493">
        <v>2024</v>
      </c>
      <c r="C2493">
        <v>2546121968</v>
      </c>
      <c r="D2493" t="s">
        <v>3319</v>
      </c>
      <c r="E2493" t="s">
        <v>29</v>
      </c>
      <c r="F2493" t="s">
        <v>30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1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 t="s">
        <v>31</v>
      </c>
      <c r="Z2493">
        <v>1000</v>
      </c>
      <c r="AA2493">
        <v>0</v>
      </c>
    </row>
    <row r="2494" spans="1:27" x14ac:dyDescent="0.2">
      <c r="A2494" t="s">
        <v>1221</v>
      </c>
      <c r="B2494">
        <v>2024</v>
      </c>
      <c r="C2494" t="s">
        <v>3320</v>
      </c>
      <c r="D2494" t="s">
        <v>3321</v>
      </c>
      <c r="E2494" t="s">
        <v>29</v>
      </c>
      <c r="F2494" t="s">
        <v>30</v>
      </c>
      <c r="G2494">
        <v>18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 t="s">
        <v>31</v>
      </c>
      <c r="AA2494">
        <v>0.5</v>
      </c>
    </row>
    <row r="2495" spans="1:27" x14ac:dyDescent="0.2">
      <c r="A2495" t="s">
        <v>415</v>
      </c>
      <c r="B2495">
        <v>2020</v>
      </c>
      <c r="C2495" t="s">
        <v>594</v>
      </c>
      <c r="D2495" t="s">
        <v>595</v>
      </c>
      <c r="E2495" t="s">
        <v>29</v>
      </c>
      <c r="F2495" t="s">
        <v>30</v>
      </c>
      <c r="G2495">
        <v>24</v>
      </c>
      <c r="H2495">
        <v>0</v>
      </c>
      <c r="I2495">
        <v>35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 t="s">
        <v>31</v>
      </c>
      <c r="Z2495">
        <v>55</v>
      </c>
      <c r="AA2495">
        <v>0</v>
      </c>
    </row>
    <row r="2496" spans="1:27" x14ac:dyDescent="0.2">
      <c r="A2496" t="s">
        <v>3322</v>
      </c>
      <c r="B2496">
        <v>2019</v>
      </c>
      <c r="C2496" t="s">
        <v>3323</v>
      </c>
      <c r="D2496" t="s">
        <v>3324</v>
      </c>
      <c r="E2496" t="s">
        <v>29</v>
      </c>
      <c r="F2496" t="s">
        <v>41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2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2</v>
      </c>
      <c r="X2496">
        <v>0</v>
      </c>
      <c r="Y2496" t="s">
        <v>31</v>
      </c>
      <c r="Z2496">
        <v>0</v>
      </c>
      <c r="AA2496">
        <v>0</v>
      </c>
    </row>
    <row r="2497" spans="1:27" x14ac:dyDescent="0.2">
      <c r="A2497" t="s">
        <v>622</v>
      </c>
      <c r="B2497">
        <v>2024</v>
      </c>
      <c r="C2497" t="s">
        <v>3325</v>
      </c>
      <c r="D2497" t="s">
        <v>3326</v>
      </c>
      <c r="E2497" t="s">
        <v>29</v>
      </c>
      <c r="F2497" t="s">
        <v>30</v>
      </c>
      <c r="G2497">
        <v>68</v>
      </c>
      <c r="H2497">
        <v>0</v>
      </c>
      <c r="I2497">
        <v>281</v>
      </c>
      <c r="J2497">
        <v>0</v>
      </c>
      <c r="K2497">
        <v>0</v>
      </c>
      <c r="L2497">
        <v>1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 t="s">
        <v>31</v>
      </c>
      <c r="AA2497">
        <v>0.5</v>
      </c>
    </row>
    <row r="2498" spans="1:27" x14ac:dyDescent="0.2">
      <c r="A2498" t="s">
        <v>2614</v>
      </c>
      <c r="B2498">
        <v>2023</v>
      </c>
      <c r="C2498" t="s">
        <v>3327</v>
      </c>
      <c r="D2498" t="s">
        <v>3328</v>
      </c>
      <c r="E2498" t="s">
        <v>29</v>
      </c>
      <c r="F2498" t="s">
        <v>30</v>
      </c>
      <c r="G2498">
        <v>4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 t="s">
        <v>31</v>
      </c>
      <c r="Z2498">
        <v>1000</v>
      </c>
      <c r="AA2498" s="2" t="s">
        <v>3316</v>
      </c>
    </row>
    <row r="2499" spans="1:27" x14ac:dyDescent="0.2">
      <c r="A2499" t="s">
        <v>3329</v>
      </c>
      <c r="B2499">
        <v>2024</v>
      </c>
      <c r="C2499" t="s">
        <v>3330</v>
      </c>
      <c r="D2499" t="s">
        <v>3331</v>
      </c>
      <c r="E2499" t="s">
        <v>29</v>
      </c>
      <c r="F2499" t="s">
        <v>41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1</v>
      </c>
      <c r="V2499">
        <v>0</v>
      </c>
      <c r="W2499">
        <v>0</v>
      </c>
      <c r="X2499">
        <v>0</v>
      </c>
      <c r="Y2499" t="s">
        <v>51</v>
      </c>
      <c r="Z2499">
        <v>45</v>
      </c>
      <c r="AA2499">
        <v>0</v>
      </c>
    </row>
    <row r="2500" spans="1:27" x14ac:dyDescent="0.2">
      <c r="A2500" t="s">
        <v>928</v>
      </c>
      <c r="B2500">
        <v>2019</v>
      </c>
      <c r="C2500" t="s">
        <v>2202</v>
      </c>
      <c r="D2500" t="s">
        <v>1304</v>
      </c>
      <c r="E2500" t="s">
        <v>29</v>
      </c>
      <c r="F2500" t="s">
        <v>41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1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 t="s">
        <v>51</v>
      </c>
      <c r="Z2500">
        <v>50</v>
      </c>
      <c r="AA2500">
        <v>0</v>
      </c>
    </row>
    <row r="2501" spans="1:27" x14ac:dyDescent="0.2">
      <c r="A2501" t="s">
        <v>1418</v>
      </c>
      <c r="B2501">
        <v>2021</v>
      </c>
      <c r="C2501" t="s">
        <v>3332</v>
      </c>
      <c r="D2501" t="s">
        <v>3333</v>
      </c>
      <c r="E2501" t="s">
        <v>29</v>
      </c>
      <c r="F2501" t="s">
        <v>30</v>
      </c>
      <c r="G2501">
        <v>0</v>
      </c>
      <c r="H2501">
        <v>0</v>
      </c>
      <c r="I2501">
        <v>148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 t="s">
        <v>31</v>
      </c>
      <c r="Z2501">
        <v>55</v>
      </c>
      <c r="AA2501">
        <v>20</v>
      </c>
    </row>
    <row r="2502" spans="1:27" x14ac:dyDescent="0.2">
      <c r="A2502" t="s">
        <v>1418</v>
      </c>
      <c r="B2502">
        <v>2021</v>
      </c>
      <c r="C2502" t="s">
        <v>3334</v>
      </c>
      <c r="D2502" t="s">
        <v>3335</v>
      </c>
      <c r="E2502" t="s">
        <v>29</v>
      </c>
      <c r="F2502" t="s">
        <v>30</v>
      </c>
      <c r="G2502">
        <v>3</v>
      </c>
      <c r="H2502">
        <v>0</v>
      </c>
      <c r="I2502">
        <v>3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 t="s">
        <v>51</v>
      </c>
      <c r="Z2502">
        <v>20</v>
      </c>
      <c r="AA2502">
        <v>0</v>
      </c>
    </row>
    <row r="2503" spans="1:27" x14ac:dyDescent="0.2">
      <c r="A2503" t="s">
        <v>1048</v>
      </c>
      <c r="B2503">
        <v>2022</v>
      </c>
      <c r="C2503" t="s">
        <v>3336</v>
      </c>
      <c r="D2503" t="s">
        <v>3337</v>
      </c>
      <c r="E2503" t="s">
        <v>29</v>
      </c>
      <c r="F2503" t="s">
        <v>30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8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8</v>
      </c>
      <c r="V2503">
        <v>0</v>
      </c>
      <c r="W2503">
        <v>0</v>
      </c>
      <c r="X2503">
        <v>0</v>
      </c>
      <c r="Y2503" t="s">
        <v>51</v>
      </c>
      <c r="Z2503">
        <v>55</v>
      </c>
      <c r="AA2503">
        <v>0</v>
      </c>
    </row>
    <row r="2504" spans="1:27" x14ac:dyDescent="0.2">
      <c r="A2504" t="s">
        <v>1048</v>
      </c>
      <c r="B2504">
        <v>2022</v>
      </c>
      <c r="C2504" t="s">
        <v>3336</v>
      </c>
      <c r="D2504" t="s">
        <v>3338</v>
      </c>
      <c r="E2504" t="s">
        <v>29</v>
      </c>
      <c r="F2504" t="s">
        <v>30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16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16</v>
      </c>
      <c r="V2504">
        <v>0</v>
      </c>
      <c r="W2504">
        <v>0</v>
      </c>
      <c r="X2504">
        <v>0</v>
      </c>
      <c r="Y2504" t="s">
        <v>51</v>
      </c>
      <c r="Z2504">
        <v>55</v>
      </c>
      <c r="AA2504">
        <v>0</v>
      </c>
    </row>
    <row r="2505" spans="1:27" x14ac:dyDescent="0.2">
      <c r="A2505" t="s">
        <v>649</v>
      </c>
      <c r="B2505">
        <v>2020</v>
      </c>
      <c r="C2505" t="s">
        <v>3214</v>
      </c>
      <c r="D2505" t="s">
        <v>3215</v>
      </c>
      <c r="E2505" t="s">
        <v>29</v>
      </c>
      <c r="F2505" t="s">
        <v>30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26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 t="s">
        <v>51</v>
      </c>
      <c r="Z2505">
        <v>55</v>
      </c>
      <c r="AA2505">
        <v>0</v>
      </c>
    </row>
    <row r="2506" spans="1:27" x14ac:dyDescent="0.2">
      <c r="A2506" t="s">
        <v>1206</v>
      </c>
      <c r="B2506">
        <v>2020</v>
      </c>
      <c r="C2506" t="s">
        <v>3339</v>
      </c>
      <c r="D2506" t="s">
        <v>3340</v>
      </c>
      <c r="E2506" t="s">
        <v>29</v>
      </c>
      <c r="F2506" t="s">
        <v>30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3</v>
      </c>
      <c r="T2506">
        <v>0</v>
      </c>
      <c r="U2506">
        <v>0</v>
      </c>
      <c r="V2506">
        <v>0</v>
      </c>
      <c r="W2506">
        <v>0</v>
      </c>
      <c r="X2506">
        <v>37</v>
      </c>
      <c r="Y2506" t="s">
        <v>31</v>
      </c>
      <c r="AA2506">
        <v>0</v>
      </c>
    </row>
    <row r="2507" spans="1:27" x14ac:dyDescent="0.2">
      <c r="A2507" t="s">
        <v>1048</v>
      </c>
      <c r="B2507">
        <v>2023</v>
      </c>
      <c r="C2507" t="s">
        <v>3341</v>
      </c>
      <c r="D2507" t="s">
        <v>2074</v>
      </c>
      <c r="E2507" t="s">
        <v>29</v>
      </c>
      <c r="F2507" t="s">
        <v>30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20</v>
      </c>
      <c r="T2507">
        <v>0</v>
      </c>
      <c r="U2507">
        <v>0</v>
      </c>
      <c r="V2507">
        <v>0</v>
      </c>
      <c r="W2507">
        <v>0</v>
      </c>
      <c r="X2507">
        <v>0</v>
      </c>
      <c r="Y2507" t="s">
        <v>31</v>
      </c>
      <c r="Z2507">
        <v>30</v>
      </c>
      <c r="AA2507">
        <v>0.16</v>
      </c>
    </row>
    <row r="2508" spans="1:27" x14ac:dyDescent="0.2">
      <c r="A2508" t="s">
        <v>1509</v>
      </c>
      <c r="B2508">
        <v>2024</v>
      </c>
      <c r="C2508">
        <v>238013042</v>
      </c>
      <c r="D2508" t="s">
        <v>3342</v>
      </c>
      <c r="E2508" t="s">
        <v>29</v>
      </c>
      <c r="F2508" t="s">
        <v>30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68</v>
      </c>
      <c r="V2508">
        <v>0</v>
      </c>
      <c r="W2508">
        <v>0</v>
      </c>
      <c r="X2508">
        <v>0</v>
      </c>
      <c r="Y2508" t="s">
        <v>51</v>
      </c>
      <c r="Z2508">
        <v>45</v>
      </c>
      <c r="AA2508">
        <v>0</v>
      </c>
    </row>
    <row r="2509" spans="1:27" x14ac:dyDescent="0.2">
      <c r="A2509" t="s">
        <v>1509</v>
      </c>
      <c r="B2509">
        <v>2024</v>
      </c>
      <c r="C2509">
        <v>1560180485</v>
      </c>
      <c r="D2509" t="s">
        <v>3343</v>
      </c>
      <c r="E2509" t="s">
        <v>29</v>
      </c>
      <c r="F2509" t="s">
        <v>30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11</v>
      </c>
      <c r="V2509">
        <v>0</v>
      </c>
      <c r="W2509">
        <v>0</v>
      </c>
      <c r="X2509">
        <v>0</v>
      </c>
      <c r="Y2509" t="s">
        <v>51</v>
      </c>
      <c r="Z2509">
        <v>1000</v>
      </c>
      <c r="AA2509">
        <v>0</v>
      </c>
    </row>
    <row r="2510" spans="1:27" x14ac:dyDescent="0.2">
      <c r="A2510" t="s">
        <v>1509</v>
      </c>
      <c r="B2510">
        <v>2024</v>
      </c>
      <c r="C2510">
        <v>1560180485</v>
      </c>
      <c r="D2510" t="s">
        <v>3344</v>
      </c>
      <c r="E2510" t="s">
        <v>29</v>
      </c>
      <c r="F2510" t="s">
        <v>30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12</v>
      </c>
      <c r="V2510">
        <v>0</v>
      </c>
      <c r="W2510">
        <v>0</v>
      </c>
      <c r="X2510">
        <v>0</v>
      </c>
      <c r="Y2510" t="s">
        <v>51</v>
      </c>
      <c r="Z2510">
        <v>1000</v>
      </c>
      <c r="AA2510">
        <v>0</v>
      </c>
    </row>
    <row r="2511" spans="1:27" x14ac:dyDescent="0.2">
      <c r="A2511" t="s">
        <v>1509</v>
      </c>
      <c r="B2511">
        <v>2024</v>
      </c>
      <c r="C2511">
        <v>1560200025</v>
      </c>
      <c r="D2511" t="s">
        <v>3345</v>
      </c>
      <c r="E2511" t="s">
        <v>29</v>
      </c>
      <c r="F2511" t="s">
        <v>30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18</v>
      </c>
      <c r="T2511">
        <v>0</v>
      </c>
      <c r="U2511">
        <v>0</v>
      </c>
      <c r="V2511">
        <v>0</v>
      </c>
      <c r="W2511">
        <v>0</v>
      </c>
      <c r="X2511">
        <v>0</v>
      </c>
      <c r="Y2511" t="s">
        <v>51</v>
      </c>
      <c r="Z2511">
        <v>1000</v>
      </c>
      <c r="AA2511">
        <v>0</v>
      </c>
    </row>
    <row r="2512" spans="1:27" x14ac:dyDescent="0.2">
      <c r="A2512" t="s">
        <v>1706</v>
      </c>
      <c r="B2512">
        <v>2024</v>
      </c>
      <c r="C2512">
        <v>216090034</v>
      </c>
      <c r="D2512" t="s">
        <v>1707</v>
      </c>
      <c r="E2512" t="s">
        <v>29</v>
      </c>
      <c r="F2512" t="s">
        <v>30</v>
      </c>
      <c r="G2512">
        <v>22</v>
      </c>
      <c r="H2512">
        <v>0</v>
      </c>
      <c r="I2512">
        <v>21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 t="s">
        <v>31</v>
      </c>
      <c r="Z2512">
        <v>55</v>
      </c>
      <c r="AA2512">
        <v>0</v>
      </c>
    </row>
    <row r="2513" spans="1:27" x14ac:dyDescent="0.2">
      <c r="A2513" t="s">
        <v>886</v>
      </c>
      <c r="B2513">
        <v>2022</v>
      </c>
      <c r="C2513" t="s">
        <v>3346</v>
      </c>
      <c r="D2513" t="s">
        <v>3347</v>
      </c>
      <c r="E2513" t="s">
        <v>29</v>
      </c>
      <c r="F2513" t="s">
        <v>30</v>
      </c>
      <c r="G2513">
        <v>13</v>
      </c>
      <c r="H2513">
        <v>0</v>
      </c>
      <c r="I2513">
        <v>14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 t="s">
        <v>31</v>
      </c>
      <c r="Z2513">
        <v>55</v>
      </c>
      <c r="AA2513" s="2" t="s">
        <v>3348</v>
      </c>
    </row>
    <row r="2514" spans="1:27" x14ac:dyDescent="0.2">
      <c r="A2514" t="s">
        <v>1449</v>
      </c>
      <c r="B2514">
        <v>2020</v>
      </c>
      <c r="C2514" t="s">
        <v>3349</v>
      </c>
      <c r="D2514" t="s">
        <v>3350</v>
      </c>
      <c r="E2514" t="s">
        <v>29</v>
      </c>
      <c r="F2514" t="s">
        <v>30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16</v>
      </c>
      <c r="T2514">
        <v>0</v>
      </c>
      <c r="U2514">
        <v>0</v>
      </c>
      <c r="V2514">
        <v>0</v>
      </c>
      <c r="W2514">
        <v>0</v>
      </c>
      <c r="X2514">
        <v>0</v>
      </c>
      <c r="Y2514" t="s">
        <v>31</v>
      </c>
      <c r="AA2514">
        <v>0</v>
      </c>
    </row>
    <row r="2515" spans="1:27" x14ac:dyDescent="0.2">
      <c r="A2515" t="s">
        <v>1434</v>
      </c>
      <c r="B2515">
        <v>2024</v>
      </c>
      <c r="C2515">
        <v>4163008023</v>
      </c>
      <c r="D2515" t="s">
        <v>3351</v>
      </c>
      <c r="E2515" t="s">
        <v>29</v>
      </c>
      <c r="F2515" t="s">
        <v>41</v>
      </c>
      <c r="G2515">
        <v>1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1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 t="s">
        <v>31</v>
      </c>
      <c r="Z2515">
        <v>30</v>
      </c>
      <c r="AA2515" s="2" t="s">
        <v>3352</v>
      </c>
    </row>
    <row r="2516" spans="1:27" x14ac:dyDescent="0.2">
      <c r="A2516" t="s">
        <v>1449</v>
      </c>
      <c r="B2516">
        <v>2024</v>
      </c>
      <c r="C2516" t="s">
        <v>3353</v>
      </c>
      <c r="D2516" t="s">
        <v>3354</v>
      </c>
      <c r="E2516" t="s">
        <v>29</v>
      </c>
      <c r="F2516" t="s">
        <v>30</v>
      </c>
      <c r="G2516">
        <v>248</v>
      </c>
      <c r="H2516">
        <v>0</v>
      </c>
      <c r="I2516">
        <v>133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 t="s">
        <v>31</v>
      </c>
      <c r="AA2516">
        <v>0</v>
      </c>
    </row>
    <row r="2517" spans="1:27" x14ac:dyDescent="0.2">
      <c r="A2517" t="s">
        <v>1449</v>
      </c>
      <c r="B2517">
        <v>2024</v>
      </c>
      <c r="C2517" t="s">
        <v>3355</v>
      </c>
      <c r="D2517" t="s">
        <v>3356</v>
      </c>
      <c r="E2517" t="s">
        <v>29</v>
      </c>
      <c r="F2517" t="s">
        <v>30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7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 t="s">
        <v>31</v>
      </c>
      <c r="AA2517">
        <v>0.5</v>
      </c>
    </row>
    <row r="2518" spans="1:27" x14ac:dyDescent="0.2">
      <c r="A2518" t="s">
        <v>1449</v>
      </c>
      <c r="B2518">
        <v>2024</v>
      </c>
      <c r="C2518" t="s">
        <v>2310</v>
      </c>
      <c r="D2518" t="s">
        <v>3357</v>
      </c>
      <c r="E2518" t="s">
        <v>29</v>
      </c>
      <c r="F2518" t="s">
        <v>30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6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 t="s">
        <v>31</v>
      </c>
      <c r="AA2518" s="2" t="s">
        <v>3358</v>
      </c>
    </row>
    <row r="2519" spans="1:27" x14ac:dyDescent="0.2">
      <c r="A2519" t="s">
        <v>1040</v>
      </c>
      <c r="B2519">
        <v>2024</v>
      </c>
      <c r="C2519" t="s">
        <v>3359</v>
      </c>
      <c r="D2519" t="s">
        <v>3360</v>
      </c>
      <c r="E2519" t="s">
        <v>29</v>
      </c>
      <c r="F2519" t="s">
        <v>41</v>
      </c>
      <c r="G2519">
        <v>1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 t="s">
        <v>31</v>
      </c>
      <c r="AA2519" s="2" t="s">
        <v>3361</v>
      </c>
    </row>
    <row r="2520" spans="1:27" x14ac:dyDescent="0.2">
      <c r="A2520" t="s">
        <v>533</v>
      </c>
      <c r="B2520">
        <v>2024</v>
      </c>
      <c r="C2520" t="s">
        <v>3362</v>
      </c>
      <c r="D2520" t="s">
        <v>3363</v>
      </c>
      <c r="E2520" t="s">
        <v>29</v>
      </c>
      <c r="F2520" t="s">
        <v>41</v>
      </c>
      <c r="G2520">
        <v>0</v>
      </c>
      <c r="H2520">
        <v>0</v>
      </c>
      <c r="I2520">
        <v>1</v>
      </c>
      <c r="J2520">
        <v>0</v>
      </c>
      <c r="K2520">
        <v>1</v>
      </c>
      <c r="L2520">
        <v>0</v>
      </c>
      <c r="M2520">
        <v>0</v>
      </c>
      <c r="N2520">
        <v>0</v>
      </c>
      <c r="O2520">
        <v>1</v>
      </c>
      <c r="P2520">
        <v>0</v>
      </c>
      <c r="Q2520">
        <v>1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 t="s">
        <v>31</v>
      </c>
      <c r="Z2520">
        <v>59</v>
      </c>
      <c r="AA2520" s="2" t="s">
        <v>3299</v>
      </c>
    </row>
    <row r="2521" spans="1:27" x14ac:dyDescent="0.2">
      <c r="A2521" t="s">
        <v>533</v>
      </c>
      <c r="B2521">
        <v>2024</v>
      </c>
      <c r="C2521" t="s">
        <v>3364</v>
      </c>
      <c r="D2521" t="s">
        <v>3365</v>
      </c>
      <c r="E2521" t="s">
        <v>29</v>
      </c>
      <c r="F2521" t="s">
        <v>41</v>
      </c>
      <c r="G2521">
        <v>0</v>
      </c>
      <c r="H2521">
        <v>0</v>
      </c>
      <c r="I2521">
        <v>0</v>
      </c>
      <c r="J2521">
        <v>0</v>
      </c>
      <c r="K2521">
        <v>2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2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 t="s">
        <v>31</v>
      </c>
      <c r="Z2521">
        <v>59</v>
      </c>
      <c r="AA2521" s="2" t="s">
        <v>3299</v>
      </c>
    </row>
    <row r="2522" spans="1:27" x14ac:dyDescent="0.2">
      <c r="A2522" t="s">
        <v>886</v>
      </c>
      <c r="B2522">
        <v>2022</v>
      </c>
      <c r="C2522" t="s">
        <v>3366</v>
      </c>
      <c r="D2522" t="s">
        <v>3367</v>
      </c>
      <c r="E2522" t="s">
        <v>29</v>
      </c>
      <c r="F2522" t="s">
        <v>41</v>
      </c>
      <c r="G2522">
        <v>0</v>
      </c>
      <c r="H2522">
        <v>0</v>
      </c>
      <c r="I2522">
        <v>8</v>
      </c>
      <c r="J2522">
        <v>0</v>
      </c>
      <c r="K2522">
        <v>23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 t="s">
        <v>51</v>
      </c>
      <c r="Z2522">
        <v>55</v>
      </c>
      <c r="AA2522">
        <v>0</v>
      </c>
    </row>
    <row r="2523" spans="1:27" x14ac:dyDescent="0.2">
      <c r="A2523" t="s">
        <v>886</v>
      </c>
      <c r="B2523">
        <v>2022</v>
      </c>
      <c r="C2523" t="s">
        <v>3368</v>
      </c>
      <c r="D2523" t="s">
        <v>3369</v>
      </c>
      <c r="E2523" t="s">
        <v>29</v>
      </c>
      <c r="F2523" t="s">
        <v>30</v>
      </c>
      <c r="G2523">
        <v>2</v>
      </c>
      <c r="H2523">
        <v>0</v>
      </c>
      <c r="I2523">
        <v>2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 t="s">
        <v>31</v>
      </c>
      <c r="Z2523">
        <v>55</v>
      </c>
      <c r="AA2523" s="2" t="s">
        <v>3370</v>
      </c>
    </row>
    <row r="2524" spans="1:27" x14ac:dyDescent="0.2">
      <c r="A2524" t="s">
        <v>433</v>
      </c>
      <c r="B2524">
        <v>2024</v>
      </c>
      <c r="C2524">
        <v>16741078</v>
      </c>
      <c r="D2524" t="s">
        <v>3371</v>
      </c>
      <c r="E2524" t="s">
        <v>29</v>
      </c>
      <c r="F2524" t="s">
        <v>41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1</v>
      </c>
      <c r="X2524">
        <v>0</v>
      </c>
      <c r="Y2524" t="s">
        <v>51</v>
      </c>
      <c r="Z2524">
        <v>55</v>
      </c>
      <c r="AA2524">
        <v>0</v>
      </c>
    </row>
    <row r="2525" spans="1:27" x14ac:dyDescent="0.2">
      <c r="A2525" t="s">
        <v>88</v>
      </c>
      <c r="B2525">
        <v>2023</v>
      </c>
      <c r="C2525" t="s">
        <v>2362</v>
      </c>
      <c r="D2525" t="s">
        <v>3372</v>
      </c>
      <c r="E2525" t="s">
        <v>29</v>
      </c>
      <c r="F2525" t="s">
        <v>41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1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 t="s">
        <v>51</v>
      </c>
      <c r="Z2525">
        <v>20</v>
      </c>
      <c r="AA2525">
        <v>0</v>
      </c>
    </row>
    <row r="2526" spans="1:27" x14ac:dyDescent="0.2">
      <c r="A2526" t="s">
        <v>88</v>
      </c>
      <c r="B2526">
        <v>2023</v>
      </c>
      <c r="C2526" t="s">
        <v>3373</v>
      </c>
      <c r="D2526" t="s">
        <v>3374</v>
      </c>
      <c r="E2526" t="s">
        <v>29</v>
      </c>
      <c r="F2526" t="s">
        <v>30</v>
      </c>
      <c r="G2526">
        <v>0</v>
      </c>
      <c r="H2526">
        <v>0</v>
      </c>
      <c r="I2526">
        <v>21</v>
      </c>
      <c r="J2526">
        <v>0</v>
      </c>
      <c r="K2526">
        <v>20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 t="s">
        <v>51</v>
      </c>
      <c r="Z2526">
        <v>55</v>
      </c>
      <c r="AA2526">
        <v>0</v>
      </c>
    </row>
    <row r="2527" spans="1:27" x14ac:dyDescent="0.2">
      <c r="A2527" t="s">
        <v>418</v>
      </c>
      <c r="B2527">
        <v>2023</v>
      </c>
      <c r="C2527" t="s">
        <v>3375</v>
      </c>
      <c r="D2527" t="s">
        <v>3376</v>
      </c>
      <c r="E2527" t="s">
        <v>29</v>
      </c>
      <c r="F2527" t="s">
        <v>30</v>
      </c>
      <c r="G2527">
        <v>38</v>
      </c>
      <c r="H2527">
        <v>0</v>
      </c>
      <c r="I2527">
        <v>151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 t="s">
        <v>31</v>
      </c>
      <c r="Z2527">
        <v>55</v>
      </c>
      <c r="AA2527">
        <v>0</v>
      </c>
    </row>
    <row r="2528" spans="1:27" x14ac:dyDescent="0.2">
      <c r="A2528" t="s">
        <v>418</v>
      </c>
      <c r="B2528">
        <v>2023</v>
      </c>
      <c r="C2528">
        <v>43413044</v>
      </c>
      <c r="D2528" t="s">
        <v>3377</v>
      </c>
      <c r="E2528" t="s">
        <v>29</v>
      </c>
      <c r="F2528" t="s">
        <v>30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67</v>
      </c>
      <c r="N2528">
        <v>0</v>
      </c>
      <c r="O2528">
        <v>67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 t="s">
        <v>51</v>
      </c>
      <c r="Z2528">
        <v>55</v>
      </c>
      <c r="AA2528">
        <v>0</v>
      </c>
    </row>
    <row r="2529" spans="1:27" x14ac:dyDescent="0.2">
      <c r="A2529" t="s">
        <v>1255</v>
      </c>
      <c r="B2529">
        <v>2020</v>
      </c>
      <c r="C2529" s="2" t="s">
        <v>1256</v>
      </c>
      <c r="D2529" t="s">
        <v>1970</v>
      </c>
      <c r="E2529" t="s">
        <v>29</v>
      </c>
      <c r="F2529" t="s">
        <v>30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23</v>
      </c>
      <c r="N2529">
        <v>0</v>
      </c>
      <c r="O2529">
        <v>66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 t="s">
        <v>31</v>
      </c>
      <c r="AA2529">
        <v>0</v>
      </c>
    </row>
    <row r="2530" spans="1:27" x14ac:dyDescent="0.2">
      <c r="A2530" t="s">
        <v>883</v>
      </c>
      <c r="B2530">
        <v>2022</v>
      </c>
      <c r="C2530">
        <v>35401450</v>
      </c>
      <c r="D2530" t="s">
        <v>3378</v>
      </c>
      <c r="E2530" t="s">
        <v>29</v>
      </c>
      <c r="F2530" t="s">
        <v>41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 t="s">
        <v>31</v>
      </c>
      <c r="Z2530">
        <v>1000</v>
      </c>
      <c r="AA2530">
        <v>20</v>
      </c>
    </row>
    <row r="2531" spans="1:27" x14ac:dyDescent="0.2">
      <c r="A2531" t="s">
        <v>883</v>
      </c>
      <c r="B2531">
        <v>2022</v>
      </c>
      <c r="C2531">
        <v>35401450</v>
      </c>
      <c r="D2531" t="s">
        <v>3379</v>
      </c>
      <c r="E2531" t="s">
        <v>29</v>
      </c>
      <c r="F2531" t="s">
        <v>41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 t="s">
        <v>31</v>
      </c>
      <c r="Z2531">
        <v>1000</v>
      </c>
      <c r="AA2531">
        <v>20</v>
      </c>
    </row>
    <row r="2532" spans="1:27" x14ac:dyDescent="0.2">
      <c r="A2532" t="s">
        <v>1601</v>
      </c>
      <c r="B2532">
        <v>2022</v>
      </c>
      <c r="C2532" t="s">
        <v>3380</v>
      </c>
      <c r="D2532" t="s">
        <v>3381</v>
      </c>
      <c r="E2532" t="s">
        <v>29</v>
      </c>
      <c r="F2532" t="s">
        <v>30</v>
      </c>
      <c r="G2532">
        <v>5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 t="s">
        <v>51</v>
      </c>
      <c r="Z2532">
        <v>55</v>
      </c>
      <c r="AA2532">
        <v>0</v>
      </c>
    </row>
    <row r="2533" spans="1:27" x14ac:dyDescent="0.2">
      <c r="A2533" t="s">
        <v>1515</v>
      </c>
      <c r="B2533">
        <v>2024</v>
      </c>
      <c r="C2533">
        <v>1600093295</v>
      </c>
      <c r="D2533" t="s">
        <v>3382</v>
      </c>
      <c r="E2533" t="s">
        <v>29</v>
      </c>
      <c r="F2533" t="s">
        <v>30</v>
      </c>
      <c r="G2533">
        <v>1</v>
      </c>
      <c r="H2533">
        <v>0</v>
      </c>
      <c r="I2533">
        <v>0</v>
      </c>
      <c r="J2533">
        <v>0</v>
      </c>
      <c r="K2533">
        <v>2</v>
      </c>
      <c r="L2533">
        <v>0</v>
      </c>
      <c r="M2533">
        <v>1</v>
      </c>
      <c r="N2533">
        <v>0</v>
      </c>
      <c r="O2533">
        <v>0</v>
      </c>
      <c r="P2533">
        <v>0</v>
      </c>
      <c r="Q2533">
        <v>2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 t="s">
        <v>31</v>
      </c>
      <c r="Z2533">
        <v>55</v>
      </c>
      <c r="AA2533">
        <v>0</v>
      </c>
    </row>
    <row r="2534" spans="1:27" x14ac:dyDescent="0.2">
      <c r="A2534" t="s">
        <v>1217</v>
      </c>
      <c r="B2534">
        <v>2023</v>
      </c>
      <c r="C2534" t="s">
        <v>3383</v>
      </c>
      <c r="D2534" t="s">
        <v>3384</v>
      </c>
      <c r="E2534" t="s">
        <v>29</v>
      </c>
      <c r="F2534" t="s">
        <v>30</v>
      </c>
      <c r="G2534">
        <v>66</v>
      </c>
      <c r="H2534">
        <v>0</v>
      </c>
      <c r="I2534">
        <v>35</v>
      </c>
      <c r="J2534">
        <v>0</v>
      </c>
      <c r="K2534">
        <v>0</v>
      </c>
      <c r="L2534">
        <v>0</v>
      </c>
      <c r="M2534">
        <v>66</v>
      </c>
      <c r="N2534">
        <v>0</v>
      </c>
      <c r="O2534">
        <v>35</v>
      </c>
      <c r="P2534">
        <v>0</v>
      </c>
      <c r="Q2534">
        <v>0</v>
      </c>
      <c r="R2534">
        <v>0</v>
      </c>
      <c r="S2534">
        <v>66</v>
      </c>
      <c r="T2534">
        <v>0</v>
      </c>
      <c r="U2534">
        <v>35</v>
      </c>
      <c r="V2534">
        <v>0</v>
      </c>
      <c r="W2534">
        <v>0</v>
      </c>
      <c r="X2534">
        <v>0</v>
      </c>
      <c r="Y2534" t="s">
        <v>31</v>
      </c>
      <c r="Z2534">
        <v>55</v>
      </c>
      <c r="AA2534">
        <v>0</v>
      </c>
    </row>
    <row r="2535" spans="1:27" x14ac:dyDescent="0.2">
      <c r="A2535" t="s">
        <v>1075</v>
      </c>
      <c r="B2535">
        <v>2023</v>
      </c>
      <c r="C2535" t="s">
        <v>2291</v>
      </c>
      <c r="D2535" t="s">
        <v>3385</v>
      </c>
      <c r="E2535" t="s">
        <v>29</v>
      </c>
      <c r="F2535" t="s">
        <v>30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7</v>
      </c>
      <c r="O2535">
        <v>0</v>
      </c>
      <c r="P2535">
        <v>5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 t="s">
        <v>31</v>
      </c>
      <c r="AA2535">
        <v>33</v>
      </c>
    </row>
    <row r="2536" spans="1:27" x14ac:dyDescent="0.2">
      <c r="A2536" t="s">
        <v>1500</v>
      </c>
      <c r="B2536">
        <v>2020</v>
      </c>
      <c r="C2536">
        <v>6028002033</v>
      </c>
      <c r="D2536" t="s">
        <v>3386</v>
      </c>
      <c r="E2536" t="s">
        <v>29</v>
      </c>
      <c r="F2536" t="s">
        <v>30</v>
      </c>
      <c r="G2536">
        <v>0</v>
      </c>
      <c r="H2536">
        <v>0</v>
      </c>
      <c r="I2536">
        <v>90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 t="s">
        <v>31</v>
      </c>
      <c r="Z2536">
        <v>55</v>
      </c>
      <c r="AA2536">
        <v>0</v>
      </c>
    </row>
    <row r="2537" spans="1:27" x14ac:dyDescent="0.2">
      <c r="A2537" t="s">
        <v>3387</v>
      </c>
      <c r="B2537">
        <v>2024</v>
      </c>
      <c r="C2537" t="s">
        <v>3388</v>
      </c>
      <c r="D2537" t="s">
        <v>3389</v>
      </c>
      <c r="E2537" t="s">
        <v>29</v>
      </c>
      <c r="F2537" t="s">
        <v>41</v>
      </c>
      <c r="G2537">
        <v>28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 t="s">
        <v>31</v>
      </c>
      <c r="AA2537" s="2" t="s">
        <v>3390</v>
      </c>
    </row>
    <row r="2538" spans="1:27" x14ac:dyDescent="0.2">
      <c r="A2538" t="s">
        <v>3391</v>
      </c>
      <c r="B2538">
        <v>2024</v>
      </c>
      <c r="C2538" t="s">
        <v>3392</v>
      </c>
      <c r="D2538" t="s">
        <v>3393</v>
      </c>
      <c r="E2538" t="s">
        <v>29</v>
      </c>
      <c r="F2538" t="s">
        <v>30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72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 t="s">
        <v>31</v>
      </c>
      <c r="AA2538" s="2" t="s">
        <v>3394</v>
      </c>
    </row>
    <row r="2539" spans="1:27" x14ac:dyDescent="0.2">
      <c r="A2539" t="s">
        <v>69</v>
      </c>
      <c r="B2539">
        <v>2022</v>
      </c>
      <c r="C2539" t="s">
        <v>70</v>
      </c>
      <c r="D2539" t="s">
        <v>71</v>
      </c>
      <c r="E2539" t="s">
        <v>29</v>
      </c>
      <c r="F2539" t="s">
        <v>30</v>
      </c>
      <c r="G2539">
        <v>0</v>
      </c>
      <c r="H2539">
        <v>0</v>
      </c>
      <c r="I2539">
        <v>14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 t="s">
        <v>51</v>
      </c>
      <c r="AA2539">
        <v>0</v>
      </c>
    </row>
    <row r="2540" spans="1:27" x14ac:dyDescent="0.2">
      <c r="A2540" t="s">
        <v>321</v>
      </c>
      <c r="B2540">
        <v>2022</v>
      </c>
      <c r="C2540" t="s">
        <v>3395</v>
      </c>
      <c r="D2540" t="s">
        <v>3396</v>
      </c>
      <c r="E2540" t="s">
        <v>29</v>
      </c>
      <c r="F2540" t="s">
        <v>30</v>
      </c>
      <c r="G2540">
        <v>0</v>
      </c>
      <c r="H2540">
        <v>0</v>
      </c>
      <c r="I2540">
        <v>10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 t="s">
        <v>51</v>
      </c>
      <c r="Z2540">
        <v>55</v>
      </c>
      <c r="AA2540">
        <v>0</v>
      </c>
    </row>
    <row r="2541" spans="1:27" x14ac:dyDescent="0.2">
      <c r="A2541" t="s">
        <v>2316</v>
      </c>
      <c r="B2541">
        <v>2022</v>
      </c>
      <c r="C2541">
        <v>38912020</v>
      </c>
      <c r="D2541" t="s">
        <v>2317</v>
      </c>
      <c r="E2541" t="s">
        <v>29</v>
      </c>
      <c r="F2541" t="s">
        <v>41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 t="s">
        <v>31</v>
      </c>
      <c r="Z2541">
        <v>1000</v>
      </c>
      <c r="AA2541">
        <v>32.5</v>
      </c>
    </row>
    <row r="2542" spans="1:27" x14ac:dyDescent="0.2">
      <c r="A2542" t="s">
        <v>1075</v>
      </c>
      <c r="B2542">
        <v>2023</v>
      </c>
      <c r="C2542">
        <v>42509213</v>
      </c>
      <c r="D2542" t="s">
        <v>3397</v>
      </c>
      <c r="E2542" t="s">
        <v>29</v>
      </c>
      <c r="F2542" t="s">
        <v>30</v>
      </c>
      <c r="G2542">
        <v>42</v>
      </c>
      <c r="H2542">
        <v>0</v>
      </c>
      <c r="I2542">
        <v>43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 t="s">
        <v>31</v>
      </c>
      <c r="Z2542">
        <v>55</v>
      </c>
      <c r="AA2542">
        <v>24</v>
      </c>
    </row>
    <row r="2543" spans="1:27" x14ac:dyDescent="0.2">
      <c r="A2543" t="s">
        <v>1658</v>
      </c>
      <c r="B2543">
        <v>2022</v>
      </c>
      <c r="C2543" t="s">
        <v>2320</v>
      </c>
      <c r="D2543" t="s">
        <v>3398</v>
      </c>
      <c r="E2543" t="s">
        <v>29</v>
      </c>
      <c r="F2543" t="s">
        <v>41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1</v>
      </c>
      <c r="V2543">
        <v>0</v>
      </c>
      <c r="W2543">
        <v>0</v>
      </c>
      <c r="X2543">
        <v>0</v>
      </c>
      <c r="Y2543" t="s">
        <v>51</v>
      </c>
      <c r="Z2543">
        <v>1000</v>
      </c>
      <c r="AA2543">
        <v>0</v>
      </c>
    </row>
    <row r="2544" spans="1:27" x14ac:dyDescent="0.2">
      <c r="A2544" t="s">
        <v>1658</v>
      </c>
      <c r="B2544">
        <v>2022</v>
      </c>
      <c r="C2544" t="s">
        <v>2320</v>
      </c>
      <c r="D2544" t="s">
        <v>3399</v>
      </c>
      <c r="E2544" t="s">
        <v>29</v>
      </c>
      <c r="F2544" t="s">
        <v>41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1</v>
      </c>
      <c r="V2544">
        <v>0</v>
      </c>
      <c r="W2544">
        <v>0</v>
      </c>
      <c r="X2544">
        <v>0</v>
      </c>
      <c r="Y2544" t="s">
        <v>51</v>
      </c>
      <c r="Z2544">
        <v>1000</v>
      </c>
      <c r="AA2544">
        <v>0</v>
      </c>
    </row>
    <row r="2545" spans="1:27" x14ac:dyDescent="0.2">
      <c r="A2545" t="s">
        <v>1449</v>
      </c>
      <c r="B2545">
        <v>2021</v>
      </c>
      <c r="C2545" t="s">
        <v>3400</v>
      </c>
      <c r="D2545" t="s">
        <v>3401</v>
      </c>
      <c r="E2545" t="s">
        <v>29</v>
      </c>
      <c r="F2545" t="s">
        <v>30</v>
      </c>
      <c r="G2545">
        <v>3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 t="s">
        <v>31</v>
      </c>
      <c r="AA2545">
        <v>50</v>
      </c>
    </row>
    <row r="2546" spans="1:27" x14ac:dyDescent="0.2">
      <c r="A2546" t="s">
        <v>883</v>
      </c>
      <c r="B2546">
        <v>2021</v>
      </c>
      <c r="C2546">
        <v>35401450</v>
      </c>
      <c r="D2546" t="s">
        <v>2580</v>
      </c>
      <c r="E2546" t="s">
        <v>29</v>
      </c>
      <c r="F2546" t="s">
        <v>41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5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 t="s">
        <v>51</v>
      </c>
      <c r="Z2546">
        <v>1000</v>
      </c>
      <c r="AA2546">
        <v>0</v>
      </c>
    </row>
    <row r="2547" spans="1:27" x14ac:dyDescent="0.2">
      <c r="A2547" t="s">
        <v>883</v>
      </c>
      <c r="B2547">
        <v>2021</v>
      </c>
      <c r="C2547">
        <v>39030340</v>
      </c>
      <c r="D2547" t="s">
        <v>3402</v>
      </c>
      <c r="E2547" t="s">
        <v>29</v>
      </c>
      <c r="F2547" t="s">
        <v>30</v>
      </c>
      <c r="G2547">
        <v>4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 t="s">
        <v>51</v>
      </c>
      <c r="Z2547">
        <v>1000</v>
      </c>
      <c r="AA2547">
        <v>0</v>
      </c>
    </row>
    <row r="2548" spans="1:27" x14ac:dyDescent="0.2">
      <c r="A2548" t="s">
        <v>163</v>
      </c>
      <c r="B2548">
        <v>2021</v>
      </c>
      <c r="C2548">
        <v>4906603100</v>
      </c>
      <c r="D2548" t="s">
        <v>3403</v>
      </c>
      <c r="E2548" t="s">
        <v>29</v>
      </c>
      <c r="F2548" t="s">
        <v>30</v>
      </c>
      <c r="G2548">
        <v>4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 t="s">
        <v>31</v>
      </c>
      <c r="Z2548">
        <v>55</v>
      </c>
      <c r="AA2548">
        <v>35</v>
      </c>
    </row>
    <row r="2549" spans="1:27" x14ac:dyDescent="0.2">
      <c r="A2549" t="s">
        <v>1527</v>
      </c>
      <c r="B2549">
        <v>2024</v>
      </c>
      <c r="C2549" s="2" t="s">
        <v>3404</v>
      </c>
      <c r="D2549" t="s">
        <v>3405</v>
      </c>
      <c r="E2549" t="s">
        <v>29</v>
      </c>
      <c r="F2549" t="s">
        <v>30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24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 t="s">
        <v>31</v>
      </c>
      <c r="AA2549">
        <v>0</v>
      </c>
    </row>
    <row r="2550" spans="1:27" x14ac:dyDescent="0.2">
      <c r="A2550" t="s">
        <v>1527</v>
      </c>
      <c r="B2550">
        <v>2024</v>
      </c>
      <c r="C2550" s="2" t="s">
        <v>3404</v>
      </c>
      <c r="D2550" t="s">
        <v>3406</v>
      </c>
      <c r="E2550" t="s">
        <v>29</v>
      </c>
      <c r="F2550" t="s">
        <v>30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30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 t="s">
        <v>31</v>
      </c>
      <c r="AA2550">
        <v>0</v>
      </c>
    </row>
    <row r="2551" spans="1:27" x14ac:dyDescent="0.2">
      <c r="A2551" t="s">
        <v>1071</v>
      </c>
      <c r="B2551">
        <v>2022</v>
      </c>
      <c r="C2551">
        <v>72625061</v>
      </c>
      <c r="D2551" t="s">
        <v>3407</v>
      </c>
      <c r="E2551" t="s">
        <v>29</v>
      </c>
      <c r="F2551" t="s">
        <v>30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5</v>
      </c>
      <c r="N2551">
        <v>0</v>
      </c>
      <c r="O2551">
        <v>0</v>
      </c>
      <c r="P2551">
        <v>0</v>
      </c>
      <c r="Q2551">
        <v>0</v>
      </c>
      <c r="R2551">
        <v>13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 t="s">
        <v>51</v>
      </c>
      <c r="Z2551">
        <v>55</v>
      </c>
      <c r="AA2551">
        <v>0</v>
      </c>
    </row>
    <row r="2552" spans="1:27" x14ac:dyDescent="0.2">
      <c r="A2552" t="s">
        <v>1071</v>
      </c>
      <c r="B2552">
        <v>2022</v>
      </c>
      <c r="C2552">
        <v>72636059</v>
      </c>
      <c r="D2552" t="s">
        <v>3408</v>
      </c>
      <c r="E2552" t="s">
        <v>29</v>
      </c>
      <c r="F2552" t="s">
        <v>30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1</v>
      </c>
      <c r="N2552">
        <v>0</v>
      </c>
      <c r="O2552">
        <v>16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 t="s">
        <v>31</v>
      </c>
      <c r="Z2552">
        <v>55</v>
      </c>
      <c r="AA2552">
        <v>80</v>
      </c>
    </row>
    <row r="2553" spans="1:27" x14ac:dyDescent="0.2">
      <c r="A2553" t="s">
        <v>1071</v>
      </c>
      <c r="B2553">
        <v>2022</v>
      </c>
      <c r="C2553">
        <v>72636059</v>
      </c>
      <c r="D2553" t="s">
        <v>3409</v>
      </c>
      <c r="E2553" t="s">
        <v>29</v>
      </c>
      <c r="F2553" t="s">
        <v>30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2</v>
      </c>
      <c r="N2553">
        <v>0</v>
      </c>
      <c r="O2553">
        <v>16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 t="s">
        <v>31</v>
      </c>
      <c r="Z2553">
        <v>55</v>
      </c>
      <c r="AA2553">
        <v>80</v>
      </c>
    </row>
    <row r="2554" spans="1:27" x14ac:dyDescent="0.2">
      <c r="A2554" t="s">
        <v>2384</v>
      </c>
      <c r="B2554">
        <v>2020</v>
      </c>
      <c r="C2554" t="s">
        <v>3410</v>
      </c>
      <c r="D2554" t="s">
        <v>3411</v>
      </c>
      <c r="E2554" t="s">
        <v>29</v>
      </c>
      <c r="F2554" t="s">
        <v>30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16</v>
      </c>
      <c r="T2554">
        <v>0</v>
      </c>
      <c r="U2554">
        <v>0</v>
      </c>
      <c r="V2554">
        <v>0</v>
      </c>
      <c r="W2554">
        <v>0</v>
      </c>
      <c r="X2554">
        <v>0</v>
      </c>
      <c r="Y2554" t="s">
        <v>31</v>
      </c>
      <c r="AA2554">
        <v>0</v>
      </c>
    </row>
    <row r="2555" spans="1:27" x14ac:dyDescent="0.2">
      <c r="A2555" t="s">
        <v>2384</v>
      </c>
      <c r="B2555">
        <v>2020</v>
      </c>
      <c r="C2555" t="s">
        <v>2385</v>
      </c>
      <c r="D2555" t="s">
        <v>3412</v>
      </c>
      <c r="E2555" t="s">
        <v>29</v>
      </c>
      <c r="F2555" t="s">
        <v>30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3</v>
      </c>
      <c r="T2555">
        <v>0</v>
      </c>
      <c r="U2555">
        <v>0</v>
      </c>
      <c r="V2555">
        <v>0</v>
      </c>
      <c r="W2555">
        <v>0</v>
      </c>
      <c r="X2555">
        <v>0</v>
      </c>
      <c r="Y2555" t="s">
        <v>31</v>
      </c>
      <c r="AA2555">
        <v>0</v>
      </c>
    </row>
    <row r="2556" spans="1:27" x14ac:dyDescent="0.2">
      <c r="A2556" t="s">
        <v>1624</v>
      </c>
      <c r="B2556">
        <v>2021</v>
      </c>
      <c r="C2556" t="s">
        <v>3413</v>
      </c>
      <c r="D2556" t="s">
        <v>3414</v>
      </c>
      <c r="E2556" t="s">
        <v>29</v>
      </c>
      <c r="F2556" t="s">
        <v>30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93</v>
      </c>
      <c r="T2556">
        <v>0</v>
      </c>
      <c r="U2556">
        <v>194</v>
      </c>
      <c r="V2556">
        <v>0</v>
      </c>
      <c r="W2556">
        <v>0</v>
      </c>
      <c r="X2556">
        <v>0</v>
      </c>
      <c r="Y2556" t="s">
        <v>51</v>
      </c>
      <c r="Z2556">
        <v>55</v>
      </c>
      <c r="AA2556">
        <v>0</v>
      </c>
    </row>
    <row r="2557" spans="1:27" x14ac:dyDescent="0.2">
      <c r="A2557" t="s">
        <v>1075</v>
      </c>
      <c r="B2557">
        <v>2023</v>
      </c>
      <c r="C2557" t="s">
        <v>2291</v>
      </c>
      <c r="D2557" t="s">
        <v>3415</v>
      </c>
      <c r="E2557" t="s">
        <v>29</v>
      </c>
      <c r="F2557" t="s">
        <v>30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6</v>
      </c>
      <c r="O2557">
        <v>0</v>
      </c>
      <c r="P2557">
        <v>5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 t="s">
        <v>31</v>
      </c>
      <c r="AA2557">
        <v>52</v>
      </c>
    </row>
    <row r="2558" spans="1:27" x14ac:dyDescent="0.2">
      <c r="A2558" t="s">
        <v>1999</v>
      </c>
      <c r="B2558">
        <v>2022</v>
      </c>
      <c r="C2558" t="s">
        <v>2000</v>
      </c>
      <c r="D2558" t="s">
        <v>3416</v>
      </c>
      <c r="E2558" t="s">
        <v>29</v>
      </c>
      <c r="F2558" t="s">
        <v>41</v>
      </c>
      <c r="G2558">
        <v>56</v>
      </c>
      <c r="H2558">
        <v>0</v>
      </c>
      <c r="I2558">
        <v>27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 t="s">
        <v>31</v>
      </c>
      <c r="Z2558">
        <v>55</v>
      </c>
      <c r="AA2558">
        <v>0</v>
      </c>
    </row>
    <row r="2559" spans="1:27" x14ac:dyDescent="0.2">
      <c r="A2559" t="s">
        <v>3417</v>
      </c>
      <c r="B2559">
        <v>2022</v>
      </c>
      <c r="C2559">
        <v>51080540</v>
      </c>
      <c r="D2559" t="s">
        <v>3418</v>
      </c>
      <c r="E2559" t="s">
        <v>29</v>
      </c>
      <c r="F2559" t="s">
        <v>30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74</v>
      </c>
      <c r="N2559">
        <v>0</v>
      </c>
      <c r="O2559">
        <v>1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 t="s">
        <v>31</v>
      </c>
      <c r="Z2559">
        <v>55</v>
      </c>
      <c r="AA2559">
        <v>35</v>
      </c>
    </row>
    <row r="2560" spans="1:27" x14ac:dyDescent="0.2">
      <c r="A2560" t="s">
        <v>1247</v>
      </c>
      <c r="B2560">
        <v>2020</v>
      </c>
      <c r="C2560" s="2" t="s">
        <v>3419</v>
      </c>
      <c r="D2560" t="s">
        <v>1953</v>
      </c>
      <c r="E2560" t="s">
        <v>29</v>
      </c>
      <c r="F2560" t="s">
        <v>30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8</v>
      </c>
      <c r="N2560">
        <v>45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 t="s">
        <v>31</v>
      </c>
      <c r="Z2560">
        <v>55</v>
      </c>
      <c r="AA2560">
        <v>0</v>
      </c>
    </row>
    <row r="2561" spans="1:27" x14ac:dyDescent="0.2">
      <c r="A2561" t="s">
        <v>38</v>
      </c>
      <c r="B2561">
        <v>2024</v>
      </c>
      <c r="C2561">
        <v>5695015030</v>
      </c>
      <c r="D2561" t="s">
        <v>218</v>
      </c>
      <c r="E2561" t="s">
        <v>29</v>
      </c>
      <c r="F2561" t="s">
        <v>30</v>
      </c>
      <c r="G2561">
        <v>0</v>
      </c>
      <c r="H2561">
        <v>0</v>
      </c>
      <c r="I2561">
        <v>2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2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2</v>
      </c>
      <c r="V2561">
        <v>0</v>
      </c>
      <c r="W2561">
        <v>0</v>
      </c>
      <c r="X2561">
        <v>0</v>
      </c>
      <c r="Y2561" t="s">
        <v>31</v>
      </c>
      <c r="AA2561" s="2" t="s">
        <v>3316</v>
      </c>
    </row>
    <row r="2562" spans="1:27" x14ac:dyDescent="0.2">
      <c r="A2562" t="s">
        <v>38</v>
      </c>
      <c r="B2562">
        <v>2024</v>
      </c>
      <c r="C2562">
        <v>5643006012</v>
      </c>
      <c r="D2562" t="s">
        <v>286</v>
      </c>
      <c r="E2562" t="s">
        <v>29</v>
      </c>
      <c r="F2562" t="s">
        <v>30</v>
      </c>
      <c r="G2562">
        <v>3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3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 t="s">
        <v>31</v>
      </c>
      <c r="AA2562" s="2" t="s">
        <v>3316</v>
      </c>
    </row>
    <row r="2563" spans="1:27" x14ac:dyDescent="0.2">
      <c r="A2563" t="s">
        <v>1247</v>
      </c>
      <c r="B2563">
        <v>2020</v>
      </c>
      <c r="C2563" s="2" t="s">
        <v>2974</v>
      </c>
      <c r="D2563" t="s">
        <v>3420</v>
      </c>
      <c r="E2563" t="s">
        <v>29</v>
      </c>
      <c r="F2563" t="s">
        <v>30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1</v>
      </c>
      <c r="T2563">
        <v>0</v>
      </c>
      <c r="U2563">
        <v>2</v>
      </c>
      <c r="V2563">
        <v>0</v>
      </c>
      <c r="W2563">
        <v>0</v>
      </c>
      <c r="X2563">
        <v>0</v>
      </c>
      <c r="Y2563" t="s">
        <v>31</v>
      </c>
      <c r="Z2563">
        <v>55</v>
      </c>
      <c r="AA2563">
        <v>0</v>
      </c>
    </row>
    <row r="2564" spans="1:27" x14ac:dyDescent="0.2">
      <c r="A2564" t="s">
        <v>38</v>
      </c>
      <c r="B2564">
        <v>2024</v>
      </c>
      <c r="C2564">
        <v>5675030006</v>
      </c>
      <c r="D2564" t="s">
        <v>134</v>
      </c>
      <c r="E2564" t="s">
        <v>29</v>
      </c>
      <c r="F2564" t="s">
        <v>30</v>
      </c>
      <c r="G2564">
        <v>2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2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 t="s">
        <v>31</v>
      </c>
      <c r="Z2564">
        <v>55</v>
      </c>
      <c r="AA2564" s="2" t="s">
        <v>3316</v>
      </c>
    </row>
    <row r="2565" spans="1:27" x14ac:dyDescent="0.2">
      <c r="A2565" t="s">
        <v>1982</v>
      </c>
      <c r="B2565">
        <v>2024</v>
      </c>
      <c r="C2565" t="s">
        <v>2010</v>
      </c>
      <c r="D2565" t="s">
        <v>2011</v>
      </c>
      <c r="E2565" t="s">
        <v>29</v>
      </c>
      <c r="F2565" t="s">
        <v>30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58</v>
      </c>
      <c r="N2565">
        <v>0</v>
      </c>
      <c r="O2565">
        <v>30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 t="s">
        <v>31</v>
      </c>
      <c r="Z2565">
        <v>55</v>
      </c>
      <c r="AA2565">
        <v>0.16</v>
      </c>
    </row>
    <row r="2566" spans="1:27" x14ac:dyDescent="0.2">
      <c r="A2566" t="s">
        <v>1802</v>
      </c>
      <c r="B2566">
        <v>2020</v>
      </c>
      <c r="C2566" t="s">
        <v>3421</v>
      </c>
      <c r="D2566" t="s">
        <v>3422</v>
      </c>
      <c r="E2566" t="s">
        <v>29</v>
      </c>
      <c r="F2566" t="s">
        <v>30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10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 t="s">
        <v>51</v>
      </c>
      <c r="Z2566">
        <v>1000</v>
      </c>
      <c r="AA2566">
        <v>0</v>
      </c>
    </row>
    <row r="2567" spans="1:27" x14ac:dyDescent="0.2">
      <c r="A2567" t="s">
        <v>69</v>
      </c>
      <c r="B2567">
        <v>2022</v>
      </c>
      <c r="C2567" t="s">
        <v>185</v>
      </c>
      <c r="D2567" t="s">
        <v>186</v>
      </c>
      <c r="E2567" t="s">
        <v>29</v>
      </c>
      <c r="F2567" t="s">
        <v>30</v>
      </c>
      <c r="G2567">
        <v>1</v>
      </c>
      <c r="H2567">
        <v>0</v>
      </c>
      <c r="I2567">
        <v>1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 t="s">
        <v>51</v>
      </c>
      <c r="AA2567">
        <v>0</v>
      </c>
    </row>
    <row r="2568" spans="1:27" x14ac:dyDescent="0.2">
      <c r="A2568" t="s">
        <v>69</v>
      </c>
      <c r="B2568">
        <v>2022</v>
      </c>
      <c r="C2568" t="s">
        <v>196</v>
      </c>
      <c r="D2568" t="s">
        <v>197</v>
      </c>
      <c r="E2568" t="s">
        <v>29</v>
      </c>
      <c r="F2568" t="s">
        <v>30</v>
      </c>
      <c r="G2568">
        <v>0</v>
      </c>
      <c r="H2568">
        <v>0</v>
      </c>
      <c r="I2568">
        <v>0</v>
      </c>
      <c r="J2568">
        <v>0</v>
      </c>
      <c r="K2568">
        <v>4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 t="s">
        <v>51</v>
      </c>
      <c r="AA2568">
        <v>0</v>
      </c>
    </row>
    <row r="2569" spans="1:27" x14ac:dyDescent="0.2">
      <c r="A2569" t="s">
        <v>1541</v>
      </c>
      <c r="B2569">
        <v>2020</v>
      </c>
      <c r="C2569" t="s">
        <v>1542</v>
      </c>
      <c r="D2569" t="s">
        <v>2398</v>
      </c>
      <c r="E2569" t="s">
        <v>29</v>
      </c>
      <c r="F2569" t="s">
        <v>30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24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 t="s">
        <v>31</v>
      </c>
      <c r="Z2569">
        <v>55</v>
      </c>
      <c r="AA2569">
        <v>0</v>
      </c>
    </row>
    <row r="2570" spans="1:27" x14ac:dyDescent="0.2">
      <c r="A2570" t="s">
        <v>3423</v>
      </c>
      <c r="B2570">
        <v>2020</v>
      </c>
      <c r="C2570" t="s">
        <v>3424</v>
      </c>
      <c r="D2570" t="s">
        <v>3425</v>
      </c>
      <c r="E2570" t="s">
        <v>29</v>
      </c>
      <c r="F2570" t="s">
        <v>30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6</v>
      </c>
      <c r="N2570">
        <v>0</v>
      </c>
      <c r="O2570">
        <v>21</v>
      </c>
      <c r="P2570">
        <v>1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 t="s">
        <v>31</v>
      </c>
      <c r="AA2570">
        <v>0</v>
      </c>
    </row>
    <row r="2571" spans="1:27" x14ac:dyDescent="0.2">
      <c r="A2571" t="s">
        <v>219</v>
      </c>
      <c r="B2571">
        <v>2021</v>
      </c>
      <c r="C2571" t="s">
        <v>2637</v>
      </c>
      <c r="D2571" t="s">
        <v>3426</v>
      </c>
      <c r="E2571" t="s">
        <v>29</v>
      </c>
      <c r="F2571" t="s">
        <v>30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 t="s">
        <v>31</v>
      </c>
      <c r="Z2571">
        <v>55</v>
      </c>
      <c r="AA2571">
        <v>0</v>
      </c>
    </row>
    <row r="2572" spans="1:27" x14ac:dyDescent="0.2">
      <c r="A2572" t="s">
        <v>1515</v>
      </c>
      <c r="B2572">
        <v>2018</v>
      </c>
      <c r="C2572" t="s">
        <v>3427</v>
      </c>
      <c r="D2572" t="s">
        <v>3428</v>
      </c>
      <c r="E2572" t="s">
        <v>29</v>
      </c>
      <c r="F2572" t="s">
        <v>30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24</v>
      </c>
      <c r="T2572">
        <v>0</v>
      </c>
      <c r="U2572">
        <v>0</v>
      </c>
      <c r="V2572">
        <v>0</v>
      </c>
      <c r="W2572">
        <v>0</v>
      </c>
      <c r="X2572">
        <v>426</v>
      </c>
      <c r="Y2572" t="s">
        <v>31</v>
      </c>
      <c r="Z2572">
        <v>30</v>
      </c>
      <c r="AA2572">
        <v>0</v>
      </c>
    </row>
    <row r="2573" spans="1:27" x14ac:dyDescent="0.2">
      <c r="A2573" t="s">
        <v>3429</v>
      </c>
      <c r="B2573">
        <v>2022</v>
      </c>
      <c r="C2573">
        <v>5773006036</v>
      </c>
      <c r="D2573" t="s">
        <v>3430</v>
      </c>
      <c r="E2573" t="s">
        <v>29</v>
      </c>
      <c r="F2573" t="s">
        <v>30</v>
      </c>
      <c r="G2573">
        <v>0</v>
      </c>
      <c r="H2573">
        <v>26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 t="s">
        <v>31</v>
      </c>
      <c r="Z2573">
        <v>55</v>
      </c>
      <c r="AA2573">
        <v>35</v>
      </c>
    </row>
    <row r="2574" spans="1:27" x14ac:dyDescent="0.2">
      <c r="A2574" t="s">
        <v>227</v>
      </c>
      <c r="B2574">
        <v>2022</v>
      </c>
      <c r="C2574" t="s">
        <v>295</v>
      </c>
      <c r="D2574" t="s">
        <v>296</v>
      </c>
      <c r="E2574" t="s">
        <v>29</v>
      </c>
      <c r="F2574" t="s">
        <v>41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1</v>
      </c>
      <c r="N2574">
        <v>0</v>
      </c>
      <c r="O2574">
        <v>0</v>
      </c>
      <c r="P2574">
        <v>0</v>
      </c>
      <c r="Q2574">
        <v>3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 t="s">
        <v>51</v>
      </c>
      <c r="Z2574">
        <v>45</v>
      </c>
      <c r="AA2574">
        <v>0</v>
      </c>
    </row>
    <row r="2575" spans="1:27" x14ac:dyDescent="0.2">
      <c r="A2575" t="s">
        <v>227</v>
      </c>
      <c r="B2575">
        <v>2022</v>
      </c>
      <c r="C2575" t="s">
        <v>3431</v>
      </c>
      <c r="D2575" t="s">
        <v>3432</v>
      </c>
      <c r="E2575" t="s">
        <v>29</v>
      </c>
      <c r="F2575" t="s">
        <v>41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 t="s">
        <v>51</v>
      </c>
      <c r="Z2575">
        <v>45</v>
      </c>
      <c r="AA2575">
        <v>0</v>
      </c>
    </row>
    <row r="2576" spans="1:27" x14ac:dyDescent="0.2">
      <c r="A2576" t="s">
        <v>227</v>
      </c>
      <c r="B2576">
        <v>2022</v>
      </c>
      <c r="C2576" t="s">
        <v>3433</v>
      </c>
      <c r="D2576" t="s">
        <v>3434</v>
      </c>
      <c r="E2576" t="s">
        <v>29</v>
      </c>
      <c r="F2576" t="s">
        <v>41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2</v>
      </c>
      <c r="X2576">
        <v>0</v>
      </c>
      <c r="Y2576" t="s">
        <v>31</v>
      </c>
      <c r="Z2576">
        <v>45</v>
      </c>
      <c r="AA2576">
        <v>8</v>
      </c>
    </row>
    <row r="2577" spans="1:27" x14ac:dyDescent="0.2">
      <c r="A2577" t="s">
        <v>227</v>
      </c>
      <c r="B2577">
        <v>2022</v>
      </c>
      <c r="C2577" t="s">
        <v>2367</v>
      </c>
      <c r="D2577" t="s">
        <v>2368</v>
      </c>
      <c r="E2577" t="s">
        <v>29</v>
      </c>
      <c r="F2577" t="s">
        <v>41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2</v>
      </c>
      <c r="X2577">
        <v>0</v>
      </c>
      <c r="Y2577" t="s">
        <v>31</v>
      </c>
      <c r="Z2577">
        <v>45</v>
      </c>
      <c r="AA2577">
        <v>16</v>
      </c>
    </row>
    <row r="2578" spans="1:27" x14ac:dyDescent="0.2">
      <c r="A2578" t="s">
        <v>2862</v>
      </c>
      <c r="B2578">
        <v>2018</v>
      </c>
      <c r="C2578">
        <v>8921320</v>
      </c>
      <c r="D2578" t="s">
        <v>3435</v>
      </c>
      <c r="E2578" t="s">
        <v>29</v>
      </c>
      <c r="F2578" t="s">
        <v>30</v>
      </c>
      <c r="G2578">
        <v>0</v>
      </c>
      <c r="H2578">
        <v>0</v>
      </c>
      <c r="I2578">
        <v>1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 t="s">
        <v>31</v>
      </c>
      <c r="AA2578">
        <v>0</v>
      </c>
    </row>
    <row r="2579" spans="1:27" x14ac:dyDescent="0.2">
      <c r="A2579" t="s">
        <v>1658</v>
      </c>
      <c r="B2579">
        <v>2022</v>
      </c>
      <c r="C2579" t="s">
        <v>3061</v>
      </c>
      <c r="D2579" t="s">
        <v>3436</v>
      </c>
      <c r="E2579" t="s">
        <v>29</v>
      </c>
      <c r="F2579" t="s">
        <v>41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1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 t="s">
        <v>51</v>
      </c>
      <c r="Z2579">
        <v>1000</v>
      </c>
      <c r="AA2579">
        <v>0</v>
      </c>
    </row>
    <row r="2580" spans="1:27" x14ac:dyDescent="0.2">
      <c r="A2580" t="s">
        <v>1449</v>
      </c>
      <c r="B2580">
        <v>2021</v>
      </c>
      <c r="C2580" t="s">
        <v>3437</v>
      </c>
      <c r="D2580" t="s">
        <v>3438</v>
      </c>
      <c r="E2580" t="s">
        <v>29</v>
      </c>
      <c r="F2580" t="s">
        <v>30</v>
      </c>
      <c r="G2580">
        <v>7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 t="s">
        <v>31</v>
      </c>
      <c r="AA2580">
        <v>32.5</v>
      </c>
    </row>
    <row r="2581" spans="1:27" x14ac:dyDescent="0.2">
      <c r="A2581" t="s">
        <v>1449</v>
      </c>
      <c r="B2581">
        <v>2021</v>
      </c>
      <c r="C2581" t="s">
        <v>2166</v>
      </c>
      <c r="D2581" t="s">
        <v>3439</v>
      </c>
      <c r="E2581" t="s">
        <v>29</v>
      </c>
      <c r="F2581" t="s">
        <v>30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1</v>
      </c>
      <c r="T2581">
        <v>0</v>
      </c>
      <c r="U2581">
        <v>0</v>
      </c>
      <c r="V2581">
        <v>0</v>
      </c>
      <c r="W2581">
        <v>0</v>
      </c>
      <c r="X2581">
        <v>0</v>
      </c>
      <c r="Y2581" t="s">
        <v>31</v>
      </c>
      <c r="AA2581">
        <v>35</v>
      </c>
    </row>
    <row r="2582" spans="1:27" x14ac:dyDescent="0.2">
      <c r="A2582" t="s">
        <v>928</v>
      </c>
      <c r="B2582">
        <v>2019</v>
      </c>
      <c r="C2582" t="s">
        <v>2202</v>
      </c>
      <c r="D2582" t="s">
        <v>1675</v>
      </c>
      <c r="E2582" t="s">
        <v>29</v>
      </c>
      <c r="F2582" t="s">
        <v>41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1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 t="s">
        <v>51</v>
      </c>
      <c r="Z2582">
        <v>50</v>
      </c>
      <c r="AA2582">
        <v>0</v>
      </c>
    </row>
    <row r="2583" spans="1:27" x14ac:dyDescent="0.2">
      <c r="A2583" t="s">
        <v>409</v>
      </c>
      <c r="B2583">
        <v>2022</v>
      </c>
      <c r="C2583" s="2" t="s">
        <v>410</v>
      </c>
      <c r="D2583" t="s">
        <v>411</v>
      </c>
      <c r="E2583" t="s">
        <v>29</v>
      </c>
      <c r="F2583" t="s">
        <v>30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38</v>
      </c>
      <c r="T2583">
        <v>0</v>
      </c>
      <c r="U2583">
        <v>1</v>
      </c>
      <c r="V2583">
        <v>0</v>
      </c>
      <c r="W2583">
        <v>0</v>
      </c>
      <c r="X2583">
        <v>0</v>
      </c>
      <c r="Y2583" t="s">
        <v>31</v>
      </c>
      <c r="Z2583">
        <v>55</v>
      </c>
      <c r="AA2583">
        <v>65</v>
      </c>
    </row>
    <row r="2584" spans="1:27" x14ac:dyDescent="0.2">
      <c r="A2584" t="s">
        <v>321</v>
      </c>
      <c r="B2584">
        <v>2022</v>
      </c>
      <c r="C2584">
        <v>4291021006</v>
      </c>
      <c r="D2584" t="s">
        <v>3440</v>
      </c>
      <c r="E2584" t="s">
        <v>29</v>
      </c>
      <c r="F2584" t="s">
        <v>30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10</v>
      </c>
      <c r="N2584">
        <v>0</v>
      </c>
      <c r="O2584">
        <v>0</v>
      </c>
      <c r="P2584">
        <v>0</v>
      </c>
      <c r="Q2584">
        <v>20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 t="s">
        <v>51</v>
      </c>
      <c r="Z2584">
        <v>55</v>
      </c>
      <c r="AA2584">
        <v>0</v>
      </c>
    </row>
    <row r="2585" spans="1:27" x14ac:dyDescent="0.2">
      <c r="A2585" t="s">
        <v>321</v>
      </c>
      <c r="B2585">
        <v>2022</v>
      </c>
      <c r="C2585">
        <v>4290002007</v>
      </c>
      <c r="D2585" t="s">
        <v>3441</v>
      </c>
      <c r="E2585" t="s">
        <v>29</v>
      </c>
      <c r="F2585" t="s">
        <v>30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8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 t="s">
        <v>51</v>
      </c>
      <c r="AA2585">
        <v>0</v>
      </c>
    </row>
    <row r="2586" spans="1:27" x14ac:dyDescent="0.2">
      <c r="A2586" t="s">
        <v>2316</v>
      </c>
      <c r="B2586">
        <v>2022</v>
      </c>
      <c r="C2586">
        <v>38912020</v>
      </c>
      <c r="D2586" t="s">
        <v>2317</v>
      </c>
      <c r="E2586" t="s">
        <v>29</v>
      </c>
      <c r="F2586" t="s">
        <v>41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1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 t="s">
        <v>31</v>
      </c>
      <c r="Z2586">
        <v>1000</v>
      </c>
      <c r="AA2586">
        <v>32.5</v>
      </c>
    </row>
    <row r="2587" spans="1:27" x14ac:dyDescent="0.2">
      <c r="A2587" t="s">
        <v>1658</v>
      </c>
      <c r="B2587">
        <v>2022</v>
      </c>
      <c r="C2587" t="s">
        <v>2320</v>
      </c>
      <c r="D2587" t="s">
        <v>3442</v>
      </c>
      <c r="E2587" t="s">
        <v>29</v>
      </c>
      <c r="F2587" t="s">
        <v>41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1</v>
      </c>
      <c r="T2587">
        <v>0</v>
      </c>
      <c r="U2587">
        <v>0</v>
      </c>
      <c r="V2587">
        <v>0</v>
      </c>
      <c r="W2587">
        <v>0</v>
      </c>
      <c r="X2587">
        <v>0</v>
      </c>
      <c r="Y2587" t="s">
        <v>51</v>
      </c>
      <c r="Z2587">
        <v>1000</v>
      </c>
      <c r="AA2587">
        <v>0</v>
      </c>
    </row>
    <row r="2588" spans="1:27" x14ac:dyDescent="0.2">
      <c r="A2588" t="s">
        <v>1658</v>
      </c>
      <c r="B2588">
        <v>2022</v>
      </c>
      <c r="C2588" t="s">
        <v>3061</v>
      </c>
      <c r="D2588" t="s">
        <v>3443</v>
      </c>
      <c r="E2588" t="s">
        <v>29</v>
      </c>
      <c r="F2588" t="s">
        <v>41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1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 t="s">
        <v>51</v>
      </c>
      <c r="Z2588">
        <v>1000</v>
      </c>
      <c r="AA2588">
        <v>0</v>
      </c>
    </row>
    <row r="2589" spans="1:27" x14ac:dyDescent="0.2">
      <c r="A2589" t="s">
        <v>313</v>
      </c>
      <c r="B2589">
        <v>2022</v>
      </c>
      <c r="C2589" t="s">
        <v>316</v>
      </c>
      <c r="D2589" t="s">
        <v>317</v>
      </c>
      <c r="E2589" t="s">
        <v>29</v>
      </c>
      <c r="F2589" t="s">
        <v>30</v>
      </c>
      <c r="G2589">
        <v>48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 t="s">
        <v>31</v>
      </c>
      <c r="Z2589">
        <v>55</v>
      </c>
      <c r="AA2589">
        <v>0</v>
      </c>
    </row>
    <row r="2590" spans="1:27" x14ac:dyDescent="0.2">
      <c r="A2590" t="s">
        <v>1176</v>
      </c>
      <c r="B2590">
        <v>2023</v>
      </c>
      <c r="C2590" t="s">
        <v>3444</v>
      </c>
      <c r="D2590" t="s">
        <v>3445</v>
      </c>
      <c r="E2590" t="s">
        <v>29</v>
      </c>
      <c r="F2590" t="s">
        <v>41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1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1</v>
      </c>
      <c r="X2590">
        <v>0</v>
      </c>
      <c r="Y2590" t="s">
        <v>31</v>
      </c>
      <c r="Z2590">
        <v>30</v>
      </c>
      <c r="AA2590">
        <v>0</v>
      </c>
    </row>
    <row r="2591" spans="1:27" x14ac:dyDescent="0.2">
      <c r="A2591" t="s">
        <v>318</v>
      </c>
      <c r="B2591">
        <v>2018</v>
      </c>
      <c r="C2591">
        <v>-3675</v>
      </c>
      <c r="D2591" t="s">
        <v>3446</v>
      </c>
      <c r="E2591" t="s">
        <v>29</v>
      </c>
      <c r="F2591" t="s">
        <v>41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1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 t="s">
        <v>51</v>
      </c>
      <c r="Z2591">
        <v>30</v>
      </c>
      <c r="AA2591">
        <v>0</v>
      </c>
    </row>
    <row r="2592" spans="1:27" x14ac:dyDescent="0.2">
      <c r="A2592" t="s">
        <v>318</v>
      </c>
      <c r="B2592">
        <v>2018</v>
      </c>
      <c r="C2592">
        <v>-3697</v>
      </c>
      <c r="D2592" t="s">
        <v>3447</v>
      </c>
      <c r="E2592" t="s">
        <v>29</v>
      </c>
      <c r="F2592" t="s">
        <v>41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1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 t="s">
        <v>51</v>
      </c>
      <c r="Z2592">
        <v>30</v>
      </c>
      <c r="AA2592">
        <v>0</v>
      </c>
    </row>
    <row r="2593" spans="1:27" x14ac:dyDescent="0.2">
      <c r="A2593" t="s">
        <v>318</v>
      </c>
      <c r="B2593">
        <v>2018</v>
      </c>
      <c r="C2593">
        <v>-3838</v>
      </c>
      <c r="D2593" t="s">
        <v>3448</v>
      </c>
      <c r="E2593" t="s">
        <v>29</v>
      </c>
      <c r="F2593" t="s">
        <v>41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1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 t="s">
        <v>51</v>
      </c>
      <c r="Z2593">
        <v>30</v>
      </c>
      <c r="AA2593">
        <v>0</v>
      </c>
    </row>
    <row r="2594" spans="1:27" x14ac:dyDescent="0.2">
      <c r="A2594" t="s">
        <v>318</v>
      </c>
      <c r="B2594">
        <v>2018</v>
      </c>
      <c r="C2594">
        <v>-3939</v>
      </c>
      <c r="D2594" t="s">
        <v>3449</v>
      </c>
      <c r="E2594" t="s">
        <v>29</v>
      </c>
      <c r="F2594" t="s">
        <v>41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1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 t="s">
        <v>51</v>
      </c>
      <c r="Z2594">
        <v>30</v>
      </c>
      <c r="AA2594">
        <v>0</v>
      </c>
    </row>
    <row r="2595" spans="1:27" x14ac:dyDescent="0.2">
      <c r="A2595" t="s">
        <v>318</v>
      </c>
      <c r="B2595">
        <v>2018</v>
      </c>
      <c r="C2595">
        <v>20565076</v>
      </c>
      <c r="D2595" t="s">
        <v>3450</v>
      </c>
      <c r="E2595" t="s">
        <v>29</v>
      </c>
      <c r="F2595" t="s">
        <v>41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1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1</v>
      </c>
      <c r="X2595">
        <v>0</v>
      </c>
      <c r="Y2595" t="s">
        <v>51</v>
      </c>
      <c r="Z2595">
        <v>30</v>
      </c>
      <c r="AA2595">
        <v>0</v>
      </c>
    </row>
    <row r="2596" spans="1:27" x14ac:dyDescent="0.2">
      <c r="A2596" t="s">
        <v>2691</v>
      </c>
      <c r="B2596">
        <v>2022</v>
      </c>
      <c r="C2596" t="s">
        <v>3451</v>
      </c>
      <c r="D2596" t="s">
        <v>3452</v>
      </c>
      <c r="E2596" t="s">
        <v>29</v>
      </c>
      <c r="F2596" t="s">
        <v>30</v>
      </c>
      <c r="G2596">
        <v>1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1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 t="s">
        <v>31</v>
      </c>
      <c r="Z2596">
        <v>55</v>
      </c>
      <c r="AA2596">
        <v>32.5</v>
      </c>
    </row>
    <row r="2597" spans="1:27" x14ac:dyDescent="0.2">
      <c r="A2597" t="s">
        <v>883</v>
      </c>
      <c r="B2597">
        <v>2022</v>
      </c>
      <c r="C2597">
        <v>35401450</v>
      </c>
      <c r="D2597" t="s">
        <v>3453</v>
      </c>
      <c r="E2597" t="s">
        <v>29</v>
      </c>
      <c r="F2597" t="s">
        <v>41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 t="s">
        <v>31</v>
      </c>
      <c r="Z2597">
        <v>1000</v>
      </c>
      <c r="AA2597">
        <v>20</v>
      </c>
    </row>
    <row r="2598" spans="1:27" x14ac:dyDescent="0.2">
      <c r="A2598" t="s">
        <v>883</v>
      </c>
      <c r="B2598">
        <v>2022</v>
      </c>
      <c r="C2598">
        <v>35401450</v>
      </c>
      <c r="D2598" t="s">
        <v>3454</v>
      </c>
      <c r="E2598" t="s">
        <v>29</v>
      </c>
      <c r="F2598" t="s">
        <v>41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 t="s">
        <v>31</v>
      </c>
      <c r="Z2598">
        <v>1000</v>
      </c>
      <c r="AA2598">
        <v>20</v>
      </c>
    </row>
    <row r="2599" spans="1:27" x14ac:dyDescent="0.2">
      <c r="A2599" t="s">
        <v>883</v>
      </c>
      <c r="B2599">
        <v>2022</v>
      </c>
      <c r="C2599">
        <v>35401450</v>
      </c>
      <c r="D2599" t="s">
        <v>3455</v>
      </c>
      <c r="E2599" t="s">
        <v>29</v>
      </c>
      <c r="F2599" t="s">
        <v>41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1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1</v>
      </c>
      <c r="V2599">
        <v>0</v>
      </c>
      <c r="W2599">
        <v>0</v>
      </c>
      <c r="X2599">
        <v>0</v>
      </c>
      <c r="Y2599" t="s">
        <v>31</v>
      </c>
      <c r="Z2599">
        <v>1000</v>
      </c>
      <c r="AA2599">
        <v>20</v>
      </c>
    </row>
    <row r="2600" spans="1:27" x14ac:dyDescent="0.2">
      <c r="A2600" t="s">
        <v>912</v>
      </c>
      <c r="B2600">
        <v>2020</v>
      </c>
      <c r="C2600" t="s">
        <v>913</v>
      </c>
      <c r="D2600" t="s">
        <v>914</v>
      </c>
      <c r="E2600" t="s">
        <v>29</v>
      </c>
      <c r="F2600" t="s">
        <v>30</v>
      </c>
      <c r="G2600">
        <v>0</v>
      </c>
      <c r="H2600">
        <v>0</v>
      </c>
      <c r="I2600">
        <v>24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24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24</v>
      </c>
      <c r="V2600">
        <v>0</v>
      </c>
      <c r="W2600">
        <v>0</v>
      </c>
      <c r="X2600">
        <v>0</v>
      </c>
      <c r="Y2600" t="s">
        <v>31</v>
      </c>
      <c r="Z2600">
        <v>30</v>
      </c>
      <c r="AA2600">
        <v>0</v>
      </c>
    </row>
    <row r="2601" spans="1:27" x14ac:dyDescent="0.2">
      <c r="A2601" t="s">
        <v>894</v>
      </c>
      <c r="B2601">
        <v>2019</v>
      </c>
      <c r="C2601" s="2" t="s">
        <v>3456</v>
      </c>
      <c r="D2601" t="s">
        <v>3457</v>
      </c>
      <c r="E2601" t="s">
        <v>29</v>
      </c>
      <c r="F2601" t="s">
        <v>30</v>
      </c>
      <c r="G2601">
        <v>38</v>
      </c>
      <c r="H2601">
        <v>0</v>
      </c>
      <c r="I2601">
        <v>19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 t="s">
        <v>31</v>
      </c>
      <c r="Z2601">
        <v>1000</v>
      </c>
      <c r="AA2601">
        <v>0</v>
      </c>
    </row>
    <row r="2602" spans="1:27" x14ac:dyDescent="0.2">
      <c r="A2602" t="s">
        <v>318</v>
      </c>
      <c r="B2602">
        <v>2018</v>
      </c>
      <c r="C2602">
        <v>20947016</v>
      </c>
      <c r="D2602" t="s">
        <v>3458</v>
      </c>
      <c r="E2602" t="s">
        <v>29</v>
      </c>
      <c r="F2602" t="s">
        <v>41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1</v>
      </c>
      <c r="X2602">
        <v>0</v>
      </c>
      <c r="Y2602" t="s">
        <v>51</v>
      </c>
      <c r="Z2602">
        <v>30</v>
      </c>
      <c r="AA2602">
        <v>0</v>
      </c>
    </row>
    <row r="2603" spans="1:27" x14ac:dyDescent="0.2">
      <c r="A2603" t="s">
        <v>894</v>
      </c>
      <c r="B2603">
        <v>2019</v>
      </c>
      <c r="C2603" s="2" t="s">
        <v>2859</v>
      </c>
      <c r="D2603" t="s">
        <v>3278</v>
      </c>
      <c r="E2603" t="s">
        <v>29</v>
      </c>
      <c r="F2603" t="s">
        <v>41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1</v>
      </c>
      <c r="X2603">
        <v>0</v>
      </c>
      <c r="Y2603" t="s">
        <v>51</v>
      </c>
      <c r="Z2603">
        <v>1000</v>
      </c>
      <c r="AA2603">
        <v>0</v>
      </c>
    </row>
    <row r="2604" spans="1:27" x14ac:dyDescent="0.2">
      <c r="A2604" t="s">
        <v>318</v>
      </c>
      <c r="B2604">
        <v>2018</v>
      </c>
      <c r="C2604">
        <v>20565017</v>
      </c>
      <c r="D2604" t="s">
        <v>3459</v>
      </c>
      <c r="E2604" t="s">
        <v>29</v>
      </c>
      <c r="F2604" t="s">
        <v>41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1</v>
      </c>
      <c r="X2604">
        <v>0</v>
      </c>
      <c r="Y2604" t="s">
        <v>51</v>
      </c>
      <c r="Z2604">
        <v>30</v>
      </c>
      <c r="AA2604">
        <v>0</v>
      </c>
    </row>
    <row r="2605" spans="1:27" x14ac:dyDescent="0.2">
      <c r="A2605" t="s">
        <v>1601</v>
      </c>
      <c r="B2605">
        <v>2022</v>
      </c>
      <c r="C2605" t="s">
        <v>3460</v>
      </c>
      <c r="D2605" t="s">
        <v>3461</v>
      </c>
      <c r="E2605" t="s">
        <v>29</v>
      </c>
      <c r="F2605" t="s">
        <v>41</v>
      </c>
      <c r="G2605">
        <v>0</v>
      </c>
      <c r="H2605">
        <v>0</v>
      </c>
      <c r="I2605">
        <v>0</v>
      </c>
      <c r="J2605">
        <v>0</v>
      </c>
      <c r="K2605">
        <v>19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 t="s">
        <v>31</v>
      </c>
      <c r="Z2605">
        <v>45</v>
      </c>
      <c r="AA2605">
        <v>15</v>
      </c>
    </row>
    <row r="2606" spans="1:27" ht="102" x14ac:dyDescent="0.2">
      <c r="A2606" t="s">
        <v>1206</v>
      </c>
      <c r="B2606">
        <v>2024</v>
      </c>
      <c r="C2606">
        <v>6690201030</v>
      </c>
      <c r="D2606" s="1" t="s">
        <v>3462</v>
      </c>
      <c r="E2606" t="s">
        <v>29</v>
      </c>
      <c r="F2606" t="s">
        <v>30</v>
      </c>
      <c r="G2606">
        <v>0</v>
      </c>
      <c r="H2606">
        <v>0</v>
      </c>
      <c r="I2606">
        <v>44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 t="s">
        <v>31</v>
      </c>
      <c r="Z2606">
        <v>55</v>
      </c>
      <c r="AA2606">
        <v>0.5</v>
      </c>
    </row>
    <row r="2607" spans="1:27" x14ac:dyDescent="0.2">
      <c r="A2607" t="s">
        <v>283</v>
      </c>
      <c r="B2607">
        <v>2024</v>
      </c>
      <c r="C2607" t="s">
        <v>3463</v>
      </c>
      <c r="D2607" t="s">
        <v>3464</v>
      </c>
      <c r="E2607" t="s">
        <v>29</v>
      </c>
      <c r="F2607" t="s">
        <v>30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9</v>
      </c>
      <c r="N2607">
        <v>0</v>
      </c>
      <c r="O2607">
        <v>1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 t="s">
        <v>51</v>
      </c>
      <c r="Z2607">
        <v>1000</v>
      </c>
      <c r="AA2607">
        <v>0</v>
      </c>
    </row>
    <row r="2608" spans="1:27" x14ac:dyDescent="0.2">
      <c r="A2608" t="s">
        <v>1075</v>
      </c>
      <c r="B2608">
        <v>2023</v>
      </c>
      <c r="C2608">
        <v>44923202</v>
      </c>
      <c r="D2608" t="s">
        <v>3231</v>
      </c>
      <c r="E2608" t="s">
        <v>29</v>
      </c>
      <c r="F2608" t="s">
        <v>30</v>
      </c>
      <c r="G2608">
        <v>0</v>
      </c>
      <c r="H2608">
        <v>3</v>
      </c>
      <c r="I2608">
        <v>0</v>
      </c>
      <c r="J2608">
        <v>13</v>
      </c>
      <c r="K2608">
        <v>0</v>
      </c>
      <c r="L2608">
        <v>0</v>
      </c>
      <c r="M2608">
        <v>0</v>
      </c>
      <c r="N2608">
        <v>3</v>
      </c>
      <c r="O2608">
        <v>0</v>
      </c>
      <c r="P2608">
        <v>13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 t="s">
        <v>31</v>
      </c>
      <c r="AA2608">
        <v>80</v>
      </c>
    </row>
    <row r="2609" spans="1:27" x14ac:dyDescent="0.2">
      <c r="A2609" t="s">
        <v>1075</v>
      </c>
      <c r="B2609">
        <v>2023</v>
      </c>
      <c r="C2609">
        <v>44923202</v>
      </c>
      <c r="D2609" t="s">
        <v>3231</v>
      </c>
      <c r="E2609" t="s">
        <v>29</v>
      </c>
      <c r="F2609" t="s">
        <v>30</v>
      </c>
      <c r="G2609">
        <v>0</v>
      </c>
      <c r="H2609">
        <v>37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37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 t="s">
        <v>31</v>
      </c>
      <c r="AA2609">
        <v>80</v>
      </c>
    </row>
    <row r="2610" spans="1:27" x14ac:dyDescent="0.2">
      <c r="A2610" t="s">
        <v>1075</v>
      </c>
      <c r="B2610">
        <v>2023</v>
      </c>
      <c r="C2610" t="s">
        <v>2291</v>
      </c>
      <c r="D2610" t="s">
        <v>3465</v>
      </c>
      <c r="E2610" t="s">
        <v>29</v>
      </c>
      <c r="F2610" t="s">
        <v>30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7</v>
      </c>
      <c r="O2610">
        <v>0</v>
      </c>
      <c r="P2610">
        <v>5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 t="s">
        <v>31</v>
      </c>
      <c r="AA2610">
        <v>52</v>
      </c>
    </row>
    <row r="2611" spans="1:27" x14ac:dyDescent="0.2">
      <c r="A2611" t="s">
        <v>1176</v>
      </c>
      <c r="B2611">
        <v>2023</v>
      </c>
      <c r="C2611" t="s">
        <v>3466</v>
      </c>
      <c r="D2611" t="s">
        <v>3467</v>
      </c>
      <c r="E2611" t="s">
        <v>29</v>
      </c>
      <c r="F2611" t="s">
        <v>41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 t="s">
        <v>31</v>
      </c>
      <c r="AA2611">
        <v>0</v>
      </c>
    </row>
    <row r="2612" spans="1:27" x14ac:dyDescent="0.2">
      <c r="A2612" t="s">
        <v>318</v>
      </c>
      <c r="B2612">
        <v>2018</v>
      </c>
      <c r="C2612">
        <v>20568056</v>
      </c>
      <c r="D2612" t="s">
        <v>3468</v>
      </c>
      <c r="E2612" t="s">
        <v>29</v>
      </c>
      <c r="F2612" t="s">
        <v>41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1</v>
      </c>
      <c r="X2612">
        <v>0</v>
      </c>
      <c r="Y2612" t="s">
        <v>51</v>
      </c>
      <c r="Z2612">
        <v>30</v>
      </c>
      <c r="AA2612">
        <v>0</v>
      </c>
    </row>
    <row r="2613" spans="1:27" x14ac:dyDescent="0.2">
      <c r="A2613" t="s">
        <v>318</v>
      </c>
      <c r="B2613">
        <v>2018</v>
      </c>
      <c r="C2613">
        <v>20568045</v>
      </c>
      <c r="D2613" t="s">
        <v>3469</v>
      </c>
      <c r="E2613" t="s">
        <v>29</v>
      </c>
      <c r="F2613" t="s">
        <v>41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1</v>
      </c>
      <c r="X2613">
        <v>0</v>
      </c>
      <c r="Y2613" t="s">
        <v>51</v>
      </c>
      <c r="Z2613">
        <v>30</v>
      </c>
      <c r="AA2613">
        <v>0</v>
      </c>
    </row>
    <row r="2614" spans="1:27" x14ac:dyDescent="0.2">
      <c r="A2614" t="s">
        <v>318</v>
      </c>
      <c r="B2614">
        <v>2018</v>
      </c>
      <c r="C2614">
        <v>20567002</v>
      </c>
      <c r="D2614" t="s">
        <v>3470</v>
      </c>
      <c r="E2614" t="s">
        <v>29</v>
      </c>
      <c r="F2614" t="s">
        <v>41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1</v>
      </c>
      <c r="X2614">
        <v>0</v>
      </c>
      <c r="Y2614" t="s">
        <v>51</v>
      </c>
      <c r="Z2614">
        <v>30</v>
      </c>
      <c r="AA2614">
        <v>0</v>
      </c>
    </row>
    <row r="2615" spans="1:27" x14ac:dyDescent="0.2">
      <c r="A2615" t="s">
        <v>318</v>
      </c>
      <c r="B2615">
        <v>2018</v>
      </c>
      <c r="C2615">
        <v>20564037</v>
      </c>
      <c r="D2615" t="s">
        <v>3471</v>
      </c>
      <c r="E2615" t="s">
        <v>29</v>
      </c>
      <c r="F2615" t="s">
        <v>41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1</v>
      </c>
      <c r="X2615">
        <v>0</v>
      </c>
      <c r="Y2615" t="s">
        <v>51</v>
      </c>
      <c r="Z2615">
        <v>30</v>
      </c>
      <c r="AA2615">
        <v>0</v>
      </c>
    </row>
    <row r="2616" spans="1:27" x14ac:dyDescent="0.2">
      <c r="A2616" t="s">
        <v>318</v>
      </c>
      <c r="B2616">
        <v>2018</v>
      </c>
      <c r="C2616">
        <v>20564040</v>
      </c>
      <c r="D2616" t="s">
        <v>3472</v>
      </c>
      <c r="E2616" t="s">
        <v>29</v>
      </c>
      <c r="F2616" t="s">
        <v>41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1</v>
      </c>
      <c r="X2616">
        <v>0</v>
      </c>
      <c r="Y2616" t="s">
        <v>51</v>
      </c>
      <c r="Z2616">
        <v>30</v>
      </c>
      <c r="AA2616">
        <v>0</v>
      </c>
    </row>
    <row r="2617" spans="1:27" x14ac:dyDescent="0.2">
      <c r="A2617" t="s">
        <v>353</v>
      </c>
      <c r="B2617">
        <v>2024</v>
      </c>
      <c r="C2617">
        <v>2042920100</v>
      </c>
      <c r="D2617" t="s">
        <v>3473</v>
      </c>
      <c r="E2617" t="s">
        <v>29</v>
      </c>
      <c r="F2617" t="s">
        <v>30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16</v>
      </c>
      <c r="V2617">
        <v>0</v>
      </c>
      <c r="W2617">
        <v>0</v>
      </c>
      <c r="X2617">
        <v>0</v>
      </c>
      <c r="Y2617" t="s">
        <v>51</v>
      </c>
      <c r="Z2617">
        <v>55</v>
      </c>
      <c r="AA2617">
        <v>0</v>
      </c>
    </row>
    <row r="2618" spans="1:27" x14ac:dyDescent="0.2">
      <c r="A2618" t="s">
        <v>353</v>
      </c>
      <c r="B2618">
        <v>2024</v>
      </c>
      <c r="C2618">
        <v>2163001200</v>
      </c>
      <c r="D2618" t="s">
        <v>3474</v>
      </c>
      <c r="E2618" t="s">
        <v>29</v>
      </c>
      <c r="F2618" t="s">
        <v>30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3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 t="s">
        <v>31</v>
      </c>
      <c r="Z2618">
        <v>55</v>
      </c>
      <c r="AA2618" s="2" t="s">
        <v>3316</v>
      </c>
    </row>
    <row r="2619" spans="1:27" x14ac:dyDescent="0.2">
      <c r="A2619" t="s">
        <v>1500</v>
      </c>
      <c r="B2619">
        <v>2020</v>
      </c>
      <c r="C2619">
        <v>6027008035</v>
      </c>
      <c r="D2619" t="s">
        <v>3475</v>
      </c>
      <c r="E2619" t="s">
        <v>29</v>
      </c>
      <c r="F2619" t="s">
        <v>30</v>
      </c>
      <c r="G2619">
        <v>0</v>
      </c>
      <c r="H2619">
        <v>0</v>
      </c>
      <c r="I2619">
        <v>2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 t="s">
        <v>31</v>
      </c>
      <c r="Z2619">
        <v>55</v>
      </c>
      <c r="AA2619">
        <v>0</v>
      </c>
    </row>
    <row r="2620" spans="1:27" x14ac:dyDescent="0.2">
      <c r="A2620" t="s">
        <v>1500</v>
      </c>
      <c r="B2620">
        <v>2020</v>
      </c>
      <c r="C2620">
        <v>5239021001</v>
      </c>
      <c r="D2620" t="s">
        <v>3476</v>
      </c>
      <c r="E2620" t="s">
        <v>29</v>
      </c>
      <c r="F2620" t="s">
        <v>30</v>
      </c>
      <c r="G2620">
        <v>33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 t="s">
        <v>31</v>
      </c>
      <c r="Z2620">
        <v>55</v>
      </c>
      <c r="AA2620">
        <v>0</v>
      </c>
    </row>
    <row r="2621" spans="1:27" x14ac:dyDescent="0.2">
      <c r="A2621" t="s">
        <v>409</v>
      </c>
      <c r="B2621">
        <v>2022</v>
      </c>
      <c r="C2621" s="2" t="s">
        <v>410</v>
      </c>
      <c r="D2621" t="s">
        <v>411</v>
      </c>
      <c r="E2621" t="s">
        <v>29</v>
      </c>
      <c r="F2621" t="s">
        <v>30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40</v>
      </c>
      <c r="T2621">
        <v>0</v>
      </c>
      <c r="U2621">
        <v>0</v>
      </c>
      <c r="V2621">
        <v>0</v>
      </c>
      <c r="W2621">
        <v>0</v>
      </c>
      <c r="X2621">
        <v>0</v>
      </c>
      <c r="Y2621" t="s">
        <v>31</v>
      </c>
      <c r="Z2621">
        <v>55</v>
      </c>
      <c r="AA2621">
        <v>65</v>
      </c>
    </row>
    <row r="2622" spans="1:27" x14ac:dyDescent="0.2">
      <c r="A2622" t="s">
        <v>2316</v>
      </c>
      <c r="B2622">
        <v>2022</v>
      </c>
      <c r="C2622">
        <v>38912020</v>
      </c>
      <c r="D2622" t="s">
        <v>2317</v>
      </c>
      <c r="E2622" t="s">
        <v>29</v>
      </c>
      <c r="F2622" t="s">
        <v>41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 t="s">
        <v>31</v>
      </c>
      <c r="Z2622">
        <v>1000</v>
      </c>
      <c r="AA2622">
        <v>32.5</v>
      </c>
    </row>
    <row r="2623" spans="1:27" x14ac:dyDescent="0.2">
      <c r="A2623" t="s">
        <v>2316</v>
      </c>
      <c r="B2623">
        <v>2022</v>
      </c>
      <c r="C2623">
        <v>38912020</v>
      </c>
      <c r="D2623" t="s">
        <v>2317</v>
      </c>
      <c r="E2623" t="s">
        <v>29</v>
      </c>
      <c r="F2623" t="s">
        <v>41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 t="s">
        <v>31</v>
      </c>
      <c r="Z2623">
        <v>1000</v>
      </c>
      <c r="AA2623">
        <v>32.5</v>
      </c>
    </row>
    <row r="2624" spans="1:27" x14ac:dyDescent="0.2">
      <c r="A2624" t="s">
        <v>1658</v>
      </c>
      <c r="B2624">
        <v>2022</v>
      </c>
      <c r="C2624" t="s">
        <v>2320</v>
      </c>
      <c r="D2624" t="s">
        <v>3477</v>
      </c>
      <c r="E2624" t="s">
        <v>29</v>
      </c>
      <c r="F2624" t="s">
        <v>41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1</v>
      </c>
      <c r="V2624">
        <v>0</v>
      </c>
      <c r="W2624">
        <v>0</v>
      </c>
      <c r="X2624">
        <v>0</v>
      </c>
      <c r="Y2624" t="s">
        <v>51</v>
      </c>
      <c r="Z2624">
        <v>1000</v>
      </c>
      <c r="AA2624">
        <v>0</v>
      </c>
    </row>
    <row r="2625" spans="1:27" x14ac:dyDescent="0.2">
      <c r="A2625" t="s">
        <v>1658</v>
      </c>
      <c r="B2625">
        <v>2022</v>
      </c>
      <c r="C2625" t="s">
        <v>2320</v>
      </c>
      <c r="D2625" t="s">
        <v>3478</v>
      </c>
      <c r="E2625" t="s">
        <v>29</v>
      </c>
      <c r="F2625" t="s">
        <v>41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1</v>
      </c>
      <c r="T2625">
        <v>0</v>
      </c>
      <c r="U2625">
        <v>0</v>
      </c>
      <c r="V2625">
        <v>0</v>
      </c>
      <c r="W2625">
        <v>0</v>
      </c>
      <c r="X2625">
        <v>0</v>
      </c>
      <c r="Y2625" t="s">
        <v>51</v>
      </c>
      <c r="Z2625">
        <v>1000</v>
      </c>
      <c r="AA2625">
        <v>0</v>
      </c>
    </row>
    <row r="2626" spans="1:27" x14ac:dyDescent="0.2">
      <c r="A2626" t="s">
        <v>1658</v>
      </c>
      <c r="B2626">
        <v>2022</v>
      </c>
      <c r="C2626" t="s">
        <v>3479</v>
      </c>
      <c r="D2626" t="s">
        <v>3480</v>
      </c>
      <c r="E2626" t="s">
        <v>29</v>
      </c>
      <c r="F2626" t="s">
        <v>41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1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 t="s">
        <v>51</v>
      </c>
      <c r="Z2626">
        <v>1000</v>
      </c>
      <c r="AA2626">
        <v>0</v>
      </c>
    </row>
    <row r="2627" spans="1:27" x14ac:dyDescent="0.2">
      <c r="A2627" t="s">
        <v>1658</v>
      </c>
      <c r="B2627">
        <v>2022</v>
      </c>
      <c r="C2627" t="s">
        <v>3479</v>
      </c>
      <c r="D2627" t="s">
        <v>3481</v>
      </c>
      <c r="E2627" t="s">
        <v>29</v>
      </c>
      <c r="F2627" t="s">
        <v>41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1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 t="s">
        <v>51</v>
      </c>
      <c r="Z2627">
        <v>1000</v>
      </c>
      <c r="AA2627">
        <v>0</v>
      </c>
    </row>
    <row r="2628" spans="1:27" x14ac:dyDescent="0.2">
      <c r="A2628" t="s">
        <v>1658</v>
      </c>
      <c r="B2628">
        <v>2022</v>
      </c>
      <c r="C2628" t="s">
        <v>3061</v>
      </c>
      <c r="D2628" t="s">
        <v>3482</v>
      </c>
      <c r="E2628" t="s">
        <v>29</v>
      </c>
      <c r="F2628" t="s">
        <v>41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1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 t="s">
        <v>51</v>
      </c>
      <c r="Z2628">
        <v>1000</v>
      </c>
      <c r="AA2628">
        <v>0</v>
      </c>
    </row>
    <row r="2629" spans="1:27" x14ac:dyDescent="0.2">
      <c r="A2629" t="s">
        <v>1658</v>
      </c>
      <c r="B2629">
        <v>2022</v>
      </c>
      <c r="C2629" t="s">
        <v>3061</v>
      </c>
      <c r="D2629" t="s">
        <v>3483</v>
      </c>
      <c r="E2629" t="s">
        <v>29</v>
      </c>
      <c r="F2629" t="s">
        <v>41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1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 t="s">
        <v>51</v>
      </c>
      <c r="Z2629">
        <v>1000</v>
      </c>
      <c r="AA2629">
        <v>0</v>
      </c>
    </row>
    <row r="2630" spans="1:27" x14ac:dyDescent="0.2">
      <c r="A2630" t="s">
        <v>1658</v>
      </c>
      <c r="B2630">
        <v>2022</v>
      </c>
      <c r="C2630" t="s">
        <v>2320</v>
      </c>
      <c r="D2630" t="s">
        <v>3484</v>
      </c>
      <c r="E2630" t="s">
        <v>29</v>
      </c>
      <c r="F2630" t="s">
        <v>41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1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 t="s">
        <v>51</v>
      </c>
      <c r="Z2630">
        <v>1000</v>
      </c>
      <c r="AA2630">
        <v>0</v>
      </c>
    </row>
    <row r="2631" spans="1:27" x14ac:dyDescent="0.2">
      <c r="A2631" t="s">
        <v>1658</v>
      </c>
      <c r="B2631">
        <v>2022</v>
      </c>
      <c r="C2631" t="s">
        <v>3061</v>
      </c>
      <c r="D2631" t="s">
        <v>3485</v>
      </c>
      <c r="E2631" t="s">
        <v>29</v>
      </c>
      <c r="F2631" t="s">
        <v>41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1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 t="s">
        <v>51</v>
      </c>
      <c r="Z2631">
        <v>1000</v>
      </c>
      <c r="AA2631">
        <v>0</v>
      </c>
    </row>
    <row r="2632" spans="1:27" x14ac:dyDescent="0.2">
      <c r="A2632" t="s">
        <v>1658</v>
      </c>
      <c r="B2632">
        <v>2022</v>
      </c>
      <c r="C2632" t="s">
        <v>3061</v>
      </c>
      <c r="D2632" t="s">
        <v>3486</v>
      </c>
      <c r="E2632" t="s">
        <v>29</v>
      </c>
      <c r="F2632" t="s">
        <v>41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1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 t="s">
        <v>51</v>
      </c>
      <c r="Z2632">
        <v>1000</v>
      </c>
      <c r="AA2632">
        <v>0</v>
      </c>
    </row>
    <row r="2633" spans="1:27" x14ac:dyDescent="0.2">
      <c r="A2633" t="s">
        <v>412</v>
      </c>
      <c r="B2633">
        <v>2020</v>
      </c>
      <c r="C2633" t="s">
        <v>3487</v>
      </c>
      <c r="D2633" t="s">
        <v>3488</v>
      </c>
      <c r="E2633" t="s">
        <v>29</v>
      </c>
      <c r="F2633" t="s">
        <v>30</v>
      </c>
      <c r="G2633">
        <v>0</v>
      </c>
      <c r="H2633">
        <v>0</v>
      </c>
      <c r="I2633">
        <v>0</v>
      </c>
      <c r="J2633">
        <v>0</v>
      </c>
      <c r="K2633">
        <v>2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2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 t="s">
        <v>51</v>
      </c>
      <c r="AA2633">
        <v>0</v>
      </c>
    </row>
    <row r="2634" spans="1:27" x14ac:dyDescent="0.2">
      <c r="A2634" t="s">
        <v>3489</v>
      </c>
      <c r="B2634">
        <v>2019</v>
      </c>
      <c r="C2634">
        <v>101462148</v>
      </c>
      <c r="D2634" t="s">
        <v>3490</v>
      </c>
      <c r="E2634" t="s">
        <v>29</v>
      </c>
      <c r="F2634" t="s">
        <v>30</v>
      </c>
      <c r="G2634">
        <v>0</v>
      </c>
      <c r="H2634">
        <v>0</v>
      </c>
      <c r="I2634">
        <v>6</v>
      </c>
      <c r="J2634">
        <v>0</v>
      </c>
      <c r="K2634">
        <v>4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 t="s">
        <v>31</v>
      </c>
      <c r="Z2634">
        <v>55</v>
      </c>
      <c r="AA2634">
        <v>0</v>
      </c>
    </row>
    <row r="2635" spans="1:27" x14ac:dyDescent="0.2">
      <c r="A2635" t="s">
        <v>3491</v>
      </c>
      <c r="B2635">
        <v>2023</v>
      </c>
      <c r="C2635">
        <v>5360045060</v>
      </c>
      <c r="D2635" t="s">
        <v>3492</v>
      </c>
      <c r="E2635" t="s">
        <v>29</v>
      </c>
      <c r="F2635" t="s">
        <v>30</v>
      </c>
      <c r="G2635">
        <v>8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 t="s">
        <v>31</v>
      </c>
      <c r="AA2635">
        <v>32.5</v>
      </c>
    </row>
    <row r="2636" spans="1:27" x14ac:dyDescent="0.2">
      <c r="A2636" t="s">
        <v>379</v>
      </c>
      <c r="B2636">
        <v>2022</v>
      </c>
      <c r="C2636" t="s">
        <v>3493</v>
      </c>
      <c r="D2636" t="s">
        <v>3494</v>
      </c>
      <c r="E2636" t="s">
        <v>29</v>
      </c>
      <c r="F2636" t="s">
        <v>41</v>
      </c>
      <c r="G2636">
        <v>0</v>
      </c>
      <c r="H2636">
        <v>0</v>
      </c>
      <c r="I2636">
        <v>0</v>
      </c>
      <c r="J2636">
        <v>0</v>
      </c>
      <c r="K2636">
        <v>2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 t="s">
        <v>31</v>
      </c>
      <c r="Z2636">
        <v>55</v>
      </c>
      <c r="AA2636">
        <v>0</v>
      </c>
    </row>
    <row r="2637" spans="1:27" x14ac:dyDescent="0.2">
      <c r="A2637" t="s">
        <v>1449</v>
      </c>
      <c r="B2637">
        <v>2022</v>
      </c>
      <c r="C2637" t="s">
        <v>3495</v>
      </c>
      <c r="D2637" t="s">
        <v>3496</v>
      </c>
      <c r="E2637" t="s">
        <v>29</v>
      </c>
      <c r="F2637" t="s">
        <v>30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 t="s">
        <v>31</v>
      </c>
      <c r="AA2637">
        <v>20</v>
      </c>
    </row>
    <row r="2638" spans="1:27" x14ac:dyDescent="0.2">
      <c r="A2638" t="s">
        <v>1449</v>
      </c>
      <c r="B2638">
        <v>2022</v>
      </c>
      <c r="C2638" t="s">
        <v>2092</v>
      </c>
      <c r="D2638" t="s">
        <v>3497</v>
      </c>
      <c r="E2638" t="s">
        <v>29</v>
      </c>
      <c r="F2638" t="s">
        <v>30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5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 t="s">
        <v>31</v>
      </c>
      <c r="Z2638">
        <v>1000</v>
      </c>
      <c r="AA2638">
        <v>25</v>
      </c>
    </row>
    <row r="2639" spans="1:27" x14ac:dyDescent="0.2">
      <c r="A2639" t="s">
        <v>600</v>
      </c>
      <c r="B2639">
        <v>2019</v>
      </c>
      <c r="C2639">
        <v>3735012</v>
      </c>
      <c r="D2639" t="s">
        <v>3498</v>
      </c>
      <c r="E2639" t="s">
        <v>29</v>
      </c>
      <c r="F2639" t="s">
        <v>30</v>
      </c>
      <c r="G2639">
        <v>32</v>
      </c>
      <c r="H2639">
        <v>0</v>
      </c>
      <c r="I2639">
        <v>11</v>
      </c>
      <c r="J2639">
        <v>0</v>
      </c>
      <c r="K2639">
        <v>12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 t="s">
        <v>31</v>
      </c>
      <c r="AA2639">
        <v>0</v>
      </c>
    </row>
    <row r="2640" spans="1:27" x14ac:dyDescent="0.2">
      <c r="A2640" t="s">
        <v>600</v>
      </c>
      <c r="B2640">
        <v>2019</v>
      </c>
      <c r="C2640">
        <v>6954039</v>
      </c>
      <c r="D2640" t="s">
        <v>3499</v>
      </c>
      <c r="E2640" t="s">
        <v>29</v>
      </c>
      <c r="F2640" t="s">
        <v>30</v>
      </c>
      <c r="G2640">
        <v>0</v>
      </c>
      <c r="H2640">
        <v>0</v>
      </c>
      <c r="I2640">
        <v>23</v>
      </c>
      <c r="J2640">
        <v>0</v>
      </c>
      <c r="K2640">
        <v>35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 t="s">
        <v>51</v>
      </c>
      <c r="AA2640">
        <v>0</v>
      </c>
    </row>
    <row r="2641" spans="1:27" x14ac:dyDescent="0.2">
      <c r="A2641" t="s">
        <v>600</v>
      </c>
      <c r="B2641">
        <v>2019</v>
      </c>
      <c r="C2641">
        <v>3733093</v>
      </c>
      <c r="D2641" t="s">
        <v>3500</v>
      </c>
      <c r="E2641" t="s">
        <v>29</v>
      </c>
      <c r="F2641" t="s">
        <v>30</v>
      </c>
      <c r="G2641">
        <v>0</v>
      </c>
      <c r="H2641">
        <v>0</v>
      </c>
      <c r="I2641">
        <v>69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 t="s">
        <v>31</v>
      </c>
      <c r="AA2641">
        <v>0</v>
      </c>
    </row>
    <row r="2642" spans="1:27" x14ac:dyDescent="0.2">
      <c r="A2642" t="s">
        <v>600</v>
      </c>
      <c r="B2642">
        <v>2019</v>
      </c>
      <c r="C2642">
        <v>3537100</v>
      </c>
      <c r="D2642" t="s">
        <v>3501</v>
      </c>
      <c r="E2642" t="s">
        <v>29</v>
      </c>
      <c r="F2642" t="s">
        <v>30</v>
      </c>
      <c r="G2642">
        <v>0</v>
      </c>
      <c r="H2642">
        <v>0</v>
      </c>
      <c r="I2642">
        <v>4</v>
      </c>
      <c r="J2642">
        <v>0</v>
      </c>
      <c r="K2642">
        <v>1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 t="s">
        <v>51</v>
      </c>
      <c r="AA2642">
        <v>0</v>
      </c>
    </row>
    <row r="2643" spans="1:27" x14ac:dyDescent="0.2">
      <c r="A2643" t="s">
        <v>600</v>
      </c>
      <c r="B2643">
        <v>2019</v>
      </c>
      <c r="C2643" s="2" t="s">
        <v>2157</v>
      </c>
      <c r="D2643" t="s">
        <v>2158</v>
      </c>
      <c r="E2643" t="s">
        <v>29</v>
      </c>
      <c r="F2643" t="s">
        <v>30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25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 t="s">
        <v>51</v>
      </c>
      <c r="AA2643">
        <v>0</v>
      </c>
    </row>
    <row r="2644" spans="1:27" x14ac:dyDescent="0.2">
      <c r="A2644" t="s">
        <v>600</v>
      </c>
      <c r="B2644">
        <v>2019</v>
      </c>
      <c r="C2644" s="2" t="s">
        <v>3502</v>
      </c>
      <c r="D2644" t="s">
        <v>3503</v>
      </c>
      <c r="E2644" t="s">
        <v>29</v>
      </c>
      <c r="F2644" t="s">
        <v>30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 t="s">
        <v>51</v>
      </c>
      <c r="AA2644">
        <v>0</v>
      </c>
    </row>
    <row r="2645" spans="1:27" x14ac:dyDescent="0.2">
      <c r="A2645" t="s">
        <v>600</v>
      </c>
      <c r="B2645">
        <v>2019</v>
      </c>
      <c r="C2645">
        <v>2393040</v>
      </c>
      <c r="D2645" t="s">
        <v>3504</v>
      </c>
      <c r="E2645" t="s">
        <v>29</v>
      </c>
      <c r="F2645" t="s">
        <v>30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1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 t="s">
        <v>51</v>
      </c>
      <c r="AA2645">
        <v>0</v>
      </c>
    </row>
    <row r="2646" spans="1:27" x14ac:dyDescent="0.2">
      <c r="A2646" t="s">
        <v>600</v>
      </c>
      <c r="B2646">
        <v>2019</v>
      </c>
      <c r="C2646" s="2" t="s">
        <v>1001</v>
      </c>
      <c r="D2646" t="s">
        <v>1002</v>
      </c>
      <c r="E2646" t="s">
        <v>29</v>
      </c>
      <c r="F2646" t="s">
        <v>30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 t="s">
        <v>51</v>
      </c>
      <c r="AA2646">
        <v>0</v>
      </c>
    </row>
    <row r="2647" spans="1:27" x14ac:dyDescent="0.2">
      <c r="A2647" t="s">
        <v>600</v>
      </c>
      <c r="B2647">
        <v>2019</v>
      </c>
      <c r="C2647">
        <v>4006006</v>
      </c>
      <c r="D2647" t="s">
        <v>3505</v>
      </c>
      <c r="E2647" t="s">
        <v>29</v>
      </c>
      <c r="F2647" t="s">
        <v>30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60</v>
      </c>
      <c r="T2647">
        <v>0</v>
      </c>
      <c r="U2647">
        <v>0</v>
      </c>
      <c r="V2647">
        <v>0</v>
      </c>
      <c r="W2647">
        <v>0</v>
      </c>
      <c r="X2647">
        <v>0</v>
      </c>
      <c r="Y2647" t="s">
        <v>51</v>
      </c>
      <c r="AA2647">
        <v>0</v>
      </c>
    </row>
    <row r="2648" spans="1:27" x14ac:dyDescent="0.2">
      <c r="A2648" t="s">
        <v>600</v>
      </c>
      <c r="B2648">
        <v>2019</v>
      </c>
      <c r="C2648">
        <v>4041009</v>
      </c>
      <c r="D2648" t="s">
        <v>3506</v>
      </c>
      <c r="E2648" t="s">
        <v>29</v>
      </c>
      <c r="F2648" t="s">
        <v>30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16</v>
      </c>
      <c r="V2648">
        <v>0</v>
      </c>
      <c r="W2648">
        <v>0</v>
      </c>
      <c r="X2648">
        <v>0</v>
      </c>
      <c r="Y2648" t="s">
        <v>51</v>
      </c>
      <c r="AA2648">
        <v>0</v>
      </c>
    </row>
    <row r="2649" spans="1:27" x14ac:dyDescent="0.2">
      <c r="A2649" t="s">
        <v>1231</v>
      </c>
      <c r="B2649">
        <v>2024</v>
      </c>
      <c r="C2649">
        <v>694310006</v>
      </c>
      <c r="D2649" t="s">
        <v>3507</v>
      </c>
      <c r="E2649" t="s">
        <v>29</v>
      </c>
      <c r="F2649" t="s">
        <v>30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20</v>
      </c>
      <c r="N2649">
        <v>0</v>
      </c>
      <c r="O2649">
        <v>2</v>
      </c>
      <c r="P2649">
        <v>0</v>
      </c>
      <c r="Q2649">
        <v>1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 t="s">
        <v>31</v>
      </c>
      <c r="Z2649">
        <v>55</v>
      </c>
      <c r="AA2649">
        <v>0.13</v>
      </c>
    </row>
    <row r="2650" spans="1:27" x14ac:dyDescent="0.2">
      <c r="A2650" t="s">
        <v>1231</v>
      </c>
      <c r="B2650">
        <v>2024</v>
      </c>
      <c r="C2650">
        <v>694190087</v>
      </c>
      <c r="D2650" t="s">
        <v>1831</v>
      </c>
      <c r="E2650" t="s">
        <v>29</v>
      </c>
      <c r="F2650" t="s">
        <v>30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2</v>
      </c>
      <c r="N2650">
        <v>0</v>
      </c>
      <c r="O2650">
        <v>2</v>
      </c>
      <c r="P2650">
        <v>0</v>
      </c>
      <c r="Q2650">
        <v>2</v>
      </c>
      <c r="R2650">
        <v>0</v>
      </c>
      <c r="S2650">
        <v>2</v>
      </c>
      <c r="T2650">
        <v>0</v>
      </c>
      <c r="U2650">
        <v>2</v>
      </c>
      <c r="V2650">
        <v>0</v>
      </c>
      <c r="W2650">
        <v>2</v>
      </c>
      <c r="X2650">
        <v>0</v>
      </c>
      <c r="Y2650" t="s">
        <v>51</v>
      </c>
      <c r="Z2650">
        <v>55</v>
      </c>
      <c r="AA2650">
        <v>0</v>
      </c>
    </row>
    <row r="2651" spans="1:27" x14ac:dyDescent="0.2">
      <c r="A2651" t="s">
        <v>1231</v>
      </c>
      <c r="B2651">
        <v>2024</v>
      </c>
      <c r="C2651">
        <v>694190087</v>
      </c>
      <c r="D2651" t="s">
        <v>1831</v>
      </c>
      <c r="E2651" t="s">
        <v>29</v>
      </c>
      <c r="F2651" t="s">
        <v>30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1</v>
      </c>
      <c r="N2651">
        <v>0</v>
      </c>
      <c r="O2651">
        <v>1</v>
      </c>
      <c r="P2651">
        <v>0</v>
      </c>
      <c r="Q2651">
        <v>1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 t="s">
        <v>51</v>
      </c>
      <c r="Z2651">
        <v>55</v>
      </c>
      <c r="AA2651">
        <v>0</v>
      </c>
    </row>
    <row r="2652" spans="1:27" x14ac:dyDescent="0.2">
      <c r="A2652" t="s">
        <v>1231</v>
      </c>
      <c r="B2652">
        <v>2024</v>
      </c>
      <c r="C2652">
        <v>694190087</v>
      </c>
      <c r="D2652" t="s">
        <v>1831</v>
      </c>
      <c r="E2652" t="s">
        <v>29</v>
      </c>
      <c r="F2652" t="s">
        <v>30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1</v>
      </c>
      <c r="N2652">
        <v>0</v>
      </c>
      <c r="O2652">
        <v>1</v>
      </c>
      <c r="P2652">
        <v>0</v>
      </c>
      <c r="Q2652">
        <v>1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 t="s">
        <v>51</v>
      </c>
      <c r="Z2652">
        <v>55</v>
      </c>
      <c r="AA2652">
        <v>0</v>
      </c>
    </row>
    <row r="2653" spans="1:27" x14ac:dyDescent="0.2">
      <c r="A2653" t="s">
        <v>1231</v>
      </c>
      <c r="B2653">
        <v>2024</v>
      </c>
      <c r="C2653">
        <v>694520019</v>
      </c>
      <c r="D2653" t="s">
        <v>1832</v>
      </c>
      <c r="E2653" t="s">
        <v>29</v>
      </c>
      <c r="F2653" t="s">
        <v>30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4</v>
      </c>
      <c r="N2653">
        <v>0</v>
      </c>
      <c r="O2653">
        <v>8</v>
      </c>
      <c r="P2653">
        <v>0</v>
      </c>
      <c r="Q2653">
        <v>0</v>
      </c>
      <c r="R2653">
        <v>0</v>
      </c>
      <c r="S2653">
        <v>4</v>
      </c>
      <c r="T2653">
        <v>0</v>
      </c>
      <c r="U2653">
        <v>8</v>
      </c>
      <c r="V2653">
        <v>0</v>
      </c>
      <c r="W2653">
        <v>0</v>
      </c>
      <c r="X2653">
        <v>0</v>
      </c>
      <c r="Y2653" t="s">
        <v>51</v>
      </c>
      <c r="Z2653">
        <v>55</v>
      </c>
      <c r="AA2653">
        <v>0</v>
      </c>
    </row>
    <row r="2654" spans="1:27" x14ac:dyDescent="0.2">
      <c r="A2654" t="s">
        <v>1231</v>
      </c>
      <c r="B2654">
        <v>2024</v>
      </c>
      <c r="C2654">
        <v>694130017</v>
      </c>
      <c r="D2654" t="s">
        <v>1433</v>
      </c>
      <c r="E2654" t="s">
        <v>29</v>
      </c>
      <c r="F2654" t="s">
        <v>30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15</v>
      </c>
      <c r="N2654">
        <v>0</v>
      </c>
      <c r="O2654">
        <v>1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 t="s">
        <v>51</v>
      </c>
      <c r="Z2654">
        <v>55</v>
      </c>
      <c r="AA2654">
        <v>0</v>
      </c>
    </row>
    <row r="2655" spans="1:27" x14ac:dyDescent="0.2">
      <c r="A2655" t="s">
        <v>1231</v>
      </c>
      <c r="B2655">
        <v>2024</v>
      </c>
      <c r="C2655">
        <v>694130017</v>
      </c>
      <c r="D2655" t="s">
        <v>1433</v>
      </c>
      <c r="E2655" t="s">
        <v>29</v>
      </c>
      <c r="F2655" t="s">
        <v>30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16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 t="s">
        <v>51</v>
      </c>
      <c r="Z2655">
        <v>55</v>
      </c>
      <c r="AA2655">
        <v>0</v>
      </c>
    </row>
    <row r="2656" spans="1:27" x14ac:dyDescent="0.2">
      <c r="A2656" t="s">
        <v>1231</v>
      </c>
      <c r="B2656">
        <v>2024</v>
      </c>
      <c r="C2656">
        <v>694130017</v>
      </c>
      <c r="D2656" t="s">
        <v>1433</v>
      </c>
      <c r="E2656" t="s">
        <v>29</v>
      </c>
      <c r="F2656" t="s">
        <v>30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15</v>
      </c>
      <c r="N2656">
        <v>0</v>
      </c>
      <c r="O2656">
        <v>1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 t="s">
        <v>51</v>
      </c>
      <c r="Z2656">
        <v>55</v>
      </c>
      <c r="AA2656">
        <v>0</v>
      </c>
    </row>
    <row r="2657" spans="1:27" x14ac:dyDescent="0.2">
      <c r="A2657" t="s">
        <v>600</v>
      </c>
      <c r="B2657">
        <v>2019</v>
      </c>
      <c r="C2657" s="2" t="s">
        <v>1090</v>
      </c>
      <c r="D2657" t="s">
        <v>1091</v>
      </c>
      <c r="E2657" t="s">
        <v>29</v>
      </c>
      <c r="F2657" t="s">
        <v>41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6</v>
      </c>
      <c r="X2657">
        <v>0</v>
      </c>
      <c r="Y2657" t="s">
        <v>51</v>
      </c>
      <c r="AA2657">
        <v>0</v>
      </c>
    </row>
    <row r="2658" spans="1:27" x14ac:dyDescent="0.2">
      <c r="A2658" t="s">
        <v>600</v>
      </c>
      <c r="B2658">
        <v>2019</v>
      </c>
      <c r="C2658">
        <v>3511015</v>
      </c>
      <c r="D2658" t="s">
        <v>3508</v>
      </c>
      <c r="E2658" t="s">
        <v>29</v>
      </c>
      <c r="F2658" t="s">
        <v>30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 t="s">
        <v>51</v>
      </c>
      <c r="AA2658">
        <v>0</v>
      </c>
    </row>
    <row r="2659" spans="1:27" x14ac:dyDescent="0.2">
      <c r="A2659" t="s">
        <v>2598</v>
      </c>
      <c r="B2659">
        <v>2019</v>
      </c>
      <c r="C2659">
        <v>2068005102</v>
      </c>
      <c r="D2659" t="s">
        <v>3509</v>
      </c>
      <c r="E2659" t="s">
        <v>29</v>
      </c>
      <c r="F2659" t="s">
        <v>30</v>
      </c>
      <c r="G2659">
        <v>8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 t="s">
        <v>31</v>
      </c>
      <c r="Z2659">
        <v>30</v>
      </c>
      <c r="AA2659">
        <v>0</v>
      </c>
    </row>
    <row r="2660" spans="1:27" x14ac:dyDescent="0.2">
      <c r="A2660" t="s">
        <v>3510</v>
      </c>
      <c r="B2660">
        <v>2019</v>
      </c>
      <c r="C2660">
        <v>4343003004</v>
      </c>
      <c r="D2660" t="s">
        <v>3511</v>
      </c>
      <c r="E2660" t="s">
        <v>29</v>
      </c>
      <c r="F2660" t="s">
        <v>41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1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 t="s">
        <v>31</v>
      </c>
      <c r="Z2660">
        <v>55</v>
      </c>
      <c r="AA2660">
        <v>0</v>
      </c>
    </row>
    <row r="2661" spans="1:27" x14ac:dyDescent="0.2">
      <c r="A2661" t="s">
        <v>254</v>
      </c>
      <c r="B2661">
        <v>2022</v>
      </c>
      <c r="C2661" t="s">
        <v>426</v>
      </c>
      <c r="D2661" t="s">
        <v>427</v>
      </c>
      <c r="E2661" t="s">
        <v>29</v>
      </c>
      <c r="F2661" t="s">
        <v>30</v>
      </c>
      <c r="G2661">
        <v>188</v>
      </c>
      <c r="H2661">
        <v>0</v>
      </c>
      <c r="I2661">
        <v>148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 t="s">
        <v>51</v>
      </c>
      <c r="AA2661">
        <v>0</v>
      </c>
    </row>
    <row r="2662" spans="1:27" x14ac:dyDescent="0.2">
      <c r="A2662" t="s">
        <v>424</v>
      </c>
      <c r="B2662">
        <v>2024</v>
      </c>
      <c r="C2662" t="s">
        <v>3512</v>
      </c>
      <c r="D2662" t="s">
        <v>3513</v>
      </c>
      <c r="E2662" t="s">
        <v>29</v>
      </c>
      <c r="F2662" t="s">
        <v>30</v>
      </c>
      <c r="G2662">
        <v>4</v>
      </c>
      <c r="H2662">
        <v>0</v>
      </c>
      <c r="I2662">
        <v>118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 t="s">
        <v>31</v>
      </c>
      <c r="Z2662">
        <v>55</v>
      </c>
      <c r="AA2662" s="2" t="s">
        <v>3514</v>
      </c>
    </row>
    <row r="2663" spans="1:27" x14ac:dyDescent="0.2">
      <c r="A2663" t="s">
        <v>1367</v>
      </c>
      <c r="B2663">
        <v>2024</v>
      </c>
      <c r="C2663" t="s">
        <v>1848</v>
      </c>
      <c r="D2663" t="s">
        <v>3515</v>
      </c>
      <c r="E2663" t="s">
        <v>29</v>
      </c>
      <c r="F2663" t="s">
        <v>30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3</v>
      </c>
      <c r="V2663">
        <v>0</v>
      </c>
      <c r="W2663">
        <v>1</v>
      </c>
      <c r="X2663">
        <v>0</v>
      </c>
      <c r="Y2663" t="s">
        <v>31</v>
      </c>
      <c r="Z2663">
        <v>90</v>
      </c>
      <c r="AA2663">
        <v>0.5</v>
      </c>
    </row>
    <row r="2664" spans="1:27" x14ac:dyDescent="0.2">
      <c r="A2664" t="s">
        <v>313</v>
      </c>
      <c r="B2664">
        <v>2022</v>
      </c>
      <c r="C2664" t="s">
        <v>3516</v>
      </c>
      <c r="D2664" t="s">
        <v>3517</v>
      </c>
      <c r="E2664" t="s">
        <v>29</v>
      </c>
      <c r="F2664" t="s">
        <v>30</v>
      </c>
      <c r="G2664">
        <v>56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 t="s">
        <v>31</v>
      </c>
      <c r="Z2664">
        <v>55</v>
      </c>
      <c r="AA2664">
        <v>11</v>
      </c>
    </row>
    <row r="2665" spans="1:27" x14ac:dyDescent="0.2">
      <c r="A2665" t="s">
        <v>2102</v>
      </c>
      <c r="B2665">
        <v>2020</v>
      </c>
      <c r="C2665" t="s">
        <v>3518</v>
      </c>
      <c r="D2665" t="s">
        <v>3519</v>
      </c>
      <c r="E2665" t="s">
        <v>29</v>
      </c>
      <c r="F2665" t="s">
        <v>41</v>
      </c>
      <c r="G2665">
        <v>2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 t="s">
        <v>31</v>
      </c>
      <c r="AA2665">
        <v>0</v>
      </c>
    </row>
    <row r="2666" spans="1:27" ht="119" x14ac:dyDescent="0.2">
      <c r="A2666" t="s">
        <v>1802</v>
      </c>
      <c r="B2666">
        <v>2024</v>
      </c>
      <c r="C2666" t="s">
        <v>3520</v>
      </c>
      <c r="D2666" s="1" t="s">
        <v>3521</v>
      </c>
      <c r="E2666" t="s">
        <v>29</v>
      </c>
      <c r="F2666" t="s">
        <v>30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16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16</v>
      </c>
      <c r="T2666">
        <v>0</v>
      </c>
      <c r="U2666">
        <v>0</v>
      </c>
      <c r="V2666">
        <v>0</v>
      </c>
      <c r="W2666">
        <v>0</v>
      </c>
      <c r="X2666">
        <v>0</v>
      </c>
      <c r="Y2666" t="s">
        <v>31</v>
      </c>
      <c r="Z2666">
        <v>1000</v>
      </c>
      <c r="AA2666" s="2" t="s">
        <v>3316</v>
      </c>
    </row>
    <row r="2667" spans="1:27" ht="119" x14ac:dyDescent="0.2">
      <c r="A2667" t="s">
        <v>1802</v>
      </c>
      <c r="B2667">
        <v>2024</v>
      </c>
      <c r="C2667" t="s">
        <v>1955</v>
      </c>
      <c r="D2667" s="1" t="s">
        <v>3522</v>
      </c>
      <c r="E2667" t="s">
        <v>29</v>
      </c>
      <c r="F2667" t="s">
        <v>30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47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 t="s">
        <v>31</v>
      </c>
      <c r="Z2667">
        <v>1000</v>
      </c>
      <c r="AA2667" s="2" t="s">
        <v>3514</v>
      </c>
    </row>
    <row r="2668" spans="1:27" x14ac:dyDescent="0.2">
      <c r="A2668" t="s">
        <v>1206</v>
      </c>
      <c r="B2668">
        <v>2020</v>
      </c>
      <c r="C2668" t="s">
        <v>3523</v>
      </c>
      <c r="D2668" t="s">
        <v>3524</v>
      </c>
      <c r="E2668" t="s">
        <v>29</v>
      </c>
      <c r="F2668" t="s">
        <v>41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11</v>
      </c>
      <c r="N2668">
        <v>0</v>
      </c>
      <c r="O2668">
        <v>0</v>
      </c>
      <c r="P2668">
        <v>0</v>
      </c>
      <c r="Q2668">
        <v>0</v>
      </c>
      <c r="R2668">
        <v>131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 t="s">
        <v>31</v>
      </c>
      <c r="Z2668">
        <v>50</v>
      </c>
      <c r="AA2668">
        <v>0</v>
      </c>
    </row>
    <row r="2669" spans="1:27" x14ac:dyDescent="0.2">
      <c r="A2669" t="s">
        <v>1176</v>
      </c>
      <c r="B2669">
        <v>2023</v>
      </c>
      <c r="C2669" t="s">
        <v>3525</v>
      </c>
      <c r="D2669" t="s">
        <v>3526</v>
      </c>
      <c r="E2669" t="s">
        <v>29</v>
      </c>
      <c r="F2669" t="s">
        <v>41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 t="s">
        <v>31</v>
      </c>
      <c r="AA2669">
        <v>0</v>
      </c>
    </row>
    <row r="2670" spans="1:27" x14ac:dyDescent="0.2">
      <c r="A2670" t="s">
        <v>1176</v>
      </c>
      <c r="B2670">
        <v>2023</v>
      </c>
      <c r="C2670" t="s">
        <v>1177</v>
      </c>
      <c r="D2670" t="s">
        <v>1178</v>
      </c>
      <c r="E2670" t="s">
        <v>29</v>
      </c>
      <c r="F2670" t="s">
        <v>41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4</v>
      </c>
      <c r="X2670">
        <v>0</v>
      </c>
      <c r="Y2670" t="s">
        <v>31</v>
      </c>
      <c r="Z2670">
        <v>30</v>
      </c>
      <c r="AA2670">
        <v>0</v>
      </c>
    </row>
    <row r="2671" spans="1:27" x14ac:dyDescent="0.2">
      <c r="A2671" t="s">
        <v>1316</v>
      </c>
      <c r="B2671">
        <v>2023</v>
      </c>
      <c r="C2671" t="s">
        <v>3527</v>
      </c>
      <c r="D2671" t="s">
        <v>3528</v>
      </c>
      <c r="E2671" t="s">
        <v>29</v>
      </c>
      <c r="F2671" t="s">
        <v>30</v>
      </c>
      <c r="G2671">
        <v>53</v>
      </c>
      <c r="H2671">
        <v>0</v>
      </c>
      <c r="I2671">
        <v>0</v>
      </c>
      <c r="J2671">
        <v>0</v>
      </c>
      <c r="K2671">
        <v>158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 t="s">
        <v>31</v>
      </c>
      <c r="AA2671">
        <v>20</v>
      </c>
    </row>
    <row r="2672" spans="1:27" x14ac:dyDescent="0.2">
      <c r="A2672" t="s">
        <v>1316</v>
      </c>
      <c r="B2672">
        <v>2023</v>
      </c>
      <c r="C2672" t="s">
        <v>3529</v>
      </c>
      <c r="D2672" t="s">
        <v>3530</v>
      </c>
      <c r="E2672" t="s">
        <v>29</v>
      </c>
      <c r="F2672" t="s">
        <v>30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22</v>
      </c>
      <c r="N2672">
        <v>0</v>
      </c>
      <c r="O2672">
        <v>1</v>
      </c>
      <c r="P2672">
        <v>0</v>
      </c>
      <c r="Q2672">
        <v>15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 t="s">
        <v>31</v>
      </c>
      <c r="Z2672">
        <v>55</v>
      </c>
      <c r="AA2672">
        <v>25</v>
      </c>
    </row>
    <row r="2673" spans="1:27" x14ac:dyDescent="0.2">
      <c r="A2673" t="s">
        <v>88</v>
      </c>
      <c r="B2673">
        <v>2023</v>
      </c>
      <c r="C2673" t="s">
        <v>2362</v>
      </c>
      <c r="D2673" t="s">
        <v>3531</v>
      </c>
      <c r="E2673" t="s">
        <v>29</v>
      </c>
      <c r="F2673" t="s">
        <v>41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2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 t="s">
        <v>51</v>
      </c>
      <c r="Z2673">
        <v>20</v>
      </c>
      <c r="AA2673">
        <v>0</v>
      </c>
    </row>
    <row r="2674" spans="1:27" x14ac:dyDescent="0.2">
      <c r="A2674" t="s">
        <v>418</v>
      </c>
      <c r="B2674">
        <v>2023</v>
      </c>
      <c r="C2674" t="s">
        <v>3532</v>
      </c>
      <c r="D2674" t="s">
        <v>3533</v>
      </c>
      <c r="E2674" t="s">
        <v>29</v>
      </c>
      <c r="F2674" t="s">
        <v>30</v>
      </c>
      <c r="G2674">
        <v>0</v>
      </c>
      <c r="H2674">
        <v>0</v>
      </c>
      <c r="I2674">
        <v>25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 t="s">
        <v>31</v>
      </c>
      <c r="AA2674">
        <v>25</v>
      </c>
    </row>
    <row r="2675" spans="1:27" x14ac:dyDescent="0.2">
      <c r="A2675" t="s">
        <v>418</v>
      </c>
      <c r="B2675">
        <v>2023</v>
      </c>
      <c r="C2675" t="s">
        <v>3534</v>
      </c>
      <c r="D2675" t="s">
        <v>3535</v>
      </c>
      <c r="E2675" t="s">
        <v>29</v>
      </c>
      <c r="F2675" t="s">
        <v>30</v>
      </c>
      <c r="G2675">
        <v>0</v>
      </c>
      <c r="H2675">
        <v>0</v>
      </c>
      <c r="I2675">
        <v>275</v>
      </c>
      <c r="J2675">
        <v>0</v>
      </c>
      <c r="K2675">
        <v>274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 t="s">
        <v>31</v>
      </c>
      <c r="Z2675">
        <v>55</v>
      </c>
      <c r="AA2675">
        <v>0</v>
      </c>
    </row>
    <row r="2676" spans="1:27" x14ac:dyDescent="0.2">
      <c r="A2676" t="s">
        <v>418</v>
      </c>
      <c r="B2676">
        <v>2023</v>
      </c>
      <c r="C2676" t="s">
        <v>3536</v>
      </c>
      <c r="D2676" t="s">
        <v>3537</v>
      </c>
      <c r="E2676" t="s">
        <v>29</v>
      </c>
      <c r="F2676" t="s">
        <v>30</v>
      </c>
      <c r="G2676">
        <v>0</v>
      </c>
      <c r="H2676">
        <v>0</v>
      </c>
      <c r="I2676">
        <v>19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 t="s">
        <v>31</v>
      </c>
      <c r="AA2676">
        <v>0</v>
      </c>
    </row>
    <row r="2677" spans="1:27" x14ac:dyDescent="0.2">
      <c r="A2677" t="s">
        <v>418</v>
      </c>
      <c r="B2677">
        <v>2023</v>
      </c>
      <c r="C2677" t="s">
        <v>3538</v>
      </c>
      <c r="D2677" t="s">
        <v>3539</v>
      </c>
      <c r="E2677" t="s">
        <v>29</v>
      </c>
      <c r="F2677" t="s">
        <v>30</v>
      </c>
      <c r="G2677">
        <v>39</v>
      </c>
      <c r="H2677">
        <v>0</v>
      </c>
      <c r="I2677">
        <v>40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 t="s">
        <v>31</v>
      </c>
      <c r="Z2677">
        <v>55</v>
      </c>
      <c r="AA2677">
        <v>44</v>
      </c>
    </row>
    <row r="2678" spans="1:27" x14ac:dyDescent="0.2">
      <c r="A2678" t="s">
        <v>418</v>
      </c>
      <c r="B2678">
        <v>2023</v>
      </c>
      <c r="C2678" t="s">
        <v>3540</v>
      </c>
      <c r="D2678" t="s">
        <v>3541</v>
      </c>
      <c r="E2678" t="s">
        <v>29</v>
      </c>
      <c r="F2678" t="s">
        <v>30</v>
      </c>
      <c r="G2678">
        <v>60</v>
      </c>
      <c r="H2678">
        <v>0</v>
      </c>
      <c r="I2678">
        <v>0</v>
      </c>
      <c r="J2678">
        <v>0</v>
      </c>
      <c r="K2678">
        <v>174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 t="s">
        <v>31</v>
      </c>
      <c r="Z2678">
        <v>55</v>
      </c>
      <c r="AA2678">
        <v>0</v>
      </c>
    </row>
    <row r="2679" spans="1:27" x14ac:dyDescent="0.2">
      <c r="A2679" t="s">
        <v>418</v>
      </c>
      <c r="B2679">
        <v>2023</v>
      </c>
      <c r="C2679" t="s">
        <v>3542</v>
      </c>
      <c r="D2679" t="s">
        <v>3543</v>
      </c>
      <c r="E2679" t="s">
        <v>29</v>
      </c>
      <c r="F2679" t="s">
        <v>30</v>
      </c>
      <c r="G2679">
        <v>42</v>
      </c>
      <c r="H2679">
        <v>0</v>
      </c>
      <c r="I2679">
        <v>21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 t="s">
        <v>31</v>
      </c>
      <c r="Z2679">
        <v>55</v>
      </c>
      <c r="AA2679">
        <v>0</v>
      </c>
    </row>
    <row r="2680" spans="1:27" x14ac:dyDescent="0.2">
      <c r="A2680" t="s">
        <v>418</v>
      </c>
      <c r="B2680">
        <v>2023</v>
      </c>
      <c r="C2680" t="s">
        <v>3544</v>
      </c>
      <c r="D2680" t="s">
        <v>3545</v>
      </c>
      <c r="E2680" t="s">
        <v>29</v>
      </c>
      <c r="F2680" t="s">
        <v>30</v>
      </c>
      <c r="G2680">
        <v>0</v>
      </c>
      <c r="H2680">
        <v>0</v>
      </c>
      <c r="I2680">
        <v>48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 t="s">
        <v>31</v>
      </c>
      <c r="Z2680">
        <v>55</v>
      </c>
      <c r="AA2680">
        <v>0</v>
      </c>
    </row>
    <row r="2681" spans="1:27" x14ac:dyDescent="0.2">
      <c r="A2681" t="s">
        <v>1116</v>
      </c>
      <c r="B2681">
        <v>2020</v>
      </c>
      <c r="C2681" t="s">
        <v>3546</v>
      </c>
      <c r="D2681" t="s">
        <v>3547</v>
      </c>
      <c r="E2681" t="s">
        <v>29</v>
      </c>
      <c r="F2681" t="s">
        <v>30</v>
      </c>
      <c r="G2681">
        <v>1</v>
      </c>
      <c r="H2681">
        <v>0</v>
      </c>
      <c r="I2681">
        <v>1</v>
      </c>
      <c r="J2681">
        <v>0</v>
      </c>
      <c r="K2681">
        <v>15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 t="s">
        <v>31</v>
      </c>
      <c r="Z2681">
        <v>30</v>
      </c>
      <c r="AA2681">
        <v>0</v>
      </c>
    </row>
    <row r="2682" spans="1:27" x14ac:dyDescent="0.2">
      <c r="A2682" t="s">
        <v>283</v>
      </c>
      <c r="B2682">
        <v>2020</v>
      </c>
      <c r="C2682" t="s">
        <v>2594</v>
      </c>
      <c r="D2682" t="s">
        <v>3548</v>
      </c>
      <c r="E2682" t="s">
        <v>29</v>
      </c>
      <c r="F2682" t="s">
        <v>30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23</v>
      </c>
      <c r="T2682">
        <v>0</v>
      </c>
      <c r="U2682">
        <v>7</v>
      </c>
      <c r="V2682">
        <v>0</v>
      </c>
      <c r="W2682">
        <v>0</v>
      </c>
      <c r="X2682">
        <v>0</v>
      </c>
      <c r="Y2682" t="s">
        <v>51</v>
      </c>
      <c r="Z2682">
        <v>1000</v>
      </c>
      <c r="AA2682">
        <v>0</v>
      </c>
    </row>
    <row r="2683" spans="1:27" x14ac:dyDescent="0.2">
      <c r="A2683" t="s">
        <v>418</v>
      </c>
      <c r="B2683">
        <v>2023</v>
      </c>
      <c r="C2683">
        <v>26139045</v>
      </c>
      <c r="D2683" t="s">
        <v>3549</v>
      </c>
      <c r="E2683" t="s">
        <v>29</v>
      </c>
      <c r="F2683" t="s">
        <v>30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116</v>
      </c>
      <c r="N2683">
        <v>0</v>
      </c>
      <c r="O2683">
        <v>27</v>
      </c>
      <c r="P2683">
        <v>0</v>
      </c>
      <c r="Q2683">
        <v>9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 t="s">
        <v>31</v>
      </c>
      <c r="Z2683">
        <v>57</v>
      </c>
      <c r="AA2683">
        <v>45</v>
      </c>
    </row>
    <row r="2684" spans="1:27" x14ac:dyDescent="0.2">
      <c r="A2684" t="s">
        <v>1309</v>
      </c>
      <c r="B2684">
        <v>2022</v>
      </c>
      <c r="C2684" t="s">
        <v>1656</v>
      </c>
      <c r="E2684" t="s">
        <v>29</v>
      </c>
      <c r="F2684" t="s">
        <v>30</v>
      </c>
      <c r="G2684">
        <v>50</v>
      </c>
      <c r="H2684">
        <v>0</v>
      </c>
      <c r="I2684">
        <v>25</v>
      </c>
      <c r="J2684">
        <v>0</v>
      </c>
      <c r="K2684">
        <v>0</v>
      </c>
      <c r="L2684">
        <v>0</v>
      </c>
      <c r="M2684">
        <v>50</v>
      </c>
      <c r="N2684">
        <v>0</v>
      </c>
      <c r="O2684">
        <v>25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 t="s">
        <v>31</v>
      </c>
      <c r="Z2684">
        <v>55</v>
      </c>
      <c r="AA2684">
        <v>0</v>
      </c>
    </row>
    <row r="2685" spans="1:27" x14ac:dyDescent="0.2">
      <c r="A2685" t="s">
        <v>418</v>
      </c>
      <c r="B2685">
        <v>2023</v>
      </c>
      <c r="C2685">
        <v>56752060</v>
      </c>
      <c r="D2685" t="s">
        <v>3550</v>
      </c>
      <c r="E2685" t="s">
        <v>29</v>
      </c>
      <c r="F2685" t="s">
        <v>30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40</v>
      </c>
      <c r="T2685">
        <v>0</v>
      </c>
      <c r="U2685">
        <v>5</v>
      </c>
      <c r="V2685">
        <v>0</v>
      </c>
      <c r="W2685">
        <v>0</v>
      </c>
      <c r="X2685">
        <v>0</v>
      </c>
      <c r="Y2685" t="s">
        <v>31</v>
      </c>
      <c r="Z2685">
        <v>55</v>
      </c>
      <c r="AA2685">
        <v>35</v>
      </c>
    </row>
    <row r="2686" spans="1:27" x14ac:dyDescent="0.2">
      <c r="A2686" t="s">
        <v>1576</v>
      </c>
      <c r="B2686">
        <v>2024</v>
      </c>
      <c r="C2686">
        <v>1580304000</v>
      </c>
      <c r="D2686" t="s">
        <v>3551</v>
      </c>
      <c r="E2686" t="s">
        <v>29</v>
      </c>
      <c r="F2686" t="s">
        <v>30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2</v>
      </c>
      <c r="N2686">
        <v>0</v>
      </c>
      <c r="O2686">
        <v>3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 t="s">
        <v>51</v>
      </c>
      <c r="AA2686">
        <v>0</v>
      </c>
    </row>
    <row r="2687" spans="1:27" x14ac:dyDescent="0.2">
      <c r="A2687" t="s">
        <v>1576</v>
      </c>
      <c r="B2687">
        <v>2024</v>
      </c>
      <c r="C2687">
        <v>1570403300</v>
      </c>
      <c r="D2687" t="s">
        <v>3552</v>
      </c>
      <c r="E2687" t="s">
        <v>29</v>
      </c>
      <c r="F2687" t="s">
        <v>30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42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 t="s">
        <v>31</v>
      </c>
      <c r="Z2687">
        <v>55</v>
      </c>
      <c r="AA2687">
        <v>1</v>
      </c>
    </row>
    <row r="2688" spans="1:27" x14ac:dyDescent="0.2">
      <c r="A2688" t="s">
        <v>1311</v>
      </c>
      <c r="B2688">
        <v>2024</v>
      </c>
      <c r="C2688" t="s">
        <v>1314</v>
      </c>
      <c r="D2688" t="s">
        <v>1315</v>
      </c>
      <c r="E2688" t="s">
        <v>29</v>
      </c>
      <c r="F2688" t="s">
        <v>30</v>
      </c>
      <c r="G2688">
        <v>53</v>
      </c>
      <c r="H2688">
        <v>0</v>
      </c>
      <c r="I2688">
        <v>36</v>
      </c>
      <c r="J2688">
        <v>0</v>
      </c>
      <c r="K2688">
        <v>0</v>
      </c>
      <c r="L2688">
        <v>0</v>
      </c>
      <c r="M2688">
        <v>53</v>
      </c>
      <c r="N2688">
        <v>0</v>
      </c>
      <c r="O2688">
        <v>36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 t="s">
        <v>31</v>
      </c>
      <c r="Z2688">
        <v>75</v>
      </c>
      <c r="AA2688" s="2" t="s">
        <v>3553</v>
      </c>
    </row>
    <row r="2689" spans="1:27" x14ac:dyDescent="0.2">
      <c r="A2689" t="s">
        <v>436</v>
      </c>
      <c r="B2689">
        <v>2024</v>
      </c>
      <c r="C2689" t="s">
        <v>437</v>
      </c>
      <c r="D2689" t="s">
        <v>438</v>
      </c>
      <c r="E2689" t="s">
        <v>29</v>
      </c>
      <c r="F2689" t="s">
        <v>30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13</v>
      </c>
      <c r="T2689">
        <v>0</v>
      </c>
      <c r="U2689">
        <v>11</v>
      </c>
      <c r="V2689">
        <v>0</v>
      </c>
      <c r="W2689">
        <v>0</v>
      </c>
      <c r="X2689">
        <v>0</v>
      </c>
      <c r="Y2689" t="s">
        <v>31</v>
      </c>
      <c r="AA2689" s="2" t="s">
        <v>3358</v>
      </c>
    </row>
    <row r="2690" spans="1:27" x14ac:dyDescent="0.2">
      <c r="A2690" t="s">
        <v>436</v>
      </c>
      <c r="B2690">
        <v>2024</v>
      </c>
      <c r="C2690" t="s">
        <v>437</v>
      </c>
      <c r="D2690" t="s">
        <v>657</v>
      </c>
      <c r="E2690" t="s">
        <v>29</v>
      </c>
      <c r="F2690" t="s">
        <v>30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6</v>
      </c>
      <c r="T2690">
        <v>0</v>
      </c>
      <c r="U2690">
        <v>18</v>
      </c>
      <c r="V2690">
        <v>0</v>
      </c>
      <c r="W2690">
        <v>0</v>
      </c>
      <c r="X2690">
        <v>0</v>
      </c>
      <c r="Y2690" t="s">
        <v>31</v>
      </c>
      <c r="AA2690" s="2" t="s">
        <v>3358</v>
      </c>
    </row>
    <row r="2691" spans="1:27" x14ac:dyDescent="0.2">
      <c r="A2691" t="s">
        <v>1316</v>
      </c>
      <c r="B2691">
        <v>2023</v>
      </c>
      <c r="C2691" t="s">
        <v>3554</v>
      </c>
      <c r="D2691" t="s">
        <v>2357</v>
      </c>
      <c r="E2691" t="s">
        <v>29</v>
      </c>
      <c r="F2691" t="s">
        <v>30</v>
      </c>
      <c r="G2691">
        <v>11</v>
      </c>
      <c r="H2691">
        <v>0</v>
      </c>
      <c r="I2691">
        <v>0</v>
      </c>
      <c r="J2691">
        <v>0</v>
      </c>
      <c r="K2691">
        <v>30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 t="s">
        <v>31</v>
      </c>
      <c r="AA2691">
        <v>20</v>
      </c>
    </row>
    <row r="2692" spans="1:27" x14ac:dyDescent="0.2">
      <c r="A2692" t="s">
        <v>1802</v>
      </c>
      <c r="B2692">
        <v>2018</v>
      </c>
      <c r="C2692" t="s">
        <v>3555</v>
      </c>
      <c r="D2692" t="s">
        <v>3556</v>
      </c>
      <c r="E2692" t="s">
        <v>29</v>
      </c>
      <c r="F2692" t="s">
        <v>30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2</v>
      </c>
      <c r="T2692">
        <v>0</v>
      </c>
      <c r="U2692">
        <v>0</v>
      </c>
      <c r="V2692">
        <v>0</v>
      </c>
      <c r="W2692">
        <v>0</v>
      </c>
      <c r="X2692">
        <v>0</v>
      </c>
      <c r="Y2692" t="s">
        <v>51</v>
      </c>
      <c r="Z2692">
        <v>1000</v>
      </c>
      <c r="AA2692">
        <v>0</v>
      </c>
    </row>
    <row r="2693" spans="1:27" x14ac:dyDescent="0.2">
      <c r="A2693" t="s">
        <v>2006</v>
      </c>
      <c r="B2693">
        <v>2019</v>
      </c>
      <c r="C2693">
        <v>6250230700</v>
      </c>
      <c r="D2693" t="s">
        <v>3557</v>
      </c>
      <c r="E2693" t="s">
        <v>29</v>
      </c>
      <c r="F2693" t="s">
        <v>41</v>
      </c>
      <c r="G2693">
        <v>0</v>
      </c>
      <c r="H2693">
        <v>3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 t="s">
        <v>31</v>
      </c>
      <c r="AA2693">
        <v>0</v>
      </c>
    </row>
    <row r="2694" spans="1:27" x14ac:dyDescent="0.2">
      <c r="A2694" t="s">
        <v>1418</v>
      </c>
      <c r="B2694">
        <v>2023</v>
      </c>
      <c r="C2694" t="s">
        <v>3558</v>
      </c>
      <c r="D2694" t="s">
        <v>3559</v>
      </c>
      <c r="E2694" t="s">
        <v>29</v>
      </c>
      <c r="F2694" t="s">
        <v>30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57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 t="s">
        <v>31</v>
      </c>
      <c r="Z2694">
        <v>55</v>
      </c>
      <c r="AA2694">
        <v>20</v>
      </c>
    </row>
    <row r="2695" spans="1:27" x14ac:dyDescent="0.2">
      <c r="A2695" t="s">
        <v>3560</v>
      </c>
      <c r="B2695">
        <v>2024</v>
      </c>
      <c r="C2695" t="s">
        <v>3561</v>
      </c>
      <c r="D2695" t="s">
        <v>3562</v>
      </c>
      <c r="E2695" t="s">
        <v>29</v>
      </c>
      <c r="F2695" t="s">
        <v>30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5</v>
      </c>
      <c r="N2695">
        <v>4</v>
      </c>
      <c r="O2695">
        <v>0</v>
      </c>
      <c r="P2695">
        <v>21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 t="s">
        <v>31</v>
      </c>
      <c r="Z2695">
        <v>55</v>
      </c>
      <c r="AA2695">
        <v>0</v>
      </c>
    </row>
    <row r="2696" spans="1:27" x14ac:dyDescent="0.2">
      <c r="A2696" t="s">
        <v>3560</v>
      </c>
      <c r="B2696">
        <v>2024</v>
      </c>
      <c r="C2696" t="s">
        <v>3561</v>
      </c>
      <c r="D2696" t="s">
        <v>3563</v>
      </c>
      <c r="E2696" t="s">
        <v>29</v>
      </c>
      <c r="F2696" t="s">
        <v>30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2</v>
      </c>
      <c r="N2696">
        <v>2</v>
      </c>
      <c r="O2696">
        <v>0</v>
      </c>
      <c r="P2696">
        <v>24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 t="s">
        <v>31</v>
      </c>
      <c r="Z2696">
        <v>55</v>
      </c>
      <c r="AA2696">
        <v>0</v>
      </c>
    </row>
    <row r="2697" spans="1:27" x14ac:dyDescent="0.2">
      <c r="A2697" t="s">
        <v>3564</v>
      </c>
      <c r="B2697">
        <v>2024</v>
      </c>
      <c r="C2697" t="s">
        <v>3565</v>
      </c>
      <c r="D2697" t="s">
        <v>3566</v>
      </c>
      <c r="E2697" t="s">
        <v>29</v>
      </c>
      <c r="F2697" t="s">
        <v>30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1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 t="s">
        <v>31</v>
      </c>
      <c r="Z2697">
        <v>55</v>
      </c>
      <c r="AA2697" s="2" t="s">
        <v>3244</v>
      </c>
    </row>
    <row r="2698" spans="1:27" x14ac:dyDescent="0.2">
      <c r="A2698" t="s">
        <v>3564</v>
      </c>
      <c r="B2698">
        <v>2024</v>
      </c>
      <c r="C2698" t="s">
        <v>3565</v>
      </c>
      <c r="D2698" t="s">
        <v>3566</v>
      </c>
      <c r="E2698" t="s">
        <v>29</v>
      </c>
      <c r="F2698" t="s">
        <v>30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1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 t="s">
        <v>31</v>
      </c>
      <c r="Z2698">
        <v>55</v>
      </c>
      <c r="AA2698" s="2" t="s">
        <v>3244</v>
      </c>
    </row>
    <row r="2699" spans="1:27" x14ac:dyDescent="0.2">
      <c r="A2699" t="s">
        <v>418</v>
      </c>
      <c r="B2699">
        <v>2022</v>
      </c>
      <c r="C2699">
        <v>26102062</v>
      </c>
      <c r="D2699" t="s">
        <v>3567</v>
      </c>
      <c r="E2699" t="s">
        <v>29</v>
      </c>
      <c r="F2699" t="s">
        <v>30</v>
      </c>
      <c r="G2699">
        <v>0</v>
      </c>
      <c r="H2699">
        <v>0</v>
      </c>
      <c r="I2699">
        <v>299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 t="s">
        <v>31</v>
      </c>
      <c r="AA2699">
        <v>8</v>
      </c>
    </row>
    <row r="2700" spans="1:27" x14ac:dyDescent="0.2">
      <c r="A2700" t="s">
        <v>418</v>
      </c>
      <c r="B2700">
        <v>2022</v>
      </c>
      <c r="C2700">
        <v>29638013</v>
      </c>
      <c r="D2700" t="s">
        <v>3568</v>
      </c>
      <c r="E2700" t="s">
        <v>29</v>
      </c>
      <c r="F2700" t="s">
        <v>30</v>
      </c>
      <c r="G2700">
        <v>58</v>
      </c>
      <c r="H2700">
        <v>0</v>
      </c>
      <c r="I2700">
        <v>29</v>
      </c>
      <c r="J2700">
        <v>0</v>
      </c>
      <c r="K2700">
        <v>29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 t="s">
        <v>31</v>
      </c>
      <c r="AA2700">
        <v>0</v>
      </c>
    </row>
    <row r="2701" spans="1:27" x14ac:dyDescent="0.2">
      <c r="A2701" t="s">
        <v>418</v>
      </c>
      <c r="B2701">
        <v>2022</v>
      </c>
      <c r="C2701">
        <v>45814022</v>
      </c>
      <c r="D2701" t="s">
        <v>3569</v>
      </c>
      <c r="E2701" t="s">
        <v>29</v>
      </c>
      <c r="F2701" t="s">
        <v>30</v>
      </c>
      <c r="G2701">
        <v>0</v>
      </c>
      <c r="H2701">
        <v>0</v>
      </c>
      <c r="I2701">
        <v>270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 t="s">
        <v>31</v>
      </c>
      <c r="Z2701">
        <v>55</v>
      </c>
      <c r="AA2701">
        <v>0</v>
      </c>
    </row>
    <row r="2702" spans="1:27" x14ac:dyDescent="0.2">
      <c r="A2702" t="s">
        <v>418</v>
      </c>
      <c r="B2702">
        <v>2022</v>
      </c>
      <c r="C2702">
        <v>26138037</v>
      </c>
      <c r="D2702" t="s">
        <v>3570</v>
      </c>
      <c r="E2702" t="s">
        <v>29</v>
      </c>
      <c r="F2702" t="s">
        <v>30</v>
      </c>
      <c r="G2702">
        <v>70</v>
      </c>
      <c r="H2702">
        <v>0</v>
      </c>
      <c r="I2702">
        <v>70</v>
      </c>
      <c r="J2702">
        <v>0</v>
      </c>
      <c r="K2702">
        <v>235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 t="s">
        <v>31</v>
      </c>
      <c r="Z2702">
        <v>55</v>
      </c>
      <c r="AA2702">
        <v>0</v>
      </c>
    </row>
    <row r="2703" spans="1:27" x14ac:dyDescent="0.2">
      <c r="A2703" t="s">
        <v>2331</v>
      </c>
      <c r="B2703">
        <v>2019</v>
      </c>
      <c r="C2703" t="s">
        <v>3571</v>
      </c>
      <c r="D2703" t="s">
        <v>3572</v>
      </c>
      <c r="E2703" t="s">
        <v>29</v>
      </c>
      <c r="F2703" t="s">
        <v>30</v>
      </c>
      <c r="G2703">
        <v>8</v>
      </c>
      <c r="H2703">
        <v>0</v>
      </c>
      <c r="I2703">
        <v>8</v>
      </c>
      <c r="J2703">
        <v>0</v>
      </c>
      <c r="K2703">
        <v>0</v>
      </c>
      <c r="L2703">
        <v>0</v>
      </c>
      <c r="M2703">
        <v>8</v>
      </c>
      <c r="N2703">
        <v>0</v>
      </c>
      <c r="O2703">
        <v>8</v>
      </c>
      <c r="P2703">
        <v>0</v>
      </c>
      <c r="Q2703">
        <v>0</v>
      </c>
      <c r="R2703">
        <v>0</v>
      </c>
      <c r="S2703">
        <v>8</v>
      </c>
      <c r="T2703">
        <v>0</v>
      </c>
      <c r="U2703">
        <v>0</v>
      </c>
      <c r="V2703">
        <v>0</v>
      </c>
      <c r="W2703">
        <v>0</v>
      </c>
      <c r="X2703">
        <v>0</v>
      </c>
      <c r="Y2703" t="s">
        <v>51</v>
      </c>
      <c r="Z2703">
        <v>55</v>
      </c>
      <c r="AA2703">
        <v>0</v>
      </c>
    </row>
    <row r="2704" spans="1:27" x14ac:dyDescent="0.2">
      <c r="A2704" t="s">
        <v>2331</v>
      </c>
      <c r="B2704">
        <v>2019</v>
      </c>
      <c r="C2704" t="s">
        <v>3573</v>
      </c>
      <c r="D2704" t="s">
        <v>3574</v>
      </c>
      <c r="E2704" t="s">
        <v>29</v>
      </c>
      <c r="F2704" t="s">
        <v>30</v>
      </c>
      <c r="G2704">
        <v>3</v>
      </c>
      <c r="H2704">
        <v>0</v>
      </c>
      <c r="I2704">
        <v>1</v>
      </c>
      <c r="J2704">
        <v>0</v>
      </c>
      <c r="K2704">
        <v>0</v>
      </c>
      <c r="L2704">
        <v>0</v>
      </c>
      <c r="M2704">
        <v>3</v>
      </c>
      <c r="N2704">
        <v>0</v>
      </c>
      <c r="O2704">
        <v>1</v>
      </c>
      <c r="P2704">
        <v>0</v>
      </c>
      <c r="Q2704">
        <v>0</v>
      </c>
      <c r="R2704">
        <v>0</v>
      </c>
      <c r="S2704">
        <v>3</v>
      </c>
      <c r="T2704">
        <v>0</v>
      </c>
      <c r="U2704">
        <v>1</v>
      </c>
      <c r="V2704">
        <v>0</v>
      </c>
      <c r="W2704">
        <v>0</v>
      </c>
      <c r="X2704">
        <v>0</v>
      </c>
      <c r="Y2704" t="s">
        <v>51</v>
      </c>
      <c r="Z2704">
        <v>55</v>
      </c>
      <c r="AA2704">
        <v>0</v>
      </c>
    </row>
    <row r="2705" spans="1:27" x14ac:dyDescent="0.2">
      <c r="A2705" t="s">
        <v>418</v>
      </c>
      <c r="B2705">
        <v>2023</v>
      </c>
      <c r="C2705" t="s">
        <v>3575</v>
      </c>
      <c r="D2705" t="s">
        <v>3576</v>
      </c>
      <c r="E2705" t="s">
        <v>29</v>
      </c>
      <c r="F2705" t="s">
        <v>30</v>
      </c>
      <c r="G2705">
        <v>0</v>
      </c>
      <c r="H2705">
        <v>0</v>
      </c>
      <c r="I2705">
        <v>36</v>
      </c>
      <c r="J2705">
        <v>0</v>
      </c>
      <c r="K2705">
        <v>9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 t="s">
        <v>31</v>
      </c>
      <c r="AA2705">
        <v>0</v>
      </c>
    </row>
    <row r="2706" spans="1:27" x14ac:dyDescent="0.2">
      <c r="A2706" t="s">
        <v>418</v>
      </c>
      <c r="B2706">
        <v>2023</v>
      </c>
      <c r="C2706" t="s">
        <v>3577</v>
      </c>
      <c r="D2706" t="s">
        <v>3578</v>
      </c>
      <c r="E2706" t="s">
        <v>29</v>
      </c>
      <c r="F2706" t="s">
        <v>30</v>
      </c>
      <c r="G2706">
        <v>0</v>
      </c>
      <c r="H2706">
        <v>0</v>
      </c>
      <c r="I2706">
        <v>127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 t="s">
        <v>31</v>
      </c>
      <c r="AA2706">
        <v>0</v>
      </c>
    </row>
    <row r="2707" spans="1:27" x14ac:dyDescent="0.2">
      <c r="A2707" t="s">
        <v>418</v>
      </c>
      <c r="B2707">
        <v>2023</v>
      </c>
      <c r="C2707" t="s">
        <v>3579</v>
      </c>
      <c r="D2707" t="s">
        <v>3580</v>
      </c>
      <c r="E2707" t="s">
        <v>29</v>
      </c>
      <c r="F2707" t="s">
        <v>30</v>
      </c>
      <c r="G2707">
        <v>71</v>
      </c>
      <c r="H2707">
        <v>0</v>
      </c>
      <c r="I2707">
        <v>87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 t="s">
        <v>31</v>
      </c>
      <c r="Z2707">
        <v>55</v>
      </c>
      <c r="AA2707">
        <v>0</v>
      </c>
    </row>
    <row r="2708" spans="1:27" x14ac:dyDescent="0.2">
      <c r="A2708" t="s">
        <v>38</v>
      </c>
      <c r="B2708">
        <v>2018</v>
      </c>
      <c r="C2708" t="s">
        <v>3581</v>
      </c>
      <c r="D2708" t="s">
        <v>3582</v>
      </c>
      <c r="E2708" t="s">
        <v>29</v>
      </c>
      <c r="F2708" t="s">
        <v>30</v>
      </c>
      <c r="G2708">
        <v>7</v>
      </c>
      <c r="H2708">
        <v>0</v>
      </c>
      <c r="I2708">
        <v>53</v>
      </c>
      <c r="J2708">
        <v>0</v>
      </c>
      <c r="K2708">
        <v>0</v>
      </c>
      <c r="L2708">
        <v>0</v>
      </c>
      <c r="M2708">
        <v>7</v>
      </c>
      <c r="N2708">
        <v>0</v>
      </c>
      <c r="O2708">
        <v>53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 t="s">
        <v>31</v>
      </c>
      <c r="Z2708">
        <v>55</v>
      </c>
      <c r="AA2708">
        <v>0</v>
      </c>
    </row>
    <row r="2709" spans="1:27" x14ac:dyDescent="0.2">
      <c r="A2709" t="s">
        <v>3035</v>
      </c>
      <c r="B2709">
        <v>2023</v>
      </c>
      <c r="C2709" t="s">
        <v>3583</v>
      </c>
      <c r="D2709" t="s">
        <v>3584</v>
      </c>
      <c r="E2709" t="s">
        <v>29</v>
      </c>
      <c r="F2709" t="s">
        <v>30</v>
      </c>
      <c r="G2709">
        <v>0</v>
      </c>
      <c r="H2709">
        <v>0</v>
      </c>
      <c r="I2709">
        <v>16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 t="s">
        <v>31</v>
      </c>
      <c r="Z2709">
        <v>99</v>
      </c>
      <c r="AA2709">
        <v>0</v>
      </c>
    </row>
    <row r="2710" spans="1:27" x14ac:dyDescent="0.2">
      <c r="A2710" t="s">
        <v>1075</v>
      </c>
      <c r="B2710">
        <v>2023</v>
      </c>
      <c r="C2710" t="s">
        <v>2291</v>
      </c>
      <c r="D2710" t="s">
        <v>3585</v>
      </c>
      <c r="E2710" t="s">
        <v>29</v>
      </c>
      <c r="F2710" t="s">
        <v>30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7</v>
      </c>
      <c r="O2710">
        <v>0</v>
      </c>
      <c r="P2710">
        <v>5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 t="s">
        <v>31</v>
      </c>
      <c r="AA2710">
        <v>52</v>
      </c>
    </row>
    <row r="2711" spans="1:27" x14ac:dyDescent="0.2">
      <c r="A2711" t="s">
        <v>460</v>
      </c>
      <c r="B2711">
        <v>2023</v>
      </c>
      <c r="C2711" t="s">
        <v>3586</v>
      </c>
      <c r="D2711" t="s">
        <v>3288</v>
      </c>
      <c r="E2711" t="s">
        <v>29</v>
      </c>
      <c r="F2711" t="s">
        <v>30</v>
      </c>
      <c r="G2711">
        <v>16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 t="s">
        <v>31</v>
      </c>
      <c r="AA2711">
        <v>25</v>
      </c>
    </row>
    <row r="2712" spans="1:27" x14ac:dyDescent="0.2">
      <c r="A2712" t="s">
        <v>1667</v>
      </c>
      <c r="B2712">
        <v>2021</v>
      </c>
      <c r="C2712">
        <v>126164047</v>
      </c>
      <c r="D2712" t="s">
        <v>3587</v>
      </c>
      <c r="E2712" t="s">
        <v>29</v>
      </c>
      <c r="F2712" t="s">
        <v>30</v>
      </c>
      <c r="G2712">
        <v>15</v>
      </c>
      <c r="H2712">
        <v>0</v>
      </c>
      <c r="I2712">
        <v>15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 t="s">
        <v>31</v>
      </c>
      <c r="Z2712">
        <v>55</v>
      </c>
      <c r="AA2712">
        <v>38</v>
      </c>
    </row>
    <row r="2713" spans="1:27" x14ac:dyDescent="0.2">
      <c r="A2713" t="s">
        <v>1247</v>
      </c>
      <c r="B2713">
        <v>2018</v>
      </c>
      <c r="C2713">
        <v>180690041</v>
      </c>
      <c r="D2713">
        <v>1055</v>
      </c>
      <c r="E2713" t="s">
        <v>29</v>
      </c>
      <c r="F2713" t="s">
        <v>30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6</v>
      </c>
      <c r="N2713">
        <v>0</v>
      </c>
      <c r="O2713">
        <v>1</v>
      </c>
      <c r="P2713">
        <v>0</v>
      </c>
      <c r="Q2713">
        <v>0</v>
      </c>
      <c r="R2713">
        <v>0</v>
      </c>
      <c r="S2713">
        <v>6</v>
      </c>
      <c r="T2713">
        <v>0</v>
      </c>
      <c r="U2713">
        <v>1</v>
      </c>
      <c r="V2713">
        <v>0</v>
      </c>
      <c r="W2713">
        <v>0</v>
      </c>
      <c r="X2713">
        <v>0</v>
      </c>
      <c r="Y2713" t="s">
        <v>31</v>
      </c>
      <c r="AA2713">
        <v>0</v>
      </c>
    </row>
    <row r="2714" spans="1:27" x14ac:dyDescent="0.2">
      <c r="A2714" t="s">
        <v>928</v>
      </c>
      <c r="B2714">
        <v>2024</v>
      </c>
      <c r="C2714" t="s">
        <v>3588</v>
      </c>
      <c r="D2714" t="s">
        <v>3589</v>
      </c>
      <c r="E2714" t="s">
        <v>29</v>
      </c>
      <c r="F2714" t="s">
        <v>41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1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1</v>
      </c>
      <c r="X2714">
        <v>0</v>
      </c>
      <c r="Y2714" t="s">
        <v>51</v>
      </c>
      <c r="Z2714">
        <v>55</v>
      </c>
      <c r="AA2714">
        <v>0</v>
      </c>
    </row>
    <row r="2715" spans="1:27" x14ac:dyDescent="0.2">
      <c r="A2715" t="s">
        <v>928</v>
      </c>
      <c r="B2715">
        <v>2024</v>
      </c>
      <c r="C2715" t="s">
        <v>3590</v>
      </c>
      <c r="D2715" t="s">
        <v>3591</v>
      </c>
      <c r="E2715" t="s">
        <v>29</v>
      </c>
      <c r="F2715" t="s">
        <v>41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1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 t="s">
        <v>51</v>
      </c>
      <c r="Z2715">
        <v>55</v>
      </c>
      <c r="AA2715">
        <v>0</v>
      </c>
    </row>
    <row r="2716" spans="1:27" x14ac:dyDescent="0.2">
      <c r="A2716" t="s">
        <v>172</v>
      </c>
      <c r="B2716">
        <v>2021</v>
      </c>
      <c r="C2716" t="s">
        <v>3592</v>
      </c>
      <c r="D2716" t="s">
        <v>3593</v>
      </c>
      <c r="E2716" t="s">
        <v>29</v>
      </c>
      <c r="F2716" t="s">
        <v>30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54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 t="s">
        <v>31</v>
      </c>
      <c r="Z2716">
        <v>75</v>
      </c>
      <c r="AA2716">
        <v>0</v>
      </c>
    </row>
    <row r="2717" spans="1:27" x14ac:dyDescent="0.2">
      <c r="A2717" t="s">
        <v>172</v>
      </c>
      <c r="B2717">
        <v>2021</v>
      </c>
      <c r="C2717" t="s">
        <v>3594</v>
      </c>
      <c r="D2717" t="s">
        <v>3595</v>
      </c>
      <c r="E2717" t="s">
        <v>29</v>
      </c>
      <c r="F2717" t="s">
        <v>30</v>
      </c>
      <c r="G2717">
        <v>40</v>
      </c>
      <c r="H2717">
        <v>0</v>
      </c>
      <c r="I2717">
        <v>151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 t="s">
        <v>31</v>
      </c>
      <c r="Z2717">
        <v>55</v>
      </c>
      <c r="AA2717">
        <v>65</v>
      </c>
    </row>
    <row r="2718" spans="1:27" x14ac:dyDescent="0.2">
      <c r="A2718" t="s">
        <v>172</v>
      </c>
      <c r="B2718">
        <v>2021</v>
      </c>
      <c r="C2718" t="s">
        <v>3596</v>
      </c>
      <c r="D2718" t="s">
        <v>3597</v>
      </c>
      <c r="E2718" t="s">
        <v>29</v>
      </c>
      <c r="F2718" t="s">
        <v>41</v>
      </c>
      <c r="G2718">
        <v>5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 t="s">
        <v>31</v>
      </c>
      <c r="Z2718">
        <v>55</v>
      </c>
      <c r="AA2718">
        <v>0</v>
      </c>
    </row>
    <row r="2719" spans="1:27" x14ac:dyDescent="0.2">
      <c r="A2719" t="s">
        <v>88</v>
      </c>
      <c r="B2719">
        <v>2023</v>
      </c>
      <c r="C2719" t="s">
        <v>2362</v>
      </c>
      <c r="D2719" t="s">
        <v>3598</v>
      </c>
      <c r="E2719" t="s">
        <v>29</v>
      </c>
      <c r="F2719" t="s">
        <v>41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1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 t="s">
        <v>51</v>
      </c>
      <c r="Z2719">
        <v>20</v>
      </c>
      <c r="AA2719">
        <v>0</v>
      </c>
    </row>
    <row r="2720" spans="1:27" ht="119" x14ac:dyDescent="0.2">
      <c r="A2720" t="s">
        <v>32</v>
      </c>
      <c r="B2720">
        <v>2024</v>
      </c>
      <c r="C2720" t="s">
        <v>35</v>
      </c>
      <c r="D2720" s="1" t="s">
        <v>3599</v>
      </c>
      <c r="E2720" t="s">
        <v>29</v>
      </c>
      <c r="F2720" t="s">
        <v>30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24</v>
      </c>
      <c r="V2720">
        <v>0</v>
      </c>
      <c r="W2720">
        <v>0</v>
      </c>
      <c r="X2720">
        <v>0</v>
      </c>
      <c r="Y2720" t="s">
        <v>31</v>
      </c>
      <c r="Z2720">
        <v>55</v>
      </c>
      <c r="AA2720" s="2" t="s">
        <v>3600</v>
      </c>
    </row>
    <row r="2721" spans="1:27" x14ac:dyDescent="0.2">
      <c r="A2721" t="s">
        <v>418</v>
      </c>
      <c r="B2721">
        <v>2023</v>
      </c>
      <c r="C2721" t="s">
        <v>3601</v>
      </c>
      <c r="D2721" t="s">
        <v>3602</v>
      </c>
      <c r="E2721" t="s">
        <v>29</v>
      </c>
      <c r="F2721" t="s">
        <v>30</v>
      </c>
      <c r="G2721">
        <v>0</v>
      </c>
      <c r="H2721">
        <v>0</v>
      </c>
      <c r="I2721">
        <v>52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 t="s">
        <v>31</v>
      </c>
      <c r="Z2721">
        <v>55</v>
      </c>
      <c r="AA2721">
        <v>0</v>
      </c>
    </row>
    <row r="2722" spans="1:27" x14ac:dyDescent="0.2">
      <c r="A2722" t="s">
        <v>1418</v>
      </c>
      <c r="B2722">
        <v>2021</v>
      </c>
      <c r="C2722" t="s">
        <v>3603</v>
      </c>
      <c r="D2722" t="s">
        <v>3604</v>
      </c>
      <c r="E2722" t="s">
        <v>29</v>
      </c>
      <c r="F2722" t="s">
        <v>30</v>
      </c>
      <c r="G2722">
        <v>1</v>
      </c>
      <c r="H2722">
        <v>0</v>
      </c>
      <c r="I2722">
        <v>1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 t="s">
        <v>51</v>
      </c>
      <c r="Z2722">
        <v>20</v>
      </c>
      <c r="AA2722">
        <v>0</v>
      </c>
    </row>
    <row r="2723" spans="1:27" x14ac:dyDescent="0.2">
      <c r="A2723" t="s">
        <v>1311</v>
      </c>
      <c r="B2723">
        <v>2022</v>
      </c>
      <c r="C2723" t="s">
        <v>3605</v>
      </c>
      <c r="D2723" t="s">
        <v>3606</v>
      </c>
      <c r="E2723" t="s">
        <v>29</v>
      </c>
      <c r="F2723" t="s">
        <v>30</v>
      </c>
      <c r="G2723">
        <v>67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 t="s">
        <v>31</v>
      </c>
      <c r="Z2723">
        <v>77</v>
      </c>
      <c r="AA2723">
        <v>165</v>
      </c>
    </row>
    <row r="2724" spans="1:27" x14ac:dyDescent="0.2">
      <c r="A2724" t="s">
        <v>1449</v>
      </c>
      <c r="B2724">
        <v>2020</v>
      </c>
      <c r="C2724" t="s">
        <v>1460</v>
      </c>
      <c r="D2724" t="s">
        <v>3607</v>
      </c>
      <c r="E2724" t="s">
        <v>29</v>
      </c>
      <c r="F2724" t="s">
        <v>30</v>
      </c>
      <c r="G2724">
        <v>4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 t="s">
        <v>31</v>
      </c>
      <c r="AA2724">
        <v>0</v>
      </c>
    </row>
    <row r="2725" spans="1:27" x14ac:dyDescent="0.2">
      <c r="A2725" t="s">
        <v>1449</v>
      </c>
      <c r="B2725">
        <v>2020</v>
      </c>
      <c r="C2725" t="s">
        <v>3226</v>
      </c>
      <c r="D2725" t="s">
        <v>3608</v>
      </c>
      <c r="E2725" t="s">
        <v>29</v>
      </c>
      <c r="F2725" t="s">
        <v>30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8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 t="s">
        <v>31</v>
      </c>
      <c r="AA2725">
        <v>0</v>
      </c>
    </row>
    <row r="2726" spans="1:27" x14ac:dyDescent="0.2">
      <c r="A2726" t="s">
        <v>3609</v>
      </c>
      <c r="B2726">
        <v>2022</v>
      </c>
      <c r="C2726">
        <v>7376016007</v>
      </c>
      <c r="D2726" t="s">
        <v>3610</v>
      </c>
      <c r="E2726" t="s">
        <v>29</v>
      </c>
      <c r="F2726" t="s">
        <v>30</v>
      </c>
      <c r="G2726">
        <v>1</v>
      </c>
      <c r="H2726">
        <v>0</v>
      </c>
      <c r="I2726">
        <v>0</v>
      </c>
      <c r="J2726">
        <v>0</v>
      </c>
      <c r="K2726">
        <v>0</v>
      </c>
      <c r="L2726">
        <v>3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 t="s">
        <v>31</v>
      </c>
      <c r="Z2726">
        <v>55</v>
      </c>
      <c r="AA2726" s="2" t="s">
        <v>375</v>
      </c>
    </row>
    <row r="2727" spans="1:27" x14ac:dyDescent="0.2">
      <c r="A2727" t="s">
        <v>835</v>
      </c>
      <c r="B2727">
        <v>2023</v>
      </c>
      <c r="C2727" s="2" t="s">
        <v>3611</v>
      </c>
      <c r="D2727" t="s">
        <v>3612</v>
      </c>
      <c r="E2727" t="s">
        <v>29</v>
      </c>
      <c r="F2727" t="s">
        <v>30</v>
      </c>
      <c r="G2727">
        <v>13</v>
      </c>
      <c r="H2727">
        <v>0</v>
      </c>
      <c r="I2727">
        <v>26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 t="s">
        <v>31</v>
      </c>
      <c r="Z2727">
        <v>55</v>
      </c>
      <c r="AA2727">
        <v>20</v>
      </c>
    </row>
    <row r="2728" spans="1:27" x14ac:dyDescent="0.2">
      <c r="A2728" t="s">
        <v>88</v>
      </c>
      <c r="B2728">
        <v>2023</v>
      </c>
      <c r="C2728" t="s">
        <v>3613</v>
      </c>
      <c r="D2728" t="s">
        <v>3614</v>
      </c>
      <c r="E2728" t="s">
        <v>29</v>
      </c>
      <c r="F2728" t="s">
        <v>30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40</v>
      </c>
      <c r="N2728">
        <v>0</v>
      </c>
      <c r="O2728">
        <v>158</v>
      </c>
      <c r="P2728">
        <v>0</v>
      </c>
      <c r="Q2728">
        <v>0</v>
      </c>
      <c r="R2728">
        <v>2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 t="s">
        <v>31</v>
      </c>
      <c r="Z2728">
        <v>55</v>
      </c>
      <c r="AA2728">
        <v>100</v>
      </c>
    </row>
    <row r="2729" spans="1:27" x14ac:dyDescent="0.2">
      <c r="A2729" t="s">
        <v>418</v>
      </c>
      <c r="B2729">
        <v>2023</v>
      </c>
      <c r="C2729" t="s">
        <v>3615</v>
      </c>
      <c r="D2729" t="s">
        <v>3616</v>
      </c>
      <c r="E2729" t="s">
        <v>29</v>
      </c>
      <c r="F2729" t="s">
        <v>30</v>
      </c>
      <c r="G2729">
        <v>31</v>
      </c>
      <c r="H2729">
        <v>0</v>
      </c>
      <c r="I2729">
        <v>31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 t="s">
        <v>31</v>
      </c>
      <c r="Z2729">
        <v>55</v>
      </c>
      <c r="AA2729">
        <v>0</v>
      </c>
    </row>
    <row r="2730" spans="1:27" x14ac:dyDescent="0.2">
      <c r="A2730" t="s">
        <v>418</v>
      </c>
      <c r="B2730">
        <v>2023</v>
      </c>
      <c r="C2730">
        <v>0</v>
      </c>
      <c r="D2730" t="s">
        <v>3617</v>
      </c>
      <c r="E2730" t="s">
        <v>29</v>
      </c>
      <c r="F2730" t="s">
        <v>30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71</v>
      </c>
      <c r="N2730">
        <v>0</v>
      </c>
      <c r="O2730">
        <v>18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 t="s">
        <v>51</v>
      </c>
      <c r="Z2730">
        <v>55</v>
      </c>
      <c r="AA2730">
        <v>0</v>
      </c>
    </row>
    <row r="2731" spans="1:27" x14ac:dyDescent="0.2">
      <c r="A2731" t="s">
        <v>321</v>
      </c>
      <c r="B2731">
        <v>2022</v>
      </c>
      <c r="C2731" t="s">
        <v>3618</v>
      </c>
      <c r="D2731" t="s">
        <v>3619</v>
      </c>
      <c r="E2731" t="s">
        <v>29</v>
      </c>
      <c r="F2731" t="s">
        <v>30</v>
      </c>
      <c r="G2731">
        <v>8</v>
      </c>
      <c r="H2731">
        <v>0</v>
      </c>
      <c r="I2731">
        <v>6</v>
      </c>
      <c r="J2731">
        <v>0</v>
      </c>
      <c r="K2731">
        <v>6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 t="s">
        <v>51</v>
      </c>
      <c r="Z2731">
        <v>55</v>
      </c>
      <c r="AA2731">
        <v>0</v>
      </c>
    </row>
    <row r="2732" spans="1:27" x14ac:dyDescent="0.2">
      <c r="A2732" t="s">
        <v>2316</v>
      </c>
      <c r="B2732">
        <v>2022</v>
      </c>
      <c r="C2732">
        <v>38912020</v>
      </c>
      <c r="D2732" t="s">
        <v>2317</v>
      </c>
      <c r="E2732" t="s">
        <v>29</v>
      </c>
      <c r="F2732" t="s">
        <v>41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 t="s">
        <v>31</v>
      </c>
      <c r="Z2732">
        <v>1000</v>
      </c>
      <c r="AA2732">
        <v>32.5</v>
      </c>
    </row>
    <row r="2733" spans="1:27" x14ac:dyDescent="0.2">
      <c r="A2733" t="s">
        <v>2316</v>
      </c>
      <c r="B2733">
        <v>2022</v>
      </c>
      <c r="C2733">
        <v>38912020</v>
      </c>
      <c r="D2733" t="s">
        <v>2317</v>
      </c>
      <c r="E2733" t="s">
        <v>29</v>
      </c>
      <c r="F2733" t="s">
        <v>41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1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 t="s">
        <v>31</v>
      </c>
      <c r="Z2733">
        <v>1000</v>
      </c>
      <c r="AA2733">
        <v>32.5</v>
      </c>
    </row>
    <row r="2734" spans="1:27" x14ac:dyDescent="0.2">
      <c r="A2734" t="s">
        <v>227</v>
      </c>
      <c r="B2734">
        <v>2022</v>
      </c>
      <c r="C2734" t="s">
        <v>329</v>
      </c>
      <c r="D2734" t="s">
        <v>330</v>
      </c>
      <c r="E2734" t="s">
        <v>29</v>
      </c>
      <c r="F2734" t="s">
        <v>41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1</v>
      </c>
      <c r="N2734">
        <v>0</v>
      </c>
      <c r="O2734">
        <v>0</v>
      </c>
      <c r="P2734">
        <v>0</v>
      </c>
      <c r="Q2734">
        <v>2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 t="s">
        <v>51</v>
      </c>
      <c r="Z2734">
        <v>45</v>
      </c>
      <c r="AA2734">
        <v>0</v>
      </c>
    </row>
    <row r="2735" spans="1:27" x14ac:dyDescent="0.2">
      <c r="A2735" t="s">
        <v>227</v>
      </c>
      <c r="B2735">
        <v>2022</v>
      </c>
      <c r="C2735" t="s">
        <v>3620</v>
      </c>
      <c r="D2735" t="s">
        <v>3621</v>
      </c>
      <c r="E2735" t="s">
        <v>29</v>
      </c>
      <c r="F2735" t="s">
        <v>41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 t="s">
        <v>51</v>
      </c>
      <c r="Z2735">
        <v>45</v>
      </c>
      <c r="AA2735">
        <v>0</v>
      </c>
    </row>
    <row r="2736" spans="1:27" x14ac:dyDescent="0.2">
      <c r="A2736" t="s">
        <v>1658</v>
      </c>
      <c r="B2736">
        <v>2022</v>
      </c>
      <c r="C2736" t="s">
        <v>2320</v>
      </c>
      <c r="D2736" t="s">
        <v>3622</v>
      </c>
      <c r="E2736" t="s">
        <v>29</v>
      </c>
      <c r="F2736" t="s">
        <v>41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1</v>
      </c>
      <c r="V2736">
        <v>0</v>
      </c>
      <c r="W2736">
        <v>0</v>
      </c>
      <c r="X2736">
        <v>0</v>
      </c>
      <c r="Y2736" t="s">
        <v>51</v>
      </c>
      <c r="Z2736">
        <v>1000</v>
      </c>
      <c r="AA2736">
        <v>0</v>
      </c>
    </row>
    <row r="2737" spans="1:27" x14ac:dyDescent="0.2">
      <c r="A2737" t="s">
        <v>418</v>
      </c>
      <c r="B2737">
        <v>2023</v>
      </c>
      <c r="C2737">
        <v>45814022</v>
      </c>
      <c r="D2737" t="s">
        <v>3623</v>
      </c>
      <c r="E2737" t="s">
        <v>29</v>
      </c>
      <c r="F2737" t="s">
        <v>30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54</v>
      </c>
      <c r="N2737">
        <v>0</v>
      </c>
      <c r="O2737">
        <v>108</v>
      </c>
      <c r="P2737">
        <v>0</v>
      </c>
      <c r="Q2737">
        <v>105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 t="s">
        <v>31</v>
      </c>
      <c r="Z2737">
        <v>55</v>
      </c>
      <c r="AA2737">
        <v>0</v>
      </c>
    </row>
    <row r="2738" spans="1:27" x14ac:dyDescent="0.2">
      <c r="A2738" t="s">
        <v>418</v>
      </c>
      <c r="B2738">
        <v>2023</v>
      </c>
      <c r="C2738">
        <v>41220004</v>
      </c>
      <c r="D2738" t="s">
        <v>3624</v>
      </c>
      <c r="E2738" t="s">
        <v>29</v>
      </c>
      <c r="F2738" t="s">
        <v>30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39</v>
      </c>
      <c r="N2738">
        <v>0</v>
      </c>
      <c r="O2738">
        <v>24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 t="s">
        <v>31</v>
      </c>
      <c r="Z2738">
        <v>55</v>
      </c>
      <c r="AA2738">
        <v>0</v>
      </c>
    </row>
    <row r="2739" spans="1:27" x14ac:dyDescent="0.2">
      <c r="A2739" t="s">
        <v>1449</v>
      </c>
      <c r="B2739">
        <v>2021</v>
      </c>
      <c r="C2739" t="s">
        <v>1460</v>
      </c>
      <c r="D2739" t="s">
        <v>3607</v>
      </c>
      <c r="E2739" t="s">
        <v>29</v>
      </c>
      <c r="F2739" t="s">
        <v>30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4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 t="s">
        <v>31</v>
      </c>
      <c r="AA2739">
        <v>35</v>
      </c>
    </row>
    <row r="2740" spans="1:27" x14ac:dyDescent="0.2">
      <c r="A2740" t="s">
        <v>1449</v>
      </c>
      <c r="B2740">
        <v>2021</v>
      </c>
      <c r="C2740" t="s">
        <v>2231</v>
      </c>
      <c r="D2740" t="s">
        <v>3625</v>
      </c>
      <c r="E2740" t="s">
        <v>29</v>
      </c>
      <c r="F2740" t="s">
        <v>30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11</v>
      </c>
      <c r="T2740">
        <v>0</v>
      </c>
      <c r="U2740">
        <v>0</v>
      </c>
      <c r="V2740">
        <v>0</v>
      </c>
      <c r="W2740">
        <v>0</v>
      </c>
      <c r="X2740">
        <v>0</v>
      </c>
      <c r="Y2740" t="s">
        <v>31</v>
      </c>
      <c r="AA2740">
        <v>35</v>
      </c>
    </row>
    <row r="2741" spans="1:27" x14ac:dyDescent="0.2">
      <c r="A2741" t="s">
        <v>894</v>
      </c>
      <c r="B2741">
        <v>2019</v>
      </c>
      <c r="C2741" s="2" t="s">
        <v>2920</v>
      </c>
      <c r="D2741" t="s">
        <v>3278</v>
      </c>
      <c r="E2741" t="s">
        <v>29</v>
      </c>
      <c r="F2741" t="s">
        <v>41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1</v>
      </c>
      <c r="X2741">
        <v>0</v>
      </c>
      <c r="Y2741" t="s">
        <v>51</v>
      </c>
      <c r="Z2741">
        <v>1000</v>
      </c>
      <c r="AA2741">
        <v>0</v>
      </c>
    </row>
    <row r="2742" spans="1:27" x14ac:dyDescent="0.2">
      <c r="A2742" t="s">
        <v>321</v>
      </c>
      <c r="B2742">
        <v>2018</v>
      </c>
      <c r="C2742">
        <v>4289019019</v>
      </c>
      <c r="D2742" t="s">
        <v>3626</v>
      </c>
      <c r="E2742" t="s">
        <v>29</v>
      </c>
      <c r="F2742" t="s">
        <v>30</v>
      </c>
      <c r="G2742">
        <v>8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 t="s">
        <v>51</v>
      </c>
      <c r="Z2742">
        <v>55</v>
      </c>
      <c r="AA2742">
        <v>0</v>
      </c>
    </row>
    <row r="2743" spans="1:27" x14ac:dyDescent="0.2">
      <c r="A2743" t="s">
        <v>1802</v>
      </c>
      <c r="B2743">
        <v>2020</v>
      </c>
      <c r="C2743" t="s">
        <v>3627</v>
      </c>
      <c r="D2743" t="s">
        <v>3628</v>
      </c>
      <c r="E2743" t="s">
        <v>29</v>
      </c>
      <c r="F2743" t="s">
        <v>30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9</v>
      </c>
      <c r="T2743">
        <v>0</v>
      </c>
      <c r="U2743">
        <v>0</v>
      </c>
      <c r="V2743">
        <v>0</v>
      </c>
      <c r="W2743">
        <v>0</v>
      </c>
      <c r="X2743">
        <v>0</v>
      </c>
      <c r="Y2743" t="s">
        <v>51</v>
      </c>
      <c r="Z2743">
        <v>1000</v>
      </c>
      <c r="AA2743">
        <v>0</v>
      </c>
    </row>
    <row r="2744" spans="1:27" x14ac:dyDescent="0.2">
      <c r="A2744" t="s">
        <v>75</v>
      </c>
      <c r="B2744">
        <v>2024</v>
      </c>
      <c r="C2744">
        <v>4920220100</v>
      </c>
      <c r="D2744" t="s">
        <v>3629</v>
      </c>
      <c r="E2744" t="s">
        <v>29</v>
      </c>
      <c r="F2744" t="s">
        <v>30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2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 t="s">
        <v>31</v>
      </c>
      <c r="Z2744">
        <v>55</v>
      </c>
      <c r="AA2744">
        <v>0.5</v>
      </c>
    </row>
    <row r="2745" spans="1:27" x14ac:dyDescent="0.2">
      <c r="A2745" t="s">
        <v>75</v>
      </c>
      <c r="B2745">
        <v>2024</v>
      </c>
      <c r="C2745">
        <v>4714513000</v>
      </c>
      <c r="D2745" t="s">
        <v>3630</v>
      </c>
      <c r="E2745" t="s">
        <v>29</v>
      </c>
      <c r="F2745" t="s">
        <v>30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45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 t="s">
        <v>31</v>
      </c>
      <c r="Z2745">
        <v>55</v>
      </c>
      <c r="AA2745" s="2" t="s">
        <v>3631</v>
      </c>
    </row>
    <row r="2746" spans="1:27" x14ac:dyDescent="0.2">
      <c r="A2746" t="s">
        <v>75</v>
      </c>
      <c r="B2746">
        <v>2024</v>
      </c>
      <c r="C2746">
        <v>4290300300</v>
      </c>
      <c r="D2746" t="s">
        <v>3632</v>
      </c>
      <c r="E2746" t="s">
        <v>29</v>
      </c>
      <c r="F2746" t="s">
        <v>30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3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 t="s">
        <v>51</v>
      </c>
      <c r="AA2746">
        <v>0</v>
      </c>
    </row>
    <row r="2747" spans="1:27" x14ac:dyDescent="0.2">
      <c r="A2747" t="s">
        <v>75</v>
      </c>
      <c r="B2747">
        <v>2024</v>
      </c>
      <c r="C2747">
        <v>4290300300</v>
      </c>
      <c r="D2747" t="s">
        <v>3633</v>
      </c>
      <c r="E2747" t="s">
        <v>29</v>
      </c>
      <c r="F2747" t="s">
        <v>41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 t="s">
        <v>51</v>
      </c>
      <c r="AA2747">
        <v>0</v>
      </c>
    </row>
    <row r="2748" spans="1:27" x14ac:dyDescent="0.2">
      <c r="A2748" t="s">
        <v>1176</v>
      </c>
      <c r="B2748">
        <v>2023</v>
      </c>
      <c r="C2748" t="s">
        <v>3634</v>
      </c>
      <c r="D2748" t="s">
        <v>3635</v>
      </c>
      <c r="E2748" t="s">
        <v>29</v>
      </c>
      <c r="F2748" t="s">
        <v>41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2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 t="s">
        <v>31</v>
      </c>
      <c r="Z2748">
        <v>30</v>
      </c>
      <c r="AA2748">
        <v>0</v>
      </c>
    </row>
    <row r="2749" spans="1:27" x14ac:dyDescent="0.2">
      <c r="A2749" t="s">
        <v>2331</v>
      </c>
      <c r="B2749">
        <v>2019</v>
      </c>
      <c r="C2749" t="s">
        <v>3636</v>
      </c>
      <c r="D2749" t="s">
        <v>3637</v>
      </c>
      <c r="E2749" t="s">
        <v>29</v>
      </c>
      <c r="F2749" t="s">
        <v>30</v>
      </c>
      <c r="G2749">
        <v>16</v>
      </c>
      <c r="H2749">
        <v>0</v>
      </c>
      <c r="I2749">
        <v>16</v>
      </c>
      <c r="J2749">
        <v>0</v>
      </c>
      <c r="K2749">
        <v>0</v>
      </c>
      <c r="L2749">
        <v>0</v>
      </c>
      <c r="M2749">
        <v>16</v>
      </c>
      <c r="N2749">
        <v>0</v>
      </c>
      <c r="O2749">
        <v>16</v>
      </c>
      <c r="P2749">
        <v>0</v>
      </c>
      <c r="Q2749">
        <v>0</v>
      </c>
      <c r="R2749">
        <v>0</v>
      </c>
      <c r="S2749">
        <v>16</v>
      </c>
      <c r="T2749">
        <v>0</v>
      </c>
      <c r="U2749">
        <v>0</v>
      </c>
      <c r="V2749">
        <v>0</v>
      </c>
      <c r="W2749">
        <v>0</v>
      </c>
      <c r="X2749">
        <v>0</v>
      </c>
      <c r="Y2749" t="s">
        <v>51</v>
      </c>
      <c r="Z2749">
        <v>55</v>
      </c>
      <c r="AA2749">
        <v>0</v>
      </c>
    </row>
    <row r="2750" spans="1:27" x14ac:dyDescent="0.2">
      <c r="A2750" t="s">
        <v>912</v>
      </c>
      <c r="B2750">
        <v>2020</v>
      </c>
      <c r="C2750" t="s">
        <v>913</v>
      </c>
      <c r="D2750" t="s">
        <v>914</v>
      </c>
      <c r="E2750" t="s">
        <v>29</v>
      </c>
      <c r="F2750" t="s">
        <v>30</v>
      </c>
      <c r="G2750">
        <v>34</v>
      </c>
      <c r="H2750">
        <v>0</v>
      </c>
      <c r="I2750">
        <v>13</v>
      </c>
      <c r="J2750">
        <v>0</v>
      </c>
      <c r="K2750">
        <v>0</v>
      </c>
      <c r="L2750">
        <v>0</v>
      </c>
      <c r="M2750">
        <v>34</v>
      </c>
      <c r="N2750">
        <v>0</v>
      </c>
      <c r="O2750">
        <v>13</v>
      </c>
      <c r="P2750">
        <v>0</v>
      </c>
      <c r="Q2750">
        <v>0</v>
      </c>
      <c r="R2750">
        <v>0</v>
      </c>
      <c r="S2750">
        <v>34</v>
      </c>
      <c r="T2750">
        <v>0</v>
      </c>
      <c r="U2750">
        <v>13</v>
      </c>
      <c r="V2750">
        <v>0</v>
      </c>
      <c r="W2750">
        <v>0</v>
      </c>
      <c r="X2750">
        <v>0</v>
      </c>
      <c r="Y2750" t="s">
        <v>31</v>
      </c>
      <c r="Z2750">
        <v>30</v>
      </c>
      <c r="AA2750">
        <v>0</v>
      </c>
    </row>
    <row r="2751" spans="1:27" x14ac:dyDescent="0.2">
      <c r="A2751" t="s">
        <v>75</v>
      </c>
      <c r="B2751">
        <v>2024</v>
      </c>
      <c r="C2751">
        <v>4320110400</v>
      </c>
      <c r="D2751" t="s">
        <v>3638</v>
      </c>
      <c r="E2751" t="s">
        <v>29</v>
      </c>
      <c r="F2751" t="s">
        <v>30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1</v>
      </c>
      <c r="N2751">
        <v>0</v>
      </c>
      <c r="O2751">
        <v>2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 t="s">
        <v>31</v>
      </c>
      <c r="Z2751">
        <v>55</v>
      </c>
      <c r="AA2751">
        <v>0</v>
      </c>
    </row>
    <row r="2752" spans="1:27" x14ac:dyDescent="0.2">
      <c r="A2752" t="s">
        <v>75</v>
      </c>
      <c r="B2752">
        <v>2024</v>
      </c>
      <c r="C2752">
        <v>4611900400</v>
      </c>
      <c r="D2752" t="s">
        <v>3639</v>
      </c>
      <c r="E2752" t="s">
        <v>29</v>
      </c>
      <c r="F2752" t="s">
        <v>30</v>
      </c>
      <c r="G2752">
        <v>0</v>
      </c>
      <c r="H2752">
        <v>0</v>
      </c>
      <c r="I2752">
        <v>0</v>
      </c>
      <c r="J2752">
        <v>0</v>
      </c>
      <c r="K2752">
        <v>44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 t="s">
        <v>31</v>
      </c>
      <c r="Z2752">
        <v>55</v>
      </c>
      <c r="AA2752" s="2" t="s">
        <v>3640</v>
      </c>
    </row>
    <row r="2753" spans="1:27" x14ac:dyDescent="0.2">
      <c r="A2753" t="s">
        <v>75</v>
      </c>
      <c r="B2753">
        <v>2024</v>
      </c>
      <c r="C2753">
        <v>4521036600</v>
      </c>
      <c r="D2753" t="s">
        <v>981</v>
      </c>
      <c r="E2753" t="s">
        <v>29</v>
      </c>
      <c r="F2753" t="s">
        <v>30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9</v>
      </c>
      <c r="T2753">
        <v>0</v>
      </c>
      <c r="U2753">
        <v>0</v>
      </c>
      <c r="V2753">
        <v>0</v>
      </c>
      <c r="W2753">
        <v>0</v>
      </c>
      <c r="X2753">
        <v>0</v>
      </c>
      <c r="Y2753" t="s">
        <v>31</v>
      </c>
      <c r="Z2753">
        <v>55</v>
      </c>
      <c r="AA2753" s="2" t="s">
        <v>3641</v>
      </c>
    </row>
    <row r="2754" spans="1:27" x14ac:dyDescent="0.2">
      <c r="A2754" t="s">
        <v>75</v>
      </c>
      <c r="B2754">
        <v>2024</v>
      </c>
      <c r="C2754">
        <v>4612201200</v>
      </c>
      <c r="D2754" t="s">
        <v>3642</v>
      </c>
      <c r="E2754" t="s">
        <v>29</v>
      </c>
      <c r="F2754" t="s">
        <v>30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11</v>
      </c>
      <c r="T2754">
        <v>0</v>
      </c>
      <c r="U2754">
        <v>1</v>
      </c>
      <c r="V2754">
        <v>0</v>
      </c>
      <c r="W2754">
        <v>1</v>
      </c>
      <c r="X2754">
        <v>0</v>
      </c>
      <c r="Y2754" t="s">
        <v>31</v>
      </c>
      <c r="Z2754">
        <v>55</v>
      </c>
      <c r="AA2754" s="2" t="s">
        <v>3643</v>
      </c>
    </row>
    <row r="2755" spans="1:27" x14ac:dyDescent="0.2">
      <c r="A2755" t="s">
        <v>75</v>
      </c>
      <c r="B2755">
        <v>2024</v>
      </c>
      <c r="C2755">
        <v>4520563400</v>
      </c>
      <c r="D2755" t="s">
        <v>1710</v>
      </c>
      <c r="E2755" t="s">
        <v>29</v>
      </c>
      <c r="F2755" t="s">
        <v>30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4</v>
      </c>
      <c r="T2755">
        <v>0</v>
      </c>
      <c r="U2755">
        <v>0</v>
      </c>
      <c r="V2755">
        <v>0</v>
      </c>
      <c r="W2755">
        <v>0</v>
      </c>
      <c r="X2755">
        <v>0</v>
      </c>
      <c r="Y2755" t="s">
        <v>31</v>
      </c>
      <c r="Z2755">
        <v>55</v>
      </c>
      <c r="AA2755">
        <v>0.25</v>
      </c>
    </row>
    <row r="2756" spans="1:27" x14ac:dyDescent="0.2">
      <c r="A2756" t="s">
        <v>75</v>
      </c>
      <c r="B2756">
        <v>2024</v>
      </c>
      <c r="C2756">
        <v>4332503100</v>
      </c>
      <c r="D2756" t="s">
        <v>3644</v>
      </c>
      <c r="E2756" t="s">
        <v>29</v>
      </c>
      <c r="F2756" t="s">
        <v>30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 t="s">
        <v>51</v>
      </c>
      <c r="AA2756">
        <v>0</v>
      </c>
    </row>
    <row r="2757" spans="1:27" x14ac:dyDescent="0.2">
      <c r="A2757" t="s">
        <v>75</v>
      </c>
      <c r="B2757">
        <v>2024</v>
      </c>
      <c r="C2757">
        <v>5480200470</v>
      </c>
      <c r="D2757" t="s">
        <v>3645</v>
      </c>
      <c r="E2757" t="s">
        <v>29</v>
      </c>
      <c r="F2757" t="s">
        <v>41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 t="s">
        <v>51</v>
      </c>
      <c r="AA2757">
        <v>0</v>
      </c>
    </row>
    <row r="2758" spans="1:27" x14ac:dyDescent="0.2">
      <c r="A2758" t="s">
        <v>219</v>
      </c>
      <c r="B2758">
        <v>2021</v>
      </c>
      <c r="C2758" t="s">
        <v>3646</v>
      </c>
      <c r="D2758" t="s">
        <v>243</v>
      </c>
      <c r="E2758" t="s">
        <v>29</v>
      </c>
      <c r="F2758" t="s">
        <v>30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92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 t="s">
        <v>51</v>
      </c>
      <c r="Z2758">
        <v>55</v>
      </c>
      <c r="AA2758">
        <v>0</v>
      </c>
    </row>
    <row r="2759" spans="1:27" x14ac:dyDescent="0.2">
      <c r="A2759" t="s">
        <v>3035</v>
      </c>
      <c r="B2759">
        <v>2024</v>
      </c>
      <c r="C2759" s="2" t="s">
        <v>3036</v>
      </c>
      <c r="D2759" t="s">
        <v>3647</v>
      </c>
      <c r="E2759" t="s">
        <v>29</v>
      </c>
      <c r="F2759" t="s">
        <v>30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38</v>
      </c>
      <c r="V2759">
        <v>0</v>
      </c>
      <c r="W2759">
        <v>0</v>
      </c>
      <c r="X2759">
        <v>0</v>
      </c>
      <c r="Y2759" t="s">
        <v>51</v>
      </c>
      <c r="Z2759">
        <v>99</v>
      </c>
      <c r="AA2759">
        <v>0</v>
      </c>
    </row>
    <row r="2760" spans="1:27" x14ac:dyDescent="0.2">
      <c r="A2760" t="s">
        <v>318</v>
      </c>
      <c r="B2760">
        <v>2018</v>
      </c>
      <c r="C2760">
        <v>-3667</v>
      </c>
      <c r="D2760" t="s">
        <v>3648</v>
      </c>
      <c r="E2760" t="s">
        <v>29</v>
      </c>
      <c r="F2760" t="s">
        <v>41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1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 t="s">
        <v>51</v>
      </c>
      <c r="AA2760">
        <v>0</v>
      </c>
    </row>
    <row r="2761" spans="1:27" x14ac:dyDescent="0.2">
      <c r="A2761" t="s">
        <v>318</v>
      </c>
      <c r="B2761">
        <v>2018</v>
      </c>
      <c r="C2761">
        <v>-3719</v>
      </c>
      <c r="D2761" t="s">
        <v>3649</v>
      </c>
      <c r="E2761" t="s">
        <v>29</v>
      </c>
      <c r="F2761" t="s">
        <v>41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1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 t="s">
        <v>51</v>
      </c>
      <c r="Z2761">
        <v>30</v>
      </c>
      <c r="AA2761">
        <v>0</v>
      </c>
    </row>
    <row r="2762" spans="1:27" x14ac:dyDescent="0.2">
      <c r="A2762" t="s">
        <v>318</v>
      </c>
      <c r="B2762">
        <v>2018</v>
      </c>
      <c r="C2762">
        <v>-3950</v>
      </c>
      <c r="D2762" t="s">
        <v>3650</v>
      </c>
      <c r="E2762" t="s">
        <v>29</v>
      </c>
      <c r="F2762" t="s">
        <v>41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1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 t="s">
        <v>51</v>
      </c>
      <c r="Z2762">
        <v>30</v>
      </c>
      <c r="AA2762">
        <v>0</v>
      </c>
    </row>
    <row r="2763" spans="1:27" x14ac:dyDescent="0.2">
      <c r="A2763" t="s">
        <v>318</v>
      </c>
      <c r="B2763">
        <v>2018</v>
      </c>
      <c r="C2763">
        <v>-4018</v>
      </c>
      <c r="D2763" t="s">
        <v>3651</v>
      </c>
      <c r="E2763" t="s">
        <v>29</v>
      </c>
      <c r="F2763" t="s">
        <v>41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1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 t="s">
        <v>51</v>
      </c>
      <c r="Z2763">
        <v>30</v>
      </c>
      <c r="AA2763">
        <v>0</v>
      </c>
    </row>
    <row r="2764" spans="1:27" x14ac:dyDescent="0.2">
      <c r="A2764" t="s">
        <v>2384</v>
      </c>
      <c r="B2764">
        <v>2020</v>
      </c>
      <c r="C2764" t="s">
        <v>3410</v>
      </c>
      <c r="D2764" t="s">
        <v>3652</v>
      </c>
      <c r="E2764" t="s">
        <v>29</v>
      </c>
      <c r="F2764" t="s">
        <v>30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16</v>
      </c>
      <c r="T2764">
        <v>0</v>
      </c>
      <c r="U2764">
        <v>0</v>
      </c>
      <c r="V2764">
        <v>0</v>
      </c>
      <c r="W2764">
        <v>0</v>
      </c>
      <c r="X2764">
        <v>0</v>
      </c>
      <c r="Y2764" t="s">
        <v>31</v>
      </c>
      <c r="AA2764">
        <v>0</v>
      </c>
    </row>
    <row r="2765" spans="1:27" x14ac:dyDescent="0.2">
      <c r="A2765" t="s">
        <v>318</v>
      </c>
      <c r="B2765">
        <v>2018</v>
      </c>
      <c r="C2765">
        <v>20946029</v>
      </c>
      <c r="D2765" t="s">
        <v>3653</v>
      </c>
      <c r="E2765" t="s">
        <v>29</v>
      </c>
      <c r="F2765" t="s">
        <v>41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1</v>
      </c>
      <c r="X2765">
        <v>0</v>
      </c>
      <c r="Y2765" t="s">
        <v>51</v>
      </c>
      <c r="Z2765">
        <v>30</v>
      </c>
      <c r="AA2765">
        <v>0</v>
      </c>
    </row>
    <row r="2766" spans="1:27" x14ac:dyDescent="0.2">
      <c r="A2766" t="s">
        <v>318</v>
      </c>
      <c r="B2766">
        <v>2018</v>
      </c>
      <c r="C2766">
        <v>-3653</v>
      </c>
      <c r="D2766" t="s">
        <v>3654</v>
      </c>
      <c r="E2766" t="s">
        <v>29</v>
      </c>
      <c r="F2766" t="s">
        <v>41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1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 t="s">
        <v>51</v>
      </c>
      <c r="Z2766">
        <v>30</v>
      </c>
      <c r="AA2766">
        <v>0</v>
      </c>
    </row>
    <row r="2767" spans="1:27" x14ac:dyDescent="0.2">
      <c r="A2767" t="s">
        <v>318</v>
      </c>
      <c r="B2767">
        <v>2018</v>
      </c>
      <c r="C2767">
        <v>-3711</v>
      </c>
      <c r="D2767" t="s">
        <v>3655</v>
      </c>
      <c r="E2767" t="s">
        <v>29</v>
      </c>
      <c r="F2767" t="s">
        <v>41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1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 t="s">
        <v>51</v>
      </c>
      <c r="Z2767">
        <v>30</v>
      </c>
      <c r="AA2767">
        <v>0</v>
      </c>
    </row>
    <row r="2768" spans="1:27" x14ac:dyDescent="0.2">
      <c r="A2768" t="s">
        <v>318</v>
      </c>
      <c r="B2768">
        <v>2018</v>
      </c>
      <c r="C2768">
        <v>-3973</v>
      </c>
      <c r="D2768" t="s">
        <v>3656</v>
      </c>
      <c r="E2768" t="s">
        <v>29</v>
      </c>
      <c r="F2768" t="s">
        <v>41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1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 t="s">
        <v>51</v>
      </c>
      <c r="Z2768">
        <v>30</v>
      </c>
      <c r="AA2768">
        <v>0</v>
      </c>
    </row>
    <row r="2769" spans="1:27" x14ac:dyDescent="0.2">
      <c r="A2769" t="s">
        <v>1624</v>
      </c>
      <c r="B2769">
        <v>2024</v>
      </c>
      <c r="C2769" t="s">
        <v>3657</v>
      </c>
      <c r="D2769" t="s">
        <v>3658</v>
      </c>
      <c r="E2769" t="s">
        <v>29</v>
      </c>
      <c r="F2769" t="s">
        <v>30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89</v>
      </c>
      <c r="T2769">
        <v>0</v>
      </c>
      <c r="U2769">
        <v>0</v>
      </c>
      <c r="V2769">
        <v>0</v>
      </c>
      <c r="W2769">
        <v>0</v>
      </c>
      <c r="X2769">
        <v>0</v>
      </c>
      <c r="Y2769" t="s">
        <v>31</v>
      </c>
      <c r="Z2769">
        <v>55</v>
      </c>
      <c r="AA2769" s="2" t="s">
        <v>3659</v>
      </c>
    </row>
    <row r="2770" spans="1:27" x14ac:dyDescent="0.2">
      <c r="A2770" t="s">
        <v>318</v>
      </c>
      <c r="B2770">
        <v>2018</v>
      </c>
      <c r="C2770">
        <v>-4107</v>
      </c>
      <c r="D2770" t="s">
        <v>3660</v>
      </c>
      <c r="E2770" t="s">
        <v>29</v>
      </c>
      <c r="F2770" t="s">
        <v>41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1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 t="s">
        <v>51</v>
      </c>
      <c r="Z2770">
        <v>30</v>
      </c>
      <c r="AA2770">
        <v>0</v>
      </c>
    </row>
    <row r="2771" spans="1:27" x14ac:dyDescent="0.2">
      <c r="A2771" t="s">
        <v>318</v>
      </c>
      <c r="B2771">
        <v>2018</v>
      </c>
      <c r="C2771">
        <v>20908057</v>
      </c>
      <c r="D2771" t="s">
        <v>3661</v>
      </c>
      <c r="E2771" t="s">
        <v>29</v>
      </c>
      <c r="F2771" t="s">
        <v>41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1</v>
      </c>
      <c r="X2771">
        <v>0</v>
      </c>
      <c r="Y2771" t="s">
        <v>51</v>
      </c>
      <c r="Z2771">
        <v>30</v>
      </c>
      <c r="AA2771">
        <v>0</v>
      </c>
    </row>
    <row r="2772" spans="1:27" x14ac:dyDescent="0.2">
      <c r="A2772" t="s">
        <v>318</v>
      </c>
      <c r="B2772">
        <v>2018</v>
      </c>
      <c r="C2772">
        <v>20565043</v>
      </c>
      <c r="D2772" t="s">
        <v>3662</v>
      </c>
      <c r="E2772" t="s">
        <v>29</v>
      </c>
      <c r="F2772" t="s">
        <v>41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1</v>
      </c>
      <c r="X2772">
        <v>0</v>
      </c>
      <c r="Y2772" t="s">
        <v>51</v>
      </c>
      <c r="Z2772">
        <v>30</v>
      </c>
      <c r="AA2772">
        <v>0</v>
      </c>
    </row>
    <row r="2773" spans="1:27" x14ac:dyDescent="0.2">
      <c r="A2773" t="s">
        <v>318</v>
      </c>
      <c r="B2773">
        <v>2018</v>
      </c>
      <c r="C2773">
        <v>20568068</v>
      </c>
      <c r="D2773" t="s">
        <v>3663</v>
      </c>
      <c r="E2773" t="s">
        <v>29</v>
      </c>
      <c r="F2773" t="s">
        <v>41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1</v>
      </c>
      <c r="X2773">
        <v>0</v>
      </c>
      <c r="Y2773" t="s">
        <v>51</v>
      </c>
      <c r="Z2773">
        <v>30</v>
      </c>
      <c r="AA2773">
        <v>0</v>
      </c>
    </row>
    <row r="2774" spans="1:27" x14ac:dyDescent="0.2">
      <c r="A2774" t="s">
        <v>318</v>
      </c>
      <c r="B2774">
        <v>2018</v>
      </c>
      <c r="C2774">
        <v>20568039</v>
      </c>
      <c r="D2774" t="s">
        <v>3664</v>
      </c>
      <c r="E2774" t="s">
        <v>29</v>
      </c>
      <c r="F2774" t="s">
        <v>41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1</v>
      </c>
      <c r="X2774">
        <v>0</v>
      </c>
      <c r="Y2774" t="s">
        <v>51</v>
      </c>
      <c r="Z2774">
        <v>30</v>
      </c>
      <c r="AA2774">
        <v>0</v>
      </c>
    </row>
    <row r="2775" spans="1:27" x14ac:dyDescent="0.2">
      <c r="A2775" t="s">
        <v>318</v>
      </c>
      <c r="B2775">
        <v>2018</v>
      </c>
      <c r="C2775">
        <v>20568021</v>
      </c>
      <c r="D2775" t="s">
        <v>3665</v>
      </c>
      <c r="E2775" t="s">
        <v>29</v>
      </c>
      <c r="F2775" t="s">
        <v>41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1</v>
      </c>
      <c r="X2775">
        <v>0</v>
      </c>
      <c r="Y2775" t="s">
        <v>51</v>
      </c>
      <c r="Z2775">
        <v>30</v>
      </c>
      <c r="AA2775">
        <v>0</v>
      </c>
    </row>
    <row r="2776" spans="1:27" x14ac:dyDescent="0.2">
      <c r="A2776" t="s">
        <v>318</v>
      </c>
      <c r="B2776">
        <v>2018</v>
      </c>
      <c r="C2776">
        <v>20564008</v>
      </c>
      <c r="D2776" t="s">
        <v>3666</v>
      </c>
      <c r="E2776" t="s">
        <v>29</v>
      </c>
      <c r="F2776" t="s">
        <v>41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1</v>
      </c>
      <c r="X2776">
        <v>0</v>
      </c>
      <c r="Y2776" t="s">
        <v>51</v>
      </c>
      <c r="Z2776">
        <v>30</v>
      </c>
      <c r="AA2776">
        <v>0</v>
      </c>
    </row>
    <row r="2777" spans="1:27" x14ac:dyDescent="0.2">
      <c r="A2777" t="s">
        <v>318</v>
      </c>
      <c r="B2777">
        <v>2018</v>
      </c>
      <c r="C2777">
        <v>20565025</v>
      </c>
      <c r="D2777" t="s">
        <v>3667</v>
      </c>
      <c r="E2777" t="s">
        <v>29</v>
      </c>
      <c r="F2777" t="s">
        <v>41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1</v>
      </c>
      <c r="X2777">
        <v>0</v>
      </c>
      <c r="Y2777" t="s">
        <v>51</v>
      </c>
      <c r="Z2777">
        <v>30</v>
      </c>
      <c r="AA2777">
        <v>0</v>
      </c>
    </row>
    <row r="2778" spans="1:27" x14ac:dyDescent="0.2">
      <c r="A2778" t="s">
        <v>1802</v>
      </c>
      <c r="B2778">
        <v>2020</v>
      </c>
      <c r="C2778" t="s">
        <v>3520</v>
      </c>
      <c r="D2778" t="s">
        <v>3668</v>
      </c>
      <c r="E2778" t="s">
        <v>29</v>
      </c>
      <c r="F2778" t="s">
        <v>30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10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 t="s">
        <v>51</v>
      </c>
      <c r="Z2778">
        <v>1000</v>
      </c>
      <c r="AA2778">
        <v>0</v>
      </c>
    </row>
    <row r="2779" spans="1:27" x14ac:dyDescent="0.2">
      <c r="A2779" t="s">
        <v>32</v>
      </c>
      <c r="B2779">
        <v>2023</v>
      </c>
      <c r="C2779" t="s">
        <v>3669</v>
      </c>
      <c r="D2779" t="s">
        <v>3670</v>
      </c>
      <c r="E2779" t="s">
        <v>29</v>
      </c>
      <c r="F2779" t="s">
        <v>30</v>
      </c>
      <c r="G2779">
        <v>16</v>
      </c>
      <c r="H2779">
        <v>0</v>
      </c>
      <c r="I2779">
        <v>12</v>
      </c>
      <c r="J2779">
        <v>1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 t="s">
        <v>31</v>
      </c>
      <c r="AA2779">
        <v>80</v>
      </c>
    </row>
    <row r="2780" spans="1:27" x14ac:dyDescent="0.2">
      <c r="A2780" t="s">
        <v>219</v>
      </c>
      <c r="B2780">
        <v>2021</v>
      </c>
      <c r="C2780" t="s">
        <v>2637</v>
      </c>
      <c r="D2780" t="s">
        <v>3671</v>
      </c>
      <c r="E2780" t="s">
        <v>29</v>
      </c>
      <c r="F2780" t="s">
        <v>30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11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 t="s">
        <v>31</v>
      </c>
      <c r="Z2780">
        <v>55</v>
      </c>
      <c r="AA2780">
        <v>0</v>
      </c>
    </row>
    <row r="2781" spans="1:27" x14ac:dyDescent="0.2">
      <c r="A2781" t="s">
        <v>3672</v>
      </c>
      <c r="B2781">
        <v>2018</v>
      </c>
      <c r="C2781" t="s">
        <v>3673</v>
      </c>
      <c r="D2781" t="s">
        <v>3674</v>
      </c>
      <c r="E2781" t="s">
        <v>29</v>
      </c>
      <c r="F2781" t="s">
        <v>30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37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 t="s">
        <v>31</v>
      </c>
      <c r="Z2781">
        <v>1000</v>
      </c>
      <c r="AA2781">
        <v>0</v>
      </c>
    </row>
    <row r="2782" spans="1:27" x14ac:dyDescent="0.2">
      <c r="A2782" t="s">
        <v>318</v>
      </c>
      <c r="B2782">
        <v>2018</v>
      </c>
      <c r="C2782">
        <v>-3832</v>
      </c>
      <c r="D2782" t="s">
        <v>3675</v>
      </c>
      <c r="E2782" t="s">
        <v>29</v>
      </c>
      <c r="F2782" t="s">
        <v>41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1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 t="s">
        <v>51</v>
      </c>
      <c r="Z2782">
        <v>30</v>
      </c>
      <c r="AA2782">
        <v>0</v>
      </c>
    </row>
    <row r="2783" spans="1:27" x14ac:dyDescent="0.2">
      <c r="A2783" t="s">
        <v>318</v>
      </c>
      <c r="B2783">
        <v>2018</v>
      </c>
      <c r="C2783">
        <v>20564063</v>
      </c>
      <c r="D2783" t="s">
        <v>3676</v>
      </c>
      <c r="E2783" t="s">
        <v>29</v>
      </c>
      <c r="F2783" t="s">
        <v>41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1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1</v>
      </c>
      <c r="X2783">
        <v>0</v>
      </c>
      <c r="Y2783" t="s">
        <v>51</v>
      </c>
      <c r="Z2783">
        <v>30</v>
      </c>
      <c r="AA2783">
        <v>0</v>
      </c>
    </row>
    <row r="2784" spans="1:27" x14ac:dyDescent="0.2">
      <c r="A2784" t="s">
        <v>318</v>
      </c>
      <c r="B2784">
        <v>2018</v>
      </c>
      <c r="C2784">
        <v>-4019</v>
      </c>
      <c r="D2784" t="s">
        <v>3677</v>
      </c>
      <c r="E2784" t="s">
        <v>29</v>
      </c>
      <c r="F2784" t="s">
        <v>41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1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 t="s">
        <v>51</v>
      </c>
      <c r="Z2784">
        <v>30</v>
      </c>
      <c r="AA2784">
        <v>0</v>
      </c>
    </row>
    <row r="2785" spans="1:27" x14ac:dyDescent="0.2">
      <c r="A2785" t="s">
        <v>883</v>
      </c>
      <c r="B2785">
        <v>2021</v>
      </c>
      <c r="C2785" t="s">
        <v>3678</v>
      </c>
      <c r="D2785" t="s">
        <v>3679</v>
      </c>
      <c r="E2785" t="s">
        <v>29</v>
      </c>
      <c r="F2785" t="s">
        <v>30</v>
      </c>
      <c r="G2785">
        <v>0</v>
      </c>
      <c r="H2785">
        <v>0</v>
      </c>
      <c r="I2785">
        <v>7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 t="s">
        <v>51</v>
      </c>
      <c r="Z2785">
        <v>1000</v>
      </c>
      <c r="AA2785">
        <v>0</v>
      </c>
    </row>
    <row r="2786" spans="1:27" x14ac:dyDescent="0.2">
      <c r="A2786" t="s">
        <v>163</v>
      </c>
      <c r="B2786">
        <v>2021</v>
      </c>
      <c r="C2786">
        <v>4990306700</v>
      </c>
      <c r="D2786" t="s">
        <v>508</v>
      </c>
      <c r="E2786" t="s">
        <v>29</v>
      </c>
      <c r="F2786" t="s">
        <v>30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4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 t="s">
        <v>31</v>
      </c>
      <c r="Z2786">
        <v>55</v>
      </c>
      <c r="AA2786">
        <v>35</v>
      </c>
    </row>
    <row r="2787" spans="1:27" x14ac:dyDescent="0.2">
      <c r="A2787" t="s">
        <v>163</v>
      </c>
      <c r="B2787">
        <v>2021</v>
      </c>
      <c r="C2787">
        <v>4943001100</v>
      </c>
      <c r="D2787" t="s">
        <v>3680</v>
      </c>
      <c r="E2787" t="s">
        <v>29</v>
      </c>
      <c r="F2787" t="s">
        <v>41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 t="s">
        <v>31</v>
      </c>
      <c r="Z2787">
        <v>55</v>
      </c>
      <c r="AA2787">
        <v>0</v>
      </c>
    </row>
    <row r="2788" spans="1:27" x14ac:dyDescent="0.2">
      <c r="A2788" t="s">
        <v>318</v>
      </c>
      <c r="B2788">
        <v>2018</v>
      </c>
      <c r="C2788">
        <v>20908070</v>
      </c>
      <c r="D2788" t="s">
        <v>3681</v>
      </c>
      <c r="E2788" t="s">
        <v>29</v>
      </c>
      <c r="F2788" t="s">
        <v>41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1</v>
      </c>
      <c r="X2788">
        <v>0</v>
      </c>
      <c r="Y2788" t="s">
        <v>51</v>
      </c>
      <c r="Z2788">
        <v>30</v>
      </c>
      <c r="AA2788">
        <v>0</v>
      </c>
    </row>
    <row r="2789" spans="1:27" x14ac:dyDescent="0.2">
      <c r="A2789" t="s">
        <v>318</v>
      </c>
      <c r="B2789">
        <v>2018</v>
      </c>
      <c r="C2789">
        <v>20568029</v>
      </c>
      <c r="D2789" t="s">
        <v>3682</v>
      </c>
      <c r="E2789" t="s">
        <v>29</v>
      </c>
      <c r="F2789" t="s">
        <v>41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1</v>
      </c>
      <c r="X2789">
        <v>0</v>
      </c>
      <c r="Y2789" t="s">
        <v>51</v>
      </c>
      <c r="Z2789">
        <v>30</v>
      </c>
      <c r="AA2789">
        <v>0</v>
      </c>
    </row>
    <row r="2790" spans="1:27" x14ac:dyDescent="0.2">
      <c r="A2790" t="s">
        <v>318</v>
      </c>
      <c r="B2790">
        <v>2018</v>
      </c>
      <c r="C2790">
        <v>20564045</v>
      </c>
      <c r="D2790" t="s">
        <v>3683</v>
      </c>
      <c r="E2790" t="s">
        <v>29</v>
      </c>
      <c r="F2790" t="s">
        <v>41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1</v>
      </c>
      <c r="X2790">
        <v>0</v>
      </c>
      <c r="Y2790" t="s">
        <v>51</v>
      </c>
      <c r="Z2790">
        <v>30</v>
      </c>
      <c r="AA2790">
        <v>0</v>
      </c>
    </row>
    <row r="2791" spans="1:27" x14ac:dyDescent="0.2">
      <c r="A2791" t="s">
        <v>1071</v>
      </c>
      <c r="B2791">
        <v>2022</v>
      </c>
      <c r="C2791">
        <v>72625061</v>
      </c>
      <c r="D2791" t="s">
        <v>3684</v>
      </c>
      <c r="E2791" t="s">
        <v>29</v>
      </c>
      <c r="F2791" t="s">
        <v>30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4</v>
      </c>
      <c r="N2791">
        <v>0</v>
      </c>
      <c r="O2791">
        <v>0</v>
      </c>
      <c r="P2791">
        <v>0</v>
      </c>
      <c r="Q2791">
        <v>0</v>
      </c>
      <c r="R2791">
        <v>15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 t="s">
        <v>51</v>
      </c>
      <c r="Z2791">
        <v>55</v>
      </c>
      <c r="AA2791">
        <v>0</v>
      </c>
    </row>
    <row r="2792" spans="1:27" x14ac:dyDescent="0.2">
      <c r="A2792" t="s">
        <v>1071</v>
      </c>
      <c r="B2792">
        <v>2022</v>
      </c>
      <c r="C2792">
        <v>72636059</v>
      </c>
      <c r="D2792" t="s">
        <v>3685</v>
      </c>
      <c r="E2792" t="s">
        <v>29</v>
      </c>
      <c r="F2792" t="s">
        <v>30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1</v>
      </c>
      <c r="N2792">
        <v>0</v>
      </c>
      <c r="O2792">
        <v>18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 t="s">
        <v>31</v>
      </c>
      <c r="Z2792">
        <v>55</v>
      </c>
      <c r="AA2792">
        <v>80</v>
      </c>
    </row>
    <row r="2793" spans="1:27" x14ac:dyDescent="0.2">
      <c r="A2793" t="s">
        <v>1071</v>
      </c>
      <c r="B2793">
        <v>2022</v>
      </c>
      <c r="C2793">
        <v>72636059</v>
      </c>
      <c r="D2793" t="s">
        <v>3686</v>
      </c>
      <c r="E2793" t="s">
        <v>29</v>
      </c>
      <c r="F2793" t="s">
        <v>30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1</v>
      </c>
      <c r="N2793">
        <v>0</v>
      </c>
      <c r="O2793">
        <v>18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 t="s">
        <v>31</v>
      </c>
      <c r="Z2793">
        <v>55</v>
      </c>
      <c r="AA2793">
        <v>80</v>
      </c>
    </row>
    <row r="2794" spans="1:27" x14ac:dyDescent="0.2">
      <c r="A2794" t="s">
        <v>1071</v>
      </c>
      <c r="B2794">
        <v>2022</v>
      </c>
      <c r="C2794">
        <v>72636059</v>
      </c>
      <c r="D2794" t="s">
        <v>3687</v>
      </c>
      <c r="E2794" t="s">
        <v>29</v>
      </c>
      <c r="F2794" t="s">
        <v>30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1</v>
      </c>
      <c r="N2794">
        <v>0</v>
      </c>
      <c r="O2794">
        <v>18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 t="s">
        <v>31</v>
      </c>
      <c r="Z2794">
        <v>55</v>
      </c>
      <c r="AA2794">
        <v>80</v>
      </c>
    </row>
    <row r="2795" spans="1:27" x14ac:dyDescent="0.2">
      <c r="A2795" t="s">
        <v>1071</v>
      </c>
      <c r="B2795">
        <v>2022</v>
      </c>
      <c r="C2795">
        <v>77904075</v>
      </c>
      <c r="D2795" t="s">
        <v>3688</v>
      </c>
      <c r="E2795" t="s">
        <v>29</v>
      </c>
      <c r="F2795" t="s">
        <v>30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24</v>
      </c>
      <c r="N2795">
        <v>0</v>
      </c>
      <c r="O2795">
        <v>0</v>
      </c>
      <c r="P2795">
        <v>0</v>
      </c>
      <c r="Q2795">
        <v>1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 t="s">
        <v>31</v>
      </c>
      <c r="Z2795">
        <v>55</v>
      </c>
      <c r="AA2795">
        <v>0</v>
      </c>
    </row>
    <row r="2796" spans="1:27" x14ac:dyDescent="0.2">
      <c r="A2796" t="s">
        <v>1071</v>
      </c>
      <c r="B2796">
        <v>2022</v>
      </c>
      <c r="C2796">
        <v>72642001</v>
      </c>
      <c r="D2796" t="s">
        <v>3689</v>
      </c>
      <c r="E2796" t="s">
        <v>29</v>
      </c>
      <c r="F2796" t="s">
        <v>41</v>
      </c>
      <c r="G2796">
        <v>0</v>
      </c>
      <c r="H2796">
        <v>0</v>
      </c>
      <c r="I2796">
        <v>0</v>
      </c>
      <c r="J2796">
        <v>0</v>
      </c>
      <c r="K2796">
        <v>14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 t="s">
        <v>51</v>
      </c>
      <c r="Z2796">
        <v>55</v>
      </c>
      <c r="AA2796">
        <v>0</v>
      </c>
    </row>
    <row r="2797" spans="1:27" x14ac:dyDescent="0.2">
      <c r="A2797" t="s">
        <v>1472</v>
      </c>
      <c r="B2797">
        <v>2022</v>
      </c>
      <c r="C2797" t="s">
        <v>1473</v>
      </c>
      <c r="D2797" t="s">
        <v>3690</v>
      </c>
      <c r="E2797" t="s">
        <v>29</v>
      </c>
      <c r="F2797" t="s">
        <v>30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21</v>
      </c>
      <c r="T2797">
        <v>0</v>
      </c>
      <c r="U2797">
        <v>48</v>
      </c>
      <c r="V2797">
        <v>0</v>
      </c>
      <c r="W2797">
        <v>0</v>
      </c>
      <c r="X2797">
        <v>0</v>
      </c>
      <c r="Y2797" t="s">
        <v>31</v>
      </c>
      <c r="AA2797">
        <v>154</v>
      </c>
    </row>
    <row r="2798" spans="1:27" x14ac:dyDescent="0.2">
      <c r="A2798" t="s">
        <v>1265</v>
      </c>
      <c r="B2798">
        <v>2023</v>
      </c>
      <c r="D2798" t="s">
        <v>1266</v>
      </c>
      <c r="E2798" t="s">
        <v>29</v>
      </c>
      <c r="F2798" t="s">
        <v>30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49</v>
      </c>
      <c r="N2798">
        <v>0</v>
      </c>
      <c r="O2798">
        <v>0</v>
      </c>
      <c r="P2798">
        <v>0</v>
      </c>
      <c r="Q2798">
        <v>1</v>
      </c>
      <c r="R2798">
        <v>0</v>
      </c>
      <c r="S2798">
        <v>49</v>
      </c>
      <c r="T2798">
        <v>0</v>
      </c>
      <c r="U2798">
        <v>0</v>
      </c>
      <c r="V2798">
        <v>0</v>
      </c>
      <c r="W2798">
        <v>1</v>
      </c>
      <c r="X2798">
        <v>0</v>
      </c>
      <c r="Y2798" t="s">
        <v>51</v>
      </c>
      <c r="AA2798">
        <v>0</v>
      </c>
    </row>
    <row r="2799" spans="1:27" x14ac:dyDescent="0.2">
      <c r="A2799" t="s">
        <v>318</v>
      </c>
      <c r="B2799">
        <v>2018</v>
      </c>
      <c r="C2799">
        <v>-3671</v>
      </c>
      <c r="D2799" t="s">
        <v>3691</v>
      </c>
      <c r="E2799" t="s">
        <v>29</v>
      </c>
      <c r="F2799" t="s">
        <v>41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1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 t="s">
        <v>51</v>
      </c>
      <c r="Z2799">
        <v>30</v>
      </c>
      <c r="AA2799">
        <v>0</v>
      </c>
    </row>
    <row r="2800" spans="1:27" x14ac:dyDescent="0.2">
      <c r="A2800" t="s">
        <v>318</v>
      </c>
      <c r="B2800">
        <v>2018</v>
      </c>
      <c r="C2800">
        <v>-3848</v>
      </c>
      <c r="D2800" t="s">
        <v>3692</v>
      </c>
      <c r="E2800" t="s">
        <v>29</v>
      </c>
      <c r="F2800" t="s">
        <v>41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1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 t="s">
        <v>51</v>
      </c>
      <c r="Z2800">
        <v>30</v>
      </c>
      <c r="AA2800">
        <v>0</v>
      </c>
    </row>
    <row r="2801" spans="1:27" x14ac:dyDescent="0.2">
      <c r="A2801" t="s">
        <v>1624</v>
      </c>
      <c r="B2801">
        <v>2021</v>
      </c>
      <c r="C2801" t="s">
        <v>3693</v>
      </c>
      <c r="D2801" t="s">
        <v>3694</v>
      </c>
      <c r="E2801" t="s">
        <v>29</v>
      </c>
      <c r="F2801" t="s">
        <v>30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89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 t="s">
        <v>31</v>
      </c>
      <c r="Z2801">
        <v>55</v>
      </c>
      <c r="AA2801" s="2" t="s">
        <v>2017</v>
      </c>
    </row>
    <row r="2802" spans="1:27" x14ac:dyDescent="0.2">
      <c r="A2802" t="s">
        <v>318</v>
      </c>
      <c r="B2802">
        <v>2018</v>
      </c>
      <c r="C2802">
        <v>-3960</v>
      </c>
      <c r="D2802" t="s">
        <v>3695</v>
      </c>
      <c r="E2802" t="s">
        <v>29</v>
      </c>
      <c r="F2802" t="s">
        <v>41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1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 t="s">
        <v>51</v>
      </c>
      <c r="Z2802">
        <v>30</v>
      </c>
      <c r="AA2802">
        <v>0</v>
      </c>
    </row>
    <row r="2803" spans="1:27" x14ac:dyDescent="0.2">
      <c r="A2803" t="s">
        <v>412</v>
      </c>
      <c r="B2803">
        <v>2020</v>
      </c>
      <c r="C2803" t="s">
        <v>3487</v>
      </c>
      <c r="D2803" t="s">
        <v>3696</v>
      </c>
      <c r="E2803" t="s">
        <v>29</v>
      </c>
      <c r="F2803" t="s">
        <v>30</v>
      </c>
      <c r="G2803">
        <v>0</v>
      </c>
      <c r="H2803">
        <v>0</v>
      </c>
      <c r="I2803">
        <v>0</v>
      </c>
      <c r="J2803">
        <v>0</v>
      </c>
      <c r="K2803">
        <v>1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1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1</v>
      </c>
      <c r="X2803">
        <v>0</v>
      </c>
      <c r="Y2803" t="s">
        <v>51</v>
      </c>
      <c r="AA2803">
        <v>0</v>
      </c>
    </row>
    <row r="2804" spans="1:27" x14ac:dyDescent="0.2">
      <c r="A2804" t="s">
        <v>412</v>
      </c>
      <c r="B2804">
        <v>2020</v>
      </c>
      <c r="C2804" t="s">
        <v>3487</v>
      </c>
      <c r="D2804" t="s">
        <v>3697</v>
      </c>
      <c r="E2804" t="s">
        <v>29</v>
      </c>
      <c r="F2804" t="s">
        <v>30</v>
      </c>
      <c r="G2804">
        <v>0</v>
      </c>
      <c r="H2804">
        <v>0</v>
      </c>
      <c r="I2804">
        <v>0</v>
      </c>
      <c r="J2804">
        <v>0</v>
      </c>
      <c r="K2804">
        <v>2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2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 t="s">
        <v>51</v>
      </c>
      <c r="AA2804">
        <v>0</v>
      </c>
    </row>
    <row r="2805" spans="1:27" x14ac:dyDescent="0.2">
      <c r="A2805" t="s">
        <v>1316</v>
      </c>
      <c r="B2805">
        <v>2023</v>
      </c>
      <c r="C2805" t="s">
        <v>3698</v>
      </c>
      <c r="D2805" t="s">
        <v>3699</v>
      </c>
      <c r="E2805" t="s">
        <v>29</v>
      </c>
      <c r="F2805" t="s">
        <v>30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53</v>
      </c>
      <c r="N2805">
        <v>0</v>
      </c>
      <c r="O2805">
        <v>1</v>
      </c>
      <c r="P2805">
        <v>0</v>
      </c>
      <c r="Q2805">
        <v>35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 t="s">
        <v>31</v>
      </c>
      <c r="Z2805">
        <v>55</v>
      </c>
      <c r="AA2805">
        <v>25</v>
      </c>
    </row>
    <row r="2806" spans="1:27" x14ac:dyDescent="0.2">
      <c r="A2806" t="s">
        <v>1316</v>
      </c>
      <c r="B2806">
        <v>2023</v>
      </c>
      <c r="C2806" t="s">
        <v>3700</v>
      </c>
      <c r="D2806" t="s">
        <v>2597</v>
      </c>
      <c r="E2806" t="s">
        <v>29</v>
      </c>
      <c r="F2806" t="s">
        <v>30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18</v>
      </c>
      <c r="N2806">
        <v>0</v>
      </c>
      <c r="O2806">
        <v>0</v>
      </c>
      <c r="P2806">
        <v>0</v>
      </c>
      <c r="Q2806">
        <v>11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 t="s">
        <v>31</v>
      </c>
      <c r="Z2806">
        <v>30</v>
      </c>
      <c r="AA2806">
        <v>25</v>
      </c>
    </row>
    <row r="2807" spans="1:27" x14ac:dyDescent="0.2">
      <c r="A2807" t="s">
        <v>1165</v>
      </c>
      <c r="B2807">
        <v>2024</v>
      </c>
      <c r="C2807" t="s">
        <v>3701</v>
      </c>
      <c r="D2807" t="s">
        <v>3702</v>
      </c>
      <c r="E2807" t="s">
        <v>29</v>
      </c>
      <c r="F2807" t="s">
        <v>41</v>
      </c>
      <c r="G2807">
        <v>6</v>
      </c>
      <c r="H2807">
        <v>0</v>
      </c>
      <c r="I2807">
        <v>5</v>
      </c>
      <c r="J2807">
        <v>0</v>
      </c>
      <c r="K2807">
        <v>4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 t="s">
        <v>51</v>
      </c>
      <c r="Z2807">
        <v>99</v>
      </c>
      <c r="AA2807">
        <v>0</v>
      </c>
    </row>
    <row r="2808" spans="1:27" x14ac:dyDescent="0.2">
      <c r="A2808" t="s">
        <v>88</v>
      </c>
      <c r="B2808">
        <v>2022</v>
      </c>
      <c r="C2808" t="s">
        <v>3703</v>
      </c>
      <c r="D2808" t="s">
        <v>3704</v>
      </c>
      <c r="E2808" t="s">
        <v>29</v>
      </c>
      <c r="F2808" t="s">
        <v>30</v>
      </c>
      <c r="G2808">
        <v>0</v>
      </c>
      <c r="H2808">
        <v>0</v>
      </c>
      <c r="I2808">
        <v>21</v>
      </c>
      <c r="J2808">
        <v>0</v>
      </c>
      <c r="K2808">
        <v>20</v>
      </c>
      <c r="L2808">
        <v>0</v>
      </c>
      <c r="M2808">
        <v>0</v>
      </c>
      <c r="N2808">
        <v>0</v>
      </c>
      <c r="O2808">
        <v>21</v>
      </c>
      <c r="P2808">
        <v>0</v>
      </c>
      <c r="Q2808">
        <v>20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 t="s">
        <v>51</v>
      </c>
      <c r="Z2808">
        <v>55</v>
      </c>
      <c r="AA2808">
        <v>0</v>
      </c>
    </row>
    <row r="2809" spans="1:27" x14ac:dyDescent="0.2">
      <c r="A2809" t="s">
        <v>318</v>
      </c>
      <c r="B2809">
        <v>2018</v>
      </c>
      <c r="C2809">
        <v>20947005</v>
      </c>
      <c r="D2809" t="s">
        <v>3705</v>
      </c>
      <c r="E2809" t="s">
        <v>29</v>
      </c>
      <c r="F2809" t="s">
        <v>41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1</v>
      </c>
      <c r="X2809">
        <v>0</v>
      </c>
      <c r="Y2809" t="s">
        <v>51</v>
      </c>
      <c r="Z2809">
        <v>30</v>
      </c>
      <c r="AA2809">
        <v>0</v>
      </c>
    </row>
    <row r="2810" spans="1:27" x14ac:dyDescent="0.2">
      <c r="A2810" t="s">
        <v>318</v>
      </c>
      <c r="B2810">
        <v>2018</v>
      </c>
      <c r="C2810">
        <v>-3583</v>
      </c>
      <c r="D2810" t="s">
        <v>3706</v>
      </c>
      <c r="E2810" t="s">
        <v>29</v>
      </c>
      <c r="F2810" t="s">
        <v>41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1</v>
      </c>
      <c r="X2810">
        <v>0</v>
      </c>
      <c r="Y2810" t="s">
        <v>51</v>
      </c>
      <c r="Z2810">
        <v>30</v>
      </c>
      <c r="AA2810">
        <v>0</v>
      </c>
    </row>
    <row r="2811" spans="1:27" x14ac:dyDescent="0.2">
      <c r="A2811" t="s">
        <v>318</v>
      </c>
      <c r="B2811">
        <v>2018</v>
      </c>
      <c r="C2811">
        <v>20568087</v>
      </c>
      <c r="D2811" t="s">
        <v>3707</v>
      </c>
      <c r="E2811" t="s">
        <v>29</v>
      </c>
      <c r="F2811" t="s">
        <v>41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1</v>
      </c>
      <c r="X2811">
        <v>0</v>
      </c>
      <c r="Y2811" t="s">
        <v>51</v>
      </c>
      <c r="Z2811">
        <v>30</v>
      </c>
      <c r="AA2811">
        <v>0</v>
      </c>
    </row>
    <row r="2812" spans="1:27" x14ac:dyDescent="0.2">
      <c r="A2812" t="s">
        <v>318</v>
      </c>
      <c r="B2812">
        <v>2018</v>
      </c>
      <c r="C2812">
        <v>20567031</v>
      </c>
      <c r="D2812" t="s">
        <v>3708</v>
      </c>
      <c r="E2812" t="s">
        <v>29</v>
      </c>
      <c r="F2812" t="s">
        <v>41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1</v>
      </c>
      <c r="X2812">
        <v>0</v>
      </c>
      <c r="Y2812" t="s">
        <v>51</v>
      </c>
      <c r="Z2812">
        <v>30</v>
      </c>
      <c r="AA2812">
        <v>0</v>
      </c>
    </row>
    <row r="2813" spans="1:27" x14ac:dyDescent="0.2">
      <c r="A2813" t="s">
        <v>318</v>
      </c>
      <c r="B2813">
        <v>2018</v>
      </c>
      <c r="C2813">
        <v>20564002</v>
      </c>
      <c r="D2813" t="s">
        <v>3709</v>
      </c>
      <c r="E2813" t="s">
        <v>29</v>
      </c>
      <c r="F2813" t="s">
        <v>41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1</v>
      </c>
      <c r="X2813">
        <v>0</v>
      </c>
      <c r="Y2813" t="s">
        <v>51</v>
      </c>
      <c r="Z2813">
        <v>30</v>
      </c>
      <c r="AA2813">
        <v>0</v>
      </c>
    </row>
    <row r="2814" spans="1:27" x14ac:dyDescent="0.2">
      <c r="A2814" t="s">
        <v>379</v>
      </c>
      <c r="B2814">
        <v>2022</v>
      </c>
      <c r="C2814" t="s">
        <v>3710</v>
      </c>
      <c r="D2814" t="s">
        <v>3711</v>
      </c>
      <c r="E2814" t="s">
        <v>29</v>
      </c>
      <c r="F2814" t="s">
        <v>30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112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 t="s">
        <v>31</v>
      </c>
      <c r="Z2814">
        <v>55</v>
      </c>
      <c r="AA2814">
        <v>13</v>
      </c>
    </row>
    <row r="2815" spans="1:27" x14ac:dyDescent="0.2">
      <c r="A2815" t="s">
        <v>379</v>
      </c>
      <c r="B2815">
        <v>2022</v>
      </c>
      <c r="C2815" t="s">
        <v>3710</v>
      </c>
      <c r="D2815" t="s">
        <v>3711</v>
      </c>
      <c r="E2815" t="s">
        <v>29</v>
      </c>
      <c r="F2815" t="s">
        <v>30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21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 t="s">
        <v>31</v>
      </c>
      <c r="Z2815">
        <v>55</v>
      </c>
      <c r="AA2815">
        <v>13</v>
      </c>
    </row>
    <row r="2816" spans="1:27" x14ac:dyDescent="0.2">
      <c r="A2816" t="s">
        <v>2419</v>
      </c>
      <c r="B2816">
        <v>2022</v>
      </c>
      <c r="C2816">
        <v>60242057</v>
      </c>
      <c r="D2816" t="s">
        <v>2549</v>
      </c>
      <c r="E2816" t="s">
        <v>29</v>
      </c>
      <c r="F2816" t="s">
        <v>30</v>
      </c>
      <c r="G2816">
        <v>0</v>
      </c>
      <c r="H2816">
        <v>0</v>
      </c>
      <c r="I2816">
        <v>53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 t="s">
        <v>31</v>
      </c>
      <c r="AA2816">
        <v>71</v>
      </c>
    </row>
    <row r="2817" spans="1:27" x14ac:dyDescent="0.2">
      <c r="A2817" t="s">
        <v>670</v>
      </c>
      <c r="B2817">
        <v>2021</v>
      </c>
      <c r="C2817">
        <v>4017025903</v>
      </c>
      <c r="D2817" t="s">
        <v>3712</v>
      </c>
      <c r="E2817" t="s">
        <v>29</v>
      </c>
      <c r="F2817" t="s">
        <v>30</v>
      </c>
      <c r="G2817">
        <v>5</v>
      </c>
      <c r="H2817">
        <v>0</v>
      </c>
      <c r="I2817">
        <v>18</v>
      </c>
      <c r="J2817">
        <v>0</v>
      </c>
      <c r="K2817">
        <v>18</v>
      </c>
      <c r="L2817">
        <v>0</v>
      </c>
      <c r="M2817">
        <v>5</v>
      </c>
      <c r="N2817">
        <v>0</v>
      </c>
      <c r="O2817">
        <v>18</v>
      </c>
      <c r="P2817">
        <v>0</v>
      </c>
      <c r="Q2817">
        <v>18</v>
      </c>
      <c r="R2817">
        <v>0</v>
      </c>
      <c r="S2817">
        <v>5</v>
      </c>
      <c r="T2817">
        <v>0</v>
      </c>
      <c r="U2817">
        <v>18</v>
      </c>
      <c r="V2817">
        <v>0</v>
      </c>
      <c r="W2817">
        <v>18</v>
      </c>
      <c r="X2817">
        <v>0</v>
      </c>
      <c r="Y2817" t="s">
        <v>31</v>
      </c>
      <c r="Z2817">
        <v>55</v>
      </c>
      <c r="AA2817">
        <v>100</v>
      </c>
    </row>
    <row r="2818" spans="1:27" x14ac:dyDescent="0.2">
      <c r="A2818" t="s">
        <v>1449</v>
      </c>
      <c r="B2818">
        <v>2022</v>
      </c>
      <c r="C2818" t="s">
        <v>3713</v>
      </c>
      <c r="D2818" t="s">
        <v>3714</v>
      </c>
      <c r="E2818" t="s">
        <v>29</v>
      </c>
      <c r="F2818" t="s">
        <v>30</v>
      </c>
      <c r="G2818">
        <v>5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 t="s">
        <v>31</v>
      </c>
      <c r="Z2818">
        <v>1000</v>
      </c>
      <c r="AA2818">
        <v>32.5</v>
      </c>
    </row>
    <row r="2819" spans="1:27" x14ac:dyDescent="0.2">
      <c r="A2819" t="s">
        <v>1449</v>
      </c>
      <c r="B2819">
        <v>2022</v>
      </c>
      <c r="C2819" t="s">
        <v>3715</v>
      </c>
      <c r="D2819" t="s">
        <v>3716</v>
      </c>
      <c r="E2819" t="s">
        <v>29</v>
      </c>
      <c r="F2819" t="s">
        <v>30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3</v>
      </c>
      <c r="T2819">
        <v>0</v>
      </c>
      <c r="U2819">
        <v>0</v>
      </c>
      <c r="V2819">
        <v>0</v>
      </c>
      <c r="W2819">
        <v>0</v>
      </c>
      <c r="X2819">
        <v>0</v>
      </c>
      <c r="Y2819" t="s">
        <v>51</v>
      </c>
      <c r="Z2819">
        <v>1000</v>
      </c>
      <c r="AA2819">
        <v>0</v>
      </c>
    </row>
    <row r="2820" spans="1:27" x14ac:dyDescent="0.2">
      <c r="A2820" t="s">
        <v>1449</v>
      </c>
      <c r="B2820">
        <v>2022</v>
      </c>
      <c r="C2820" t="s">
        <v>3717</v>
      </c>
      <c r="D2820" t="s">
        <v>3718</v>
      </c>
      <c r="E2820" t="s">
        <v>29</v>
      </c>
      <c r="F2820" t="s">
        <v>30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5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 t="s">
        <v>31</v>
      </c>
      <c r="Z2820">
        <v>1000</v>
      </c>
      <c r="AA2820">
        <v>35</v>
      </c>
    </row>
    <row r="2821" spans="1:27" x14ac:dyDescent="0.2">
      <c r="A2821" t="s">
        <v>600</v>
      </c>
      <c r="B2821">
        <v>2019</v>
      </c>
      <c r="C2821">
        <v>3730007</v>
      </c>
      <c r="D2821" t="s">
        <v>3719</v>
      </c>
      <c r="E2821" t="s">
        <v>29</v>
      </c>
      <c r="F2821" t="s">
        <v>30</v>
      </c>
      <c r="G2821">
        <v>0</v>
      </c>
      <c r="H2821">
        <v>0</v>
      </c>
      <c r="I2821">
        <v>13</v>
      </c>
      <c r="J2821">
        <v>0</v>
      </c>
      <c r="K2821">
        <v>4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 t="s">
        <v>51</v>
      </c>
      <c r="AA2821">
        <v>0</v>
      </c>
    </row>
    <row r="2822" spans="1:27" x14ac:dyDescent="0.2">
      <c r="A2822" t="s">
        <v>600</v>
      </c>
      <c r="B2822">
        <v>2019</v>
      </c>
      <c r="C2822" s="2" t="s">
        <v>3720</v>
      </c>
      <c r="D2822" t="s">
        <v>3721</v>
      </c>
      <c r="E2822" t="s">
        <v>29</v>
      </c>
      <c r="F2822" t="s">
        <v>30</v>
      </c>
      <c r="G2822">
        <v>0</v>
      </c>
      <c r="H2822">
        <v>0</v>
      </c>
      <c r="I2822">
        <v>8</v>
      </c>
      <c r="J2822">
        <v>0</v>
      </c>
      <c r="K2822">
        <v>3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 t="s">
        <v>51</v>
      </c>
      <c r="AA2822">
        <v>0</v>
      </c>
    </row>
    <row r="2823" spans="1:27" x14ac:dyDescent="0.2">
      <c r="A2823" t="s">
        <v>600</v>
      </c>
      <c r="B2823">
        <v>2019</v>
      </c>
      <c r="C2823" s="2" t="s">
        <v>964</v>
      </c>
      <c r="D2823" t="s">
        <v>965</v>
      </c>
      <c r="E2823" t="s">
        <v>29</v>
      </c>
      <c r="F2823" t="s">
        <v>41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7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 t="s">
        <v>51</v>
      </c>
      <c r="AA2823">
        <v>0</v>
      </c>
    </row>
    <row r="2824" spans="1:27" x14ac:dyDescent="0.2">
      <c r="A2824" t="s">
        <v>600</v>
      </c>
      <c r="B2824">
        <v>2019</v>
      </c>
      <c r="C2824">
        <v>6522064</v>
      </c>
      <c r="D2824" t="s">
        <v>1054</v>
      </c>
      <c r="E2824" t="s">
        <v>29</v>
      </c>
      <c r="F2824" t="s">
        <v>30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44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 t="s">
        <v>31</v>
      </c>
      <c r="AA2824">
        <v>0</v>
      </c>
    </row>
    <row r="2825" spans="1:27" x14ac:dyDescent="0.2">
      <c r="A2825" t="s">
        <v>600</v>
      </c>
      <c r="B2825">
        <v>2019</v>
      </c>
      <c r="C2825" t="s">
        <v>2802</v>
      </c>
      <c r="D2825" t="s">
        <v>2803</v>
      </c>
      <c r="E2825" t="s">
        <v>29</v>
      </c>
      <c r="F2825" t="s">
        <v>30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4</v>
      </c>
      <c r="P2825">
        <v>0</v>
      </c>
      <c r="Q2825">
        <v>1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 t="s">
        <v>51</v>
      </c>
      <c r="AA2825">
        <v>0</v>
      </c>
    </row>
    <row r="2826" spans="1:27" x14ac:dyDescent="0.2">
      <c r="A2826" t="s">
        <v>412</v>
      </c>
      <c r="B2826">
        <v>2024</v>
      </c>
      <c r="C2826" t="s">
        <v>3722</v>
      </c>
      <c r="D2826" t="s">
        <v>3723</v>
      </c>
      <c r="E2826" t="s">
        <v>29</v>
      </c>
      <c r="F2826" t="s">
        <v>41</v>
      </c>
      <c r="G2826">
        <v>0</v>
      </c>
      <c r="H2826">
        <v>0</v>
      </c>
      <c r="I2826">
        <v>1</v>
      </c>
      <c r="J2826">
        <v>0</v>
      </c>
      <c r="K2826">
        <v>1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 t="s">
        <v>51</v>
      </c>
      <c r="Z2826">
        <v>1000</v>
      </c>
      <c r="AA2826">
        <v>0</v>
      </c>
    </row>
    <row r="2827" spans="1:27" x14ac:dyDescent="0.2">
      <c r="A2827" t="s">
        <v>88</v>
      </c>
      <c r="B2827">
        <v>2023</v>
      </c>
      <c r="C2827" t="s">
        <v>3724</v>
      </c>
      <c r="D2827" t="s">
        <v>3725</v>
      </c>
      <c r="E2827" t="s">
        <v>29</v>
      </c>
      <c r="F2827" t="s">
        <v>30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2</v>
      </c>
      <c r="N2827">
        <v>0</v>
      </c>
      <c r="O2827">
        <v>9</v>
      </c>
      <c r="P2827">
        <v>0</v>
      </c>
      <c r="Q2827">
        <v>16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 t="s">
        <v>51</v>
      </c>
      <c r="Z2827">
        <v>55</v>
      </c>
      <c r="AA2827">
        <v>0</v>
      </c>
    </row>
    <row r="2828" spans="1:27" x14ac:dyDescent="0.2">
      <c r="A2828" t="s">
        <v>1548</v>
      </c>
      <c r="B2828">
        <v>2024</v>
      </c>
      <c r="C2828" t="s">
        <v>1549</v>
      </c>
      <c r="D2828" t="s">
        <v>3726</v>
      </c>
      <c r="E2828" t="s">
        <v>29</v>
      </c>
      <c r="F2828" t="s">
        <v>30</v>
      </c>
      <c r="G2828">
        <v>0</v>
      </c>
      <c r="H2828">
        <v>0</v>
      </c>
      <c r="I2828">
        <v>4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 t="s">
        <v>51</v>
      </c>
      <c r="AA2828">
        <v>0</v>
      </c>
    </row>
    <row r="2829" spans="1:27" x14ac:dyDescent="0.2">
      <c r="A2829" t="s">
        <v>43</v>
      </c>
      <c r="B2829">
        <v>2022</v>
      </c>
      <c r="C2829">
        <v>5554002010</v>
      </c>
      <c r="D2829" t="s">
        <v>3727</v>
      </c>
      <c r="E2829" t="s">
        <v>29</v>
      </c>
      <c r="F2829" t="s">
        <v>30</v>
      </c>
      <c r="G2829">
        <v>2</v>
      </c>
      <c r="H2829">
        <v>0</v>
      </c>
      <c r="I2829">
        <v>0</v>
      </c>
      <c r="J2829">
        <v>0</v>
      </c>
      <c r="K2829">
        <v>1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 t="s">
        <v>31</v>
      </c>
      <c r="Z2829">
        <v>1000</v>
      </c>
      <c r="AA2829">
        <v>35</v>
      </c>
    </row>
    <row r="2830" spans="1:27" x14ac:dyDescent="0.2">
      <c r="A2830" t="s">
        <v>43</v>
      </c>
      <c r="B2830">
        <v>2022</v>
      </c>
      <c r="C2830">
        <v>4339017030</v>
      </c>
      <c r="D2830" t="s">
        <v>3728</v>
      </c>
      <c r="E2830" t="s">
        <v>29</v>
      </c>
      <c r="F2830" t="s">
        <v>30</v>
      </c>
      <c r="G2830">
        <v>2</v>
      </c>
      <c r="H2830">
        <v>0</v>
      </c>
      <c r="I2830">
        <v>0</v>
      </c>
      <c r="J2830">
        <v>0</v>
      </c>
      <c r="K2830">
        <v>2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 t="s">
        <v>31</v>
      </c>
      <c r="Z2830">
        <v>1000</v>
      </c>
      <c r="AA2830">
        <v>50</v>
      </c>
    </row>
    <row r="2831" spans="1:27" x14ac:dyDescent="0.2">
      <c r="A2831" t="s">
        <v>43</v>
      </c>
      <c r="B2831">
        <v>2022</v>
      </c>
      <c r="C2831">
        <v>5529009034</v>
      </c>
      <c r="D2831" t="s">
        <v>3729</v>
      </c>
      <c r="E2831" t="s">
        <v>29</v>
      </c>
      <c r="F2831" t="s">
        <v>41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3</v>
      </c>
      <c r="T2831">
        <v>0</v>
      </c>
      <c r="U2831">
        <v>1</v>
      </c>
      <c r="V2831">
        <v>0</v>
      </c>
      <c r="W2831">
        <v>1</v>
      </c>
      <c r="X2831">
        <v>0</v>
      </c>
      <c r="Y2831" t="s">
        <v>31</v>
      </c>
      <c r="Z2831">
        <v>1000</v>
      </c>
      <c r="AA2831">
        <v>35</v>
      </c>
    </row>
    <row r="2832" spans="1:27" x14ac:dyDescent="0.2">
      <c r="A2832" t="s">
        <v>321</v>
      </c>
      <c r="B2832">
        <v>2024</v>
      </c>
      <c r="C2832" s="3">
        <v>27785</v>
      </c>
      <c r="D2832" t="s">
        <v>3040</v>
      </c>
      <c r="E2832" t="s">
        <v>29</v>
      </c>
      <c r="F2832" t="s">
        <v>30</v>
      </c>
      <c r="G2832">
        <v>6</v>
      </c>
      <c r="H2832">
        <v>0</v>
      </c>
      <c r="I2832">
        <v>6</v>
      </c>
      <c r="J2832">
        <v>0</v>
      </c>
      <c r="K2832">
        <v>5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 t="s">
        <v>31</v>
      </c>
      <c r="Z2832">
        <v>55</v>
      </c>
      <c r="AA2832" s="2" t="s">
        <v>3730</v>
      </c>
    </row>
    <row r="2833" spans="1:27" x14ac:dyDescent="0.2">
      <c r="A2833" t="s">
        <v>321</v>
      </c>
      <c r="B2833">
        <v>2024</v>
      </c>
      <c r="C2833" t="s">
        <v>3731</v>
      </c>
      <c r="D2833" t="s">
        <v>3031</v>
      </c>
      <c r="E2833" t="s">
        <v>29</v>
      </c>
      <c r="F2833" t="s">
        <v>30</v>
      </c>
      <c r="G2833">
        <v>7</v>
      </c>
      <c r="H2833">
        <v>0</v>
      </c>
      <c r="I2833">
        <v>7</v>
      </c>
      <c r="J2833">
        <v>0</v>
      </c>
      <c r="K2833">
        <v>7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 t="s">
        <v>31</v>
      </c>
      <c r="Z2833">
        <v>55</v>
      </c>
      <c r="AA2833">
        <v>0.5</v>
      </c>
    </row>
    <row r="2834" spans="1:27" x14ac:dyDescent="0.2">
      <c r="A2834" t="s">
        <v>321</v>
      </c>
      <c r="B2834">
        <v>2024</v>
      </c>
      <c r="C2834" t="s">
        <v>3732</v>
      </c>
      <c r="D2834" t="s">
        <v>644</v>
      </c>
      <c r="E2834" t="s">
        <v>29</v>
      </c>
      <c r="F2834" t="s">
        <v>30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1</v>
      </c>
      <c r="T2834">
        <v>0</v>
      </c>
      <c r="U2834">
        <v>0</v>
      </c>
      <c r="V2834">
        <v>0</v>
      </c>
      <c r="W2834">
        <v>0</v>
      </c>
      <c r="X2834">
        <v>0</v>
      </c>
      <c r="Y2834" t="s">
        <v>51</v>
      </c>
      <c r="AA2834">
        <v>0</v>
      </c>
    </row>
    <row r="2835" spans="1:27" x14ac:dyDescent="0.2">
      <c r="A2835" t="s">
        <v>321</v>
      </c>
      <c r="B2835">
        <v>2024</v>
      </c>
      <c r="C2835" s="3">
        <v>24815</v>
      </c>
      <c r="D2835" t="s">
        <v>3733</v>
      </c>
      <c r="E2835" t="s">
        <v>29</v>
      </c>
      <c r="F2835" t="s">
        <v>30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13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 t="s">
        <v>51</v>
      </c>
      <c r="Z2835">
        <v>99</v>
      </c>
      <c r="AA2835">
        <v>0</v>
      </c>
    </row>
    <row r="2836" spans="1:27" x14ac:dyDescent="0.2">
      <c r="A2836" t="s">
        <v>1449</v>
      </c>
      <c r="B2836">
        <v>2022</v>
      </c>
      <c r="C2836" t="s">
        <v>3734</v>
      </c>
      <c r="D2836" t="s">
        <v>3735</v>
      </c>
      <c r="E2836" t="s">
        <v>29</v>
      </c>
      <c r="F2836" t="s">
        <v>30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4</v>
      </c>
      <c r="T2836">
        <v>0</v>
      </c>
      <c r="U2836">
        <v>0</v>
      </c>
      <c r="V2836">
        <v>0</v>
      </c>
      <c r="W2836">
        <v>0</v>
      </c>
      <c r="X2836">
        <v>0</v>
      </c>
      <c r="Y2836" t="s">
        <v>31</v>
      </c>
      <c r="Z2836">
        <v>1000</v>
      </c>
      <c r="AA2836">
        <v>20</v>
      </c>
    </row>
    <row r="2837" spans="1:27" x14ac:dyDescent="0.2">
      <c r="A2837" t="s">
        <v>418</v>
      </c>
      <c r="B2837">
        <v>2023</v>
      </c>
      <c r="C2837" t="s">
        <v>3736</v>
      </c>
      <c r="D2837" t="s">
        <v>3737</v>
      </c>
      <c r="E2837" t="s">
        <v>29</v>
      </c>
      <c r="F2837" t="s">
        <v>30</v>
      </c>
      <c r="G2837">
        <v>0</v>
      </c>
      <c r="H2837">
        <v>0</v>
      </c>
      <c r="I2837">
        <v>79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 t="s">
        <v>31</v>
      </c>
      <c r="Z2837">
        <v>55</v>
      </c>
      <c r="AA2837">
        <v>0</v>
      </c>
    </row>
    <row r="2838" spans="1:27" x14ac:dyDescent="0.2">
      <c r="A2838" t="s">
        <v>418</v>
      </c>
      <c r="B2838">
        <v>2023</v>
      </c>
      <c r="C2838" t="s">
        <v>3738</v>
      </c>
      <c r="D2838" t="s">
        <v>3739</v>
      </c>
      <c r="E2838" t="s">
        <v>29</v>
      </c>
      <c r="F2838" t="s">
        <v>30</v>
      </c>
      <c r="G2838">
        <v>52</v>
      </c>
      <c r="H2838">
        <v>0</v>
      </c>
      <c r="I2838">
        <v>51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 t="s">
        <v>31</v>
      </c>
      <c r="Z2838">
        <v>55</v>
      </c>
      <c r="AA2838">
        <v>0</v>
      </c>
    </row>
    <row r="2839" spans="1:27" x14ac:dyDescent="0.2">
      <c r="A2839" t="s">
        <v>1449</v>
      </c>
      <c r="B2839">
        <v>2022</v>
      </c>
      <c r="C2839" t="s">
        <v>3437</v>
      </c>
      <c r="D2839" t="s">
        <v>3740</v>
      </c>
      <c r="E2839" t="s">
        <v>29</v>
      </c>
      <c r="F2839" t="s">
        <v>30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7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 t="s">
        <v>31</v>
      </c>
      <c r="Z2839">
        <v>1000</v>
      </c>
      <c r="AA2839">
        <v>32.5</v>
      </c>
    </row>
    <row r="2840" spans="1:27" x14ac:dyDescent="0.2">
      <c r="A2840" t="s">
        <v>1449</v>
      </c>
      <c r="B2840">
        <v>2022</v>
      </c>
      <c r="C2840" t="s">
        <v>3741</v>
      </c>
      <c r="D2840" t="s">
        <v>3742</v>
      </c>
      <c r="E2840" t="s">
        <v>29</v>
      </c>
      <c r="F2840" t="s">
        <v>30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53</v>
      </c>
      <c r="N2840">
        <v>0</v>
      </c>
      <c r="O2840">
        <v>33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 t="s">
        <v>31</v>
      </c>
      <c r="Z2840">
        <v>1000</v>
      </c>
      <c r="AA2840">
        <v>35</v>
      </c>
    </row>
    <row r="2841" spans="1:27" x14ac:dyDescent="0.2">
      <c r="A2841" t="s">
        <v>1449</v>
      </c>
      <c r="B2841">
        <v>2022</v>
      </c>
      <c r="C2841" t="s">
        <v>1456</v>
      </c>
      <c r="D2841" t="s">
        <v>3743</v>
      </c>
      <c r="E2841" t="s">
        <v>29</v>
      </c>
      <c r="F2841" t="s">
        <v>30</v>
      </c>
      <c r="G2841">
        <v>3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 t="s">
        <v>31</v>
      </c>
      <c r="Z2841">
        <v>1000</v>
      </c>
      <c r="AA2841">
        <v>32.5</v>
      </c>
    </row>
    <row r="2842" spans="1:27" x14ac:dyDescent="0.2">
      <c r="A2842" t="s">
        <v>3035</v>
      </c>
      <c r="B2842">
        <v>2022</v>
      </c>
      <c r="C2842">
        <v>46031070</v>
      </c>
      <c r="D2842" t="s">
        <v>3037</v>
      </c>
      <c r="E2842" t="s">
        <v>29</v>
      </c>
      <c r="F2842" t="s">
        <v>30</v>
      </c>
      <c r="G2842">
        <v>0</v>
      </c>
      <c r="H2842">
        <v>0</v>
      </c>
      <c r="I2842">
        <v>38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38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 t="s">
        <v>51</v>
      </c>
      <c r="Z2842">
        <v>99</v>
      </c>
      <c r="AA2842">
        <v>0</v>
      </c>
    </row>
    <row r="2843" spans="1:27" x14ac:dyDescent="0.2">
      <c r="A2843" t="s">
        <v>418</v>
      </c>
      <c r="B2843">
        <v>2023</v>
      </c>
      <c r="C2843">
        <v>48118064</v>
      </c>
      <c r="D2843" t="s">
        <v>3744</v>
      </c>
      <c r="E2843" t="s">
        <v>29</v>
      </c>
      <c r="F2843" t="s">
        <v>30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59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 t="s">
        <v>31</v>
      </c>
      <c r="Z2843">
        <v>55</v>
      </c>
      <c r="AA2843">
        <v>0</v>
      </c>
    </row>
    <row r="2844" spans="1:27" x14ac:dyDescent="0.2">
      <c r="A2844" t="s">
        <v>379</v>
      </c>
      <c r="B2844">
        <v>2022</v>
      </c>
      <c r="C2844" t="s">
        <v>3745</v>
      </c>
      <c r="D2844" t="s">
        <v>3746</v>
      </c>
      <c r="E2844" t="s">
        <v>29</v>
      </c>
      <c r="F2844" t="s">
        <v>30</v>
      </c>
      <c r="G2844">
        <v>10</v>
      </c>
      <c r="H2844">
        <v>0</v>
      </c>
      <c r="I2844">
        <v>32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 t="s">
        <v>31</v>
      </c>
      <c r="Z2844">
        <v>55</v>
      </c>
      <c r="AA2844">
        <v>0</v>
      </c>
    </row>
    <row r="2845" spans="1:27" x14ac:dyDescent="0.2">
      <c r="A2845" t="s">
        <v>1449</v>
      </c>
      <c r="B2845">
        <v>2022</v>
      </c>
      <c r="C2845" t="s">
        <v>2148</v>
      </c>
      <c r="D2845" t="s">
        <v>3747</v>
      </c>
      <c r="E2845" t="s">
        <v>29</v>
      </c>
      <c r="F2845" t="s">
        <v>30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7</v>
      </c>
      <c r="T2845">
        <v>0</v>
      </c>
      <c r="U2845">
        <v>14</v>
      </c>
      <c r="V2845">
        <v>0</v>
      </c>
      <c r="W2845">
        <v>12</v>
      </c>
      <c r="X2845">
        <v>0</v>
      </c>
      <c r="Y2845" t="s">
        <v>31</v>
      </c>
      <c r="Z2845">
        <v>1000</v>
      </c>
      <c r="AA2845">
        <v>35</v>
      </c>
    </row>
    <row r="2846" spans="1:27" x14ac:dyDescent="0.2">
      <c r="A2846" t="s">
        <v>318</v>
      </c>
      <c r="B2846">
        <v>2022</v>
      </c>
      <c r="C2846">
        <v>16513080</v>
      </c>
      <c r="D2846" t="s">
        <v>3748</v>
      </c>
      <c r="E2846" t="s">
        <v>29</v>
      </c>
      <c r="F2846" t="s">
        <v>30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6</v>
      </c>
      <c r="T2846">
        <v>0</v>
      </c>
      <c r="U2846">
        <v>0</v>
      </c>
      <c r="V2846">
        <v>0</v>
      </c>
      <c r="W2846">
        <v>0</v>
      </c>
      <c r="X2846">
        <v>0</v>
      </c>
      <c r="Y2846" t="s">
        <v>31</v>
      </c>
      <c r="Z2846">
        <v>55</v>
      </c>
      <c r="AA2846">
        <v>35</v>
      </c>
    </row>
    <row r="2847" spans="1:27" x14ac:dyDescent="0.2">
      <c r="A2847" t="s">
        <v>283</v>
      </c>
      <c r="B2847">
        <v>2019</v>
      </c>
      <c r="C2847" t="s">
        <v>2516</v>
      </c>
      <c r="D2847" t="s">
        <v>2517</v>
      </c>
      <c r="E2847" t="s">
        <v>29</v>
      </c>
      <c r="F2847" t="s">
        <v>30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25</v>
      </c>
      <c r="T2847">
        <v>0</v>
      </c>
      <c r="U2847">
        <v>5</v>
      </c>
      <c r="V2847">
        <v>0</v>
      </c>
      <c r="W2847">
        <v>0</v>
      </c>
      <c r="X2847">
        <v>0</v>
      </c>
      <c r="Y2847" t="s">
        <v>51</v>
      </c>
      <c r="Z2847">
        <v>75</v>
      </c>
      <c r="AA2847">
        <v>0</v>
      </c>
    </row>
    <row r="2848" spans="1:27" x14ac:dyDescent="0.2">
      <c r="A2848" t="s">
        <v>283</v>
      </c>
      <c r="B2848">
        <v>2019</v>
      </c>
      <c r="C2848" t="s">
        <v>2516</v>
      </c>
      <c r="D2848" t="s">
        <v>2573</v>
      </c>
      <c r="E2848" t="s">
        <v>29</v>
      </c>
      <c r="F2848" t="s">
        <v>30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6</v>
      </c>
      <c r="V2848">
        <v>0</v>
      </c>
      <c r="W2848">
        <v>0</v>
      </c>
      <c r="X2848">
        <v>0</v>
      </c>
      <c r="Y2848" t="s">
        <v>51</v>
      </c>
      <c r="Z2848">
        <v>75</v>
      </c>
      <c r="AA2848">
        <v>0</v>
      </c>
    </row>
    <row r="2849" spans="1:27" x14ac:dyDescent="0.2">
      <c r="A2849" t="s">
        <v>1319</v>
      </c>
      <c r="B2849">
        <v>2018</v>
      </c>
      <c r="C2849" t="s">
        <v>3749</v>
      </c>
      <c r="D2849" t="s">
        <v>3750</v>
      </c>
      <c r="E2849" t="s">
        <v>29</v>
      </c>
      <c r="F2849" t="s">
        <v>30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1</v>
      </c>
      <c r="T2849">
        <v>0</v>
      </c>
      <c r="U2849">
        <v>0</v>
      </c>
      <c r="V2849">
        <v>0</v>
      </c>
      <c r="W2849">
        <v>0</v>
      </c>
      <c r="X2849">
        <v>15</v>
      </c>
      <c r="Y2849" t="s">
        <v>31</v>
      </c>
      <c r="Z2849">
        <v>55</v>
      </c>
      <c r="AA2849">
        <v>0</v>
      </c>
    </row>
    <row r="2850" spans="1:27" x14ac:dyDescent="0.2">
      <c r="A2850" t="s">
        <v>600</v>
      </c>
      <c r="B2850">
        <v>2019</v>
      </c>
      <c r="C2850">
        <v>1809028</v>
      </c>
      <c r="D2850" t="s">
        <v>3751</v>
      </c>
      <c r="E2850" t="s">
        <v>29</v>
      </c>
      <c r="F2850" t="s">
        <v>30</v>
      </c>
      <c r="G2850">
        <v>0</v>
      </c>
      <c r="H2850">
        <v>0</v>
      </c>
      <c r="I2850">
        <v>4</v>
      </c>
      <c r="J2850">
        <v>0</v>
      </c>
      <c r="K2850">
        <v>1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 t="s">
        <v>31</v>
      </c>
      <c r="AA2850">
        <v>0</v>
      </c>
    </row>
    <row r="2851" spans="1:27" x14ac:dyDescent="0.2">
      <c r="A2851" t="s">
        <v>600</v>
      </c>
      <c r="B2851">
        <v>2019</v>
      </c>
      <c r="C2851">
        <v>3780044</v>
      </c>
      <c r="D2851" t="s">
        <v>3752</v>
      </c>
      <c r="E2851" t="s">
        <v>29</v>
      </c>
      <c r="F2851" t="s">
        <v>30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30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 t="s">
        <v>51</v>
      </c>
      <c r="AA2851">
        <v>0</v>
      </c>
    </row>
    <row r="2852" spans="1:27" x14ac:dyDescent="0.2">
      <c r="A2852" t="s">
        <v>600</v>
      </c>
      <c r="B2852">
        <v>2019</v>
      </c>
      <c r="C2852">
        <v>8901002</v>
      </c>
      <c r="D2852" t="s">
        <v>1819</v>
      </c>
      <c r="E2852" t="s">
        <v>29</v>
      </c>
      <c r="F2852" t="s">
        <v>30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104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 t="s">
        <v>51</v>
      </c>
      <c r="AA2852">
        <v>0</v>
      </c>
    </row>
    <row r="2853" spans="1:27" x14ac:dyDescent="0.2">
      <c r="A2853" t="s">
        <v>600</v>
      </c>
      <c r="B2853">
        <v>2019</v>
      </c>
      <c r="C2853">
        <v>1107008</v>
      </c>
      <c r="D2853" t="s">
        <v>3239</v>
      </c>
      <c r="E2853" t="s">
        <v>29</v>
      </c>
      <c r="F2853" t="s">
        <v>30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 t="s">
        <v>51</v>
      </c>
      <c r="AA2853">
        <v>0</v>
      </c>
    </row>
    <row r="2854" spans="1:27" x14ac:dyDescent="0.2">
      <c r="A2854" t="s">
        <v>600</v>
      </c>
      <c r="B2854">
        <v>2019</v>
      </c>
      <c r="C2854" s="2" t="s">
        <v>3753</v>
      </c>
      <c r="D2854" t="s">
        <v>3754</v>
      </c>
      <c r="E2854" t="s">
        <v>29</v>
      </c>
      <c r="F2854" t="s">
        <v>30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5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 t="s">
        <v>51</v>
      </c>
      <c r="AA2854">
        <v>0</v>
      </c>
    </row>
    <row r="2855" spans="1:27" x14ac:dyDescent="0.2">
      <c r="A2855" t="s">
        <v>600</v>
      </c>
      <c r="B2855">
        <v>2019</v>
      </c>
      <c r="C2855">
        <v>3505020</v>
      </c>
      <c r="D2855" t="s">
        <v>1949</v>
      </c>
      <c r="E2855" t="s">
        <v>29</v>
      </c>
      <c r="F2855" t="s">
        <v>41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 t="s">
        <v>51</v>
      </c>
      <c r="AA2855">
        <v>0</v>
      </c>
    </row>
    <row r="2856" spans="1:27" x14ac:dyDescent="0.2">
      <c r="A2856" t="s">
        <v>600</v>
      </c>
      <c r="B2856">
        <v>2019</v>
      </c>
      <c r="C2856">
        <v>2648019</v>
      </c>
      <c r="D2856" t="s">
        <v>1341</v>
      </c>
      <c r="E2856" t="s">
        <v>29</v>
      </c>
      <c r="F2856" t="s">
        <v>30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1</v>
      </c>
      <c r="N2856">
        <v>0</v>
      </c>
      <c r="O2856">
        <v>1</v>
      </c>
      <c r="P2856">
        <v>0</v>
      </c>
      <c r="Q2856">
        <v>1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 t="s">
        <v>51</v>
      </c>
      <c r="AA2856">
        <v>0</v>
      </c>
    </row>
    <row r="2857" spans="1:27" x14ac:dyDescent="0.2">
      <c r="A2857" t="s">
        <v>600</v>
      </c>
      <c r="B2857">
        <v>2019</v>
      </c>
      <c r="C2857" s="2" t="s">
        <v>3755</v>
      </c>
      <c r="D2857" t="s">
        <v>3756</v>
      </c>
      <c r="E2857" t="s">
        <v>29</v>
      </c>
      <c r="F2857" t="s">
        <v>30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78</v>
      </c>
      <c r="T2857">
        <v>0</v>
      </c>
      <c r="U2857">
        <v>0</v>
      </c>
      <c r="V2857">
        <v>0</v>
      </c>
      <c r="W2857">
        <v>0</v>
      </c>
      <c r="X2857">
        <v>0</v>
      </c>
      <c r="Y2857" t="s">
        <v>51</v>
      </c>
      <c r="AA2857">
        <v>0</v>
      </c>
    </row>
    <row r="2858" spans="1:27" x14ac:dyDescent="0.2">
      <c r="A2858" t="s">
        <v>600</v>
      </c>
      <c r="B2858">
        <v>2019</v>
      </c>
      <c r="C2858">
        <v>4044013</v>
      </c>
      <c r="D2858" t="s">
        <v>3757</v>
      </c>
      <c r="E2858" t="s">
        <v>29</v>
      </c>
      <c r="F2858" t="s">
        <v>41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8</v>
      </c>
      <c r="X2858">
        <v>0</v>
      </c>
      <c r="Y2858" t="s">
        <v>51</v>
      </c>
      <c r="AA2858">
        <v>0</v>
      </c>
    </row>
    <row r="2859" spans="1:27" x14ac:dyDescent="0.2">
      <c r="A2859" t="s">
        <v>600</v>
      </c>
      <c r="B2859">
        <v>2019</v>
      </c>
      <c r="C2859">
        <v>4041009</v>
      </c>
      <c r="D2859" t="s">
        <v>3758</v>
      </c>
      <c r="E2859" t="s">
        <v>29</v>
      </c>
      <c r="F2859" t="s">
        <v>30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7</v>
      </c>
      <c r="V2859">
        <v>0</v>
      </c>
      <c r="W2859">
        <v>0</v>
      </c>
      <c r="X2859">
        <v>0</v>
      </c>
      <c r="Y2859" t="s">
        <v>51</v>
      </c>
      <c r="AA2859">
        <v>0</v>
      </c>
    </row>
    <row r="2860" spans="1:27" x14ac:dyDescent="0.2">
      <c r="A2860" t="s">
        <v>600</v>
      </c>
      <c r="B2860">
        <v>2019</v>
      </c>
      <c r="C2860">
        <v>3995022</v>
      </c>
      <c r="D2860" t="s">
        <v>3759</v>
      </c>
      <c r="E2860" t="s">
        <v>29</v>
      </c>
      <c r="F2860" t="s">
        <v>30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 t="s">
        <v>51</v>
      </c>
      <c r="AA2860">
        <v>0</v>
      </c>
    </row>
    <row r="2861" spans="1:27" x14ac:dyDescent="0.2">
      <c r="A2861" t="s">
        <v>600</v>
      </c>
      <c r="B2861">
        <v>2019</v>
      </c>
      <c r="C2861">
        <v>3736190</v>
      </c>
      <c r="D2861" t="s">
        <v>1152</v>
      </c>
      <c r="E2861" t="s">
        <v>29</v>
      </c>
      <c r="F2861" t="s">
        <v>30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 t="s">
        <v>51</v>
      </c>
      <c r="AA2861">
        <v>0</v>
      </c>
    </row>
    <row r="2862" spans="1:27" x14ac:dyDescent="0.2">
      <c r="A2862" t="s">
        <v>1075</v>
      </c>
      <c r="B2862">
        <v>2022</v>
      </c>
      <c r="C2862">
        <v>44310410</v>
      </c>
      <c r="D2862" t="s">
        <v>2474</v>
      </c>
      <c r="E2862" t="s">
        <v>29</v>
      </c>
      <c r="F2862" t="s">
        <v>30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5</v>
      </c>
      <c r="N2862">
        <v>0</v>
      </c>
      <c r="O2862">
        <v>9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 t="s">
        <v>31</v>
      </c>
      <c r="Z2862">
        <v>55</v>
      </c>
      <c r="AA2862">
        <v>255</v>
      </c>
    </row>
    <row r="2863" spans="1:27" x14ac:dyDescent="0.2">
      <c r="A2863" t="s">
        <v>600</v>
      </c>
      <c r="B2863">
        <v>2019</v>
      </c>
      <c r="C2863">
        <v>3725068</v>
      </c>
      <c r="D2863" t="s">
        <v>3760</v>
      </c>
      <c r="E2863" t="s">
        <v>29</v>
      </c>
      <c r="F2863" t="s">
        <v>30</v>
      </c>
      <c r="G2863">
        <v>22</v>
      </c>
      <c r="H2863">
        <v>0</v>
      </c>
      <c r="I2863">
        <v>113</v>
      </c>
      <c r="J2863">
        <v>0</v>
      </c>
      <c r="K2863">
        <v>8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 t="s">
        <v>31</v>
      </c>
      <c r="AA2863">
        <v>0</v>
      </c>
    </row>
    <row r="2864" spans="1:27" x14ac:dyDescent="0.2">
      <c r="A2864" t="s">
        <v>600</v>
      </c>
      <c r="B2864">
        <v>2019</v>
      </c>
      <c r="C2864" t="s">
        <v>3761</v>
      </c>
      <c r="D2864" t="s">
        <v>3762</v>
      </c>
      <c r="E2864" t="s">
        <v>29</v>
      </c>
      <c r="F2864" t="s">
        <v>41</v>
      </c>
      <c r="G2864">
        <v>0</v>
      </c>
      <c r="H2864">
        <v>0</v>
      </c>
      <c r="I2864">
        <v>1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 t="s">
        <v>51</v>
      </c>
      <c r="AA2864">
        <v>0</v>
      </c>
    </row>
    <row r="2865" spans="1:27" x14ac:dyDescent="0.2">
      <c r="A2865" t="s">
        <v>600</v>
      </c>
      <c r="B2865">
        <v>2019</v>
      </c>
      <c r="C2865">
        <v>8954001</v>
      </c>
      <c r="D2865" t="s">
        <v>1948</v>
      </c>
      <c r="E2865" t="s">
        <v>29</v>
      </c>
      <c r="F2865" t="s">
        <v>41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3</v>
      </c>
      <c r="P2865">
        <v>0</v>
      </c>
      <c r="Q2865">
        <v>8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 t="s">
        <v>51</v>
      </c>
      <c r="AA2865">
        <v>0</v>
      </c>
    </row>
    <row r="2866" spans="1:27" x14ac:dyDescent="0.2">
      <c r="A2866" t="s">
        <v>600</v>
      </c>
      <c r="B2866">
        <v>2019</v>
      </c>
      <c r="C2866">
        <v>3510058</v>
      </c>
      <c r="D2866" t="s">
        <v>970</v>
      </c>
      <c r="E2866" t="s">
        <v>29</v>
      </c>
      <c r="F2866" t="s">
        <v>30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7</v>
      </c>
      <c r="V2866">
        <v>0</v>
      </c>
      <c r="W2866">
        <v>0</v>
      </c>
      <c r="X2866">
        <v>0</v>
      </c>
      <c r="Y2866" t="s">
        <v>51</v>
      </c>
      <c r="AA2866">
        <v>0</v>
      </c>
    </row>
    <row r="2867" spans="1:27" x14ac:dyDescent="0.2">
      <c r="A2867" t="s">
        <v>600</v>
      </c>
      <c r="B2867">
        <v>2019</v>
      </c>
      <c r="C2867">
        <v>4108017</v>
      </c>
      <c r="D2867" t="s">
        <v>3763</v>
      </c>
      <c r="E2867" t="s">
        <v>29</v>
      </c>
      <c r="F2867" t="s">
        <v>41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19</v>
      </c>
      <c r="V2867">
        <v>0</v>
      </c>
      <c r="W2867">
        <v>0</v>
      </c>
      <c r="X2867">
        <v>0</v>
      </c>
      <c r="Y2867" t="s">
        <v>51</v>
      </c>
      <c r="AA2867">
        <v>0</v>
      </c>
    </row>
    <row r="2868" spans="1:27" x14ac:dyDescent="0.2">
      <c r="A2868" t="s">
        <v>600</v>
      </c>
      <c r="B2868">
        <v>2019</v>
      </c>
      <c r="C2868">
        <v>4105009</v>
      </c>
      <c r="D2868" t="s">
        <v>974</v>
      </c>
      <c r="E2868" t="s">
        <v>29</v>
      </c>
      <c r="F2868" t="s">
        <v>30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 t="s">
        <v>51</v>
      </c>
      <c r="AA2868">
        <v>0</v>
      </c>
    </row>
    <row r="2869" spans="1:27" x14ac:dyDescent="0.2">
      <c r="A2869" t="s">
        <v>600</v>
      </c>
      <c r="B2869">
        <v>2019</v>
      </c>
      <c r="C2869">
        <v>3615055</v>
      </c>
      <c r="D2869" t="s">
        <v>924</v>
      </c>
      <c r="E2869" t="s">
        <v>29</v>
      </c>
      <c r="F2869" t="s">
        <v>30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 t="s">
        <v>51</v>
      </c>
      <c r="AA2869">
        <v>0</v>
      </c>
    </row>
    <row r="2870" spans="1:27" x14ac:dyDescent="0.2">
      <c r="A2870" t="s">
        <v>1075</v>
      </c>
      <c r="B2870">
        <v>2022</v>
      </c>
      <c r="C2870">
        <v>44409228</v>
      </c>
      <c r="D2870" t="s">
        <v>3764</v>
      </c>
      <c r="E2870" t="s">
        <v>29</v>
      </c>
      <c r="F2870" t="s">
        <v>30</v>
      </c>
      <c r="G2870">
        <v>0</v>
      </c>
      <c r="H2870">
        <v>55</v>
      </c>
      <c r="I2870">
        <v>0</v>
      </c>
      <c r="J2870">
        <v>22</v>
      </c>
      <c r="K2870">
        <v>0</v>
      </c>
      <c r="L2870">
        <v>0</v>
      </c>
      <c r="M2870">
        <v>0</v>
      </c>
      <c r="N2870">
        <v>55</v>
      </c>
      <c r="O2870">
        <v>0</v>
      </c>
      <c r="P2870">
        <v>22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 t="s">
        <v>31</v>
      </c>
      <c r="AA2870">
        <v>113</v>
      </c>
    </row>
    <row r="2871" spans="1:27" x14ac:dyDescent="0.2">
      <c r="A2871" t="s">
        <v>418</v>
      </c>
      <c r="B2871">
        <v>2022</v>
      </c>
      <c r="C2871">
        <v>26415024</v>
      </c>
      <c r="D2871" t="s">
        <v>3765</v>
      </c>
      <c r="E2871" t="s">
        <v>29</v>
      </c>
      <c r="F2871" t="s">
        <v>30</v>
      </c>
      <c r="G2871">
        <v>0</v>
      </c>
      <c r="H2871">
        <v>0</v>
      </c>
      <c r="I2871">
        <v>68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 t="s">
        <v>31</v>
      </c>
      <c r="Z2871">
        <v>55</v>
      </c>
      <c r="AA2871">
        <v>0</v>
      </c>
    </row>
    <row r="2872" spans="1:27" x14ac:dyDescent="0.2">
      <c r="A2872" t="s">
        <v>418</v>
      </c>
      <c r="B2872">
        <v>2022</v>
      </c>
      <c r="C2872">
        <v>25947069</v>
      </c>
      <c r="D2872" t="s">
        <v>3766</v>
      </c>
      <c r="E2872" t="s">
        <v>29</v>
      </c>
      <c r="F2872" t="s">
        <v>30</v>
      </c>
      <c r="G2872">
        <v>0</v>
      </c>
      <c r="H2872">
        <v>0</v>
      </c>
      <c r="I2872">
        <v>63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 t="s">
        <v>31</v>
      </c>
      <c r="AA2872">
        <v>50</v>
      </c>
    </row>
    <row r="2873" spans="1:27" x14ac:dyDescent="0.2">
      <c r="A2873" t="s">
        <v>418</v>
      </c>
      <c r="B2873">
        <v>2022</v>
      </c>
      <c r="C2873">
        <v>47217005</v>
      </c>
      <c r="D2873" t="s">
        <v>3767</v>
      </c>
      <c r="E2873" t="s">
        <v>29</v>
      </c>
      <c r="F2873" t="s">
        <v>30</v>
      </c>
      <c r="G2873">
        <v>0</v>
      </c>
      <c r="H2873">
        <v>0</v>
      </c>
      <c r="I2873">
        <v>33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 t="s">
        <v>31</v>
      </c>
      <c r="AA2873">
        <v>0</v>
      </c>
    </row>
    <row r="2874" spans="1:27" x14ac:dyDescent="0.2">
      <c r="A2874" t="s">
        <v>69</v>
      </c>
      <c r="B2874">
        <v>2024</v>
      </c>
      <c r="C2874" t="s">
        <v>3768</v>
      </c>
      <c r="D2874" t="s">
        <v>3769</v>
      </c>
      <c r="E2874" t="s">
        <v>29</v>
      </c>
      <c r="F2874" t="s">
        <v>30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9</v>
      </c>
      <c r="T2874">
        <v>0</v>
      </c>
      <c r="U2874">
        <v>10</v>
      </c>
      <c r="V2874">
        <v>0</v>
      </c>
      <c r="W2874">
        <v>0</v>
      </c>
      <c r="X2874">
        <v>0</v>
      </c>
      <c r="Y2874" t="s">
        <v>51</v>
      </c>
      <c r="Z2874">
        <v>30</v>
      </c>
      <c r="AA2874">
        <v>0</v>
      </c>
    </row>
    <row r="2875" spans="1:27" x14ac:dyDescent="0.2">
      <c r="A2875" t="s">
        <v>876</v>
      </c>
      <c r="B2875">
        <v>2024</v>
      </c>
      <c r="C2875">
        <v>27930043</v>
      </c>
      <c r="D2875" t="s">
        <v>879</v>
      </c>
      <c r="E2875" t="s">
        <v>29</v>
      </c>
      <c r="F2875" t="s">
        <v>30</v>
      </c>
      <c r="G2875">
        <v>20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 t="s">
        <v>31</v>
      </c>
      <c r="Z2875">
        <v>45</v>
      </c>
      <c r="AA2875" s="2" t="s">
        <v>3316</v>
      </c>
    </row>
    <row r="2876" spans="1:27" x14ac:dyDescent="0.2">
      <c r="A2876" t="s">
        <v>876</v>
      </c>
      <c r="B2876">
        <v>2024</v>
      </c>
      <c r="C2876">
        <v>41208061</v>
      </c>
      <c r="D2876" t="s">
        <v>878</v>
      </c>
      <c r="E2876" t="s">
        <v>29</v>
      </c>
      <c r="F2876" t="s">
        <v>41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1</v>
      </c>
      <c r="N2876">
        <v>0</v>
      </c>
      <c r="O2876">
        <v>1</v>
      </c>
      <c r="P2876">
        <v>0</v>
      </c>
      <c r="Q2876">
        <v>0</v>
      </c>
      <c r="R2876">
        <v>0</v>
      </c>
      <c r="S2876">
        <v>1</v>
      </c>
      <c r="T2876">
        <v>0</v>
      </c>
      <c r="U2876">
        <v>1</v>
      </c>
      <c r="V2876">
        <v>0</v>
      </c>
      <c r="W2876">
        <v>0</v>
      </c>
      <c r="X2876">
        <v>0</v>
      </c>
      <c r="Y2876" t="s">
        <v>31</v>
      </c>
      <c r="Z2876">
        <v>0</v>
      </c>
      <c r="AA2876">
        <v>0.25</v>
      </c>
    </row>
    <row r="2877" spans="1:27" x14ac:dyDescent="0.2">
      <c r="A2877" t="s">
        <v>27</v>
      </c>
      <c r="B2877">
        <v>2024</v>
      </c>
      <c r="C2877">
        <v>7280015097</v>
      </c>
      <c r="D2877" t="s">
        <v>3770</v>
      </c>
      <c r="E2877" t="s">
        <v>29</v>
      </c>
      <c r="F2877" t="s">
        <v>30</v>
      </c>
      <c r="G2877">
        <v>16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 t="s">
        <v>51</v>
      </c>
      <c r="AA2877">
        <v>0</v>
      </c>
    </row>
    <row r="2878" spans="1:27" x14ac:dyDescent="0.2">
      <c r="A2878" t="s">
        <v>27</v>
      </c>
      <c r="B2878">
        <v>2024</v>
      </c>
      <c r="C2878">
        <v>7273023011</v>
      </c>
      <c r="D2878" t="s">
        <v>3771</v>
      </c>
      <c r="E2878" t="s">
        <v>29</v>
      </c>
      <c r="F2878" t="s">
        <v>30</v>
      </c>
      <c r="G2878">
        <v>6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 t="s">
        <v>51</v>
      </c>
      <c r="AA2878">
        <v>0</v>
      </c>
    </row>
    <row r="2879" spans="1:27" x14ac:dyDescent="0.2">
      <c r="A2879" t="s">
        <v>27</v>
      </c>
      <c r="B2879">
        <v>2024</v>
      </c>
      <c r="C2879">
        <v>7274015058</v>
      </c>
      <c r="D2879" t="s">
        <v>3772</v>
      </c>
      <c r="E2879" t="s">
        <v>29</v>
      </c>
      <c r="F2879" t="s">
        <v>30</v>
      </c>
      <c r="G2879">
        <v>4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 t="s">
        <v>51</v>
      </c>
      <c r="AA2879">
        <v>0</v>
      </c>
    </row>
    <row r="2880" spans="1:27" x14ac:dyDescent="0.2">
      <c r="A2880" t="s">
        <v>2331</v>
      </c>
      <c r="B2880">
        <v>2024</v>
      </c>
      <c r="C2880" t="s">
        <v>3773</v>
      </c>
      <c r="D2880" t="s">
        <v>3774</v>
      </c>
      <c r="E2880" t="s">
        <v>29</v>
      </c>
      <c r="F2880" t="s">
        <v>30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59</v>
      </c>
      <c r="T2880">
        <v>0</v>
      </c>
      <c r="U2880">
        <v>0</v>
      </c>
      <c r="V2880">
        <v>0</v>
      </c>
      <c r="W2880">
        <v>0</v>
      </c>
      <c r="X2880">
        <v>0</v>
      </c>
      <c r="Y2880" t="s">
        <v>31</v>
      </c>
      <c r="AA2880">
        <v>0</v>
      </c>
    </row>
    <row r="2881" spans="1:27" x14ac:dyDescent="0.2">
      <c r="A2881" t="s">
        <v>2417</v>
      </c>
      <c r="B2881">
        <v>2024</v>
      </c>
      <c r="C2881">
        <v>5336021023</v>
      </c>
      <c r="D2881" t="s">
        <v>3775</v>
      </c>
      <c r="E2881" t="s">
        <v>29</v>
      </c>
      <c r="F2881" t="s">
        <v>41</v>
      </c>
      <c r="G2881">
        <v>0</v>
      </c>
      <c r="H2881">
        <v>0</v>
      </c>
      <c r="I2881">
        <v>10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 t="s">
        <v>31</v>
      </c>
      <c r="AA2881" s="2" t="s">
        <v>3316</v>
      </c>
    </row>
    <row r="2882" spans="1:27" x14ac:dyDescent="0.2">
      <c r="A2882" t="s">
        <v>3776</v>
      </c>
      <c r="B2882">
        <v>2024</v>
      </c>
      <c r="C2882" s="2" t="s">
        <v>3777</v>
      </c>
      <c r="D2882" t="s">
        <v>3778</v>
      </c>
      <c r="E2882" t="s">
        <v>29</v>
      </c>
      <c r="F2882" t="s">
        <v>30</v>
      </c>
      <c r="G2882">
        <v>20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20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 t="s">
        <v>31</v>
      </c>
      <c r="AA2882" s="2" t="s">
        <v>3779</v>
      </c>
    </row>
    <row r="2883" spans="1:27" x14ac:dyDescent="0.2">
      <c r="A2883" t="s">
        <v>48</v>
      </c>
      <c r="B2883">
        <v>2018</v>
      </c>
      <c r="C2883" t="s">
        <v>3780</v>
      </c>
      <c r="D2883" t="s">
        <v>3781</v>
      </c>
      <c r="E2883" t="s">
        <v>29</v>
      </c>
      <c r="F2883" t="s">
        <v>30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32</v>
      </c>
      <c r="N2883">
        <v>0</v>
      </c>
      <c r="O2883">
        <v>4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 t="s">
        <v>31</v>
      </c>
      <c r="Z2883">
        <v>55</v>
      </c>
      <c r="AA2883">
        <v>0</v>
      </c>
    </row>
    <row r="2884" spans="1:27" x14ac:dyDescent="0.2">
      <c r="A2884" t="s">
        <v>1316</v>
      </c>
      <c r="B2884">
        <v>2024</v>
      </c>
      <c r="C2884" t="s">
        <v>3782</v>
      </c>
      <c r="D2884" t="s">
        <v>3783</v>
      </c>
      <c r="E2884" t="s">
        <v>29</v>
      </c>
      <c r="F2884" t="s">
        <v>30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22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 t="s">
        <v>31</v>
      </c>
      <c r="AA2884" s="2" t="s">
        <v>3299</v>
      </c>
    </row>
    <row r="2885" spans="1:27" x14ac:dyDescent="0.2">
      <c r="A2885" t="s">
        <v>1667</v>
      </c>
      <c r="B2885">
        <v>2021</v>
      </c>
      <c r="C2885">
        <v>126132005</v>
      </c>
      <c r="D2885" t="s">
        <v>3784</v>
      </c>
      <c r="E2885" t="s">
        <v>29</v>
      </c>
      <c r="F2885" t="s">
        <v>30</v>
      </c>
      <c r="G2885">
        <v>0</v>
      </c>
      <c r="H2885">
        <v>0</v>
      </c>
      <c r="I2885">
        <v>313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 t="s">
        <v>31</v>
      </c>
      <c r="Z2885">
        <v>55</v>
      </c>
      <c r="AA2885">
        <v>42</v>
      </c>
    </row>
    <row r="2886" spans="1:27" x14ac:dyDescent="0.2">
      <c r="A2886" t="s">
        <v>3785</v>
      </c>
      <c r="B2886">
        <v>2021</v>
      </c>
      <c r="C2886" t="s">
        <v>3786</v>
      </c>
      <c r="D2886" t="s">
        <v>3787</v>
      </c>
      <c r="E2886" t="s">
        <v>29</v>
      </c>
      <c r="F2886" t="s">
        <v>30</v>
      </c>
      <c r="G2886">
        <v>84</v>
      </c>
      <c r="H2886">
        <v>0</v>
      </c>
      <c r="I2886">
        <v>84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 t="s">
        <v>31</v>
      </c>
      <c r="AA2886">
        <v>50</v>
      </c>
    </row>
    <row r="2887" spans="1:27" x14ac:dyDescent="0.2">
      <c r="A2887" t="s">
        <v>48</v>
      </c>
      <c r="B2887">
        <v>2018</v>
      </c>
      <c r="C2887" t="s">
        <v>3788</v>
      </c>
      <c r="D2887" t="s">
        <v>3789</v>
      </c>
      <c r="E2887" t="s">
        <v>29</v>
      </c>
      <c r="F2887" t="s">
        <v>30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37</v>
      </c>
      <c r="T2887">
        <v>0</v>
      </c>
      <c r="U2887">
        <v>9</v>
      </c>
      <c r="V2887">
        <v>0</v>
      </c>
      <c r="W2887">
        <v>0</v>
      </c>
      <c r="X2887">
        <v>0</v>
      </c>
      <c r="Y2887" t="s">
        <v>31</v>
      </c>
      <c r="Z2887">
        <v>55</v>
      </c>
      <c r="AA2887">
        <v>0</v>
      </c>
    </row>
    <row r="2888" spans="1:27" x14ac:dyDescent="0.2">
      <c r="A2888" t="s">
        <v>3790</v>
      </c>
      <c r="B2888">
        <v>2018</v>
      </c>
      <c r="C2888" t="s">
        <v>3791</v>
      </c>
      <c r="D2888" t="s">
        <v>3792</v>
      </c>
      <c r="E2888" t="s">
        <v>29</v>
      </c>
      <c r="F2888" t="s">
        <v>30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31</v>
      </c>
      <c r="N2888">
        <v>0</v>
      </c>
      <c r="O2888">
        <v>34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 t="s">
        <v>51</v>
      </c>
      <c r="Z2888">
        <v>55</v>
      </c>
      <c r="AA2888">
        <v>0</v>
      </c>
    </row>
    <row r="2889" spans="1:27" x14ac:dyDescent="0.2">
      <c r="A2889" t="s">
        <v>3793</v>
      </c>
      <c r="B2889">
        <v>2018</v>
      </c>
      <c r="C2889">
        <v>20822008</v>
      </c>
      <c r="D2889" t="s">
        <v>3794</v>
      </c>
      <c r="E2889" t="s">
        <v>29</v>
      </c>
      <c r="F2889" t="s">
        <v>30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4</v>
      </c>
      <c r="O2889">
        <v>0</v>
      </c>
      <c r="P2889">
        <v>4</v>
      </c>
      <c r="Q2889">
        <v>0</v>
      </c>
      <c r="R2889">
        <v>4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 t="s">
        <v>51</v>
      </c>
      <c r="AA2889">
        <v>0</v>
      </c>
    </row>
    <row r="2890" spans="1:27" x14ac:dyDescent="0.2">
      <c r="A2890" t="s">
        <v>2604</v>
      </c>
      <c r="B2890">
        <v>2023</v>
      </c>
      <c r="C2890" t="s">
        <v>3795</v>
      </c>
      <c r="D2890" t="s">
        <v>3796</v>
      </c>
      <c r="E2890" t="s">
        <v>29</v>
      </c>
      <c r="F2890" t="s">
        <v>30</v>
      </c>
      <c r="G2890">
        <v>5</v>
      </c>
      <c r="H2890">
        <v>0</v>
      </c>
      <c r="I2890">
        <v>3</v>
      </c>
      <c r="J2890">
        <v>0</v>
      </c>
      <c r="K2890">
        <v>0</v>
      </c>
      <c r="L2890">
        <v>0</v>
      </c>
      <c r="M2890">
        <v>5</v>
      </c>
      <c r="N2890">
        <v>0</v>
      </c>
      <c r="O2890">
        <v>3</v>
      </c>
      <c r="P2890">
        <v>0</v>
      </c>
      <c r="Q2890">
        <v>0</v>
      </c>
      <c r="R2890">
        <v>0</v>
      </c>
      <c r="S2890">
        <v>5</v>
      </c>
      <c r="T2890">
        <v>0</v>
      </c>
      <c r="U2890">
        <v>3</v>
      </c>
      <c r="V2890">
        <v>0</v>
      </c>
      <c r="W2890">
        <v>0</v>
      </c>
      <c r="X2890">
        <v>0</v>
      </c>
      <c r="Y2890" t="s">
        <v>51</v>
      </c>
      <c r="Z2890">
        <v>55</v>
      </c>
      <c r="AA2890">
        <v>0</v>
      </c>
    </row>
    <row r="2891" spans="1:27" x14ac:dyDescent="0.2">
      <c r="A2891" t="s">
        <v>219</v>
      </c>
      <c r="B2891">
        <v>2024</v>
      </c>
      <c r="C2891" t="s">
        <v>3797</v>
      </c>
      <c r="D2891" t="s">
        <v>3798</v>
      </c>
      <c r="E2891" t="s">
        <v>29</v>
      </c>
      <c r="F2891" t="s">
        <v>41</v>
      </c>
      <c r="G2891">
        <v>0</v>
      </c>
      <c r="H2891">
        <v>0</v>
      </c>
      <c r="I2891">
        <v>0</v>
      </c>
      <c r="J2891">
        <v>0</v>
      </c>
      <c r="K2891">
        <v>10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 t="s">
        <v>51</v>
      </c>
      <c r="Z2891">
        <v>45</v>
      </c>
      <c r="AA2891">
        <v>0</v>
      </c>
    </row>
    <row r="2892" spans="1:27" x14ac:dyDescent="0.2">
      <c r="A2892" t="s">
        <v>1127</v>
      </c>
      <c r="B2892">
        <v>2021</v>
      </c>
      <c r="C2892" t="s">
        <v>1267</v>
      </c>
      <c r="D2892" t="s">
        <v>1268</v>
      </c>
      <c r="E2892" t="s">
        <v>29</v>
      </c>
      <c r="F2892" t="s">
        <v>30</v>
      </c>
      <c r="G2892">
        <v>0</v>
      </c>
      <c r="H2892">
        <v>0</v>
      </c>
      <c r="I2892">
        <v>1</v>
      </c>
      <c r="J2892">
        <v>0</v>
      </c>
      <c r="K2892">
        <v>0</v>
      </c>
      <c r="L2892">
        <v>1</v>
      </c>
      <c r="M2892">
        <v>0</v>
      </c>
      <c r="N2892">
        <v>0</v>
      </c>
      <c r="O2892">
        <v>1</v>
      </c>
      <c r="P2892">
        <v>0</v>
      </c>
      <c r="Q2892">
        <v>1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 t="s">
        <v>31</v>
      </c>
      <c r="AA2892">
        <v>0</v>
      </c>
    </row>
    <row r="2893" spans="1:27" x14ac:dyDescent="0.2">
      <c r="A2893" t="s">
        <v>547</v>
      </c>
      <c r="B2893">
        <v>2024</v>
      </c>
      <c r="C2893">
        <v>2237001017</v>
      </c>
      <c r="D2893" t="s">
        <v>3799</v>
      </c>
      <c r="E2893" t="s">
        <v>29</v>
      </c>
      <c r="F2893" t="s">
        <v>30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6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6</v>
      </c>
      <c r="T2893">
        <v>0</v>
      </c>
      <c r="U2893">
        <v>0</v>
      </c>
      <c r="V2893">
        <v>0</v>
      </c>
      <c r="W2893">
        <v>0</v>
      </c>
      <c r="X2893">
        <v>0</v>
      </c>
      <c r="Y2893" t="s">
        <v>31</v>
      </c>
      <c r="Z2893">
        <v>55</v>
      </c>
      <c r="AA2893">
        <v>4</v>
      </c>
    </row>
    <row r="2894" spans="1:27" x14ac:dyDescent="0.2">
      <c r="A2894" t="s">
        <v>547</v>
      </c>
      <c r="B2894">
        <v>2024</v>
      </c>
      <c r="C2894">
        <v>5507030015</v>
      </c>
      <c r="D2894" t="s">
        <v>3800</v>
      </c>
      <c r="E2894" t="s">
        <v>29</v>
      </c>
      <c r="F2894" t="s">
        <v>30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6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6</v>
      </c>
      <c r="T2894">
        <v>0</v>
      </c>
      <c r="U2894">
        <v>0</v>
      </c>
      <c r="V2894">
        <v>0</v>
      </c>
      <c r="W2894">
        <v>0</v>
      </c>
      <c r="X2894">
        <v>0</v>
      </c>
      <c r="Y2894" t="s">
        <v>31</v>
      </c>
      <c r="Z2894">
        <v>55</v>
      </c>
      <c r="AA2894">
        <v>35</v>
      </c>
    </row>
    <row r="2895" spans="1:27" x14ac:dyDescent="0.2">
      <c r="A2895" t="s">
        <v>1706</v>
      </c>
      <c r="B2895">
        <v>2018</v>
      </c>
      <c r="C2895" t="s">
        <v>3801</v>
      </c>
      <c r="D2895" t="s">
        <v>3802</v>
      </c>
      <c r="E2895" t="s">
        <v>29</v>
      </c>
      <c r="F2895" t="s">
        <v>30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10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 t="s">
        <v>31</v>
      </c>
      <c r="Z2895">
        <v>55</v>
      </c>
      <c r="AA2895">
        <v>0</v>
      </c>
    </row>
    <row r="2896" spans="1:27" x14ac:dyDescent="0.2">
      <c r="A2896" t="s">
        <v>172</v>
      </c>
      <c r="B2896">
        <v>2021</v>
      </c>
      <c r="C2896" t="s">
        <v>3803</v>
      </c>
      <c r="D2896" t="s">
        <v>3804</v>
      </c>
      <c r="E2896" t="s">
        <v>29</v>
      </c>
      <c r="F2896" t="s">
        <v>30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31</v>
      </c>
      <c r="T2896">
        <v>0</v>
      </c>
      <c r="U2896">
        <v>19</v>
      </c>
      <c r="V2896">
        <v>0</v>
      </c>
      <c r="W2896">
        <v>0</v>
      </c>
      <c r="X2896">
        <v>0</v>
      </c>
      <c r="Y2896" t="s">
        <v>31</v>
      </c>
      <c r="Z2896">
        <v>55</v>
      </c>
      <c r="AA2896">
        <v>0</v>
      </c>
    </row>
    <row r="2897" spans="1:27" x14ac:dyDescent="0.2">
      <c r="A2897" t="s">
        <v>172</v>
      </c>
      <c r="B2897">
        <v>2021</v>
      </c>
      <c r="C2897" t="s">
        <v>3805</v>
      </c>
      <c r="D2897" t="s">
        <v>3806</v>
      </c>
      <c r="E2897" t="s">
        <v>29</v>
      </c>
      <c r="F2897" t="s">
        <v>30</v>
      </c>
      <c r="G2897">
        <v>0</v>
      </c>
      <c r="H2897">
        <v>0</v>
      </c>
      <c r="I2897">
        <v>1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1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 t="s">
        <v>31</v>
      </c>
      <c r="Z2897">
        <v>55</v>
      </c>
      <c r="AA2897">
        <v>0</v>
      </c>
    </row>
    <row r="2898" spans="1:27" x14ac:dyDescent="0.2">
      <c r="A2898" t="s">
        <v>172</v>
      </c>
      <c r="B2898">
        <v>2021</v>
      </c>
      <c r="C2898" t="s">
        <v>3807</v>
      </c>
      <c r="D2898" t="s">
        <v>3808</v>
      </c>
      <c r="E2898" t="s">
        <v>29</v>
      </c>
      <c r="F2898" t="s">
        <v>30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9</v>
      </c>
      <c r="X2898">
        <v>0</v>
      </c>
      <c r="Y2898" t="s">
        <v>31</v>
      </c>
      <c r="Z2898">
        <v>55</v>
      </c>
      <c r="AA2898">
        <v>0</v>
      </c>
    </row>
    <row r="2899" spans="1:27" x14ac:dyDescent="0.2">
      <c r="A2899" t="s">
        <v>1418</v>
      </c>
      <c r="B2899">
        <v>2021</v>
      </c>
      <c r="C2899" t="s">
        <v>2988</v>
      </c>
      <c r="D2899" t="s">
        <v>2989</v>
      </c>
      <c r="E2899" t="s">
        <v>29</v>
      </c>
      <c r="F2899" t="s">
        <v>30</v>
      </c>
      <c r="G2899">
        <v>36</v>
      </c>
      <c r="H2899">
        <v>0</v>
      </c>
      <c r="I2899">
        <v>136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 t="s">
        <v>31</v>
      </c>
      <c r="Z2899">
        <v>55</v>
      </c>
      <c r="AA2899">
        <v>65</v>
      </c>
    </row>
    <row r="2900" spans="1:27" x14ac:dyDescent="0.2">
      <c r="A2900" t="s">
        <v>1418</v>
      </c>
      <c r="B2900">
        <v>2021</v>
      </c>
      <c r="C2900" t="s">
        <v>3809</v>
      </c>
      <c r="D2900" t="s">
        <v>3810</v>
      </c>
      <c r="E2900" t="s">
        <v>29</v>
      </c>
      <c r="F2900" t="s">
        <v>30</v>
      </c>
      <c r="G2900">
        <v>9</v>
      </c>
      <c r="H2900">
        <v>0</v>
      </c>
      <c r="I2900">
        <v>9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 t="s">
        <v>51</v>
      </c>
      <c r="Z2900">
        <v>20</v>
      </c>
      <c r="AA2900">
        <v>0</v>
      </c>
    </row>
    <row r="2901" spans="1:27" x14ac:dyDescent="0.2">
      <c r="A2901" t="s">
        <v>2184</v>
      </c>
      <c r="B2901">
        <v>2021</v>
      </c>
      <c r="C2901" t="s">
        <v>3209</v>
      </c>
      <c r="D2901" t="s">
        <v>3210</v>
      </c>
      <c r="E2901" t="s">
        <v>29</v>
      </c>
      <c r="F2901" t="s">
        <v>30</v>
      </c>
      <c r="G2901">
        <v>4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 t="s">
        <v>31</v>
      </c>
      <c r="Z2901">
        <v>1000</v>
      </c>
      <c r="AA2901">
        <v>50</v>
      </c>
    </row>
    <row r="2902" spans="1:27" x14ac:dyDescent="0.2">
      <c r="A2902" t="s">
        <v>1449</v>
      </c>
      <c r="B2902">
        <v>2020</v>
      </c>
      <c r="C2902" t="s">
        <v>2339</v>
      </c>
      <c r="D2902" t="s">
        <v>3811</v>
      </c>
      <c r="E2902" t="s">
        <v>29</v>
      </c>
      <c r="F2902" t="s">
        <v>30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3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 t="s">
        <v>31</v>
      </c>
      <c r="AA2902">
        <v>0</v>
      </c>
    </row>
    <row r="2903" spans="1:27" x14ac:dyDescent="0.2">
      <c r="A2903" t="s">
        <v>547</v>
      </c>
      <c r="B2903">
        <v>2024</v>
      </c>
      <c r="C2903">
        <v>5041025029</v>
      </c>
      <c r="D2903" t="s">
        <v>3812</v>
      </c>
      <c r="E2903" t="s">
        <v>29</v>
      </c>
      <c r="F2903" t="s">
        <v>30</v>
      </c>
      <c r="G2903">
        <v>0</v>
      </c>
      <c r="H2903">
        <v>0</v>
      </c>
      <c r="I2903">
        <v>159</v>
      </c>
      <c r="J2903">
        <v>0</v>
      </c>
      <c r="K2903">
        <v>41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 t="s">
        <v>31</v>
      </c>
      <c r="Z2903">
        <v>55</v>
      </c>
      <c r="AA2903">
        <v>347</v>
      </c>
    </row>
    <row r="2904" spans="1:27" x14ac:dyDescent="0.2">
      <c r="A2904" t="s">
        <v>547</v>
      </c>
      <c r="B2904">
        <v>2024</v>
      </c>
      <c r="C2904">
        <v>5056003025</v>
      </c>
      <c r="D2904" t="s">
        <v>3813</v>
      </c>
      <c r="E2904" t="s">
        <v>29</v>
      </c>
      <c r="F2904" t="s">
        <v>30</v>
      </c>
      <c r="G2904">
        <v>1</v>
      </c>
      <c r="H2904">
        <v>0</v>
      </c>
      <c r="I2904">
        <v>6</v>
      </c>
      <c r="J2904">
        <v>0</v>
      </c>
      <c r="K2904">
        <v>2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 t="s">
        <v>31</v>
      </c>
      <c r="Z2904">
        <v>55</v>
      </c>
      <c r="AA2904">
        <v>80</v>
      </c>
    </row>
    <row r="2905" spans="1:27" x14ac:dyDescent="0.2">
      <c r="A2905" t="s">
        <v>547</v>
      </c>
      <c r="B2905">
        <v>2024</v>
      </c>
      <c r="C2905">
        <v>5078033016</v>
      </c>
      <c r="D2905" t="s">
        <v>3814</v>
      </c>
      <c r="E2905" t="s">
        <v>29</v>
      </c>
      <c r="F2905" t="s">
        <v>30</v>
      </c>
      <c r="G2905">
        <v>0</v>
      </c>
      <c r="H2905">
        <v>0</v>
      </c>
      <c r="I2905">
        <v>28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 t="s">
        <v>31</v>
      </c>
      <c r="Z2905">
        <v>55</v>
      </c>
      <c r="AA2905">
        <v>437</v>
      </c>
    </row>
    <row r="2906" spans="1:27" x14ac:dyDescent="0.2">
      <c r="A2906" t="s">
        <v>547</v>
      </c>
      <c r="B2906">
        <v>2024</v>
      </c>
      <c r="C2906">
        <v>5092022007</v>
      </c>
      <c r="D2906" t="s">
        <v>3815</v>
      </c>
      <c r="E2906" t="s">
        <v>29</v>
      </c>
      <c r="F2906" t="s">
        <v>30</v>
      </c>
      <c r="G2906">
        <v>8</v>
      </c>
      <c r="H2906">
        <v>0</v>
      </c>
      <c r="I2906">
        <v>67</v>
      </c>
      <c r="J2906">
        <v>0</v>
      </c>
      <c r="K2906">
        <v>4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 t="s">
        <v>31</v>
      </c>
      <c r="Z2906">
        <v>55</v>
      </c>
      <c r="AA2906">
        <v>515</v>
      </c>
    </row>
    <row r="2907" spans="1:27" x14ac:dyDescent="0.2">
      <c r="A2907" t="s">
        <v>547</v>
      </c>
      <c r="B2907">
        <v>2024</v>
      </c>
      <c r="C2907">
        <v>5127004032</v>
      </c>
      <c r="D2907" t="s">
        <v>3816</v>
      </c>
      <c r="E2907" t="s">
        <v>29</v>
      </c>
      <c r="F2907" t="s">
        <v>30</v>
      </c>
      <c r="G2907">
        <v>0</v>
      </c>
      <c r="H2907">
        <v>0</v>
      </c>
      <c r="I2907">
        <v>55</v>
      </c>
      <c r="J2907">
        <v>0</v>
      </c>
      <c r="K2907">
        <v>15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 t="s">
        <v>31</v>
      </c>
      <c r="Z2907">
        <v>55</v>
      </c>
      <c r="AA2907">
        <v>184</v>
      </c>
    </row>
    <row r="2908" spans="1:27" x14ac:dyDescent="0.2">
      <c r="A2908" t="s">
        <v>547</v>
      </c>
      <c r="B2908">
        <v>2024</v>
      </c>
      <c r="C2908">
        <v>5540026011</v>
      </c>
      <c r="D2908" t="s">
        <v>3817</v>
      </c>
      <c r="E2908" t="s">
        <v>29</v>
      </c>
      <c r="F2908" t="s">
        <v>30</v>
      </c>
      <c r="G2908">
        <v>0</v>
      </c>
      <c r="H2908">
        <v>0</v>
      </c>
      <c r="I2908">
        <v>35</v>
      </c>
      <c r="J2908">
        <v>0</v>
      </c>
      <c r="K2908">
        <v>10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 t="s">
        <v>31</v>
      </c>
      <c r="Z2908">
        <v>55</v>
      </c>
      <c r="AA2908">
        <v>411</v>
      </c>
    </row>
    <row r="2909" spans="1:27" x14ac:dyDescent="0.2">
      <c r="A2909" t="s">
        <v>547</v>
      </c>
      <c r="B2909">
        <v>2024</v>
      </c>
      <c r="C2909">
        <v>6031009020</v>
      </c>
      <c r="D2909" t="s">
        <v>3818</v>
      </c>
      <c r="E2909" t="s">
        <v>29</v>
      </c>
      <c r="F2909" t="s">
        <v>30</v>
      </c>
      <c r="G2909">
        <v>0</v>
      </c>
      <c r="H2909">
        <v>0</v>
      </c>
      <c r="I2909">
        <v>107</v>
      </c>
      <c r="J2909">
        <v>0</v>
      </c>
      <c r="K2909">
        <v>27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 t="s">
        <v>31</v>
      </c>
      <c r="Z2909">
        <v>55</v>
      </c>
      <c r="AA2909">
        <v>322</v>
      </c>
    </row>
    <row r="2910" spans="1:27" x14ac:dyDescent="0.2">
      <c r="A2910" t="s">
        <v>547</v>
      </c>
      <c r="B2910">
        <v>2024</v>
      </c>
      <c r="C2910">
        <v>6035017001</v>
      </c>
      <c r="D2910" t="s">
        <v>3819</v>
      </c>
      <c r="E2910" t="s">
        <v>29</v>
      </c>
      <c r="F2910" t="s">
        <v>30</v>
      </c>
      <c r="G2910">
        <v>24</v>
      </c>
      <c r="H2910">
        <v>0</v>
      </c>
      <c r="I2910">
        <v>78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 t="s">
        <v>31</v>
      </c>
      <c r="Z2910">
        <v>55</v>
      </c>
      <c r="AA2910">
        <v>126</v>
      </c>
    </row>
    <row r="2911" spans="1:27" x14ac:dyDescent="0.2">
      <c r="A2911" t="s">
        <v>547</v>
      </c>
      <c r="B2911">
        <v>2024</v>
      </c>
      <c r="C2911">
        <v>2107001067</v>
      </c>
      <c r="D2911" t="s">
        <v>3820</v>
      </c>
      <c r="E2911" t="s">
        <v>29</v>
      </c>
      <c r="F2911" t="s">
        <v>30</v>
      </c>
      <c r="G2911">
        <v>0</v>
      </c>
      <c r="H2911">
        <v>0</v>
      </c>
      <c r="I2911">
        <v>287</v>
      </c>
      <c r="J2911">
        <v>0</v>
      </c>
      <c r="K2911">
        <v>72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 t="s">
        <v>31</v>
      </c>
      <c r="Z2911">
        <v>55</v>
      </c>
      <c r="AA2911">
        <v>0</v>
      </c>
    </row>
    <row r="2912" spans="1:27" x14ac:dyDescent="0.2">
      <c r="A2912" t="s">
        <v>547</v>
      </c>
      <c r="B2912">
        <v>2024</v>
      </c>
      <c r="C2912">
        <v>2126022005</v>
      </c>
      <c r="D2912" t="s">
        <v>3821</v>
      </c>
      <c r="E2912" t="s">
        <v>29</v>
      </c>
      <c r="F2912" t="s">
        <v>30</v>
      </c>
      <c r="G2912">
        <v>0</v>
      </c>
      <c r="H2912">
        <v>0</v>
      </c>
      <c r="I2912">
        <v>72</v>
      </c>
      <c r="J2912">
        <v>0</v>
      </c>
      <c r="K2912">
        <v>19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 t="s">
        <v>31</v>
      </c>
      <c r="Z2912">
        <v>55</v>
      </c>
      <c r="AA2912">
        <v>2175</v>
      </c>
    </row>
    <row r="2913" spans="1:27" x14ac:dyDescent="0.2">
      <c r="A2913" t="s">
        <v>547</v>
      </c>
      <c r="B2913">
        <v>2024</v>
      </c>
      <c r="C2913">
        <v>2169003029</v>
      </c>
      <c r="D2913" t="s">
        <v>3822</v>
      </c>
      <c r="E2913" t="s">
        <v>29</v>
      </c>
      <c r="F2913" t="s">
        <v>30</v>
      </c>
      <c r="G2913">
        <v>0</v>
      </c>
      <c r="H2913">
        <v>0</v>
      </c>
      <c r="I2913">
        <v>35</v>
      </c>
      <c r="J2913">
        <v>0</v>
      </c>
      <c r="K2913">
        <v>9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 t="s">
        <v>31</v>
      </c>
      <c r="Z2913">
        <v>55</v>
      </c>
      <c r="AA2913">
        <v>213</v>
      </c>
    </row>
    <row r="2914" spans="1:27" x14ac:dyDescent="0.2">
      <c r="A2914" t="s">
        <v>547</v>
      </c>
      <c r="B2914">
        <v>2024</v>
      </c>
      <c r="C2914">
        <v>2271016020</v>
      </c>
      <c r="D2914" t="s">
        <v>3823</v>
      </c>
      <c r="E2914" t="s">
        <v>29</v>
      </c>
      <c r="F2914" t="s">
        <v>30</v>
      </c>
      <c r="G2914">
        <v>5</v>
      </c>
      <c r="H2914">
        <v>0</v>
      </c>
      <c r="I2914">
        <v>62</v>
      </c>
      <c r="J2914">
        <v>0</v>
      </c>
      <c r="K2914">
        <v>7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 t="s">
        <v>31</v>
      </c>
      <c r="Z2914">
        <v>55</v>
      </c>
      <c r="AA2914">
        <v>400</v>
      </c>
    </row>
    <row r="2915" spans="1:27" x14ac:dyDescent="0.2">
      <c r="A2915" t="s">
        <v>547</v>
      </c>
      <c r="B2915">
        <v>2024</v>
      </c>
      <c r="C2915">
        <v>2350003011</v>
      </c>
      <c r="D2915" t="s">
        <v>3824</v>
      </c>
      <c r="E2915" t="s">
        <v>29</v>
      </c>
      <c r="F2915" t="s">
        <v>30</v>
      </c>
      <c r="G2915">
        <v>0</v>
      </c>
      <c r="H2915">
        <v>0</v>
      </c>
      <c r="I2915">
        <v>33</v>
      </c>
      <c r="J2915">
        <v>0</v>
      </c>
      <c r="K2915">
        <v>9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 t="s">
        <v>31</v>
      </c>
      <c r="Z2915">
        <v>55</v>
      </c>
      <c r="AA2915">
        <v>975</v>
      </c>
    </row>
    <row r="2916" spans="1:27" x14ac:dyDescent="0.2">
      <c r="A2916" t="s">
        <v>547</v>
      </c>
      <c r="B2916">
        <v>2024</v>
      </c>
      <c r="C2916">
        <v>2415002010</v>
      </c>
      <c r="D2916" t="s">
        <v>3825</v>
      </c>
      <c r="E2916" t="s">
        <v>29</v>
      </c>
      <c r="F2916" t="s">
        <v>30</v>
      </c>
      <c r="G2916">
        <v>1</v>
      </c>
      <c r="H2916">
        <v>0</v>
      </c>
      <c r="I2916">
        <v>10</v>
      </c>
      <c r="J2916">
        <v>0</v>
      </c>
      <c r="K2916">
        <v>3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 t="s">
        <v>31</v>
      </c>
      <c r="Z2916">
        <v>55</v>
      </c>
      <c r="AA2916">
        <v>200</v>
      </c>
    </row>
    <row r="2917" spans="1:27" x14ac:dyDescent="0.2">
      <c r="A2917" t="s">
        <v>547</v>
      </c>
      <c r="B2917">
        <v>2024</v>
      </c>
      <c r="C2917">
        <v>2556027035</v>
      </c>
      <c r="D2917" t="s">
        <v>3826</v>
      </c>
      <c r="E2917" t="s">
        <v>29</v>
      </c>
      <c r="F2917" t="s">
        <v>30</v>
      </c>
      <c r="G2917">
        <v>62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 t="s">
        <v>31</v>
      </c>
      <c r="Z2917">
        <v>55</v>
      </c>
      <c r="AA2917">
        <v>70</v>
      </c>
    </row>
    <row r="2918" spans="1:27" x14ac:dyDescent="0.2">
      <c r="A2918" t="s">
        <v>547</v>
      </c>
      <c r="B2918">
        <v>2024</v>
      </c>
      <c r="C2918">
        <v>4006004014</v>
      </c>
      <c r="D2918" t="s">
        <v>3827</v>
      </c>
      <c r="E2918" t="s">
        <v>29</v>
      </c>
      <c r="F2918" t="s">
        <v>30</v>
      </c>
      <c r="G2918">
        <v>3</v>
      </c>
      <c r="H2918">
        <v>0</v>
      </c>
      <c r="I2918">
        <v>63</v>
      </c>
      <c r="J2918">
        <v>0</v>
      </c>
      <c r="K2918">
        <v>17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 t="s">
        <v>31</v>
      </c>
      <c r="Z2918">
        <v>55</v>
      </c>
      <c r="AA2918">
        <v>500</v>
      </c>
    </row>
    <row r="2919" spans="1:27" x14ac:dyDescent="0.2">
      <c r="A2919" t="s">
        <v>547</v>
      </c>
      <c r="B2919">
        <v>2024</v>
      </c>
      <c r="C2919">
        <v>5040008001</v>
      </c>
      <c r="D2919" t="s">
        <v>3828</v>
      </c>
      <c r="E2919" t="s">
        <v>29</v>
      </c>
      <c r="F2919" t="s">
        <v>30</v>
      </c>
      <c r="G2919">
        <v>3</v>
      </c>
      <c r="H2919">
        <v>0</v>
      </c>
      <c r="I2919">
        <v>36</v>
      </c>
      <c r="J2919">
        <v>0</v>
      </c>
      <c r="K2919">
        <v>3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 t="s">
        <v>31</v>
      </c>
      <c r="Z2919">
        <v>55</v>
      </c>
      <c r="AA2919">
        <v>820</v>
      </c>
    </row>
    <row r="2920" spans="1:27" x14ac:dyDescent="0.2">
      <c r="A2920" t="s">
        <v>547</v>
      </c>
      <c r="B2920">
        <v>2024</v>
      </c>
      <c r="C2920">
        <v>5054009012</v>
      </c>
      <c r="D2920" t="s">
        <v>3829</v>
      </c>
      <c r="E2920" t="s">
        <v>29</v>
      </c>
      <c r="F2920" t="s">
        <v>30</v>
      </c>
      <c r="G2920">
        <v>1</v>
      </c>
      <c r="H2920">
        <v>0</v>
      </c>
      <c r="I2920">
        <v>55</v>
      </c>
      <c r="J2920">
        <v>0</v>
      </c>
      <c r="K2920">
        <v>14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 t="s">
        <v>31</v>
      </c>
      <c r="Z2920">
        <v>55</v>
      </c>
      <c r="AA2920">
        <v>788</v>
      </c>
    </row>
    <row r="2921" spans="1:27" x14ac:dyDescent="0.2">
      <c r="A2921" t="s">
        <v>547</v>
      </c>
      <c r="B2921">
        <v>2024</v>
      </c>
      <c r="C2921">
        <v>5062019030</v>
      </c>
      <c r="D2921" t="s">
        <v>3830</v>
      </c>
      <c r="E2921" t="s">
        <v>29</v>
      </c>
      <c r="F2921" t="s">
        <v>30</v>
      </c>
      <c r="G2921">
        <v>0</v>
      </c>
      <c r="H2921">
        <v>0</v>
      </c>
      <c r="I2921">
        <v>127</v>
      </c>
      <c r="J2921">
        <v>0</v>
      </c>
      <c r="K2921">
        <v>32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 t="s">
        <v>31</v>
      </c>
      <c r="Z2921">
        <v>55</v>
      </c>
      <c r="AA2921">
        <v>146</v>
      </c>
    </row>
    <row r="2922" spans="1:27" x14ac:dyDescent="0.2">
      <c r="A2922" t="s">
        <v>547</v>
      </c>
      <c r="B2922">
        <v>2024</v>
      </c>
      <c r="C2922">
        <v>5069024026</v>
      </c>
      <c r="D2922" t="s">
        <v>3831</v>
      </c>
      <c r="E2922" t="s">
        <v>29</v>
      </c>
      <c r="F2922" t="s">
        <v>30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 t="s">
        <v>31</v>
      </c>
      <c r="Z2922">
        <v>55</v>
      </c>
      <c r="AA2922">
        <v>145</v>
      </c>
    </row>
    <row r="2923" spans="1:27" x14ac:dyDescent="0.2">
      <c r="A2923" t="s">
        <v>547</v>
      </c>
      <c r="B2923">
        <v>2024</v>
      </c>
      <c r="C2923">
        <v>5094022008</v>
      </c>
      <c r="D2923" t="s">
        <v>3832</v>
      </c>
      <c r="E2923" t="s">
        <v>29</v>
      </c>
      <c r="F2923" t="s">
        <v>30</v>
      </c>
      <c r="G2923">
        <v>3</v>
      </c>
      <c r="H2923">
        <v>0</v>
      </c>
      <c r="I2923">
        <v>36</v>
      </c>
      <c r="J2923">
        <v>0</v>
      </c>
      <c r="K2923">
        <v>5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 t="s">
        <v>31</v>
      </c>
      <c r="Z2923">
        <v>55</v>
      </c>
      <c r="AA2923">
        <v>158</v>
      </c>
    </row>
    <row r="2924" spans="1:27" x14ac:dyDescent="0.2">
      <c r="A2924" t="s">
        <v>547</v>
      </c>
      <c r="B2924">
        <v>2024</v>
      </c>
      <c r="C2924">
        <v>5177017023</v>
      </c>
      <c r="D2924" t="s">
        <v>3833</v>
      </c>
      <c r="E2924" t="s">
        <v>29</v>
      </c>
      <c r="F2924" t="s">
        <v>30</v>
      </c>
      <c r="G2924">
        <v>2</v>
      </c>
      <c r="H2924">
        <v>0</v>
      </c>
      <c r="I2924">
        <v>26</v>
      </c>
      <c r="J2924">
        <v>0</v>
      </c>
      <c r="K2924">
        <v>8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 t="s">
        <v>31</v>
      </c>
      <c r="Z2924">
        <v>55</v>
      </c>
      <c r="AA2924">
        <v>516</v>
      </c>
    </row>
    <row r="2925" spans="1:27" x14ac:dyDescent="0.2">
      <c r="A2925" t="s">
        <v>547</v>
      </c>
      <c r="B2925">
        <v>2024</v>
      </c>
      <c r="C2925">
        <v>5524004007</v>
      </c>
      <c r="D2925" t="s">
        <v>3834</v>
      </c>
      <c r="E2925" t="s">
        <v>29</v>
      </c>
      <c r="F2925" t="s">
        <v>30</v>
      </c>
      <c r="G2925">
        <v>1</v>
      </c>
      <c r="H2925">
        <v>0</v>
      </c>
      <c r="I2925">
        <v>40</v>
      </c>
      <c r="J2925">
        <v>0</v>
      </c>
      <c r="K2925">
        <v>8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 t="s">
        <v>31</v>
      </c>
      <c r="Z2925">
        <v>55</v>
      </c>
      <c r="AA2925">
        <v>733</v>
      </c>
    </row>
    <row r="2926" spans="1:27" x14ac:dyDescent="0.2">
      <c r="A2926" t="s">
        <v>547</v>
      </c>
      <c r="B2926">
        <v>2024</v>
      </c>
      <c r="C2926">
        <v>5529006029</v>
      </c>
      <c r="D2926" t="s">
        <v>3835</v>
      </c>
      <c r="E2926" t="s">
        <v>29</v>
      </c>
      <c r="F2926" t="s">
        <v>30</v>
      </c>
      <c r="G2926">
        <v>8</v>
      </c>
      <c r="H2926">
        <v>0</v>
      </c>
      <c r="I2926">
        <v>106</v>
      </c>
      <c r="J2926">
        <v>0</v>
      </c>
      <c r="K2926">
        <v>29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 t="s">
        <v>31</v>
      </c>
      <c r="Z2926">
        <v>55</v>
      </c>
      <c r="AA2926">
        <v>658</v>
      </c>
    </row>
    <row r="2927" spans="1:27" x14ac:dyDescent="0.2">
      <c r="A2927" t="s">
        <v>547</v>
      </c>
      <c r="B2927">
        <v>2024</v>
      </c>
      <c r="C2927">
        <v>5537015006</v>
      </c>
      <c r="D2927" t="s">
        <v>3836</v>
      </c>
      <c r="E2927" t="s">
        <v>29</v>
      </c>
      <c r="F2927" t="s">
        <v>30</v>
      </c>
      <c r="G2927">
        <v>0</v>
      </c>
      <c r="H2927">
        <v>0</v>
      </c>
      <c r="I2927">
        <v>38</v>
      </c>
      <c r="J2927">
        <v>0</v>
      </c>
      <c r="K2927">
        <v>10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 t="s">
        <v>31</v>
      </c>
      <c r="Z2927">
        <v>55</v>
      </c>
      <c r="AA2927">
        <v>701</v>
      </c>
    </row>
    <row r="2928" spans="1:27" x14ac:dyDescent="0.2">
      <c r="A2928" t="s">
        <v>547</v>
      </c>
      <c r="B2928">
        <v>2024</v>
      </c>
      <c r="C2928">
        <v>5537018021</v>
      </c>
      <c r="D2928" t="s">
        <v>3837</v>
      </c>
      <c r="E2928" t="s">
        <v>29</v>
      </c>
      <c r="F2928" t="s">
        <v>30</v>
      </c>
      <c r="G2928">
        <v>0</v>
      </c>
      <c r="H2928">
        <v>0</v>
      </c>
      <c r="I2928">
        <v>43</v>
      </c>
      <c r="J2928">
        <v>0</v>
      </c>
      <c r="K2928">
        <v>12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 t="s">
        <v>31</v>
      </c>
      <c r="Z2928">
        <v>55</v>
      </c>
      <c r="AA2928">
        <v>409</v>
      </c>
    </row>
    <row r="2929" spans="1:27" x14ac:dyDescent="0.2">
      <c r="A2929" t="s">
        <v>547</v>
      </c>
      <c r="B2929">
        <v>2024</v>
      </c>
      <c r="C2929">
        <v>5540002021</v>
      </c>
      <c r="D2929" t="s">
        <v>3838</v>
      </c>
      <c r="E2929" t="s">
        <v>29</v>
      </c>
      <c r="F2929" t="s">
        <v>30</v>
      </c>
      <c r="G2929">
        <v>3</v>
      </c>
      <c r="H2929">
        <v>0</v>
      </c>
      <c r="I2929">
        <v>135</v>
      </c>
      <c r="J2929">
        <v>0</v>
      </c>
      <c r="K2929">
        <v>35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 t="s">
        <v>31</v>
      </c>
      <c r="Z2929">
        <v>55</v>
      </c>
      <c r="AA2929">
        <v>366</v>
      </c>
    </row>
    <row r="2930" spans="1:27" x14ac:dyDescent="0.2">
      <c r="A2930" t="s">
        <v>547</v>
      </c>
      <c r="B2930">
        <v>2024</v>
      </c>
      <c r="C2930">
        <v>6020001014</v>
      </c>
      <c r="D2930" t="s">
        <v>3839</v>
      </c>
      <c r="E2930" t="s">
        <v>29</v>
      </c>
      <c r="F2930" t="s">
        <v>30</v>
      </c>
      <c r="G2930">
        <v>0</v>
      </c>
      <c r="H2930">
        <v>0</v>
      </c>
      <c r="I2930">
        <v>37</v>
      </c>
      <c r="J2930">
        <v>0</v>
      </c>
      <c r="K2930">
        <v>9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 t="s">
        <v>31</v>
      </c>
      <c r="Z2930">
        <v>55</v>
      </c>
      <c r="AA2930">
        <v>80</v>
      </c>
    </row>
    <row r="2931" spans="1:27" x14ac:dyDescent="0.2">
      <c r="A2931" t="s">
        <v>2384</v>
      </c>
      <c r="B2931">
        <v>2020</v>
      </c>
      <c r="C2931" t="s">
        <v>3410</v>
      </c>
      <c r="D2931" t="s">
        <v>3840</v>
      </c>
      <c r="E2931" t="s">
        <v>29</v>
      </c>
      <c r="F2931" t="s">
        <v>30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16</v>
      </c>
      <c r="T2931">
        <v>0</v>
      </c>
      <c r="U2931">
        <v>0</v>
      </c>
      <c r="V2931">
        <v>0</v>
      </c>
      <c r="W2931">
        <v>0</v>
      </c>
      <c r="X2931">
        <v>0</v>
      </c>
      <c r="Y2931" t="s">
        <v>31</v>
      </c>
      <c r="AA2931">
        <v>0</v>
      </c>
    </row>
    <row r="2932" spans="1:27" x14ac:dyDescent="0.2">
      <c r="A2932" t="s">
        <v>75</v>
      </c>
      <c r="B2932">
        <v>2019</v>
      </c>
      <c r="C2932">
        <v>6381201700</v>
      </c>
      <c r="D2932" t="s">
        <v>3841</v>
      </c>
      <c r="E2932" t="s">
        <v>29</v>
      </c>
      <c r="F2932" t="s">
        <v>30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14</v>
      </c>
      <c r="N2932">
        <v>0</v>
      </c>
      <c r="O2932">
        <v>123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 t="s">
        <v>31</v>
      </c>
      <c r="Z2932">
        <v>55</v>
      </c>
      <c r="AA2932">
        <v>0</v>
      </c>
    </row>
    <row r="2933" spans="1:27" x14ac:dyDescent="0.2">
      <c r="A2933" t="s">
        <v>418</v>
      </c>
      <c r="B2933">
        <v>2022</v>
      </c>
      <c r="C2933">
        <v>46712002</v>
      </c>
      <c r="D2933" t="s">
        <v>3842</v>
      </c>
      <c r="E2933" t="s">
        <v>29</v>
      </c>
      <c r="F2933" t="s">
        <v>30</v>
      </c>
      <c r="G2933">
        <v>0</v>
      </c>
      <c r="H2933">
        <v>0</v>
      </c>
      <c r="I2933">
        <v>73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 t="s">
        <v>31</v>
      </c>
      <c r="Z2933">
        <v>55</v>
      </c>
      <c r="AA2933">
        <v>0</v>
      </c>
    </row>
    <row r="2934" spans="1:27" x14ac:dyDescent="0.2">
      <c r="A2934" t="s">
        <v>418</v>
      </c>
      <c r="B2934">
        <v>2022</v>
      </c>
      <c r="C2934">
        <v>26434042</v>
      </c>
      <c r="D2934" t="s">
        <v>3843</v>
      </c>
      <c r="E2934" t="s">
        <v>29</v>
      </c>
      <c r="F2934" t="s">
        <v>30</v>
      </c>
      <c r="G2934">
        <v>0</v>
      </c>
      <c r="H2934">
        <v>0</v>
      </c>
      <c r="I2934">
        <v>98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 t="s">
        <v>31</v>
      </c>
      <c r="Z2934">
        <v>55</v>
      </c>
      <c r="AA2934">
        <v>209</v>
      </c>
    </row>
    <row r="2935" spans="1:27" x14ac:dyDescent="0.2">
      <c r="A2935" t="s">
        <v>547</v>
      </c>
      <c r="B2935">
        <v>2024</v>
      </c>
      <c r="C2935">
        <v>2506035010</v>
      </c>
      <c r="D2935" t="s">
        <v>3844</v>
      </c>
      <c r="E2935" t="s">
        <v>29</v>
      </c>
      <c r="F2935" t="s">
        <v>30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1</v>
      </c>
      <c r="N2935">
        <v>0</v>
      </c>
      <c r="O2935">
        <v>129</v>
      </c>
      <c r="P2935">
        <v>0</v>
      </c>
      <c r="Q2935">
        <v>33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 t="s">
        <v>31</v>
      </c>
      <c r="Z2935">
        <v>55</v>
      </c>
      <c r="AA2935">
        <v>1722</v>
      </c>
    </row>
    <row r="2936" spans="1:27" x14ac:dyDescent="0.2">
      <c r="A2936" t="s">
        <v>1075</v>
      </c>
      <c r="B2936">
        <v>2018</v>
      </c>
      <c r="C2936">
        <v>45105225</v>
      </c>
      <c r="D2936" t="s">
        <v>3845</v>
      </c>
      <c r="E2936" t="s">
        <v>29</v>
      </c>
      <c r="F2936" t="s">
        <v>30</v>
      </c>
      <c r="G2936">
        <v>0</v>
      </c>
      <c r="H2936">
        <v>1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 t="s">
        <v>31</v>
      </c>
      <c r="AA2936">
        <v>0</v>
      </c>
    </row>
    <row r="2937" spans="1:27" x14ac:dyDescent="0.2">
      <c r="A2937" t="s">
        <v>219</v>
      </c>
      <c r="B2937">
        <v>2021</v>
      </c>
      <c r="C2937" t="s">
        <v>3846</v>
      </c>
      <c r="D2937" t="s">
        <v>3847</v>
      </c>
      <c r="E2937" t="s">
        <v>29</v>
      </c>
      <c r="F2937" t="s">
        <v>30</v>
      </c>
      <c r="G2937">
        <v>61</v>
      </c>
      <c r="H2937">
        <v>0</v>
      </c>
      <c r="I2937">
        <v>23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 t="s">
        <v>51</v>
      </c>
      <c r="Z2937">
        <v>55</v>
      </c>
      <c r="AA2937">
        <v>0</v>
      </c>
    </row>
    <row r="2938" spans="1:27" x14ac:dyDescent="0.2">
      <c r="A2938" t="s">
        <v>835</v>
      </c>
      <c r="B2938">
        <v>2018</v>
      </c>
      <c r="C2938" t="s">
        <v>3848</v>
      </c>
      <c r="D2938" t="s">
        <v>3849</v>
      </c>
      <c r="E2938" t="s">
        <v>29</v>
      </c>
      <c r="F2938" t="s">
        <v>30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2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 t="s">
        <v>51</v>
      </c>
      <c r="Z2938">
        <v>55</v>
      </c>
      <c r="AA2938">
        <v>0</v>
      </c>
    </row>
    <row r="2939" spans="1:27" x14ac:dyDescent="0.2">
      <c r="A2939" t="s">
        <v>1959</v>
      </c>
      <c r="B2939">
        <v>2018</v>
      </c>
      <c r="C2939" t="s">
        <v>3850</v>
      </c>
      <c r="D2939" t="s">
        <v>3851</v>
      </c>
      <c r="E2939" t="s">
        <v>29</v>
      </c>
      <c r="F2939" t="s">
        <v>30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130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 t="s">
        <v>51</v>
      </c>
      <c r="AA2939">
        <v>0</v>
      </c>
    </row>
    <row r="2940" spans="1:27" x14ac:dyDescent="0.2">
      <c r="A2940" t="s">
        <v>318</v>
      </c>
      <c r="B2940">
        <v>2018</v>
      </c>
      <c r="C2940">
        <v>16513050</v>
      </c>
      <c r="D2940" t="s">
        <v>3748</v>
      </c>
      <c r="E2940" t="s">
        <v>29</v>
      </c>
      <c r="F2940" t="s">
        <v>30</v>
      </c>
      <c r="G2940">
        <v>6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 t="s">
        <v>31</v>
      </c>
      <c r="Z2940">
        <v>55</v>
      </c>
      <c r="AA2940">
        <v>0</v>
      </c>
    </row>
    <row r="2941" spans="1:27" x14ac:dyDescent="0.2">
      <c r="A2941" t="s">
        <v>318</v>
      </c>
      <c r="B2941">
        <v>2018</v>
      </c>
      <c r="C2941">
        <v>-3931</v>
      </c>
      <c r="D2941" t="s">
        <v>3852</v>
      </c>
      <c r="E2941" t="s">
        <v>29</v>
      </c>
      <c r="F2941" t="s">
        <v>41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1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 t="s">
        <v>51</v>
      </c>
      <c r="Z2941">
        <v>30</v>
      </c>
      <c r="AA2941">
        <v>0</v>
      </c>
    </row>
    <row r="2942" spans="1:27" x14ac:dyDescent="0.2">
      <c r="A2942" t="s">
        <v>318</v>
      </c>
      <c r="B2942">
        <v>2018</v>
      </c>
      <c r="C2942">
        <v>-3963</v>
      </c>
      <c r="D2942" t="s">
        <v>3853</v>
      </c>
      <c r="E2942" t="s">
        <v>29</v>
      </c>
      <c r="F2942" t="s">
        <v>41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1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 t="s">
        <v>51</v>
      </c>
      <c r="Z2942">
        <v>30</v>
      </c>
      <c r="AA2942">
        <v>0</v>
      </c>
    </row>
    <row r="2943" spans="1:27" x14ac:dyDescent="0.2">
      <c r="A2943" t="s">
        <v>3854</v>
      </c>
      <c r="B2943">
        <v>2023</v>
      </c>
      <c r="C2943" t="s">
        <v>3855</v>
      </c>
      <c r="D2943" t="s">
        <v>3856</v>
      </c>
      <c r="E2943" t="s">
        <v>29</v>
      </c>
      <c r="F2943" t="s">
        <v>30</v>
      </c>
      <c r="G2943">
        <v>45</v>
      </c>
      <c r="H2943">
        <v>0</v>
      </c>
      <c r="I2943">
        <v>0</v>
      </c>
      <c r="J2943">
        <v>0</v>
      </c>
      <c r="K2943">
        <v>1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 t="s">
        <v>31</v>
      </c>
      <c r="AA2943">
        <v>0</v>
      </c>
    </row>
    <row r="2944" spans="1:27" x14ac:dyDescent="0.2">
      <c r="A2944" t="s">
        <v>2417</v>
      </c>
      <c r="B2944">
        <v>2020</v>
      </c>
      <c r="C2944" t="s">
        <v>3857</v>
      </c>
      <c r="D2944" t="s">
        <v>3858</v>
      </c>
      <c r="E2944" t="s">
        <v>29</v>
      </c>
      <c r="F2944" t="s">
        <v>41</v>
      </c>
      <c r="G2944">
        <v>0</v>
      </c>
      <c r="H2944">
        <v>0</v>
      </c>
      <c r="I2944">
        <v>0</v>
      </c>
      <c r="J2944">
        <v>1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1</v>
      </c>
      <c r="W2944">
        <v>0</v>
      </c>
      <c r="X2944">
        <v>0</v>
      </c>
      <c r="Y2944" t="s">
        <v>31</v>
      </c>
      <c r="Z2944">
        <v>55</v>
      </c>
      <c r="AA2944">
        <v>0</v>
      </c>
    </row>
    <row r="2945" spans="1:27" x14ac:dyDescent="0.2">
      <c r="A2945" t="s">
        <v>3322</v>
      </c>
      <c r="B2945">
        <v>2020</v>
      </c>
      <c r="C2945" t="s">
        <v>3323</v>
      </c>
      <c r="D2945" t="s">
        <v>3324</v>
      </c>
      <c r="E2945" t="s">
        <v>29</v>
      </c>
      <c r="F2945" t="s">
        <v>41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2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2</v>
      </c>
      <c r="X2945">
        <v>0</v>
      </c>
      <c r="Y2945" t="s">
        <v>31</v>
      </c>
      <c r="Z2945">
        <v>0</v>
      </c>
      <c r="AA2945">
        <v>0</v>
      </c>
    </row>
    <row r="2946" spans="1:27" x14ac:dyDescent="0.2">
      <c r="A2946" t="s">
        <v>560</v>
      </c>
      <c r="B2946">
        <v>2023</v>
      </c>
      <c r="C2946" t="s">
        <v>1763</v>
      </c>
      <c r="D2946" t="s">
        <v>1764</v>
      </c>
      <c r="E2946" t="s">
        <v>29</v>
      </c>
      <c r="F2946" t="s">
        <v>30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1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 t="s">
        <v>31</v>
      </c>
      <c r="Z2946">
        <v>55</v>
      </c>
      <c r="AA2946">
        <v>10</v>
      </c>
    </row>
    <row r="2947" spans="1:27" x14ac:dyDescent="0.2">
      <c r="A2947" t="s">
        <v>883</v>
      </c>
      <c r="B2947">
        <v>2021</v>
      </c>
      <c r="C2947">
        <v>35320450</v>
      </c>
      <c r="D2947" t="s">
        <v>1262</v>
      </c>
      <c r="E2947" t="s">
        <v>29</v>
      </c>
      <c r="F2947" t="s">
        <v>41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 t="s">
        <v>51</v>
      </c>
      <c r="Z2947">
        <v>1000</v>
      </c>
      <c r="AA2947">
        <v>0</v>
      </c>
    </row>
    <row r="2948" spans="1:27" x14ac:dyDescent="0.2">
      <c r="A2948" t="s">
        <v>883</v>
      </c>
      <c r="B2948">
        <v>2021</v>
      </c>
      <c r="C2948">
        <v>35401450</v>
      </c>
      <c r="D2948" t="s">
        <v>2580</v>
      </c>
      <c r="E2948" t="s">
        <v>29</v>
      </c>
      <c r="F2948" t="s">
        <v>41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2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 t="s">
        <v>51</v>
      </c>
      <c r="Z2948">
        <v>1000</v>
      </c>
      <c r="AA2948">
        <v>0</v>
      </c>
    </row>
    <row r="2949" spans="1:27" x14ac:dyDescent="0.2">
      <c r="A2949" t="s">
        <v>163</v>
      </c>
      <c r="B2949">
        <v>2021</v>
      </c>
      <c r="C2949">
        <v>4943001100</v>
      </c>
      <c r="D2949" t="s">
        <v>3859</v>
      </c>
      <c r="E2949" t="s">
        <v>29</v>
      </c>
      <c r="F2949" t="s">
        <v>41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 t="s">
        <v>31</v>
      </c>
      <c r="Z2949">
        <v>55</v>
      </c>
      <c r="AA2949">
        <v>0</v>
      </c>
    </row>
    <row r="2950" spans="1:27" x14ac:dyDescent="0.2">
      <c r="A2950" t="s">
        <v>163</v>
      </c>
      <c r="B2950">
        <v>2021</v>
      </c>
      <c r="C2950">
        <v>4943001100</v>
      </c>
      <c r="D2950" t="s">
        <v>3860</v>
      </c>
      <c r="E2950" t="s">
        <v>29</v>
      </c>
      <c r="F2950" t="s">
        <v>41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1</v>
      </c>
      <c r="V2950">
        <v>0</v>
      </c>
      <c r="W2950">
        <v>0</v>
      </c>
      <c r="X2950">
        <v>0</v>
      </c>
      <c r="Y2950" t="s">
        <v>31</v>
      </c>
      <c r="Z2950">
        <v>55</v>
      </c>
      <c r="AA2950">
        <v>0</v>
      </c>
    </row>
    <row r="2951" spans="1:27" x14ac:dyDescent="0.2">
      <c r="A2951" t="s">
        <v>1071</v>
      </c>
      <c r="B2951">
        <v>2022</v>
      </c>
      <c r="C2951">
        <v>72625061</v>
      </c>
      <c r="D2951" t="s">
        <v>3861</v>
      </c>
      <c r="E2951" t="s">
        <v>29</v>
      </c>
      <c r="F2951" t="s">
        <v>30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6</v>
      </c>
      <c r="N2951">
        <v>0</v>
      </c>
      <c r="O2951">
        <v>0</v>
      </c>
      <c r="P2951">
        <v>0</v>
      </c>
      <c r="Q2951">
        <v>0</v>
      </c>
      <c r="R2951">
        <v>13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 t="s">
        <v>51</v>
      </c>
      <c r="Z2951">
        <v>55</v>
      </c>
      <c r="AA2951">
        <v>0</v>
      </c>
    </row>
    <row r="2952" spans="1:27" x14ac:dyDescent="0.2">
      <c r="A2952" t="s">
        <v>1071</v>
      </c>
      <c r="B2952">
        <v>2022</v>
      </c>
      <c r="C2952">
        <v>72625061</v>
      </c>
      <c r="D2952" t="s">
        <v>3862</v>
      </c>
      <c r="E2952" t="s">
        <v>29</v>
      </c>
      <c r="F2952" t="s">
        <v>30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5</v>
      </c>
      <c r="N2952">
        <v>0</v>
      </c>
      <c r="O2952">
        <v>0</v>
      </c>
      <c r="P2952">
        <v>0</v>
      </c>
      <c r="Q2952">
        <v>0</v>
      </c>
      <c r="R2952">
        <v>14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 t="s">
        <v>51</v>
      </c>
      <c r="Z2952">
        <v>55</v>
      </c>
      <c r="AA2952">
        <v>0</v>
      </c>
    </row>
    <row r="2953" spans="1:27" x14ac:dyDescent="0.2">
      <c r="A2953" t="s">
        <v>1071</v>
      </c>
      <c r="B2953">
        <v>2022</v>
      </c>
      <c r="C2953">
        <v>72625061</v>
      </c>
      <c r="D2953" t="s">
        <v>3863</v>
      </c>
      <c r="E2953" t="s">
        <v>29</v>
      </c>
      <c r="F2953" t="s">
        <v>30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2</v>
      </c>
      <c r="N2953">
        <v>0</v>
      </c>
      <c r="O2953">
        <v>0</v>
      </c>
      <c r="P2953">
        <v>0</v>
      </c>
      <c r="Q2953">
        <v>0</v>
      </c>
      <c r="R2953">
        <v>10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 t="s">
        <v>51</v>
      </c>
      <c r="Z2953">
        <v>55</v>
      </c>
      <c r="AA2953">
        <v>0</v>
      </c>
    </row>
    <row r="2954" spans="1:27" x14ac:dyDescent="0.2">
      <c r="A2954" t="s">
        <v>1071</v>
      </c>
      <c r="B2954">
        <v>2022</v>
      </c>
      <c r="C2954">
        <v>72625061</v>
      </c>
      <c r="D2954" t="s">
        <v>3864</v>
      </c>
      <c r="E2954" t="s">
        <v>29</v>
      </c>
      <c r="F2954" t="s">
        <v>30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5</v>
      </c>
      <c r="N2954">
        <v>0</v>
      </c>
      <c r="O2954">
        <v>0</v>
      </c>
      <c r="P2954">
        <v>0</v>
      </c>
      <c r="Q2954">
        <v>0</v>
      </c>
      <c r="R2954">
        <v>7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 t="s">
        <v>51</v>
      </c>
      <c r="Z2954">
        <v>55</v>
      </c>
      <c r="AA2954">
        <v>0</v>
      </c>
    </row>
    <row r="2955" spans="1:27" x14ac:dyDescent="0.2">
      <c r="A2955" t="s">
        <v>1071</v>
      </c>
      <c r="B2955">
        <v>2022</v>
      </c>
      <c r="C2955">
        <v>81702067</v>
      </c>
      <c r="D2955" t="s">
        <v>3865</v>
      </c>
      <c r="E2955" t="s">
        <v>29</v>
      </c>
      <c r="F2955" t="s">
        <v>30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56</v>
      </c>
      <c r="N2955">
        <v>0</v>
      </c>
      <c r="O2955">
        <v>25</v>
      </c>
      <c r="P2955">
        <v>0</v>
      </c>
      <c r="Q2955">
        <v>1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 t="s">
        <v>31</v>
      </c>
      <c r="Z2955">
        <v>55</v>
      </c>
      <c r="AA2955">
        <v>80</v>
      </c>
    </row>
    <row r="2956" spans="1:27" x14ac:dyDescent="0.2">
      <c r="A2956" t="s">
        <v>318</v>
      </c>
      <c r="B2956">
        <v>2018</v>
      </c>
      <c r="C2956">
        <v>11014191</v>
      </c>
      <c r="D2956" t="s">
        <v>3866</v>
      </c>
      <c r="E2956" t="s">
        <v>29</v>
      </c>
      <c r="F2956" t="s">
        <v>30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27</v>
      </c>
      <c r="T2956">
        <v>0</v>
      </c>
      <c r="U2956">
        <v>0</v>
      </c>
      <c r="V2956">
        <v>0</v>
      </c>
      <c r="W2956">
        <v>0</v>
      </c>
      <c r="X2956">
        <v>0</v>
      </c>
      <c r="Y2956" t="s">
        <v>31</v>
      </c>
      <c r="AA2956">
        <v>0</v>
      </c>
    </row>
    <row r="2957" spans="1:27" x14ac:dyDescent="0.2">
      <c r="A2957" t="s">
        <v>318</v>
      </c>
      <c r="B2957">
        <v>2018</v>
      </c>
      <c r="C2957">
        <v>20927107</v>
      </c>
      <c r="D2957" t="s">
        <v>3867</v>
      </c>
      <c r="E2957" t="s">
        <v>29</v>
      </c>
      <c r="F2957" t="s">
        <v>41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1</v>
      </c>
      <c r="X2957">
        <v>0</v>
      </c>
      <c r="Y2957" t="s">
        <v>51</v>
      </c>
      <c r="Z2957">
        <v>30</v>
      </c>
      <c r="AA2957">
        <v>0</v>
      </c>
    </row>
    <row r="2958" spans="1:27" x14ac:dyDescent="0.2">
      <c r="A2958" t="s">
        <v>318</v>
      </c>
      <c r="B2958">
        <v>2018</v>
      </c>
      <c r="C2958">
        <v>20947012</v>
      </c>
      <c r="D2958" t="s">
        <v>3868</v>
      </c>
      <c r="E2958" t="s">
        <v>29</v>
      </c>
      <c r="F2958" t="s">
        <v>41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1</v>
      </c>
      <c r="X2958">
        <v>0</v>
      </c>
      <c r="Y2958" t="s">
        <v>51</v>
      </c>
      <c r="Z2958">
        <v>30</v>
      </c>
      <c r="AA2958">
        <v>0</v>
      </c>
    </row>
    <row r="2959" spans="1:27" x14ac:dyDescent="0.2">
      <c r="A2959" t="s">
        <v>318</v>
      </c>
      <c r="B2959">
        <v>2018</v>
      </c>
      <c r="C2959">
        <v>20567017</v>
      </c>
      <c r="D2959" t="s">
        <v>3869</v>
      </c>
      <c r="E2959" t="s">
        <v>29</v>
      </c>
      <c r="F2959" t="s">
        <v>41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1</v>
      </c>
      <c r="X2959">
        <v>0</v>
      </c>
      <c r="Y2959" t="s">
        <v>51</v>
      </c>
      <c r="Z2959">
        <v>30</v>
      </c>
      <c r="AA2959">
        <v>0</v>
      </c>
    </row>
    <row r="2960" spans="1:27" x14ac:dyDescent="0.2">
      <c r="A2960" t="s">
        <v>318</v>
      </c>
      <c r="B2960">
        <v>2018</v>
      </c>
      <c r="C2960">
        <v>20567022</v>
      </c>
      <c r="D2960" t="s">
        <v>3870</v>
      </c>
      <c r="E2960" t="s">
        <v>29</v>
      </c>
      <c r="F2960" t="s">
        <v>41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1</v>
      </c>
      <c r="X2960">
        <v>0</v>
      </c>
      <c r="Y2960" t="s">
        <v>51</v>
      </c>
      <c r="Z2960">
        <v>30</v>
      </c>
      <c r="AA2960">
        <v>0</v>
      </c>
    </row>
    <row r="2961" spans="1:27" x14ac:dyDescent="0.2">
      <c r="A2961" t="s">
        <v>318</v>
      </c>
      <c r="B2961">
        <v>2018</v>
      </c>
      <c r="C2961">
        <v>20564030</v>
      </c>
      <c r="D2961" t="s">
        <v>3871</v>
      </c>
      <c r="E2961" t="s">
        <v>29</v>
      </c>
      <c r="F2961" t="s">
        <v>41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1</v>
      </c>
      <c r="X2961">
        <v>0</v>
      </c>
      <c r="Y2961" t="s">
        <v>51</v>
      </c>
      <c r="Z2961">
        <v>30</v>
      </c>
      <c r="AA2961">
        <v>0</v>
      </c>
    </row>
    <row r="2962" spans="1:27" x14ac:dyDescent="0.2">
      <c r="A2962" t="s">
        <v>3872</v>
      </c>
      <c r="B2962">
        <v>2018</v>
      </c>
      <c r="C2962" t="s">
        <v>3873</v>
      </c>
      <c r="D2962" t="s">
        <v>3874</v>
      </c>
      <c r="E2962" t="s">
        <v>29</v>
      </c>
      <c r="F2962" t="s">
        <v>30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2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 t="s">
        <v>31</v>
      </c>
      <c r="Z2962">
        <v>55</v>
      </c>
      <c r="AA2962">
        <v>0</v>
      </c>
    </row>
    <row r="2963" spans="1:27" x14ac:dyDescent="0.2">
      <c r="A2963" t="s">
        <v>163</v>
      </c>
      <c r="B2963">
        <v>2018</v>
      </c>
      <c r="C2963">
        <v>4941502800</v>
      </c>
      <c r="D2963" t="s">
        <v>3875</v>
      </c>
      <c r="E2963" t="s">
        <v>29</v>
      </c>
      <c r="F2963" t="s">
        <v>30</v>
      </c>
      <c r="G2963">
        <v>1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 t="s">
        <v>31</v>
      </c>
      <c r="Z2963">
        <v>55</v>
      </c>
      <c r="AA2963">
        <v>0</v>
      </c>
    </row>
    <row r="2964" spans="1:27" x14ac:dyDescent="0.2">
      <c r="A2964" t="s">
        <v>1429</v>
      </c>
      <c r="B2964">
        <v>2019</v>
      </c>
      <c r="C2964" t="s">
        <v>3876</v>
      </c>
      <c r="D2964" t="s">
        <v>3877</v>
      </c>
      <c r="E2964" t="s">
        <v>29</v>
      </c>
      <c r="F2964" t="s">
        <v>30</v>
      </c>
      <c r="G2964">
        <v>0</v>
      </c>
      <c r="H2964">
        <v>0</v>
      </c>
      <c r="I2964">
        <v>79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 t="s">
        <v>31</v>
      </c>
      <c r="Z2964">
        <v>55</v>
      </c>
      <c r="AA2964">
        <v>0</v>
      </c>
    </row>
    <row r="2965" spans="1:27" x14ac:dyDescent="0.2">
      <c r="A2965" t="s">
        <v>418</v>
      </c>
      <c r="B2965">
        <v>2022</v>
      </c>
      <c r="C2965">
        <v>24966051</v>
      </c>
      <c r="D2965" t="s">
        <v>3878</v>
      </c>
      <c r="E2965" t="s">
        <v>29</v>
      </c>
      <c r="F2965" t="s">
        <v>30</v>
      </c>
      <c r="G2965">
        <v>0</v>
      </c>
      <c r="H2965">
        <v>0</v>
      </c>
      <c r="I2965">
        <v>1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 t="s">
        <v>31</v>
      </c>
      <c r="Z2965">
        <v>55</v>
      </c>
      <c r="AA2965">
        <v>28</v>
      </c>
    </row>
    <row r="2966" spans="1:27" x14ac:dyDescent="0.2">
      <c r="A2966" t="s">
        <v>418</v>
      </c>
      <c r="B2966">
        <v>2022</v>
      </c>
      <c r="C2966">
        <v>25947068</v>
      </c>
      <c r="D2966" t="s">
        <v>3879</v>
      </c>
      <c r="E2966" t="s">
        <v>29</v>
      </c>
      <c r="F2966" t="s">
        <v>30</v>
      </c>
      <c r="G2966">
        <v>0</v>
      </c>
      <c r="H2966">
        <v>0</v>
      </c>
      <c r="I2966">
        <v>30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 t="s">
        <v>31</v>
      </c>
      <c r="AA2966">
        <v>50</v>
      </c>
    </row>
    <row r="2967" spans="1:27" x14ac:dyDescent="0.2">
      <c r="A2967" t="s">
        <v>547</v>
      </c>
      <c r="B2967">
        <v>2024</v>
      </c>
      <c r="C2967">
        <v>5501004006</v>
      </c>
      <c r="D2967" t="s">
        <v>2969</v>
      </c>
      <c r="E2967" t="s">
        <v>29</v>
      </c>
      <c r="F2967" t="s">
        <v>30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19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19</v>
      </c>
      <c r="T2967">
        <v>0</v>
      </c>
      <c r="U2967">
        <v>0</v>
      </c>
      <c r="V2967">
        <v>0</v>
      </c>
      <c r="W2967">
        <v>0</v>
      </c>
      <c r="X2967">
        <v>0</v>
      </c>
      <c r="Y2967" t="s">
        <v>31</v>
      </c>
      <c r="Z2967">
        <v>55</v>
      </c>
      <c r="AA2967">
        <v>35</v>
      </c>
    </row>
    <row r="2968" spans="1:27" x14ac:dyDescent="0.2">
      <c r="A2968" t="s">
        <v>547</v>
      </c>
      <c r="B2968">
        <v>2024</v>
      </c>
      <c r="C2968">
        <v>5180001900</v>
      </c>
      <c r="D2968" t="s">
        <v>3880</v>
      </c>
      <c r="E2968" t="s">
        <v>29</v>
      </c>
      <c r="F2968" t="s">
        <v>30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76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76</v>
      </c>
      <c r="V2968">
        <v>0</v>
      </c>
      <c r="W2968">
        <v>0</v>
      </c>
      <c r="X2968">
        <v>0</v>
      </c>
      <c r="Y2968" t="s">
        <v>31</v>
      </c>
      <c r="Z2968">
        <v>55</v>
      </c>
      <c r="AA2968">
        <v>0</v>
      </c>
    </row>
    <row r="2969" spans="1:27" x14ac:dyDescent="0.2">
      <c r="A2969" t="s">
        <v>1576</v>
      </c>
      <c r="B2969">
        <v>2022</v>
      </c>
      <c r="C2969">
        <v>1532741900</v>
      </c>
      <c r="D2969" t="s">
        <v>3881</v>
      </c>
      <c r="E2969" t="s">
        <v>29</v>
      </c>
      <c r="F2969" t="s">
        <v>30</v>
      </c>
      <c r="G2969">
        <v>2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2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 t="s">
        <v>31</v>
      </c>
      <c r="AA2969">
        <v>0.5</v>
      </c>
    </row>
    <row r="2970" spans="1:27" x14ac:dyDescent="0.2">
      <c r="A2970" t="s">
        <v>547</v>
      </c>
      <c r="B2970">
        <v>2024</v>
      </c>
      <c r="C2970">
        <v>5126019005</v>
      </c>
      <c r="D2970" t="s">
        <v>2648</v>
      </c>
      <c r="E2970" t="s">
        <v>29</v>
      </c>
      <c r="F2970" t="s">
        <v>30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25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25</v>
      </c>
      <c r="T2970">
        <v>0</v>
      </c>
      <c r="U2970">
        <v>0</v>
      </c>
      <c r="V2970">
        <v>0</v>
      </c>
      <c r="W2970">
        <v>0</v>
      </c>
      <c r="X2970">
        <v>0</v>
      </c>
      <c r="Y2970" t="s">
        <v>31</v>
      </c>
      <c r="Z2970">
        <v>55</v>
      </c>
      <c r="AA2970">
        <v>34</v>
      </c>
    </row>
    <row r="2971" spans="1:27" x14ac:dyDescent="0.2">
      <c r="A2971" t="s">
        <v>547</v>
      </c>
      <c r="B2971">
        <v>2024</v>
      </c>
      <c r="C2971">
        <v>4325019004</v>
      </c>
      <c r="D2971" t="s">
        <v>3882</v>
      </c>
      <c r="E2971" t="s">
        <v>29</v>
      </c>
      <c r="F2971" t="s">
        <v>30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1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 t="s">
        <v>31</v>
      </c>
      <c r="Z2971">
        <v>55</v>
      </c>
      <c r="AA2971">
        <v>57</v>
      </c>
    </row>
    <row r="2972" spans="1:27" x14ac:dyDescent="0.2">
      <c r="A2972" t="s">
        <v>547</v>
      </c>
      <c r="B2972">
        <v>2024</v>
      </c>
      <c r="C2972">
        <v>2360030017</v>
      </c>
      <c r="D2972" t="s">
        <v>2281</v>
      </c>
      <c r="E2972" t="s">
        <v>29</v>
      </c>
      <c r="F2972" t="s">
        <v>30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2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2</v>
      </c>
      <c r="T2972">
        <v>0</v>
      </c>
      <c r="U2972">
        <v>0</v>
      </c>
      <c r="V2972">
        <v>0</v>
      </c>
      <c r="W2972">
        <v>0</v>
      </c>
      <c r="X2972">
        <v>0</v>
      </c>
      <c r="Y2972" t="s">
        <v>31</v>
      </c>
      <c r="Z2972">
        <v>55</v>
      </c>
      <c r="AA2972">
        <v>35</v>
      </c>
    </row>
    <row r="2973" spans="1:27" x14ac:dyDescent="0.2">
      <c r="A2973" t="s">
        <v>547</v>
      </c>
      <c r="B2973">
        <v>2024</v>
      </c>
      <c r="C2973">
        <v>4323013901</v>
      </c>
      <c r="D2973" t="s">
        <v>3883</v>
      </c>
      <c r="E2973" t="s">
        <v>29</v>
      </c>
      <c r="F2973" t="s">
        <v>30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50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50</v>
      </c>
      <c r="V2973">
        <v>0</v>
      </c>
      <c r="W2973">
        <v>0</v>
      </c>
      <c r="X2973">
        <v>0</v>
      </c>
      <c r="Y2973" t="s">
        <v>31</v>
      </c>
      <c r="Z2973">
        <v>55</v>
      </c>
      <c r="AA2973">
        <v>80</v>
      </c>
    </row>
    <row r="2974" spans="1:27" x14ac:dyDescent="0.2">
      <c r="A2974" t="s">
        <v>547</v>
      </c>
      <c r="B2974">
        <v>2024</v>
      </c>
      <c r="C2974">
        <v>5104017033</v>
      </c>
      <c r="D2974" t="s">
        <v>3884</v>
      </c>
      <c r="E2974" t="s">
        <v>29</v>
      </c>
      <c r="F2974" t="s">
        <v>30</v>
      </c>
      <c r="G2974">
        <v>0</v>
      </c>
      <c r="H2974">
        <v>0</v>
      </c>
      <c r="I2974">
        <v>22</v>
      </c>
      <c r="J2974">
        <v>0</v>
      </c>
      <c r="K2974">
        <v>6</v>
      </c>
      <c r="L2974">
        <v>0</v>
      </c>
      <c r="M2974">
        <v>0</v>
      </c>
      <c r="N2974">
        <v>0</v>
      </c>
      <c r="O2974">
        <v>22</v>
      </c>
      <c r="P2974">
        <v>0</v>
      </c>
      <c r="Q2974">
        <v>6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 t="s">
        <v>31</v>
      </c>
      <c r="Z2974">
        <v>55</v>
      </c>
      <c r="AA2974">
        <v>71</v>
      </c>
    </row>
    <row r="2975" spans="1:27" x14ac:dyDescent="0.2">
      <c r="A2975" t="s">
        <v>547</v>
      </c>
      <c r="B2975">
        <v>2024</v>
      </c>
      <c r="C2975">
        <v>4005004001</v>
      </c>
      <c r="D2975" t="s">
        <v>3885</v>
      </c>
      <c r="E2975" t="s">
        <v>29</v>
      </c>
      <c r="F2975" t="s">
        <v>30</v>
      </c>
      <c r="G2975">
        <v>9</v>
      </c>
      <c r="H2975">
        <v>0</v>
      </c>
      <c r="I2975">
        <v>17</v>
      </c>
      <c r="J2975">
        <v>0</v>
      </c>
      <c r="K2975">
        <v>0</v>
      </c>
      <c r="L2975">
        <v>0</v>
      </c>
      <c r="M2975">
        <v>9</v>
      </c>
      <c r="N2975">
        <v>0</v>
      </c>
      <c r="O2975">
        <v>17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 t="s">
        <v>31</v>
      </c>
      <c r="Z2975">
        <v>55</v>
      </c>
      <c r="AA2975">
        <v>80</v>
      </c>
    </row>
    <row r="2976" spans="1:27" x14ac:dyDescent="0.2">
      <c r="A2976" t="s">
        <v>172</v>
      </c>
      <c r="B2976">
        <v>2021</v>
      </c>
      <c r="C2976" t="s">
        <v>3886</v>
      </c>
      <c r="D2976" t="s">
        <v>3887</v>
      </c>
      <c r="E2976" t="s">
        <v>29</v>
      </c>
      <c r="F2976" t="s">
        <v>30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75</v>
      </c>
      <c r="N2976">
        <v>0</v>
      </c>
      <c r="O2976">
        <v>104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 t="s">
        <v>31</v>
      </c>
      <c r="Z2976">
        <v>75</v>
      </c>
      <c r="AA2976">
        <v>0</v>
      </c>
    </row>
    <row r="2977" spans="1:27" x14ac:dyDescent="0.2">
      <c r="A2977" t="s">
        <v>172</v>
      </c>
      <c r="B2977">
        <v>2021</v>
      </c>
      <c r="C2977" t="s">
        <v>2762</v>
      </c>
      <c r="D2977" t="s">
        <v>3888</v>
      </c>
      <c r="E2977" t="s">
        <v>29</v>
      </c>
      <c r="F2977" t="s">
        <v>30</v>
      </c>
      <c r="G2977">
        <v>15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 t="s">
        <v>31</v>
      </c>
      <c r="Z2977">
        <v>55</v>
      </c>
      <c r="AA2977">
        <v>20</v>
      </c>
    </row>
    <row r="2978" spans="1:27" x14ac:dyDescent="0.2">
      <c r="A2978" t="s">
        <v>172</v>
      </c>
      <c r="B2978">
        <v>2021</v>
      </c>
      <c r="C2978" t="s">
        <v>3889</v>
      </c>
      <c r="D2978" t="s">
        <v>3890</v>
      </c>
      <c r="E2978" t="s">
        <v>29</v>
      </c>
      <c r="F2978" t="s">
        <v>41</v>
      </c>
      <c r="G2978">
        <v>5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 t="s">
        <v>31</v>
      </c>
      <c r="Z2978">
        <v>55</v>
      </c>
      <c r="AA2978">
        <v>0</v>
      </c>
    </row>
    <row r="2979" spans="1:27" x14ac:dyDescent="0.2">
      <c r="A2979" t="s">
        <v>172</v>
      </c>
      <c r="B2979">
        <v>2021</v>
      </c>
      <c r="C2979" t="s">
        <v>3891</v>
      </c>
      <c r="D2979" t="s">
        <v>3892</v>
      </c>
      <c r="E2979" t="s">
        <v>29</v>
      </c>
      <c r="F2979" t="s">
        <v>41</v>
      </c>
      <c r="G2979">
        <v>0</v>
      </c>
      <c r="H2979">
        <v>0</v>
      </c>
      <c r="I2979">
        <v>5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 t="s">
        <v>31</v>
      </c>
      <c r="Z2979">
        <v>55</v>
      </c>
      <c r="AA2979">
        <v>0</v>
      </c>
    </row>
    <row r="2980" spans="1:27" x14ac:dyDescent="0.2">
      <c r="A2980" t="s">
        <v>172</v>
      </c>
      <c r="B2980">
        <v>2021</v>
      </c>
      <c r="C2980" t="s">
        <v>3893</v>
      </c>
      <c r="D2980" t="s">
        <v>3894</v>
      </c>
      <c r="E2980" t="s">
        <v>29</v>
      </c>
      <c r="F2980" t="s">
        <v>41</v>
      </c>
      <c r="G2980">
        <v>0</v>
      </c>
      <c r="H2980">
        <v>0</v>
      </c>
      <c r="I2980">
        <v>3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 t="s">
        <v>31</v>
      </c>
      <c r="Z2980">
        <v>55</v>
      </c>
      <c r="AA2980">
        <v>0</v>
      </c>
    </row>
    <row r="2981" spans="1:27" x14ac:dyDescent="0.2">
      <c r="A2981" t="s">
        <v>547</v>
      </c>
      <c r="B2981">
        <v>2023</v>
      </c>
      <c r="C2981">
        <v>4306004007</v>
      </c>
      <c r="D2981" t="s">
        <v>3895</v>
      </c>
      <c r="E2981" t="s">
        <v>29</v>
      </c>
      <c r="F2981" t="s">
        <v>30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8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 t="s">
        <v>31</v>
      </c>
      <c r="Z2981">
        <v>55</v>
      </c>
      <c r="AA2981" s="2" t="s">
        <v>3316</v>
      </c>
    </row>
    <row r="2982" spans="1:27" x14ac:dyDescent="0.2">
      <c r="A2982" t="s">
        <v>547</v>
      </c>
      <c r="B2982">
        <v>2023</v>
      </c>
      <c r="C2982">
        <v>2347015001</v>
      </c>
      <c r="D2982" t="s">
        <v>3896</v>
      </c>
      <c r="E2982" t="s">
        <v>29</v>
      </c>
      <c r="F2982" t="s">
        <v>30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6</v>
      </c>
      <c r="V2982">
        <v>0</v>
      </c>
      <c r="W2982">
        <v>0</v>
      </c>
      <c r="X2982">
        <v>0</v>
      </c>
      <c r="Y2982" t="s">
        <v>31</v>
      </c>
      <c r="Z2982">
        <v>55</v>
      </c>
      <c r="AA2982" s="2" t="s">
        <v>3244</v>
      </c>
    </row>
    <row r="2983" spans="1:27" x14ac:dyDescent="0.2">
      <c r="A2983" t="s">
        <v>172</v>
      </c>
      <c r="B2983">
        <v>2021</v>
      </c>
      <c r="C2983" t="s">
        <v>3897</v>
      </c>
      <c r="D2983" t="s">
        <v>3898</v>
      </c>
      <c r="E2983" t="s">
        <v>29</v>
      </c>
      <c r="F2983" t="s">
        <v>30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17</v>
      </c>
      <c r="T2983">
        <v>0</v>
      </c>
      <c r="U2983">
        <v>0</v>
      </c>
      <c r="V2983">
        <v>0</v>
      </c>
      <c r="W2983">
        <v>0</v>
      </c>
      <c r="X2983">
        <v>0</v>
      </c>
      <c r="Y2983" t="s">
        <v>31</v>
      </c>
      <c r="Z2983">
        <v>55</v>
      </c>
      <c r="AA2983">
        <v>0</v>
      </c>
    </row>
    <row r="2984" spans="1:27" x14ac:dyDescent="0.2">
      <c r="A2984" t="s">
        <v>547</v>
      </c>
      <c r="B2984">
        <v>2023</v>
      </c>
      <c r="C2984">
        <v>4303032022</v>
      </c>
      <c r="D2984" t="s">
        <v>3899</v>
      </c>
      <c r="E2984" t="s">
        <v>29</v>
      </c>
      <c r="F2984" t="s">
        <v>30</v>
      </c>
      <c r="G2984">
        <v>6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 t="s">
        <v>31</v>
      </c>
      <c r="AA2984" s="2" t="s">
        <v>3900</v>
      </c>
    </row>
    <row r="2985" spans="1:27" x14ac:dyDescent="0.2">
      <c r="A2985" t="s">
        <v>547</v>
      </c>
      <c r="B2985">
        <v>2023</v>
      </c>
      <c r="C2985">
        <v>2317013004</v>
      </c>
      <c r="D2985" t="s">
        <v>3901</v>
      </c>
      <c r="E2985" t="s">
        <v>29</v>
      </c>
      <c r="F2985" t="s">
        <v>30</v>
      </c>
      <c r="G2985">
        <v>3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 t="s">
        <v>31</v>
      </c>
      <c r="Z2985">
        <v>55</v>
      </c>
      <c r="AA2985">
        <v>1.46</v>
      </c>
    </row>
    <row r="2986" spans="1:27" x14ac:dyDescent="0.2">
      <c r="A2986" t="s">
        <v>547</v>
      </c>
      <c r="B2986">
        <v>2023</v>
      </c>
      <c r="C2986">
        <v>2415018007</v>
      </c>
      <c r="D2986" t="s">
        <v>3902</v>
      </c>
      <c r="E2986" t="s">
        <v>29</v>
      </c>
      <c r="F2986" t="s">
        <v>30</v>
      </c>
      <c r="G2986">
        <v>0</v>
      </c>
      <c r="H2986">
        <v>0</v>
      </c>
      <c r="I2986">
        <v>0</v>
      </c>
      <c r="J2986">
        <v>0</v>
      </c>
      <c r="K2986">
        <v>1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 t="s">
        <v>51</v>
      </c>
      <c r="Z2986">
        <v>55</v>
      </c>
      <c r="AA2986">
        <v>0</v>
      </c>
    </row>
    <row r="2987" spans="1:27" x14ac:dyDescent="0.2">
      <c r="A2987" t="s">
        <v>547</v>
      </c>
      <c r="B2987">
        <v>2023</v>
      </c>
      <c r="C2987">
        <v>5544011019</v>
      </c>
      <c r="D2987" t="s">
        <v>3903</v>
      </c>
      <c r="E2987" t="s">
        <v>29</v>
      </c>
      <c r="F2987" t="s">
        <v>30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3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 t="s">
        <v>51</v>
      </c>
      <c r="Z2987">
        <v>55</v>
      </c>
      <c r="AA2987">
        <v>0</v>
      </c>
    </row>
    <row r="2988" spans="1:27" x14ac:dyDescent="0.2">
      <c r="A2988" t="s">
        <v>547</v>
      </c>
      <c r="B2988">
        <v>2023</v>
      </c>
      <c r="C2988">
        <v>7455026051</v>
      </c>
      <c r="D2988" t="s">
        <v>3904</v>
      </c>
      <c r="E2988" t="s">
        <v>29</v>
      </c>
      <c r="F2988" t="s">
        <v>30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16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 t="s">
        <v>31</v>
      </c>
      <c r="Z2988">
        <v>55</v>
      </c>
      <c r="AA2988" s="2" t="s">
        <v>3316</v>
      </c>
    </row>
    <row r="2989" spans="1:27" x14ac:dyDescent="0.2">
      <c r="A2989" t="s">
        <v>547</v>
      </c>
      <c r="B2989">
        <v>2023</v>
      </c>
      <c r="C2989">
        <v>4012021042</v>
      </c>
      <c r="D2989" t="s">
        <v>3905</v>
      </c>
      <c r="E2989" t="s">
        <v>29</v>
      </c>
      <c r="F2989" t="s">
        <v>30</v>
      </c>
      <c r="G2989">
        <v>2</v>
      </c>
      <c r="H2989">
        <v>0</v>
      </c>
      <c r="I2989">
        <v>179</v>
      </c>
      <c r="J2989">
        <v>0</v>
      </c>
      <c r="K2989">
        <v>40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 t="s">
        <v>31</v>
      </c>
      <c r="AA2989" s="2" t="s">
        <v>3394</v>
      </c>
    </row>
    <row r="2990" spans="1:27" x14ac:dyDescent="0.2">
      <c r="A2990" t="s">
        <v>547</v>
      </c>
      <c r="B2990">
        <v>2023</v>
      </c>
      <c r="C2990">
        <v>4237005010</v>
      </c>
      <c r="D2990" t="s">
        <v>3906</v>
      </c>
      <c r="E2990" t="s">
        <v>29</v>
      </c>
      <c r="F2990" t="s">
        <v>30</v>
      </c>
      <c r="G2990">
        <v>0</v>
      </c>
      <c r="H2990">
        <v>0</v>
      </c>
      <c r="I2990">
        <v>3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 t="s">
        <v>31</v>
      </c>
      <c r="AA2990">
        <v>0</v>
      </c>
    </row>
    <row r="2991" spans="1:27" x14ac:dyDescent="0.2">
      <c r="A2991" t="s">
        <v>547</v>
      </c>
      <c r="B2991">
        <v>2023</v>
      </c>
      <c r="C2991">
        <v>4261028003</v>
      </c>
      <c r="D2991" t="s">
        <v>3907</v>
      </c>
      <c r="E2991" t="s">
        <v>29</v>
      </c>
      <c r="F2991" t="s">
        <v>30</v>
      </c>
      <c r="G2991">
        <v>0</v>
      </c>
      <c r="H2991">
        <v>0</v>
      </c>
      <c r="I2991">
        <v>36</v>
      </c>
      <c r="J2991">
        <v>0</v>
      </c>
      <c r="K2991">
        <v>7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 t="s">
        <v>31</v>
      </c>
      <c r="AA2991" s="2" t="s">
        <v>3908</v>
      </c>
    </row>
    <row r="2992" spans="1:27" x14ac:dyDescent="0.2">
      <c r="A2992" t="s">
        <v>547</v>
      </c>
      <c r="B2992">
        <v>2023</v>
      </c>
      <c r="C2992">
        <v>5092029007</v>
      </c>
      <c r="D2992" t="s">
        <v>3909</v>
      </c>
      <c r="E2992" t="s">
        <v>29</v>
      </c>
      <c r="F2992" t="s">
        <v>30</v>
      </c>
      <c r="G2992">
        <v>0</v>
      </c>
      <c r="H2992">
        <v>0</v>
      </c>
      <c r="I2992">
        <v>46</v>
      </c>
      <c r="J2992">
        <v>0</v>
      </c>
      <c r="K2992">
        <v>12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 t="s">
        <v>31</v>
      </c>
      <c r="AA2992" s="2" t="s">
        <v>3910</v>
      </c>
    </row>
    <row r="2993" spans="1:27" x14ac:dyDescent="0.2">
      <c r="A2993" t="s">
        <v>547</v>
      </c>
      <c r="B2993">
        <v>2023</v>
      </c>
      <c r="C2993">
        <v>5144019021</v>
      </c>
      <c r="D2993" t="s">
        <v>3911</v>
      </c>
      <c r="E2993" t="s">
        <v>29</v>
      </c>
      <c r="F2993" t="s">
        <v>30</v>
      </c>
      <c r="G2993">
        <v>37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 t="s">
        <v>31</v>
      </c>
      <c r="AA2993" s="2" t="s">
        <v>3316</v>
      </c>
    </row>
    <row r="2994" spans="1:27" x14ac:dyDescent="0.2">
      <c r="A2994" t="s">
        <v>2152</v>
      </c>
      <c r="B2994">
        <v>2021</v>
      </c>
      <c r="C2994">
        <v>178402003</v>
      </c>
      <c r="D2994" t="s">
        <v>3912</v>
      </c>
      <c r="E2994" t="s">
        <v>29</v>
      </c>
      <c r="F2994" t="s">
        <v>30</v>
      </c>
      <c r="G2994">
        <v>0</v>
      </c>
      <c r="H2994">
        <v>0</v>
      </c>
      <c r="I2994">
        <v>96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 t="s">
        <v>31</v>
      </c>
      <c r="Z2994">
        <v>55</v>
      </c>
      <c r="AA2994" s="2" t="s">
        <v>3913</v>
      </c>
    </row>
    <row r="2995" spans="1:27" x14ac:dyDescent="0.2">
      <c r="A2995" t="s">
        <v>2428</v>
      </c>
      <c r="B2995">
        <v>2021</v>
      </c>
      <c r="C2995" t="s">
        <v>3914</v>
      </c>
      <c r="D2995" t="s">
        <v>3915</v>
      </c>
      <c r="E2995" t="s">
        <v>29</v>
      </c>
      <c r="F2995" t="s">
        <v>30</v>
      </c>
      <c r="G2995">
        <v>0</v>
      </c>
      <c r="H2995">
        <v>5</v>
      </c>
      <c r="I2995">
        <v>0</v>
      </c>
      <c r="J2995">
        <v>7</v>
      </c>
      <c r="K2995">
        <v>0</v>
      </c>
      <c r="L2995">
        <v>7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 t="s">
        <v>31</v>
      </c>
      <c r="AA2995">
        <v>50</v>
      </c>
    </row>
    <row r="2996" spans="1:27" x14ac:dyDescent="0.2">
      <c r="A2996" t="s">
        <v>547</v>
      </c>
      <c r="B2996">
        <v>2023</v>
      </c>
      <c r="C2996">
        <v>5518023004</v>
      </c>
      <c r="D2996" t="s">
        <v>3916</v>
      </c>
      <c r="E2996" t="s">
        <v>29</v>
      </c>
      <c r="F2996" t="s">
        <v>30</v>
      </c>
      <c r="G2996">
        <v>13</v>
      </c>
      <c r="H2996">
        <v>0</v>
      </c>
      <c r="I2996">
        <v>32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 t="s">
        <v>31</v>
      </c>
      <c r="AA2996" s="2" t="s">
        <v>3917</v>
      </c>
    </row>
    <row r="2997" spans="1:27" x14ac:dyDescent="0.2">
      <c r="A2997" t="s">
        <v>547</v>
      </c>
      <c r="B2997">
        <v>2023</v>
      </c>
      <c r="C2997">
        <v>5534006007</v>
      </c>
      <c r="D2997" t="s">
        <v>3918</v>
      </c>
      <c r="E2997" t="s">
        <v>29</v>
      </c>
      <c r="F2997" t="s">
        <v>30</v>
      </c>
      <c r="G2997">
        <v>3</v>
      </c>
      <c r="H2997">
        <v>0</v>
      </c>
      <c r="I2997">
        <v>47</v>
      </c>
      <c r="J2997">
        <v>0</v>
      </c>
      <c r="K2997">
        <v>13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 t="s">
        <v>31</v>
      </c>
      <c r="AA2997">
        <v>9</v>
      </c>
    </row>
    <row r="2998" spans="1:27" x14ac:dyDescent="0.2">
      <c r="A2998" t="s">
        <v>547</v>
      </c>
      <c r="B2998">
        <v>2023</v>
      </c>
      <c r="C2998">
        <v>5078026017</v>
      </c>
      <c r="D2998" t="s">
        <v>3919</v>
      </c>
      <c r="E2998" t="s">
        <v>29</v>
      </c>
      <c r="F2998" t="s">
        <v>30</v>
      </c>
      <c r="G2998">
        <v>0</v>
      </c>
      <c r="H2998">
        <v>0</v>
      </c>
      <c r="I2998">
        <v>23</v>
      </c>
      <c r="J2998">
        <v>0</v>
      </c>
      <c r="K2998">
        <v>3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 t="s">
        <v>31</v>
      </c>
      <c r="Z2998">
        <v>55</v>
      </c>
      <c r="AA2998" s="2" t="s">
        <v>3920</v>
      </c>
    </row>
    <row r="2999" spans="1:27" x14ac:dyDescent="0.2">
      <c r="A2999" t="s">
        <v>1706</v>
      </c>
      <c r="B2999">
        <v>2021</v>
      </c>
      <c r="C2999">
        <v>216120037</v>
      </c>
      <c r="D2999" t="s">
        <v>3921</v>
      </c>
      <c r="E2999" t="s">
        <v>29</v>
      </c>
      <c r="F2999" t="s">
        <v>30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10</v>
      </c>
      <c r="T2999">
        <v>0</v>
      </c>
      <c r="U2999">
        <v>0</v>
      </c>
      <c r="V2999">
        <v>0</v>
      </c>
      <c r="W2999">
        <v>0</v>
      </c>
      <c r="X2999">
        <v>0</v>
      </c>
      <c r="Y2999" t="s">
        <v>31</v>
      </c>
      <c r="Z2999">
        <v>55</v>
      </c>
      <c r="AA2999">
        <v>30</v>
      </c>
    </row>
    <row r="3000" spans="1:27" x14ac:dyDescent="0.2">
      <c r="A3000" t="s">
        <v>600</v>
      </c>
      <c r="B3000">
        <v>2019</v>
      </c>
      <c r="C3000">
        <v>3505016</v>
      </c>
      <c r="D3000" t="s">
        <v>862</v>
      </c>
      <c r="E3000" t="s">
        <v>29</v>
      </c>
      <c r="F3000" t="s">
        <v>30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 t="s">
        <v>51</v>
      </c>
      <c r="AA3000">
        <v>0</v>
      </c>
    </row>
    <row r="3001" spans="1:27" x14ac:dyDescent="0.2">
      <c r="A3001" t="s">
        <v>600</v>
      </c>
      <c r="B3001">
        <v>2019</v>
      </c>
      <c r="C3001">
        <v>3755023</v>
      </c>
      <c r="D3001" t="s">
        <v>3922</v>
      </c>
      <c r="E3001" t="s">
        <v>29</v>
      </c>
      <c r="F3001" t="s">
        <v>30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 t="s">
        <v>51</v>
      </c>
      <c r="AA3001">
        <v>0</v>
      </c>
    </row>
    <row r="3002" spans="1:27" x14ac:dyDescent="0.2">
      <c r="A3002" t="s">
        <v>600</v>
      </c>
      <c r="B3002">
        <v>2019</v>
      </c>
      <c r="C3002">
        <v>3548033</v>
      </c>
      <c r="D3002" t="s">
        <v>2159</v>
      </c>
      <c r="E3002" t="s">
        <v>29</v>
      </c>
      <c r="F3002" t="s">
        <v>41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4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 t="s">
        <v>51</v>
      </c>
      <c r="AA3002">
        <v>0</v>
      </c>
    </row>
    <row r="3003" spans="1:27" x14ac:dyDescent="0.2">
      <c r="A3003" t="s">
        <v>600</v>
      </c>
      <c r="B3003">
        <v>2019</v>
      </c>
      <c r="C3003" s="2" t="s">
        <v>3923</v>
      </c>
      <c r="D3003" t="s">
        <v>3924</v>
      </c>
      <c r="E3003" t="s">
        <v>29</v>
      </c>
      <c r="F3003" t="s">
        <v>30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4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 t="s">
        <v>51</v>
      </c>
      <c r="AA3003">
        <v>0</v>
      </c>
    </row>
    <row r="3004" spans="1:27" x14ac:dyDescent="0.2">
      <c r="A3004" t="s">
        <v>1311</v>
      </c>
      <c r="B3004">
        <v>2022</v>
      </c>
      <c r="C3004" t="s">
        <v>3925</v>
      </c>
      <c r="D3004" t="s">
        <v>3926</v>
      </c>
      <c r="E3004" t="s">
        <v>29</v>
      </c>
      <c r="F3004" t="s">
        <v>30</v>
      </c>
      <c r="G3004">
        <v>2</v>
      </c>
      <c r="H3004">
        <v>0</v>
      </c>
      <c r="I3004">
        <v>4</v>
      </c>
      <c r="J3004">
        <v>0</v>
      </c>
      <c r="K3004">
        <v>5</v>
      </c>
      <c r="L3004">
        <v>0</v>
      </c>
      <c r="M3004">
        <v>2</v>
      </c>
      <c r="N3004">
        <v>0</v>
      </c>
      <c r="O3004">
        <v>4</v>
      </c>
      <c r="P3004">
        <v>0</v>
      </c>
      <c r="Q3004">
        <v>5</v>
      </c>
      <c r="R3004">
        <v>0</v>
      </c>
      <c r="S3004">
        <v>2</v>
      </c>
      <c r="T3004">
        <v>0</v>
      </c>
      <c r="U3004">
        <v>4</v>
      </c>
      <c r="V3004">
        <v>0</v>
      </c>
      <c r="W3004">
        <v>5</v>
      </c>
      <c r="X3004">
        <v>0</v>
      </c>
      <c r="Y3004" t="s">
        <v>31</v>
      </c>
      <c r="Z3004">
        <v>55</v>
      </c>
      <c r="AA3004">
        <v>100</v>
      </c>
    </row>
    <row r="3005" spans="1:27" x14ac:dyDescent="0.2">
      <c r="A3005" t="s">
        <v>1449</v>
      </c>
      <c r="B3005">
        <v>2020</v>
      </c>
      <c r="C3005" t="s">
        <v>1460</v>
      </c>
      <c r="D3005" t="s">
        <v>3927</v>
      </c>
      <c r="E3005" t="s">
        <v>29</v>
      </c>
      <c r="F3005" t="s">
        <v>30</v>
      </c>
      <c r="G3005">
        <v>5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 t="s">
        <v>31</v>
      </c>
      <c r="AA3005">
        <v>0</v>
      </c>
    </row>
    <row r="3006" spans="1:27" x14ac:dyDescent="0.2">
      <c r="A3006" t="s">
        <v>600</v>
      </c>
      <c r="B3006">
        <v>2019</v>
      </c>
      <c r="C3006">
        <v>4167011</v>
      </c>
      <c r="D3006" t="s">
        <v>3928</v>
      </c>
      <c r="E3006" t="s">
        <v>29</v>
      </c>
      <c r="F3006" t="s">
        <v>30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 t="s">
        <v>51</v>
      </c>
      <c r="AA3006">
        <v>0</v>
      </c>
    </row>
    <row r="3007" spans="1:27" x14ac:dyDescent="0.2">
      <c r="A3007" t="s">
        <v>600</v>
      </c>
      <c r="B3007">
        <v>2019</v>
      </c>
      <c r="C3007">
        <v>3911001</v>
      </c>
      <c r="D3007" t="s">
        <v>3929</v>
      </c>
      <c r="E3007" t="s">
        <v>29</v>
      </c>
      <c r="F3007" t="s">
        <v>30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 t="s">
        <v>51</v>
      </c>
      <c r="AA3007">
        <v>0</v>
      </c>
    </row>
    <row r="3008" spans="1:27" x14ac:dyDescent="0.2">
      <c r="A3008" t="s">
        <v>600</v>
      </c>
      <c r="B3008">
        <v>2019</v>
      </c>
      <c r="C3008">
        <v>3780001</v>
      </c>
      <c r="D3008" t="s">
        <v>3930</v>
      </c>
      <c r="E3008" t="s">
        <v>29</v>
      </c>
      <c r="F3008" t="s">
        <v>30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 t="s">
        <v>51</v>
      </c>
      <c r="AA3008">
        <v>0</v>
      </c>
    </row>
    <row r="3009" spans="1:27" x14ac:dyDescent="0.2">
      <c r="A3009" t="s">
        <v>412</v>
      </c>
      <c r="B3009">
        <v>2020</v>
      </c>
      <c r="C3009" t="s">
        <v>3487</v>
      </c>
      <c r="D3009" t="s">
        <v>3931</v>
      </c>
      <c r="E3009" t="s">
        <v>29</v>
      </c>
      <c r="F3009" t="s">
        <v>30</v>
      </c>
      <c r="G3009">
        <v>0</v>
      </c>
      <c r="H3009">
        <v>0</v>
      </c>
      <c r="I3009">
        <v>0</v>
      </c>
      <c r="J3009">
        <v>0</v>
      </c>
      <c r="K3009">
        <v>1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1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1</v>
      </c>
      <c r="X3009">
        <v>0</v>
      </c>
      <c r="Y3009" t="s">
        <v>51</v>
      </c>
      <c r="AA3009">
        <v>0</v>
      </c>
    </row>
    <row r="3010" spans="1:27" x14ac:dyDescent="0.2">
      <c r="A3010" t="s">
        <v>412</v>
      </c>
      <c r="B3010">
        <v>2020</v>
      </c>
      <c r="C3010" t="s">
        <v>413</v>
      </c>
      <c r="D3010" t="s">
        <v>414</v>
      </c>
      <c r="E3010" t="s">
        <v>29</v>
      </c>
      <c r="F3010" t="s">
        <v>30</v>
      </c>
      <c r="G3010">
        <v>7</v>
      </c>
      <c r="H3010">
        <v>0</v>
      </c>
      <c r="I3010">
        <v>1</v>
      </c>
      <c r="J3010">
        <v>0</v>
      </c>
      <c r="K3010">
        <v>0</v>
      </c>
      <c r="L3010">
        <v>0</v>
      </c>
      <c r="M3010">
        <v>5</v>
      </c>
      <c r="N3010">
        <v>0</v>
      </c>
      <c r="O3010">
        <v>5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 t="s">
        <v>31</v>
      </c>
      <c r="AA3010">
        <v>0</v>
      </c>
    </row>
    <row r="3011" spans="1:27" x14ac:dyDescent="0.2">
      <c r="A3011" t="s">
        <v>1802</v>
      </c>
      <c r="B3011">
        <v>2018</v>
      </c>
      <c r="C3011" t="s">
        <v>3932</v>
      </c>
      <c r="D3011" t="s">
        <v>3933</v>
      </c>
      <c r="E3011" t="s">
        <v>29</v>
      </c>
      <c r="F3011" t="s">
        <v>41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12</v>
      </c>
      <c r="V3011">
        <v>0</v>
      </c>
      <c r="W3011">
        <v>0</v>
      </c>
      <c r="X3011">
        <v>0</v>
      </c>
      <c r="Y3011" t="s">
        <v>51</v>
      </c>
      <c r="Z3011">
        <v>45</v>
      </c>
      <c r="AA3011">
        <v>0</v>
      </c>
    </row>
    <row r="3012" spans="1:27" x14ac:dyDescent="0.2">
      <c r="A3012" t="s">
        <v>1802</v>
      </c>
      <c r="B3012">
        <v>2018</v>
      </c>
      <c r="C3012" t="s">
        <v>3934</v>
      </c>
      <c r="D3012" t="s">
        <v>3935</v>
      </c>
      <c r="E3012" t="s">
        <v>29</v>
      </c>
      <c r="F3012" t="s">
        <v>30</v>
      </c>
      <c r="G3012">
        <v>0</v>
      </c>
      <c r="H3012">
        <v>0</v>
      </c>
      <c r="I3012">
        <v>0</v>
      </c>
      <c r="J3012">
        <v>0</v>
      </c>
      <c r="K3012">
        <v>10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 t="s">
        <v>51</v>
      </c>
      <c r="AA3012">
        <v>0</v>
      </c>
    </row>
    <row r="3013" spans="1:27" x14ac:dyDescent="0.2">
      <c r="A3013" t="s">
        <v>1075</v>
      </c>
      <c r="B3013">
        <v>2021</v>
      </c>
      <c r="C3013">
        <v>44923202</v>
      </c>
      <c r="D3013" t="s">
        <v>3936</v>
      </c>
      <c r="E3013" t="s">
        <v>29</v>
      </c>
      <c r="F3013" t="s">
        <v>30</v>
      </c>
      <c r="G3013">
        <v>0</v>
      </c>
      <c r="H3013">
        <v>49</v>
      </c>
      <c r="I3013">
        <v>0</v>
      </c>
      <c r="J3013">
        <v>13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 t="s">
        <v>31</v>
      </c>
      <c r="AA3013">
        <v>80</v>
      </c>
    </row>
    <row r="3014" spans="1:27" x14ac:dyDescent="0.2">
      <c r="A3014" t="s">
        <v>1449</v>
      </c>
      <c r="B3014">
        <v>2022</v>
      </c>
      <c r="C3014" t="s">
        <v>2131</v>
      </c>
      <c r="D3014" t="s">
        <v>3937</v>
      </c>
      <c r="E3014" t="s">
        <v>29</v>
      </c>
      <c r="F3014" t="s">
        <v>30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107</v>
      </c>
      <c r="T3014">
        <v>0</v>
      </c>
      <c r="U3014">
        <v>34</v>
      </c>
      <c r="V3014">
        <v>0</v>
      </c>
      <c r="W3014">
        <v>0</v>
      </c>
      <c r="X3014">
        <v>0</v>
      </c>
      <c r="Y3014" t="s">
        <v>31</v>
      </c>
      <c r="Z3014">
        <v>55</v>
      </c>
      <c r="AA3014">
        <v>35</v>
      </c>
    </row>
    <row r="3015" spans="1:27" x14ac:dyDescent="0.2">
      <c r="A3015" t="s">
        <v>1449</v>
      </c>
      <c r="B3015">
        <v>2022</v>
      </c>
      <c r="C3015" t="s">
        <v>3938</v>
      </c>
      <c r="D3015" t="s">
        <v>3939</v>
      </c>
      <c r="E3015" t="s">
        <v>29</v>
      </c>
      <c r="F3015" t="s">
        <v>30</v>
      </c>
      <c r="G3015">
        <v>0</v>
      </c>
      <c r="H3015">
        <v>0</v>
      </c>
      <c r="I3015">
        <v>2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 t="s">
        <v>31</v>
      </c>
      <c r="Z3015">
        <v>1000</v>
      </c>
      <c r="AA3015">
        <v>50</v>
      </c>
    </row>
    <row r="3016" spans="1:27" x14ac:dyDescent="0.2">
      <c r="A3016" t="s">
        <v>1449</v>
      </c>
      <c r="B3016">
        <v>2022</v>
      </c>
      <c r="C3016" t="s">
        <v>2143</v>
      </c>
      <c r="D3016" t="s">
        <v>3940</v>
      </c>
      <c r="E3016" t="s">
        <v>29</v>
      </c>
      <c r="F3016" t="s">
        <v>30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13</v>
      </c>
      <c r="N3016">
        <v>0</v>
      </c>
      <c r="O3016">
        <v>25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 t="s">
        <v>31</v>
      </c>
      <c r="Z3016">
        <v>55</v>
      </c>
      <c r="AA3016">
        <v>35</v>
      </c>
    </row>
    <row r="3017" spans="1:27" x14ac:dyDescent="0.2">
      <c r="A3017" t="s">
        <v>835</v>
      </c>
      <c r="B3017">
        <v>2023</v>
      </c>
      <c r="C3017" s="2" t="s">
        <v>3941</v>
      </c>
      <c r="D3017" t="s">
        <v>3942</v>
      </c>
      <c r="E3017" t="s">
        <v>29</v>
      </c>
      <c r="F3017" t="s">
        <v>30</v>
      </c>
      <c r="G3017">
        <v>27</v>
      </c>
      <c r="H3017">
        <v>0</v>
      </c>
      <c r="I3017">
        <v>55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 t="s">
        <v>51</v>
      </c>
      <c r="Z3017">
        <v>55</v>
      </c>
      <c r="AA3017">
        <v>0</v>
      </c>
    </row>
    <row r="3018" spans="1:27" x14ac:dyDescent="0.2">
      <c r="A3018" t="s">
        <v>600</v>
      </c>
      <c r="B3018">
        <v>2019</v>
      </c>
      <c r="C3018">
        <v>3787026</v>
      </c>
      <c r="D3018" t="s">
        <v>3943</v>
      </c>
      <c r="E3018" t="s">
        <v>29</v>
      </c>
      <c r="F3018" t="s">
        <v>30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 t="s">
        <v>51</v>
      </c>
      <c r="AA3018">
        <v>0</v>
      </c>
    </row>
    <row r="3019" spans="1:27" x14ac:dyDescent="0.2">
      <c r="A3019" t="s">
        <v>600</v>
      </c>
      <c r="B3019">
        <v>2019</v>
      </c>
      <c r="C3019">
        <v>6954018</v>
      </c>
      <c r="D3019" t="s">
        <v>3944</v>
      </c>
      <c r="E3019" t="s">
        <v>29</v>
      </c>
      <c r="F3019" t="s">
        <v>30</v>
      </c>
      <c r="G3019">
        <v>0</v>
      </c>
      <c r="H3019">
        <v>0</v>
      </c>
      <c r="I3019">
        <v>34</v>
      </c>
      <c r="J3019">
        <v>0</v>
      </c>
      <c r="K3019">
        <v>14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 t="s">
        <v>31</v>
      </c>
      <c r="AA3019">
        <v>0</v>
      </c>
    </row>
    <row r="3020" spans="1:27" x14ac:dyDescent="0.2">
      <c r="A3020" t="s">
        <v>600</v>
      </c>
      <c r="B3020">
        <v>2019</v>
      </c>
      <c r="C3020" s="2" t="s">
        <v>1918</v>
      </c>
      <c r="D3020" t="s">
        <v>3945</v>
      </c>
      <c r="E3020" t="s">
        <v>29</v>
      </c>
      <c r="F3020" t="s">
        <v>30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20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 t="s">
        <v>51</v>
      </c>
      <c r="AA3020">
        <v>0</v>
      </c>
    </row>
    <row r="3021" spans="1:27" x14ac:dyDescent="0.2">
      <c r="A3021" t="s">
        <v>600</v>
      </c>
      <c r="B3021">
        <v>2019</v>
      </c>
      <c r="C3021" s="2" t="s">
        <v>1977</v>
      </c>
      <c r="D3021" t="s">
        <v>3946</v>
      </c>
      <c r="E3021" t="s">
        <v>29</v>
      </c>
      <c r="F3021" t="s">
        <v>30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8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 t="s">
        <v>51</v>
      </c>
      <c r="AA3021">
        <v>0</v>
      </c>
    </row>
    <row r="3022" spans="1:27" x14ac:dyDescent="0.2">
      <c r="A3022" t="s">
        <v>600</v>
      </c>
      <c r="B3022">
        <v>2019</v>
      </c>
      <c r="C3022">
        <v>3736120</v>
      </c>
      <c r="D3022" t="s">
        <v>3947</v>
      </c>
      <c r="E3022" t="s">
        <v>29</v>
      </c>
      <c r="F3022" t="s">
        <v>30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109</v>
      </c>
      <c r="T3022">
        <v>0</v>
      </c>
      <c r="U3022">
        <v>0</v>
      </c>
      <c r="V3022">
        <v>0</v>
      </c>
      <c r="W3022">
        <v>0</v>
      </c>
      <c r="X3022">
        <v>0</v>
      </c>
      <c r="Y3022" t="s">
        <v>51</v>
      </c>
      <c r="AA3022">
        <v>0</v>
      </c>
    </row>
    <row r="3023" spans="1:27" x14ac:dyDescent="0.2">
      <c r="A3023" t="s">
        <v>600</v>
      </c>
      <c r="B3023">
        <v>2019</v>
      </c>
      <c r="C3023" s="2" t="s">
        <v>3948</v>
      </c>
      <c r="D3023" t="s">
        <v>3949</v>
      </c>
      <c r="E3023" t="s">
        <v>29</v>
      </c>
      <c r="F3023" t="s">
        <v>30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17</v>
      </c>
      <c r="X3023">
        <v>0</v>
      </c>
      <c r="Y3023" t="s">
        <v>51</v>
      </c>
      <c r="AA3023">
        <v>0</v>
      </c>
    </row>
    <row r="3024" spans="1:27" x14ac:dyDescent="0.2">
      <c r="A3024" t="s">
        <v>600</v>
      </c>
      <c r="B3024">
        <v>2019</v>
      </c>
      <c r="C3024">
        <v>3911001</v>
      </c>
      <c r="D3024" t="s">
        <v>3929</v>
      </c>
      <c r="E3024" t="s">
        <v>29</v>
      </c>
      <c r="F3024" t="s">
        <v>30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 t="s">
        <v>51</v>
      </c>
      <c r="AA3024">
        <v>0</v>
      </c>
    </row>
    <row r="3025" spans="1:27" x14ac:dyDescent="0.2">
      <c r="A3025" t="s">
        <v>600</v>
      </c>
      <c r="B3025">
        <v>2019</v>
      </c>
      <c r="C3025" s="2" t="s">
        <v>1088</v>
      </c>
      <c r="D3025" t="s">
        <v>1089</v>
      </c>
      <c r="E3025" t="s">
        <v>29</v>
      </c>
      <c r="F3025" t="s">
        <v>30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 t="s">
        <v>51</v>
      </c>
      <c r="AA3025">
        <v>0</v>
      </c>
    </row>
    <row r="3026" spans="1:27" x14ac:dyDescent="0.2">
      <c r="A3026" t="s">
        <v>3035</v>
      </c>
      <c r="B3026">
        <v>2022</v>
      </c>
      <c r="C3026">
        <v>40290260</v>
      </c>
      <c r="D3026" t="s">
        <v>3213</v>
      </c>
      <c r="E3026" t="s">
        <v>29</v>
      </c>
      <c r="F3026" t="s">
        <v>30</v>
      </c>
      <c r="G3026">
        <v>0</v>
      </c>
      <c r="H3026">
        <v>0</v>
      </c>
      <c r="I3026">
        <v>27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27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 t="s">
        <v>31</v>
      </c>
      <c r="Z3026">
        <v>99</v>
      </c>
      <c r="AA3026">
        <v>35</v>
      </c>
    </row>
    <row r="3027" spans="1:27" x14ac:dyDescent="0.2">
      <c r="A3027" t="s">
        <v>547</v>
      </c>
      <c r="B3027">
        <v>2023</v>
      </c>
      <c r="C3027">
        <v>5118009030</v>
      </c>
      <c r="D3027" t="s">
        <v>3950</v>
      </c>
      <c r="E3027" t="s">
        <v>29</v>
      </c>
      <c r="F3027" t="s">
        <v>30</v>
      </c>
      <c r="G3027">
        <v>0</v>
      </c>
      <c r="H3027">
        <v>0</v>
      </c>
      <c r="I3027">
        <v>43</v>
      </c>
      <c r="J3027">
        <v>0</v>
      </c>
      <c r="K3027">
        <v>11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 t="s">
        <v>31</v>
      </c>
      <c r="Z3027">
        <v>55</v>
      </c>
      <c r="AA3027" s="2" t="s">
        <v>3951</v>
      </c>
    </row>
    <row r="3028" spans="1:27" x14ac:dyDescent="0.2">
      <c r="A3028" t="s">
        <v>3387</v>
      </c>
      <c r="B3028">
        <v>2022</v>
      </c>
      <c r="C3028" t="s">
        <v>3952</v>
      </c>
      <c r="D3028" t="s">
        <v>3953</v>
      </c>
      <c r="E3028" t="s">
        <v>29</v>
      </c>
      <c r="F3028" t="s">
        <v>30</v>
      </c>
      <c r="G3028">
        <v>11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 t="s">
        <v>31</v>
      </c>
      <c r="Z3028">
        <v>55</v>
      </c>
      <c r="AA3028">
        <v>14</v>
      </c>
    </row>
    <row r="3029" spans="1:27" x14ac:dyDescent="0.2">
      <c r="A3029" t="s">
        <v>302</v>
      </c>
      <c r="B3029">
        <v>2021</v>
      </c>
      <c r="C3029" t="s">
        <v>3954</v>
      </c>
      <c r="D3029" t="s">
        <v>3955</v>
      </c>
      <c r="E3029" t="s">
        <v>29</v>
      </c>
      <c r="F3029" t="s">
        <v>30</v>
      </c>
      <c r="G3029">
        <v>0</v>
      </c>
      <c r="H3029">
        <v>0</v>
      </c>
      <c r="I3029">
        <v>1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 t="s">
        <v>31</v>
      </c>
      <c r="Z3029">
        <v>55</v>
      </c>
      <c r="AA3029">
        <v>20</v>
      </c>
    </row>
    <row r="3030" spans="1:27" x14ac:dyDescent="0.2">
      <c r="A3030" t="s">
        <v>313</v>
      </c>
      <c r="B3030">
        <v>2021</v>
      </c>
      <c r="C3030" t="s">
        <v>3956</v>
      </c>
      <c r="D3030" t="s">
        <v>3957</v>
      </c>
      <c r="E3030" t="s">
        <v>29</v>
      </c>
      <c r="F3030" t="s">
        <v>30</v>
      </c>
      <c r="G3030">
        <v>149</v>
      </c>
      <c r="H3030">
        <v>0</v>
      </c>
      <c r="I3030">
        <v>0</v>
      </c>
      <c r="J3030">
        <v>0</v>
      </c>
      <c r="K3030">
        <v>0</v>
      </c>
      <c r="L3030">
        <v>2</v>
      </c>
      <c r="M3030">
        <v>30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 t="s">
        <v>31</v>
      </c>
      <c r="AA3030">
        <v>100</v>
      </c>
    </row>
    <row r="3031" spans="1:27" x14ac:dyDescent="0.2">
      <c r="A3031" t="s">
        <v>418</v>
      </c>
      <c r="B3031">
        <v>2022</v>
      </c>
      <c r="C3031">
        <v>41414092</v>
      </c>
      <c r="D3031" t="s">
        <v>3958</v>
      </c>
      <c r="E3031" t="s">
        <v>29</v>
      </c>
      <c r="F3031" t="s">
        <v>30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43</v>
      </c>
      <c r="N3031">
        <v>0</v>
      </c>
      <c r="O3031">
        <v>34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 t="s">
        <v>31</v>
      </c>
      <c r="Z3031">
        <v>55</v>
      </c>
      <c r="AA3031">
        <v>0</v>
      </c>
    </row>
    <row r="3032" spans="1:27" x14ac:dyDescent="0.2">
      <c r="A3032" t="s">
        <v>418</v>
      </c>
      <c r="B3032">
        <v>2022</v>
      </c>
      <c r="C3032">
        <v>46714076</v>
      </c>
      <c r="D3032" t="s">
        <v>3959</v>
      </c>
      <c r="E3032" t="s">
        <v>29</v>
      </c>
      <c r="F3032" t="s">
        <v>30</v>
      </c>
      <c r="G3032">
        <v>0</v>
      </c>
      <c r="H3032">
        <v>0</v>
      </c>
      <c r="I3032">
        <v>102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 t="s">
        <v>31</v>
      </c>
      <c r="Z3032">
        <v>55</v>
      </c>
      <c r="AA3032" s="2" t="s">
        <v>3960</v>
      </c>
    </row>
    <row r="3033" spans="1:27" x14ac:dyDescent="0.2">
      <c r="A3033" t="s">
        <v>3387</v>
      </c>
      <c r="B3033">
        <v>2023</v>
      </c>
      <c r="C3033" t="s">
        <v>3961</v>
      </c>
      <c r="D3033" t="s">
        <v>3962</v>
      </c>
      <c r="E3033" t="s">
        <v>29</v>
      </c>
      <c r="F3033" t="s">
        <v>41</v>
      </c>
      <c r="G3033">
        <v>17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 t="s">
        <v>31</v>
      </c>
      <c r="Z3033">
        <v>55</v>
      </c>
      <c r="AA3033">
        <v>32.5</v>
      </c>
    </row>
    <row r="3034" spans="1:27" x14ac:dyDescent="0.2">
      <c r="A3034" t="s">
        <v>1127</v>
      </c>
      <c r="B3034">
        <v>2021</v>
      </c>
      <c r="C3034" t="s">
        <v>1400</v>
      </c>
      <c r="D3034" t="s">
        <v>1401</v>
      </c>
      <c r="E3034" t="s">
        <v>29</v>
      </c>
      <c r="F3034" t="s">
        <v>41</v>
      </c>
      <c r="G3034">
        <v>0</v>
      </c>
      <c r="H3034">
        <v>0</v>
      </c>
      <c r="I3034">
        <v>1</v>
      </c>
      <c r="J3034">
        <v>0</v>
      </c>
      <c r="K3034">
        <v>0</v>
      </c>
      <c r="L3034">
        <v>1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 t="s">
        <v>31</v>
      </c>
      <c r="AA3034">
        <v>0</v>
      </c>
    </row>
    <row r="3035" spans="1:27" x14ac:dyDescent="0.2">
      <c r="A3035" t="s">
        <v>547</v>
      </c>
      <c r="B3035">
        <v>2023</v>
      </c>
      <c r="C3035">
        <v>5211009015</v>
      </c>
      <c r="D3035" t="s">
        <v>3963</v>
      </c>
      <c r="E3035" t="s">
        <v>29</v>
      </c>
      <c r="F3035" t="s">
        <v>30</v>
      </c>
      <c r="G3035">
        <v>47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 t="s">
        <v>31</v>
      </c>
      <c r="Z3035">
        <v>55</v>
      </c>
      <c r="AA3035" s="2" t="s">
        <v>3964</v>
      </c>
    </row>
    <row r="3036" spans="1:27" x14ac:dyDescent="0.2">
      <c r="A3036" t="s">
        <v>547</v>
      </c>
      <c r="B3036">
        <v>2023</v>
      </c>
      <c r="C3036">
        <v>5534002018</v>
      </c>
      <c r="D3036" t="s">
        <v>3965</v>
      </c>
      <c r="E3036" t="s">
        <v>29</v>
      </c>
      <c r="F3036" t="s">
        <v>30</v>
      </c>
      <c r="G3036">
        <v>17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 t="s">
        <v>31</v>
      </c>
      <c r="Z3036">
        <v>55</v>
      </c>
      <c r="AA3036" s="2" t="s">
        <v>3966</v>
      </c>
    </row>
    <row r="3037" spans="1:27" x14ac:dyDescent="0.2">
      <c r="A3037" t="s">
        <v>547</v>
      </c>
      <c r="B3037">
        <v>2023</v>
      </c>
      <c r="C3037">
        <v>5053008004</v>
      </c>
      <c r="D3037" t="s">
        <v>3967</v>
      </c>
      <c r="E3037" t="s">
        <v>29</v>
      </c>
      <c r="F3037" t="s">
        <v>30</v>
      </c>
      <c r="G3037">
        <v>14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 t="s">
        <v>31</v>
      </c>
      <c r="Z3037">
        <v>55</v>
      </c>
      <c r="AA3037">
        <v>0.5</v>
      </c>
    </row>
    <row r="3038" spans="1:27" x14ac:dyDescent="0.2">
      <c r="A3038" t="s">
        <v>547</v>
      </c>
      <c r="B3038">
        <v>2023</v>
      </c>
      <c r="C3038">
        <v>4230003063</v>
      </c>
      <c r="D3038" t="s">
        <v>3968</v>
      </c>
      <c r="E3038" t="s">
        <v>29</v>
      </c>
      <c r="F3038" t="s">
        <v>30</v>
      </c>
      <c r="G3038">
        <v>7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 t="s">
        <v>31</v>
      </c>
      <c r="Z3038">
        <v>55</v>
      </c>
      <c r="AA3038">
        <v>1.625</v>
      </c>
    </row>
    <row r="3039" spans="1:27" x14ac:dyDescent="0.2">
      <c r="A3039" t="s">
        <v>3322</v>
      </c>
      <c r="B3039">
        <v>2023</v>
      </c>
      <c r="C3039" t="s">
        <v>3969</v>
      </c>
      <c r="D3039" t="s">
        <v>3970</v>
      </c>
      <c r="E3039" t="s">
        <v>29</v>
      </c>
      <c r="F3039" t="s">
        <v>41</v>
      </c>
      <c r="G3039">
        <v>0</v>
      </c>
      <c r="H3039">
        <v>0</v>
      </c>
      <c r="I3039">
        <v>0</v>
      </c>
      <c r="J3039">
        <v>0</v>
      </c>
      <c r="K3039">
        <v>12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 t="s">
        <v>31</v>
      </c>
      <c r="Z3039">
        <v>55</v>
      </c>
      <c r="AA3039">
        <v>0</v>
      </c>
    </row>
    <row r="3040" spans="1:27" x14ac:dyDescent="0.2">
      <c r="A3040" t="s">
        <v>883</v>
      </c>
      <c r="B3040">
        <v>2021</v>
      </c>
      <c r="C3040">
        <v>35200120</v>
      </c>
      <c r="D3040" t="s">
        <v>3971</v>
      </c>
      <c r="E3040" t="s">
        <v>29</v>
      </c>
      <c r="F3040" t="s">
        <v>41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6</v>
      </c>
      <c r="T3040">
        <v>0</v>
      </c>
      <c r="U3040">
        <v>0</v>
      </c>
      <c r="V3040">
        <v>0</v>
      </c>
      <c r="W3040">
        <v>0</v>
      </c>
      <c r="X3040">
        <v>0</v>
      </c>
      <c r="Y3040" t="s">
        <v>51</v>
      </c>
      <c r="Z3040">
        <v>1000</v>
      </c>
      <c r="AA3040">
        <v>0</v>
      </c>
    </row>
    <row r="3041" spans="1:27" x14ac:dyDescent="0.2">
      <c r="A3041" t="s">
        <v>883</v>
      </c>
      <c r="B3041">
        <v>2021</v>
      </c>
      <c r="C3041">
        <v>40031030</v>
      </c>
      <c r="D3041" t="s">
        <v>3972</v>
      </c>
      <c r="E3041" t="s">
        <v>29</v>
      </c>
      <c r="F3041" t="s">
        <v>30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8</v>
      </c>
      <c r="V3041">
        <v>0</v>
      </c>
      <c r="W3041">
        <v>0</v>
      </c>
      <c r="X3041">
        <v>0</v>
      </c>
      <c r="Y3041" t="s">
        <v>51</v>
      </c>
      <c r="Z3041">
        <v>1000</v>
      </c>
      <c r="AA3041">
        <v>0</v>
      </c>
    </row>
    <row r="3042" spans="1:27" x14ac:dyDescent="0.2">
      <c r="A3042" t="s">
        <v>883</v>
      </c>
      <c r="B3042">
        <v>2021</v>
      </c>
      <c r="C3042">
        <v>33163160</v>
      </c>
      <c r="D3042" t="s">
        <v>3973</v>
      </c>
      <c r="E3042" t="s">
        <v>29</v>
      </c>
      <c r="F3042" t="s">
        <v>30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2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 t="s">
        <v>51</v>
      </c>
      <c r="Z3042">
        <v>1000</v>
      </c>
      <c r="AA3042">
        <v>0</v>
      </c>
    </row>
    <row r="3043" spans="1:27" x14ac:dyDescent="0.2">
      <c r="A3043" t="s">
        <v>163</v>
      </c>
      <c r="B3043">
        <v>2021</v>
      </c>
      <c r="C3043">
        <v>4706900300</v>
      </c>
      <c r="D3043" t="s">
        <v>3974</v>
      </c>
      <c r="E3043" t="s">
        <v>29</v>
      </c>
      <c r="F3043" t="s">
        <v>30</v>
      </c>
      <c r="G3043">
        <v>1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 t="s">
        <v>31</v>
      </c>
      <c r="Z3043">
        <v>55</v>
      </c>
      <c r="AA3043">
        <v>0</v>
      </c>
    </row>
    <row r="3044" spans="1:27" x14ac:dyDescent="0.2">
      <c r="A3044" t="s">
        <v>163</v>
      </c>
      <c r="B3044">
        <v>2021</v>
      </c>
      <c r="C3044">
        <v>4941502200</v>
      </c>
      <c r="D3044" t="s">
        <v>3975</v>
      </c>
      <c r="E3044" t="s">
        <v>29</v>
      </c>
      <c r="F3044" t="s">
        <v>30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1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 t="s">
        <v>31</v>
      </c>
      <c r="Z3044">
        <v>55</v>
      </c>
      <c r="AA3044">
        <v>0</v>
      </c>
    </row>
    <row r="3045" spans="1:27" x14ac:dyDescent="0.2">
      <c r="A3045" t="s">
        <v>163</v>
      </c>
      <c r="B3045">
        <v>2021</v>
      </c>
      <c r="C3045">
        <v>4943001100</v>
      </c>
      <c r="D3045" t="s">
        <v>3976</v>
      </c>
      <c r="E3045" t="s">
        <v>29</v>
      </c>
      <c r="F3045" t="s">
        <v>41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1</v>
      </c>
      <c r="V3045">
        <v>0</v>
      </c>
      <c r="W3045">
        <v>0</v>
      </c>
      <c r="X3045">
        <v>0</v>
      </c>
      <c r="Y3045" t="s">
        <v>31</v>
      </c>
      <c r="Z3045">
        <v>55</v>
      </c>
      <c r="AA3045">
        <v>0</v>
      </c>
    </row>
    <row r="3046" spans="1:27" x14ac:dyDescent="0.2">
      <c r="A3046" t="s">
        <v>418</v>
      </c>
      <c r="B3046">
        <v>2022</v>
      </c>
      <c r="C3046">
        <v>46721024</v>
      </c>
      <c r="D3046" t="s">
        <v>3977</v>
      </c>
      <c r="E3046" t="s">
        <v>29</v>
      </c>
      <c r="F3046" t="s">
        <v>30</v>
      </c>
      <c r="G3046">
        <v>0</v>
      </c>
      <c r="H3046">
        <v>0</v>
      </c>
      <c r="I3046">
        <v>38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 t="s">
        <v>31</v>
      </c>
      <c r="Z3046">
        <v>55</v>
      </c>
      <c r="AA3046">
        <v>35</v>
      </c>
    </row>
    <row r="3047" spans="1:27" x14ac:dyDescent="0.2">
      <c r="A3047" t="s">
        <v>172</v>
      </c>
      <c r="B3047">
        <v>2022</v>
      </c>
      <c r="C3047" t="s">
        <v>477</v>
      </c>
      <c r="D3047" t="s">
        <v>478</v>
      </c>
      <c r="E3047" t="s">
        <v>29</v>
      </c>
      <c r="F3047" t="s">
        <v>30</v>
      </c>
      <c r="G3047">
        <v>0</v>
      </c>
      <c r="H3047">
        <v>0</v>
      </c>
      <c r="I3047">
        <v>0</v>
      </c>
      <c r="J3047">
        <v>0</v>
      </c>
      <c r="K3047">
        <v>35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 t="s">
        <v>31</v>
      </c>
      <c r="Z3047">
        <v>55</v>
      </c>
      <c r="AA3047">
        <v>50</v>
      </c>
    </row>
    <row r="3048" spans="1:27" x14ac:dyDescent="0.2">
      <c r="A3048" t="s">
        <v>514</v>
      </c>
      <c r="B3048">
        <v>2023</v>
      </c>
      <c r="C3048" s="2" t="s">
        <v>3978</v>
      </c>
      <c r="D3048" t="s">
        <v>3979</v>
      </c>
      <c r="E3048" t="s">
        <v>29</v>
      </c>
      <c r="F3048" t="s">
        <v>30</v>
      </c>
      <c r="G3048">
        <v>14</v>
      </c>
      <c r="H3048">
        <v>0</v>
      </c>
      <c r="I3048">
        <v>122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 t="s">
        <v>31</v>
      </c>
      <c r="AA3048">
        <v>0</v>
      </c>
    </row>
    <row r="3049" spans="1:27" x14ac:dyDescent="0.2">
      <c r="A3049" t="s">
        <v>514</v>
      </c>
      <c r="B3049">
        <v>2023</v>
      </c>
      <c r="C3049" s="2" t="s">
        <v>3980</v>
      </c>
      <c r="D3049" t="s">
        <v>684</v>
      </c>
      <c r="E3049" t="s">
        <v>29</v>
      </c>
      <c r="F3049" t="s">
        <v>30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6</v>
      </c>
      <c r="P3049">
        <v>0</v>
      </c>
      <c r="Q3049">
        <v>2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 t="s">
        <v>31</v>
      </c>
      <c r="AA3049" s="2" t="s">
        <v>3981</v>
      </c>
    </row>
    <row r="3050" spans="1:27" x14ac:dyDescent="0.2">
      <c r="A3050" t="s">
        <v>514</v>
      </c>
      <c r="B3050">
        <v>2023</v>
      </c>
      <c r="C3050" s="2" t="s">
        <v>3980</v>
      </c>
      <c r="D3050" t="s">
        <v>684</v>
      </c>
      <c r="E3050" t="s">
        <v>29</v>
      </c>
      <c r="F3050" t="s">
        <v>30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5</v>
      </c>
      <c r="N3050">
        <v>0</v>
      </c>
      <c r="O3050">
        <v>19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 t="s">
        <v>31</v>
      </c>
      <c r="AA3050" s="2" t="s">
        <v>3981</v>
      </c>
    </row>
    <row r="3051" spans="1:27" x14ac:dyDescent="0.2">
      <c r="A3051" t="s">
        <v>460</v>
      </c>
      <c r="B3051">
        <v>2023</v>
      </c>
      <c r="C3051" t="s">
        <v>3287</v>
      </c>
      <c r="D3051" t="s">
        <v>3288</v>
      </c>
      <c r="E3051" t="s">
        <v>29</v>
      </c>
      <c r="F3051" t="s">
        <v>30</v>
      </c>
      <c r="G3051">
        <v>18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 t="s">
        <v>31</v>
      </c>
      <c r="AA3051">
        <v>25</v>
      </c>
    </row>
    <row r="3052" spans="1:27" x14ac:dyDescent="0.2">
      <c r="A3052" t="s">
        <v>172</v>
      </c>
      <c r="B3052">
        <v>2022</v>
      </c>
      <c r="C3052" t="s">
        <v>3982</v>
      </c>
      <c r="D3052" t="s">
        <v>3983</v>
      </c>
      <c r="E3052" t="s">
        <v>29</v>
      </c>
      <c r="F3052" t="s">
        <v>30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24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 t="s">
        <v>51</v>
      </c>
      <c r="AA3052">
        <v>0</v>
      </c>
    </row>
    <row r="3053" spans="1:27" x14ac:dyDescent="0.2">
      <c r="A3053" t="s">
        <v>172</v>
      </c>
      <c r="B3053">
        <v>2022</v>
      </c>
      <c r="C3053" t="s">
        <v>3984</v>
      </c>
      <c r="D3053" t="s">
        <v>3985</v>
      </c>
      <c r="E3053" t="s">
        <v>29</v>
      </c>
      <c r="F3053" t="s">
        <v>30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58</v>
      </c>
      <c r="T3053">
        <v>0</v>
      </c>
      <c r="U3053">
        <v>0</v>
      </c>
      <c r="V3053">
        <v>0</v>
      </c>
      <c r="W3053">
        <v>0</v>
      </c>
      <c r="X3053">
        <v>0</v>
      </c>
      <c r="Y3053" t="s">
        <v>31</v>
      </c>
      <c r="Z3053">
        <v>55</v>
      </c>
      <c r="AA3053" s="2" t="s">
        <v>3021</v>
      </c>
    </row>
    <row r="3054" spans="1:27" x14ac:dyDescent="0.2">
      <c r="A3054" t="s">
        <v>600</v>
      </c>
      <c r="B3054">
        <v>2024</v>
      </c>
      <c r="C3054" t="s">
        <v>2342</v>
      </c>
      <c r="D3054" t="s">
        <v>3986</v>
      </c>
      <c r="E3054" t="s">
        <v>29</v>
      </c>
      <c r="F3054" t="s">
        <v>30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59</v>
      </c>
      <c r="X3054">
        <v>0</v>
      </c>
      <c r="Y3054" t="s">
        <v>51</v>
      </c>
      <c r="Z3054">
        <v>99</v>
      </c>
      <c r="AA3054">
        <v>0</v>
      </c>
    </row>
    <row r="3055" spans="1:27" x14ac:dyDescent="0.2">
      <c r="A3055" t="s">
        <v>600</v>
      </c>
      <c r="B3055">
        <v>2024</v>
      </c>
      <c r="C3055">
        <v>8719005</v>
      </c>
      <c r="D3055" t="s">
        <v>3987</v>
      </c>
      <c r="E3055" t="s">
        <v>29</v>
      </c>
      <c r="F3055" t="s">
        <v>30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29</v>
      </c>
      <c r="V3055">
        <v>0</v>
      </c>
      <c r="W3055">
        <v>119</v>
      </c>
      <c r="X3055">
        <v>0</v>
      </c>
      <c r="Y3055" t="s">
        <v>51</v>
      </c>
      <c r="Z3055">
        <v>99</v>
      </c>
      <c r="AA3055">
        <v>0</v>
      </c>
    </row>
    <row r="3056" spans="1:27" x14ac:dyDescent="0.2">
      <c r="A3056" t="s">
        <v>172</v>
      </c>
      <c r="B3056">
        <v>2021</v>
      </c>
      <c r="C3056" t="s">
        <v>3988</v>
      </c>
      <c r="D3056" t="s">
        <v>3989</v>
      </c>
      <c r="E3056" t="s">
        <v>29</v>
      </c>
      <c r="F3056" t="s">
        <v>41</v>
      </c>
      <c r="G3056">
        <v>0</v>
      </c>
      <c r="H3056">
        <v>0</v>
      </c>
      <c r="I3056">
        <v>0</v>
      </c>
      <c r="J3056">
        <v>0</v>
      </c>
      <c r="K3056">
        <v>16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 t="s">
        <v>31</v>
      </c>
      <c r="Z3056">
        <v>55</v>
      </c>
      <c r="AA3056">
        <v>0</v>
      </c>
    </row>
    <row r="3057" spans="1:27" x14ac:dyDescent="0.2">
      <c r="A3057" t="s">
        <v>172</v>
      </c>
      <c r="B3057">
        <v>2021</v>
      </c>
      <c r="C3057" t="s">
        <v>3990</v>
      </c>
      <c r="D3057" t="s">
        <v>3991</v>
      </c>
      <c r="E3057" t="s">
        <v>29</v>
      </c>
      <c r="F3057" t="s">
        <v>41</v>
      </c>
      <c r="G3057">
        <v>3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 t="s">
        <v>31</v>
      </c>
      <c r="Z3057">
        <v>55</v>
      </c>
      <c r="AA3057">
        <v>0</v>
      </c>
    </row>
    <row r="3058" spans="1:27" x14ac:dyDescent="0.2">
      <c r="A3058" t="s">
        <v>172</v>
      </c>
      <c r="B3058">
        <v>2021</v>
      </c>
      <c r="C3058" t="s">
        <v>3992</v>
      </c>
      <c r="D3058" t="s">
        <v>3993</v>
      </c>
      <c r="E3058" t="s">
        <v>29</v>
      </c>
      <c r="F3058" t="s">
        <v>41</v>
      </c>
      <c r="G3058">
        <v>1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 t="s">
        <v>31</v>
      </c>
      <c r="Z3058">
        <v>55</v>
      </c>
      <c r="AA3058">
        <v>0</v>
      </c>
    </row>
    <row r="3059" spans="1:27" x14ac:dyDescent="0.2">
      <c r="A3059" t="s">
        <v>172</v>
      </c>
      <c r="B3059">
        <v>2021</v>
      </c>
      <c r="C3059" t="s">
        <v>3994</v>
      </c>
      <c r="D3059" t="s">
        <v>3995</v>
      </c>
      <c r="E3059" t="s">
        <v>29</v>
      </c>
      <c r="F3059" t="s">
        <v>41</v>
      </c>
      <c r="G3059">
        <v>10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 t="s">
        <v>31</v>
      </c>
      <c r="Z3059">
        <v>55</v>
      </c>
      <c r="AA3059">
        <v>48</v>
      </c>
    </row>
    <row r="3060" spans="1:27" x14ac:dyDescent="0.2">
      <c r="A3060" t="s">
        <v>3245</v>
      </c>
      <c r="B3060">
        <v>2021</v>
      </c>
      <c r="C3060" t="s">
        <v>3996</v>
      </c>
      <c r="D3060" t="s">
        <v>3997</v>
      </c>
      <c r="E3060" t="s">
        <v>29</v>
      </c>
      <c r="F3060" t="s">
        <v>41</v>
      </c>
      <c r="G3060">
        <v>0</v>
      </c>
      <c r="H3060">
        <v>0</v>
      </c>
      <c r="I3060">
        <v>180</v>
      </c>
      <c r="J3060">
        <v>0</v>
      </c>
      <c r="K3060">
        <v>0</v>
      </c>
      <c r="L3060">
        <v>42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 t="s">
        <v>31</v>
      </c>
      <c r="Z3060">
        <v>55</v>
      </c>
      <c r="AA3060">
        <v>8.5</v>
      </c>
    </row>
    <row r="3061" spans="1:27" x14ac:dyDescent="0.2">
      <c r="A3061" t="s">
        <v>1658</v>
      </c>
      <c r="B3061">
        <v>2021</v>
      </c>
      <c r="C3061" t="s">
        <v>3061</v>
      </c>
      <c r="D3061" t="s">
        <v>3998</v>
      </c>
      <c r="E3061" t="s">
        <v>29</v>
      </c>
      <c r="F3061" t="s">
        <v>41</v>
      </c>
      <c r="G3061">
        <v>0</v>
      </c>
      <c r="H3061">
        <v>0</v>
      </c>
      <c r="I3061">
        <v>0</v>
      </c>
      <c r="J3061">
        <v>0</v>
      </c>
      <c r="K3061">
        <v>1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1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 t="s">
        <v>51</v>
      </c>
      <c r="Z3061">
        <v>1000</v>
      </c>
      <c r="AA3061">
        <v>0</v>
      </c>
    </row>
    <row r="3062" spans="1:27" x14ac:dyDescent="0.2">
      <c r="A3062" t="s">
        <v>1658</v>
      </c>
      <c r="B3062">
        <v>2021</v>
      </c>
      <c r="C3062" t="s">
        <v>3061</v>
      </c>
      <c r="D3062" t="s">
        <v>3999</v>
      </c>
      <c r="E3062" t="s">
        <v>29</v>
      </c>
      <c r="F3062" t="s">
        <v>41</v>
      </c>
      <c r="G3062">
        <v>0</v>
      </c>
      <c r="H3062">
        <v>0</v>
      </c>
      <c r="I3062">
        <v>0</v>
      </c>
      <c r="J3062">
        <v>0</v>
      </c>
      <c r="K3062">
        <v>1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1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 t="s">
        <v>51</v>
      </c>
      <c r="Z3062">
        <v>1000</v>
      </c>
      <c r="AA3062">
        <v>0</v>
      </c>
    </row>
    <row r="3063" spans="1:27" x14ac:dyDescent="0.2">
      <c r="A3063" t="s">
        <v>1071</v>
      </c>
      <c r="B3063">
        <v>2022</v>
      </c>
      <c r="C3063">
        <v>72625061</v>
      </c>
      <c r="D3063" t="s">
        <v>4000</v>
      </c>
      <c r="E3063" t="s">
        <v>29</v>
      </c>
      <c r="F3063" t="s">
        <v>30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4</v>
      </c>
      <c r="N3063">
        <v>0</v>
      </c>
      <c r="O3063">
        <v>0</v>
      </c>
      <c r="P3063">
        <v>0</v>
      </c>
      <c r="Q3063">
        <v>0</v>
      </c>
      <c r="R3063">
        <v>15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 t="s">
        <v>51</v>
      </c>
      <c r="Z3063">
        <v>55</v>
      </c>
      <c r="AA3063">
        <v>0</v>
      </c>
    </row>
    <row r="3064" spans="1:27" x14ac:dyDescent="0.2">
      <c r="A3064" t="s">
        <v>1071</v>
      </c>
      <c r="B3064">
        <v>2022</v>
      </c>
      <c r="C3064">
        <v>72625061</v>
      </c>
      <c r="D3064" t="s">
        <v>4001</v>
      </c>
      <c r="E3064" t="s">
        <v>29</v>
      </c>
      <c r="F3064" t="s">
        <v>30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4</v>
      </c>
      <c r="N3064">
        <v>0</v>
      </c>
      <c r="O3064">
        <v>0</v>
      </c>
      <c r="P3064">
        <v>0</v>
      </c>
      <c r="Q3064">
        <v>0</v>
      </c>
      <c r="R3064">
        <v>14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 t="s">
        <v>51</v>
      </c>
      <c r="Z3064">
        <v>55</v>
      </c>
      <c r="AA3064">
        <v>0</v>
      </c>
    </row>
    <row r="3065" spans="1:27" x14ac:dyDescent="0.2">
      <c r="A3065" t="s">
        <v>1071</v>
      </c>
      <c r="B3065">
        <v>2022</v>
      </c>
      <c r="C3065">
        <v>72625061</v>
      </c>
      <c r="D3065" t="s">
        <v>4002</v>
      </c>
      <c r="E3065" t="s">
        <v>29</v>
      </c>
      <c r="F3065" t="s">
        <v>30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4</v>
      </c>
      <c r="N3065">
        <v>0</v>
      </c>
      <c r="O3065">
        <v>0</v>
      </c>
      <c r="P3065">
        <v>0</v>
      </c>
      <c r="Q3065">
        <v>0</v>
      </c>
      <c r="R3065">
        <v>16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 t="s">
        <v>51</v>
      </c>
      <c r="Z3065">
        <v>55</v>
      </c>
      <c r="AA3065">
        <v>0</v>
      </c>
    </row>
    <row r="3066" spans="1:27" x14ac:dyDescent="0.2">
      <c r="A3066" t="s">
        <v>1071</v>
      </c>
      <c r="B3066">
        <v>2022</v>
      </c>
      <c r="C3066">
        <v>72625061</v>
      </c>
      <c r="D3066" t="s">
        <v>4003</v>
      </c>
      <c r="E3066" t="s">
        <v>29</v>
      </c>
      <c r="F3066" t="s">
        <v>30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4</v>
      </c>
      <c r="N3066">
        <v>0</v>
      </c>
      <c r="O3066">
        <v>0</v>
      </c>
      <c r="P3066">
        <v>0</v>
      </c>
      <c r="Q3066">
        <v>0</v>
      </c>
      <c r="R3066">
        <v>15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 t="s">
        <v>51</v>
      </c>
      <c r="Z3066">
        <v>55</v>
      </c>
      <c r="AA3066">
        <v>0</v>
      </c>
    </row>
    <row r="3067" spans="1:27" x14ac:dyDescent="0.2">
      <c r="A3067" t="s">
        <v>1071</v>
      </c>
      <c r="B3067">
        <v>2022</v>
      </c>
      <c r="C3067">
        <v>72625061</v>
      </c>
      <c r="D3067" t="s">
        <v>4004</v>
      </c>
      <c r="E3067" t="s">
        <v>29</v>
      </c>
      <c r="F3067" t="s">
        <v>30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4</v>
      </c>
      <c r="N3067">
        <v>0</v>
      </c>
      <c r="O3067">
        <v>0</v>
      </c>
      <c r="P3067">
        <v>0</v>
      </c>
      <c r="Q3067">
        <v>0</v>
      </c>
      <c r="R3067">
        <v>14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 t="s">
        <v>51</v>
      </c>
      <c r="Z3067">
        <v>55</v>
      </c>
      <c r="AA3067">
        <v>0</v>
      </c>
    </row>
    <row r="3068" spans="1:27" x14ac:dyDescent="0.2">
      <c r="A3068" t="s">
        <v>1658</v>
      </c>
      <c r="B3068">
        <v>2021</v>
      </c>
      <c r="C3068" t="s">
        <v>3061</v>
      </c>
      <c r="D3068" t="s">
        <v>4005</v>
      </c>
      <c r="E3068" t="s">
        <v>29</v>
      </c>
      <c r="F3068" t="s">
        <v>41</v>
      </c>
      <c r="G3068">
        <v>0</v>
      </c>
      <c r="H3068">
        <v>0</v>
      </c>
      <c r="I3068">
        <v>0</v>
      </c>
      <c r="J3068">
        <v>0</v>
      </c>
      <c r="K3068">
        <v>1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1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 t="s">
        <v>51</v>
      </c>
      <c r="Z3068">
        <v>1000</v>
      </c>
      <c r="AA3068">
        <v>0</v>
      </c>
    </row>
    <row r="3069" spans="1:27" x14ac:dyDescent="0.2">
      <c r="A3069" t="s">
        <v>1509</v>
      </c>
      <c r="B3069">
        <v>2021</v>
      </c>
      <c r="C3069">
        <v>2340050340</v>
      </c>
      <c r="D3069" t="s">
        <v>4006</v>
      </c>
      <c r="E3069" t="s">
        <v>29</v>
      </c>
      <c r="F3069" t="s">
        <v>30</v>
      </c>
      <c r="G3069">
        <v>0</v>
      </c>
      <c r="H3069">
        <v>0</v>
      </c>
      <c r="I3069">
        <v>50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 t="s">
        <v>51</v>
      </c>
      <c r="AA3069">
        <v>0</v>
      </c>
    </row>
    <row r="3070" spans="1:27" x14ac:dyDescent="0.2">
      <c r="A3070" t="s">
        <v>172</v>
      </c>
      <c r="B3070">
        <v>2021</v>
      </c>
      <c r="C3070" t="s">
        <v>4007</v>
      </c>
      <c r="D3070" t="s">
        <v>4008</v>
      </c>
      <c r="E3070" t="s">
        <v>29</v>
      </c>
      <c r="F3070" t="s">
        <v>30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43</v>
      </c>
      <c r="T3070">
        <v>0</v>
      </c>
      <c r="U3070">
        <v>0</v>
      </c>
      <c r="V3070">
        <v>0</v>
      </c>
      <c r="W3070">
        <v>0</v>
      </c>
      <c r="X3070">
        <v>0</v>
      </c>
      <c r="Y3070" t="s">
        <v>31</v>
      </c>
      <c r="Z3070">
        <v>55</v>
      </c>
      <c r="AA3070">
        <v>0</v>
      </c>
    </row>
    <row r="3071" spans="1:27" x14ac:dyDescent="0.2">
      <c r="A3071" t="s">
        <v>1048</v>
      </c>
      <c r="B3071">
        <v>2024</v>
      </c>
      <c r="C3071" t="s">
        <v>4009</v>
      </c>
      <c r="D3071" t="s">
        <v>4010</v>
      </c>
      <c r="E3071" t="s">
        <v>29</v>
      </c>
      <c r="F3071" t="s">
        <v>30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1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 t="s">
        <v>31</v>
      </c>
      <c r="AA3071" s="2" t="s">
        <v>4011</v>
      </c>
    </row>
    <row r="3072" spans="1:27" x14ac:dyDescent="0.2">
      <c r="A3072" t="s">
        <v>1449</v>
      </c>
      <c r="B3072">
        <v>2020</v>
      </c>
      <c r="C3072" t="s">
        <v>2092</v>
      </c>
      <c r="D3072" t="s">
        <v>4012</v>
      </c>
      <c r="E3072" t="s">
        <v>29</v>
      </c>
      <c r="F3072" t="s">
        <v>30</v>
      </c>
      <c r="G3072">
        <v>5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 t="s">
        <v>31</v>
      </c>
      <c r="AA3072">
        <v>0</v>
      </c>
    </row>
    <row r="3073" spans="1:27" x14ac:dyDescent="0.2">
      <c r="A3073" t="s">
        <v>1449</v>
      </c>
      <c r="B3073">
        <v>2020</v>
      </c>
      <c r="C3073" t="s">
        <v>4013</v>
      </c>
      <c r="D3073" t="s">
        <v>4014</v>
      </c>
      <c r="E3073" t="s">
        <v>29</v>
      </c>
      <c r="F3073" t="s">
        <v>30</v>
      </c>
      <c r="G3073">
        <v>2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 t="s">
        <v>31</v>
      </c>
      <c r="AA3073">
        <v>0</v>
      </c>
    </row>
    <row r="3074" spans="1:27" x14ac:dyDescent="0.2">
      <c r="A3074" t="s">
        <v>1071</v>
      </c>
      <c r="B3074">
        <v>2022</v>
      </c>
      <c r="C3074">
        <v>72636059</v>
      </c>
      <c r="D3074" t="s">
        <v>4015</v>
      </c>
      <c r="E3074" t="s">
        <v>29</v>
      </c>
      <c r="F3074" t="s">
        <v>30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1</v>
      </c>
      <c r="N3074">
        <v>0</v>
      </c>
      <c r="O3074">
        <v>18</v>
      </c>
      <c r="P3074">
        <v>0</v>
      </c>
      <c r="Q3074">
        <v>1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 t="s">
        <v>31</v>
      </c>
      <c r="Z3074">
        <v>55</v>
      </c>
      <c r="AA3074">
        <v>80</v>
      </c>
    </row>
    <row r="3075" spans="1:27" x14ac:dyDescent="0.2">
      <c r="A3075" t="s">
        <v>1071</v>
      </c>
      <c r="B3075">
        <v>2022</v>
      </c>
      <c r="C3075">
        <v>72636059</v>
      </c>
      <c r="D3075" t="s">
        <v>4016</v>
      </c>
      <c r="E3075" t="s">
        <v>29</v>
      </c>
      <c r="F3075" t="s">
        <v>30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1</v>
      </c>
      <c r="N3075">
        <v>0</v>
      </c>
      <c r="O3075">
        <v>9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 t="s">
        <v>31</v>
      </c>
      <c r="Z3075">
        <v>55</v>
      </c>
      <c r="AA3075">
        <v>80</v>
      </c>
    </row>
    <row r="3076" spans="1:27" x14ac:dyDescent="0.2">
      <c r="A3076" t="s">
        <v>1241</v>
      </c>
      <c r="B3076">
        <v>2024</v>
      </c>
      <c r="C3076">
        <v>146141072</v>
      </c>
      <c r="D3076" t="s">
        <v>4017</v>
      </c>
      <c r="E3076" t="s">
        <v>29</v>
      </c>
      <c r="F3076" t="s">
        <v>30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12</v>
      </c>
      <c r="V3076">
        <v>0</v>
      </c>
      <c r="W3076">
        <v>0</v>
      </c>
      <c r="X3076">
        <v>0</v>
      </c>
      <c r="Y3076" t="s">
        <v>31</v>
      </c>
      <c r="Z3076">
        <v>55</v>
      </c>
      <c r="AA3076">
        <v>0</v>
      </c>
    </row>
    <row r="3077" spans="1:27" x14ac:dyDescent="0.2">
      <c r="A3077" t="s">
        <v>1658</v>
      </c>
      <c r="B3077">
        <v>2024</v>
      </c>
      <c r="C3077" t="s">
        <v>3479</v>
      </c>
      <c r="D3077" t="s">
        <v>4018</v>
      </c>
      <c r="E3077" t="s">
        <v>29</v>
      </c>
      <c r="F3077" t="s">
        <v>41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 t="s">
        <v>51</v>
      </c>
      <c r="Z3077">
        <v>55</v>
      </c>
      <c r="AA3077">
        <v>0</v>
      </c>
    </row>
    <row r="3078" spans="1:27" x14ac:dyDescent="0.2">
      <c r="A3078" t="s">
        <v>1658</v>
      </c>
      <c r="B3078">
        <v>2024</v>
      </c>
      <c r="C3078" t="s">
        <v>3061</v>
      </c>
      <c r="D3078" t="s">
        <v>4019</v>
      </c>
      <c r="E3078" t="s">
        <v>29</v>
      </c>
      <c r="F3078" t="s">
        <v>41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1</v>
      </c>
      <c r="V3078">
        <v>0</v>
      </c>
      <c r="W3078">
        <v>0</v>
      </c>
      <c r="X3078">
        <v>0</v>
      </c>
      <c r="Y3078" t="s">
        <v>51</v>
      </c>
      <c r="Z3078">
        <v>55</v>
      </c>
      <c r="AA3078">
        <v>0</v>
      </c>
    </row>
    <row r="3079" spans="1:27" x14ac:dyDescent="0.2">
      <c r="A3079" t="s">
        <v>418</v>
      </c>
      <c r="B3079">
        <v>2024</v>
      </c>
      <c r="C3079" t="s">
        <v>4020</v>
      </c>
      <c r="D3079" t="s">
        <v>4021</v>
      </c>
      <c r="E3079" t="s">
        <v>29</v>
      </c>
      <c r="F3079" t="s">
        <v>30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17</v>
      </c>
      <c r="N3079">
        <v>0</v>
      </c>
      <c r="O3079">
        <v>27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 t="s">
        <v>31</v>
      </c>
      <c r="Z3079">
        <v>55</v>
      </c>
      <c r="AA3079">
        <v>0</v>
      </c>
    </row>
    <row r="3080" spans="1:27" x14ac:dyDescent="0.2">
      <c r="A3080" t="s">
        <v>2411</v>
      </c>
      <c r="B3080">
        <v>2023</v>
      </c>
      <c r="C3080" t="s">
        <v>4022</v>
      </c>
      <c r="D3080" t="s">
        <v>4023</v>
      </c>
      <c r="E3080" t="s">
        <v>29</v>
      </c>
      <c r="F3080" t="s">
        <v>30</v>
      </c>
      <c r="G3080">
        <v>1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 t="s">
        <v>31</v>
      </c>
      <c r="Z3080">
        <v>55</v>
      </c>
      <c r="AA3080" s="2" t="s">
        <v>4024</v>
      </c>
    </row>
    <row r="3081" spans="1:27" x14ac:dyDescent="0.2">
      <c r="A3081" t="s">
        <v>2428</v>
      </c>
      <c r="B3081">
        <v>2021</v>
      </c>
      <c r="C3081" t="s">
        <v>4025</v>
      </c>
      <c r="D3081" t="s">
        <v>4026</v>
      </c>
      <c r="E3081" t="s">
        <v>29</v>
      </c>
      <c r="F3081" t="s">
        <v>30</v>
      </c>
      <c r="G3081">
        <v>54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 t="s">
        <v>31</v>
      </c>
      <c r="AA3081">
        <v>80</v>
      </c>
    </row>
    <row r="3082" spans="1:27" x14ac:dyDescent="0.2">
      <c r="A3082" t="s">
        <v>1418</v>
      </c>
      <c r="B3082">
        <v>2021</v>
      </c>
      <c r="C3082" t="s">
        <v>3269</v>
      </c>
      <c r="D3082" t="s">
        <v>3270</v>
      </c>
      <c r="E3082" t="s">
        <v>29</v>
      </c>
      <c r="F3082" t="s">
        <v>30</v>
      </c>
      <c r="G3082">
        <v>0</v>
      </c>
      <c r="H3082">
        <v>0</v>
      </c>
      <c r="I3082">
        <v>86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 t="s">
        <v>31</v>
      </c>
      <c r="Z3082">
        <v>55</v>
      </c>
      <c r="AA3082">
        <v>0</v>
      </c>
    </row>
    <row r="3083" spans="1:27" x14ac:dyDescent="0.2">
      <c r="A3083" t="s">
        <v>1418</v>
      </c>
      <c r="B3083">
        <v>2021</v>
      </c>
      <c r="C3083" t="s">
        <v>4027</v>
      </c>
      <c r="D3083" t="s">
        <v>4028</v>
      </c>
      <c r="E3083" t="s">
        <v>29</v>
      </c>
      <c r="F3083" t="s">
        <v>41</v>
      </c>
      <c r="G3083">
        <v>1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 t="s">
        <v>51</v>
      </c>
      <c r="Z3083">
        <v>20</v>
      </c>
      <c r="AA3083">
        <v>0</v>
      </c>
    </row>
    <row r="3084" spans="1:27" x14ac:dyDescent="0.2">
      <c r="A3084" t="s">
        <v>324</v>
      </c>
      <c r="B3084">
        <v>2021</v>
      </c>
      <c r="C3084" t="s">
        <v>4029</v>
      </c>
      <c r="D3084" t="s">
        <v>4030</v>
      </c>
      <c r="E3084" t="s">
        <v>29</v>
      </c>
      <c r="F3084" t="s">
        <v>30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15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 t="s">
        <v>31</v>
      </c>
      <c r="Z3084">
        <v>55</v>
      </c>
      <c r="AA3084">
        <v>0</v>
      </c>
    </row>
    <row r="3085" spans="1:27" x14ac:dyDescent="0.2">
      <c r="A3085" t="s">
        <v>436</v>
      </c>
      <c r="B3085">
        <v>2021</v>
      </c>
      <c r="C3085" t="s">
        <v>437</v>
      </c>
      <c r="D3085" t="s">
        <v>4031</v>
      </c>
      <c r="E3085" t="s">
        <v>29</v>
      </c>
      <c r="F3085" t="s">
        <v>30</v>
      </c>
      <c r="G3085">
        <v>104</v>
      </c>
      <c r="H3085">
        <v>0</v>
      </c>
      <c r="I3085">
        <v>181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 t="s">
        <v>31</v>
      </c>
      <c r="Z3085">
        <v>55</v>
      </c>
      <c r="AA3085">
        <v>23</v>
      </c>
    </row>
    <row r="3086" spans="1:27" x14ac:dyDescent="0.2">
      <c r="A3086" t="s">
        <v>3329</v>
      </c>
      <c r="B3086">
        <v>2022</v>
      </c>
      <c r="C3086" t="s">
        <v>4032</v>
      </c>
      <c r="D3086" t="s">
        <v>4033</v>
      </c>
      <c r="E3086" t="s">
        <v>29</v>
      </c>
      <c r="F3086" t="s">
        <v>41</v>
      </c>
      <c r="G3086">
        <v>0</v>
      </c>
      <c r="H3086">
        <v>0</v>
      </c>
      <c r="I3086">
        <v>2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2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 t="s">
        <v>51</v>
      </c>
      <c r="AA3086">
        <v>0</v>
      </c>
    </row>
    <row r="3087" spans="1:27" x14ac:dyDescent="0.2">
      <c r="A3087" t="s">
        <v>1418</v>
      </c>
      <c r="B3087">
        <v>2021</v>
      </c>
      <c r="C3087">
        <v>2250014250</v>
      </c>
      <c r="D3087" t="s">
        <v>4034</v>
      </c>
      <c r="E3087" t="s">
        <v>29</v>
      </c>
      <c r="F3087" t="s">
        <v>30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15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15</v>
      </c>
      <c r="V3087">
        <v>0</v>
      </c>
      <c r="W3087">
        <v>0</v>
      </c>
      <c r="X3087">
        <v>0</v>
      </c>
      <c r="Y3087" t="s">
        <v>31</v>
      </c>
      <c r="AA3087">
        <v>35</v>
      </c>
    </row>
    <row r="3088" spans="1:27" x14ac:dyDescent="0.2">
      <c r="A3088" t="s">
        <v>1311</v>
      </c>
      <c r="B3088">
        <v>2022</v>
      </c>
      <c r="C3088" t="s">
        <v>3925</v>
      </c>
      <c r="D3088" t="s">
        <v>4035</v>
      </c>
      <c r="E3088" t="s">
        <v>29</v>
      </c>
      <c r="F3088" t="s">
        <v>30</v>
      </c>
      <c r="G3088">
        <v>8</v>
      </c>
      <c r="H3088">
        <v>0</v>
      </c>
      <c r="I3088">
        <v>8</v>
      </c>
      <c r="J3088">
        <v>0</v>
      </c>
      <c r="K3088">
        <v>6</v>
      </c>
      <c r="L3088">
        <v>0</v>
      </c>
      <c r="M3088">
        <v>8</v>
      </c>
      <c r="N3088">
        <v>0</v>
      </c>
      <c r="O3088">
        <v>8</v>
      </c>
      <c r="P3088">
        <v>0</v>
      </c>
      <c r="Q3088">
        <v>6</v>
      </c>
      <c r="R3088">
        <v>0</v>
      </c>
      <c r="S3088">
        <v>8</v>
      </c>
      <c r="T3088">
        <v>0</v>
      </c>
      <c r="U3088">
        <v>8</v>
      </c>
      <c r="V3088">
        <v>0</v>
      </c>
      <c r="W3088">
        <v>6</v>
      </c>
      <c r="X3088">
        <v>0</v>
      </c>
      <c r="Y3088" t="s">
        <v>31</v>
      </c>
      <c r="Z3088">
        <v>55</v>
      </c>
      <c r="AA3088">
        <v>100</v>
      </c>
    </row>
    <row r="3089" spans="1:27" x14ac:dyDescent="0.2">
      <c r="A3089" t="s">
        <v>1449</v>
      </c>
      <c r="B3089">
        <v>2020</v>
      </c>
      <c r="C3089" t="s">
        <v>2012</v>
      </c>
      <c r="D3089" t="s">
        <v>3276</v>
      </c>
      <c r="E3089" t="s">
        <v>29</v>
      </c>
      <c r="F3089" t="s">
        <v>30</v>
      </c>
      <c r="G3089">
        <v>9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 t="s">
        <v>31</v>
      </c>
      <c r="AA3089">
        <v>0</v>
      </c>
    </row>
    <row r="3090" spans="1:27" x14ac:dyDescent="0.2">
      <c r="A3090" t="s">
        <v>172</v>
      </c>
      <c r="B3090">
        <v>2021</v>
      </c>
      <c r="C3090" t="s">
        <v>4036</v>
      </c>
      <c r="D3090" t="s">
        <v>4037</v>
      </c>
      <c r="E3090" t="s">
        <v>29</v>
      </c>
      <c r="F3090" t="s">
        <v>30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56</v>
      </c>
      <c r="T3090">
        <v>0</v>
      </c>
      <c r="U3090">
        <v>0</v>
      </c>
      <c r="V3090">
        <v>0</v>
      </c>
      <c r="W3090">
        <v>0</v>
      </c>
      <c r="X3090">
        <v>0</v>
      </c>
      <c r="Y3090" t="s">
        <v>31</v>
      </c>
      <c r="Z3090">
        <v>55</v>
      </c>
      <c r="AA3090">
        <v>0</v>
      </c>
    </row>
    <row r="3091" spans="1:27" x14ac:dyDescent="0.2">
      <c r="A3091" t="s">
        <v>172</v>
      </c>
      <c r="B3091">
        <v>2021</v>
      </c>
      <c r="C3091" t="s">
        <v>4038</v>
      </c>
      <c r="D3091" t="s">
        <v>4039</v>
      </c>
      <c r="E3091" t="s">
        <v>29</v>
      </c>
      <c r="F3091" t="s">
        <v>30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36</v>
      </c>
      <c r="T3091">
        <v>0</v>
      </c>
      <c r="U3091">
        <v>0</v>
      </c>
      <c r="V3091">
        <v>0</v>
      </c>
      <c r="W3091">
        <v>0</v>
      </c>
      <c r="X3091">
        <v>0</v>
      </c>
      <c r="Y3091" t="s">
        <v>31</v>
      </c>
      <c r="Z3091">
        <v>55</v>
      </c>
      <c r="AA3091">
        <v>0</v>
      </c>
    </row>
    <row r="3092" spans="1:27" x14ac:dyDescent="0.2">
      <c r="A3092" t="s">
        <v>172</v>
      </c>
      <c r="B3092">
        <v>2021</v>
      </c>
      <c r="C3092" t="s">
        <v>371</v>
      </c>
      <c r="D3092" t="s">
        <v>4040</v>
      </c>
      <c r="E3092" t="s">
        <v>29</v>
      </c>
      <c r="F3092" t="s">
        <v>30</v>
      </c>
      <c r="G3092">
        <v>0</v>
      </c>
      <c r="H3092">
        <v>0</v>
      </c>
      <c r="I3092">
        <v>35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 t="s">
        <v>31</v>
      </c>
      <c r="Z3092">
        <v>55</v>
      </c>
      <c r="AA3092">
        <v>0</v>
      </c>
    </row>
    <row r="3093" spans="1:27" x14ac:dyDescent="0.2">
      <c r="A3093" t="s">
        <v>172</v>
      </c>
      <c r="B3093">
        <v>2021</v>
      </c>
      <c r="C3093" t="s">
        <v>477</v>
      </c>
      <c r="D3093" t="s">
        <v>4041</v>
      </c>
      <c r="E3093" t="s">
        <v>29</v>
      </c>
      <c r="F3093" t="s">
        <v>41</v>
      </c>
      <c r="G3093">
        <v>0</v>
      </c>
      <c r="H3093">
        <v>0</v>
      </c>
      <c r="I3093">
        <v>0</v>
      </c>
      <c r="J3093">
        <v>0</v>
      </c>
      <c r="K3093">
        <v>35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 t="s">
        <v>31</v>
      </c>
      <c r="Z3093">
        <v>55</v>
      </c>
      <c r="AA3093">
        <v>50</v>
      </c>
    </row>
    <row r="3094" spans="1:27" x14ac:dyDescent="0.2">
      <c r="A3094" t="s">
        <v>172</v>
      </c>
      <c r="B3094">
        <v>2021</v>
      </c>
      <c r="C3094" t="s">
        <v>4042</v>
      </c>
      <c r="D3094" t="s">
        <v>4043</v>
      </c>
      <c r="E3094" t="s">
        <v>29</v>
      </c>
      <c r="F3094" t="s">
        <v>41</v>
      </c>
      <c r="G3094">
        <v>1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 t="s">
        <v>31</v>
      </c>
      <c r="Z3094">
        <v>55</v>
      </c>
      <c r="AA3094">
        <v>35</v>
      </c>
    </row>
    <row r="3095" spans="1:27" x14ac:dyDescent="0.2">
      <c r="A3095" t="s">
        <v>172</v>
      </c>
      <c r="B3095">
        <v>2021</v>
      </c>
      <c r="C3095" t="s">
        <v>4044</v>
      </c>
      <c r="D3095" t="s">
        <v>4045</v>
      </c>
      <c r="E3095" t="s">
        <v>29</v>
      </c>
      <c r="F3095" t="s">
        <v>41</v>
      </c>
      <c r="G3095">
        <v>0</v>
      </c>
      <c r="H3095">
        <v>0</v>
      </c>
      <c r="I3095">
        <v>1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 t="s">
        <v>31</v>
      </c>
      <c r="Z3095">
        <v>55</v>
      </c>
      <c r="AA3095">
        <v>0</v>
      </c>
    </row>
    <row r="3096" spans="1:27" x14ac:dyDescent="0.2">
      <c r="A3096" t="s">
        <v>3872</v>
      </c>
      <c r="B3096">
        <v>2018</v>
      </c>
      <c r="C3096" t="s">
        <v>4046</v>
      </c>
      <c r="D3096" t="s">
        <v>4047</v>
      </c>
      <c r="E3096" t="s">
        <v>29</v>
      </c>
      <c r="F3096" t="s">
        <v>30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2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0</v>
      </c>
      <c r="X3096">
        <v>0</v>
      </c>
      <c r="Y3096" t="s">
        <v>31</v>
      </c>
      <c r="Z3096">
        <v>55</v>
      </c>
      <c r="AA3096">
        <v>0</v>
      </c>
    </row>
    <row r="3097" spans="1:27" x14ac:dyDescent="0.2">
      <c r="A3097" t="s">
        <v>883</v>
      </c>
      <c r="B3097">
        <v>2021</v>
      </c>
      <c r="C3097">
        <v>35401450</v>
      </c>
      <c r="D3097" t="s">
        <v>2580</v>
      </c>
      <c r="E3097" t="s">
        <v>29</v>
      </c>
      <c r="F3097" t="s">
        <v>41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1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 t="s">
        <v>51</v>
      </c>
      <c r="Z3097">
        <v>1000</v>
      </c>
      <c r="AA3097">
        <v>0</v>
      </c>
    </row>
    <row r="3098" spans="1:27" x14ac:dyDescent="0.2">
      <c r="A3098" t="s">
        <v>883</v>
      </c>
      <c r="B3098">
        <v>2021</v>
      </c>
      <c r="C3098">
        <v>35401450</v>
      </c>
      <c r="D3098" t="s">
        <v>2580</v>
      </c>
      <c r="E3098" t="s">
        <v>29</v>
      </c>
      <c r="F3098" t="s">
        <v>41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1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 t="s">
        <v>51</v>
      </c>
      <c r="Z3098">
        <v>1000</v>
      </c>
      <c r="AA3098">
        <v>0</v>
      </c>
    </row>
    <row r="3099" spans="1:27" x14ac:dyDescent="0.2">
      <c r="A3099" t="s">
        <v>163</v>
      </c>
      <c r="B3099">
        <v>2021</v>
      </c>
      <c r="C3099">
        <v>4691003700</v>
      </c>
      <c r="D3099" t="s">
        <v>4048</v>
      </c>
      <c r="E3099" t="s">
        <v>29</v>
      </c>
      <c r="F3099" t="s">
        <v>30</v>
      </c>
      <c r="G3099">
        <v>3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 t="s">
        <v>31</v>
      </c>
      <c r="Z3099">
        <v>55</v>
      </c>
      <c r="AA3099">
        <v>35</v>
      </c>
    </row>
    <row r="3100" spans="1:27" x14ac:dyDescent="0.2">
      <c r="A3100" t="s">
        <v>163</v>
      </c>
      <c r="B3100">
        <v>2021</v>
      </c>
      <c r="C3100">
        <v>4943001100</v>
      </c>
      <c r="D3100" t="s">
        <v>4049</v>
      </c>
      <c r="E3100" t="s">
        <v>29</v>
      </c>
      <c r="F3100" t="s">
        <v>41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 t="s">
        <v>31</v>
      </c>
      <c r="Z3100">
        <v>55</v>
      </c>
      <c r="AA3100">
        <v>0</v>
      </c>
    </row>
    <row r="3101" spans="1:27" x14ac:dyDescent="0.2">
      <c r="A3101" t="s">
        <v>163</v>
      </c>
      <c r="B3101">
        <v>2021</v>
      </c>
      <c r="C3101">
        <v>4705823900</v>
      </c>
      <c r="D3101" t="s">
        <v>4050</v>
      </c>
      <c r="E3101" t="s">
        <v>29</v>
      </c>
      <c r="F3101" t="s">
        <v>41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 t="s">
        <v>31</v>
      </c>
      <c r="Z3101">
        <v>55</v>
      </c>
      <c r="AA3101">
        <v>0</v>
      </c>
    </row>
    <row r="3102" spans="1:27" x14ac:dyDescent="0.2">
      <c r="A3102" t="s">
        <v>267</v>
      </c>
      <c r="B3102">
        <v>2022</v>
      </c>
      <c r="C3102" t="s">
        <v>2581</v>
      </c>
      <c r="D3102" t="s">
        <v>2582</v>
      </c>
      <c r="E3102" t="s">
        <v>29</v>
      </c>
      <c r="F3102" t="s">
        <v>30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34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34</v>
      </c>
      <c r="X3102">
        <v>0</v>
      </c>
      <c r="Y3102" t="s">
        <v>51</v>
      </c>
      <c r="Z3102">
        <v>55</v>
      </c>
      <c r="AA3102">
        <v>0</v>
      </c>
    </row>
    <row r="3103" spans="1:27" x14ac:dyDescent="0.2">
      <c r="A3103" t="s">
        <v>1071</v>
      </c>
      <c r="B3103">
        <v>2022</v>
      </c>
      <c r="C3103">
        <v>72625061</v>
      </c>
      <c r="D3103" t="s">
        <v>4051</v>
      </c>
      <c r="E3103" t="s">
        <v>29</v>
      </c>
      <c r="F3103" t="s">
        <v>30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5</v>
      </c>
      <c r="N3103">
        <v>0</v>
      </c>
      <c r="O3103">
        <v>0</v>
      </c>
      <c r="P3103">
        <v>0</v>
      </c>
      <c r="Q3103">
        <v>0</v>
      </c>
      <c r="R3103">
        <v>13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 t="s">
        <v>51</v>
      </c>
      <c r="Z3103">
        <v>55</v>
      </c>
      <c r="AA3103">
        <v>0</v>
      </c>
    </row>
    <row r="3104" spans="1:27" x14ac:dyDescent="0.2">
      <c r="A3104" t="s">
        <v>1071</v>
      </c>
      <c r="B3104">
        <v>2022</v>
      </c>
      <c r="C3104">
        <v>72625061</v>
      </c>
      <c r="D3104" t="s">
        <v>4052</v>
      </c>
      <c r="E3104" t="s">
        <v>29</v>
      </c>
      <c r="F3104" t="s">
        <v>30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4</v>
      </c>
      <c r="N3104">
        <v>0</v>
      </c>
      <c r="O3104">
        <v>0</v>
      </c>
      <c r="P3104">
        <v>0</v>
      </c>
      <c r="Q3104">
        <v>0</v>
      </c>
      <c r="R3104">
        <v>16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 t="s">
        <v>51</v>
      </c>
      <c r="Z3104">
        <v>55</v>
      </c>
      <c r="AA3104">
        <v>0</v>
      </c>
    </row>
    <row r="3105" spans="1:27" x14ac:dyDescent="0.2">
      <c r="A3105" t="s">
        <v>1071</v>
      </c>
      <c r="B3105">
        <v>2022</v>
      </c>
      <c r="C3105">
        <v>72636059</v>
      </c>
      <c r="D3105" t="s">
        <v>4053</v>
      </c>
      <c r="E3105" t="s">
        <v>29</v>
      </c>
      <c r="F3105" t="s">
        <v>30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1</v>
      </c>
      <c r="N3105">
        <v>0</v>
      </c>
      <c r="O3105">
        <v>18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 t="s">
        <v>31</v>
      </c>
      <c r="Z3105">
        <v>55</v>
      </c>
      <c r="AA3105">
        <v>80</v>
      </c>
    </row>
    <row r="3106" spans="1:27" x14ac:dyDescent="0.2">
      <c r="A3106" t="s">
        <v>1071</v>
      </c>
      <c r="B3106">
        <v>2022</v>
      </c>
      <c r="C3106">
        <v>72636059</v>
      </c>
      <c r="D3106" t="s">
        <v>4054</v>
      </c>
      <c r="E3106" t="s">
        <v>29</v>
      </c>
      <c r="F3106" t="s">
        <v>30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2</v>
      </c>
      <c r="N3106">
        <v>0</v>
      </c>
      <c r="O3106">
        <v>10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 t="s">
        <v>31</v>
      </c>
      <c r="Z3106">
        <v>55</v>
      </c>
      <c r="AA3106">
        <v>80</v>
      </c>
    </row>
    <row r="3107" spans="1:27" x14ac:dyDescent="0.2">
      <c r="A3107" t="s">
        <v>1449</v>
      </c>
      <c r="B3107">
        <v>2020</v>
      </c>
      <c r="C3107" t="s">
        <v>4055</v>
      </c>
      <c r="D3107" t="s">
        <v>4056</v>
      </c>
      <c r="E3107" t="s">
        <v>29</v>
      </c>
      <c r="F3107" t="s">
        <v>30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6</v>
      </c>
      <c r="T3107">
        <v>0</v>
      </c>
      <c r="U3107">
        <v>0</v>
      </c>
      <c r="V3107">
        <v>0</v>
      </c>
      <c r="W3107">
        <v>0</v>
      </c>
      <c r="X3107">
        <v>0</v>
      </c>
      <c r="Y3107" t="s">
        <v>51</v>
      </c>
      <c r="AA3107">
        <v>0</v>
      </c>
    </row>
    <row r="3108" spans="1:27" x14ac:dyDescent="0.2">
      <c r="A3108" t="s">
        <v>1418</v>
      </c>
      <c r="B3108">
        <v>2021</v>
      </c>
      <c r="C3108" t="s">
        <v>3558</v>
      </c>
      <c r="D3108" t="s">
        <v>4057</v>
      </c>
      <c r="E3108" t="s">
        <v>29</v>
      </c>
      <c r="F3108" t="s">
        <v>30</v>
      </c>
      <c r="G3108">
        <v>0</v>
      </c>
      <c r="H3108">
        <v>0</v>
      </c>
      <c r="I3108">
        <v>57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 t="s">
        <v>31</v>
      </c>
      <c r="Z3108">
        <v>55</v>
      </c>
      <c r="AA3108">
        <v>20</v>
      </c>
    </row>
    <row r="3109" spans="1:27" x14ac:dyDescent="0.2">
      <c r="A3109" t="s">
        <v>1678</v>
      </c>
      <c r="B3109">
        <v>2021</v>
      </c>
      <c r="C3109">
        <v>53176130</v>
      </c>
      <c r="D3109" t="s">
        <v>4058</v>
      </c>
      <c r="E3109" t="s">
        <v>29</v>
      </c>
      <c r="F3109" t="s">
        <v>30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35</v>
      </c>
      <c r="V3109">
        <v>0</v>
      </c>
      <c r="W3109">
        <v>0</v>
      </c>
      <c r="X3109">
        <v>0</v>
      </c>
      <c r="Y3109" t="s">
        <v>51</v>
      </c>
      <c r="AA3109">
        <v>0</v>
      </c>
    </row>
    <row r="3110" spans="1:27" x14ac:dyDescent="0.2">
      <c r="A3110" t="s">
        <v>584</v>
      </c>
      <c r="B3110">
        <v>2018</v>
      </c>
      <c r="C3110" s="2" t="s">
        <v>4059</v>
      </c>
      <c r="D3110" t="s">
        <v>2479</v>
      </c>
      <c r="E3110" t="s">
        <v>29</v>
      </c>
      <c r="F3110" t="s">
        <v>41</v>
      </c>
      <c r="G3110">
        <v>0</v>
      </c>
      <c r="H3110">
        <v>0</v>
      </c>
      <c r="I3110">
        <v>1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 t="s">
        <v>51</v>
      </c>
      <c r="Z3110">
        <v>55</v>
      </c>
      <c r="AA3110">
        <v>0</v>
      </c>
    </row>
    <row r="3111" spans="1:27" x14ac:dyDescent="0.2">
      <c r="A3111" t="s">
        <v>163</v>
      </c>
      <c r="B3111">
        <v>2021</v>
      </c>
      <c r="C3111">
        <v>4705722200</v>
      </c>
      <c r="D3111" t="s">
        <v>4060</v>
      </c>
      <c r="E3111" t="s">
        <v>29</v>
      </c>
      <c r="F3111" t="s">
        <v>30</v>
      </c>
      <c r="G3111">
        <v>60</v>
      </c>
      <c r="H3111">
        <v>0</v>
      </c>
      <c r="I3111">
        <v>86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 t="s">
        <v>31</v>
      </c>
      <c r="Z3111">
        <v>55</v>
      </c>
      <c r="AA3111">
        <v>0</v>
      </c>
    </row>
    <row r="3112" spans="1:27" x14ac:dyDescent="0.2">
      <c r="A3112" t="s">
        <v>600</v>
      </c>
      <c r="B3112">
        <v>2020</v>
      </c>
      <c r="C3112" t="s">
        <v>4061</v>
      </c>
      <c r="D3112" t="s">
        <v>4062</v>
      </c>
      <c r="E3112" t="s">
        <v>29</v>
      </c>
      <c r="F3112" t="s">
        <v>41</v>
      </c>
      <c r="G3112">
        <v>0</v>
      </c>
      <c r="H3112">
        <v>0</v>
      </c>
      <c r="I3112">
        <v>30</v>
      </c>
      <c r="J3112">
        <v>0</v>
      </c>
      <c r="K3112">
        <v>12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 t="s">
        <v>51</v>
      </c>
      <c r="AA3112">
        <v>0</v>
      </c>
    </row>
    <row r="3113" spans="1:27" x14ac:dyDescent="0.2">
      <c r="A3113" t="s">
        <v>600</v>
      </c>
      <c r="B3113">
        <v>2020</v>
      </c>
      <c r="C3113" s="2" t="s">
        <v>1972</v>
      </c>
      <c r="D3113" t="s">
        <v>4063</v>
      </c>
      <c r="E3113" t="s">
        <v>29</v>
      </c>
      <c r="F3113" t="s">
        <v>41</v>
      </c>
      <c r="G3113">
        <v>0</v>
      </c>
      <c r="H3113">
        <v>0</v>
      </c>
      <c r="I3113">
        <v>5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 t="s">
        <v>31</v>
      </c>
      <c r="AA3113">
        <v>0</v>
      </c>
    </row>
    <row r="3114" spans="1:27" x14ac:dyDescent="0.2">
      <c r="A3114" t="s">
        <v>600</v>
      </c>
      <c r="B3114">
        <v>2020</v>
      </c>
      <c r="C3114" s="2" t="s">
        <v>1695</v>
      </c>
      <c r="D3114" t="s">
        <v>1696</v>
      </c>
      <c r="E3114" t="s">
        <v>29</v>
      </c>
      <c r="F3114" t="s">
        <v>30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19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 t="s">
        <v>51</v>
      </c>
      <c r="AA3114">
        <v>0</v>
      </c>
    </row>
    <row r="3115" spans="1:27" x14ac:dyDescent="0.2">
      <c r="A3115" t="s">
        <v>600</v>
      </c>
      <c r="B3115">
        <v>2020</v>
      </c>
      <c r="C3115">
        <v>6954039</v>
      </c>
      <c r="D3115" t="s">
        <v>1936</v>
      </c>
      <c r="E3115" t="s">
        <v>29</v>
      </c>
      <c r="F3115" t="s">
        <v>30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23</v>
      </c>
      <c r="P3115">
        <v>0</v>
      </c>
      <c r="Q3115">
        <v>35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 t="s">
        <v>51</v>
      </c>
      <c r="AA3115">
        <v>0</v>
      </c>
    </row>
    <row r="3116" spans="1:27" x14ac:dyDescent="0.2">
      <c r="A3116" t="s">
        <v>600</v>
      </c>
      <c r="B3116">
        <v>2020</v>
      </c>
      <c r="C3116">
        <v>3591024</v>
      </c>
      <c r="D3116" t="s">
        <v>1829</v>
      </c>
      <c r="E3116" t="s">
        <v>29</v>
      </c>
      <c r="F3116" t="s">
        <v>30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11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 t="s">
        <v>31</v>
      </c>
      <c r="AA3116">
        <v>0</v>
      </c>
    </row>
    <row r="3117" spans="1:27" x14ac:dyDescent="0.2">
      <c r="A3117" t="s">
        <v>1449</v>
      </c>
      <c r="B3117">
        <v>2020</v>
      </c>
      <c r="C3117" t="s">
        <v>2148</v>
      </c>
      <c r="D3117" t="s">
        <v>4064</v>
      </c>
      <c r="E3117" t="s">
        <v>29</v>
      </c>
      <c r="F3117" t="s">
        <v>30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21</v>
      </c>
      <c r="N3117">
        <v>0</v>
      </c>
      <c r="O3117">
        <v>13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 t="s">
        <v>31</v>
      </c>
      <c r="AA3117">
        <v>0</v>
      </c>
    </row>
    <row r="3118" spans="1:27" x14ac:dyDescent="0.2">
      <c r="A3118" t="s">
        <v>1449</v>
      </c>
      <c r="B3118">
        <v>2020</v>
      </c>
      <c r="C3118" t="s">
        <v>3495</v>
      </c>
      <c r="D3118" t="s">
        <v>4065</v>
      </c>
      <c r="E3118" t="s">
        <v>29</v>
      </c>
      <c r="F3118" t="s">
        <v>30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 t="s">
        <v>31</v>
      </c>
      <c r="AA3118">
        <v>0</v>
      </c>
    </row>
    <row r="3119" spans="1:27" x14ac:dyDescent="0.2">
      <c r="A3119" t="s">
        <v>1449</v>
      </c>
      <c r="B3119">
        <v>2020</v>
      </c>
      <c r="C3119" t="s">
        <v>2004</v>
      </c>
      <c r="D3119" t="s">
        <v>4066</v>
      </c>
      <c r="E3119" t="s">
        <v>29</v>
      </c>
      <c r="F3119" t="s">
        <v>30</v>
      </c>
      <c r="G3119">
        <v>5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 t="s">
        <v>31</v>
      </c>
      <c r="AA3119">
        <v>0</v>
      </c>
    </row>
    <row r="3120" spans="1:27" x14ac:dyDescent="0.2">
      <c r="A3120" t="s">
        <v>600</v>
      </c>
      <c r="B3120">
        <v>2020</v>
      </c>
      <c r="C3120" s="2" t="s">
        <v>1147</v>
      </c>
      <c r="D3120" t="s">
        <v>1148</v>
      </c>
      <c r="E3120" t="s">
        <v>29</v>
      </c>
      <c r="F3120" t="s">
        <v>30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 t="s">
        <v>51</v>
      </c>
      <c r="AA3120">
        <v>0</v>
      </c>
    </row>
    <row r="3121" spans="1:27" x14ac:dyDescent="0.2">
      <c r="A3121" t="s">
        <v>600</v>
      </c>
      <c r="B3121">
        <v>2020</v>
      </c>
      <c r="C3121">
        <v>3808004</v>
      </c>
      <c r="D3121" t="s">
        <v>864</v>
      </c>
      <c r="E3121" t="s">
        <v>29</v>
      </c>
      <c r="F3121" t="s">
        <v>30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 t="s">
        <v>51</v>
      </c>
      <c r="AA3121">
        <v>0</v>
      </c>
    </row>
    <row r="3122" spans="1:27" x14ac:dyDescent="0.2">
      <c r="A3122" t="s">
        <v>600</v>
      </c>
      <c r="B3122">
        <v>2020</v>
      </c>
      <c r="C3122">
        <v>5952002</v>
      </c>
      <c r="D3122" t="s">
        <v>4067</v>
      </c>
      <c r="E3122" t="s">
        <v>29</v>
      </c>
      <c r="F3122" t="s">
        <v>30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5</v>
      </c>
      <c r="T3122">
        <v>0</v>
      </c>
      <c r="U3122">
        <v>16</v>
      </c>
      <c r="V3122">
        <v>0</v>
      </c>
      <c r="W3122">
        <v>6</v>
      </c>
      <c r="X3122">
        <v>0</v>
      </c>
      <c r="Y3122" t="s">
        <v>51</v>
      </c>
      <c r="AA3122">
        <v>0</v>
      </c>
    </row>
    <row r="3123" spans="1:27" x14ac:dyDescent="0.2">
      <c r="A3123" t="s">
        <v>600</v>
      </c>
      <c r="B3123">
        <v>2020</v>
      </c>
      <c r="C3123">
        <v>4022001</v>
      </c>
      <c r="D3123" t="s">
        <v>1055</v>
      </c>
      <c r="E3123" t="s">
        <v>29</v>
      </c>
      <c r="F3123" t="s">
        <v>30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3</v>
      </c>
      <c r="X3123">
        <v>0</v>
      </c>
      <c r="Y3123" t="s">
        <v>51</v>
      </c>
      <c r="AA3123">
        <v>0</v>
      </c>
    </row>
    <row r="3124" spans="1:27" x14ac:dyDescent="0.2">
      <c r="A3124" t="s">
        <v>600</v>
      </c>
      <c r="B3124">
        <v>2020</v>
      </c>
      <c r="C3124">
        <v>3521022</v>
      </c>
      <c r="D3124" t="s">
        <v>918</v>
      </c>
      <c r="E3124" t="s">
        <v>29</v>
      </c>
      <c r="F3124" t="s">
        <v>30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27</v>
      </c>
      <c r="V3124">
        <v>0</v>
      </c>
      <c r="W3124">
        <v>0</v>
      </c>
      <c r="X3124">
        <v>0</v>
      </c>
      <c r="Y3124" t="s">
        <v>31</v>
      </c>
      <c r="AA3124">
        <v>0</v>
      </c>
    </row>
    <row r="3125" spans="1:27" x14ac:dyDescent="0.2">
      <c r="A3125" t="s">
        <v>600</v>
      </c>
      <c r="B3125">
        <v>2020</v>
      </c>
      <c r="C3125">
        <v>3753081</v>
      </c>
      <c r="D3125" t="s">
        <v>4068</v>
      </c>
      <c r="E3125" t="s">
        <v>29</v>
      </c>
      <c r="F3125" t="s">
        <v>30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14</v>
      </c>
      <c r="V3125">
        <v>0</v>
      </c>
      <c r="W3125">
        <v>0</v>
      </c>
      <c r="X3125">
        <v>0</v>
      </c>
      <c r="Y3125" t="s">
        <v>51</v>
      </c>
      <c r="AA3125">
        <v>0</v>
      </c>
    </row>
    <row r="3126" spans="1:27" x14ac:dyDescent="0.2">
      <c r="A3126" t="s">
        <v>600</v>
      </c>
      <c r="B3126">
        <v>2020</v>
      </c>
      <c r="C3126">
        <v>3726103</v>
      </c>
      <c r="D3126" t="s">
        <v>4069</v>
      </c>
      <c r="E3126" t="s">
        <v>29</v>
      </c>
      <c r="F3126" t="s">
        <v>30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 t="s">
        <v>51</v>
      </c>
      <c r="AA3126">
        <v>0</v>
      </c>
    </row>
    <row r="3127" spans="1:27" x14ac:dyDescent="0.2">
      <c r="A3127" t="s">
        <v>600</v>
      </c>
      <c r="B3127">
        <v>2020</v>
      </c>
      <c r="C3127">
        <v>4008002</v>
      </c>
      <c r="D3127" t="s">
        <v>972</v>
      </c>
      <c r="E3127" t="s">
        <v>29</v>
      </c>
      <c r="F3127" t="s">
        <v>30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 t="s">
        <v>51</v>
      </c>
      <c r="AA3127">
        <v>0</v>
      </c>
    </row>
    <row r="3128" spans="1:27" x14ac:dyDescent="0.2">
      <c r="A3128" t="s">
        <v>600</v>
      </c>
      <c r="B3128">
        <v>2020</v>
      </c>
      <c r="C3128">
        <v>3553008</v>
      </c>
      <c r="D3128" t="s">
        <v>865</v>
      </c>
      <c r="E3128" t="s">
        <v>29</v>
      </c>
      <c r="F3128" t="s">
        <v>30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 t="s">
        <v>51</v>
      </c>
      <c r="AA3128">
        <v>0</v>
      </c>
    </row>
    <row r="3129" spans="1:27" ht="85" x14ac:dyDescent="0.2">
      <c r="A3129" t="s">
        <v>415</v>
      </c>
      <c r="B3129">
        <v>2023</v>
      </c>
      <c r="C3129" t="s">
        <v>4070</v>
      </c>
      <c r="D3129" s="1" t="s">
        <v>4071</v>
      </c>
      <c r="E3129" t="s">
        <v>29</v>
      </c>
      <c r="F3129" t="s">
        <v>30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32</v>
      </c>
      <c r="N3129">
        <v>0</v>
      </c>
      <c r="O3129">
        <v>37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 t="s">
        <v>31</v>
      </c>
      <c r="AA3129">
        <v>35</v>
      </c>
    </row>
    <row r="3130" spans="1:27" x14ac:dyDescent="0.2">
      <c r="A3130" t="s">
        <v>649</v>
      </c>
      <c r="B3130">
        <v>2023</v>
      </c>
      <c r="C3130" t="s">
        <v>4072</v>
      </c>
      <c r="D3130" t="s">
        <v>4073</v>
      </c>
      <c r="E3130" t="s">
        <v>29</v>
      </c>
      <c r="F3130" t="s">
        <v>30</v>
      </c>
      <c r="G3130">
        <v>0</v>
      </c>
      <c r="H3130">
        <v>0</v>
      </c>
      <c r="I3130">
        <v>96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 t="s">
        <v>31</v>
      </c>
      <c r="Z3130">
        <v>30</v>
      </c>
      <c r="AA3130">
        <v>36</v>
      </c>
    </row>
    <row r="3131" spans="1:27" x14ac:dyDescent="0.2">
      <c r="A3131" t="s">
        <v>1071</v>
      </c>
      <c r="B3131">
        <v>2022</v>
      </c>
      <c r="C3131">
        <v>72625061</v>
      </c>
      <c r="D3131" t="s">
        <v>4074</v>
      </c>
      <c r="E3131" t="s">
        <v>29</v>
      </c>
      <c r="F3131" t="s">
        <v>30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4</v>
      </c>
      <c r="N3131">
        <v>0</v>
      </c>
      <c r="O3131">
        <v>0</v>
      </c>
      <c r="P3131">
        <v>0</v>
      </c>
      <c r="Q3131">
        <v>0</v>
      </c>
      <c r="R3131">
        <v>16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 t="s">
        <v>51</v>
      </c>
      <c r="Z3131">
        <v>55</v>
      </c>
      <c r="AA3131">
        <v>0</v>
      </c>
    </row>
    <row r="3132" spans="1:27" x14ac:dyDescent="0.2">
      <c r="A3132" t="s">
        <v>1071</v>
      </c>
      <c r="B3132">
        <v>2022</v>
      </c>
      <c r="C3132">
        <v>77904075</v>
      </c>
      <c r="D3132" t="s">
        <v>4075</v>
      </c>
      <c r="E3132" t="s">
        <v>29</v>
      </c>
      <c r="F3132" t="s">
        <v>30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24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 t="s">
        <v>31</v>
      </c>
      <c r="Z3132">
        <v>55</v>
      </c>
      <c r="AA3132">
        <v>0</v>
      </c>
    </row>
    <row r="3133" spans="1:27" x14ac:dyDescent="0.2">
      <c r="A3133" t="s">
        <v>1197</v>
      </c>
      <c r="B3133">
        <v>2018</v>
      </c>
      <c r="C3133" t="s">
        <v>2120</v>
      </c>
      <c r="D3133" t="s">
        <v>4076</v>
      </c>
      <c r="E3133" t="s">
        <v>29</v>
      </c>
      <c r="F3133" t="s">
        <v>30</v>
      </c>
      <c r="G3133">
        <v>0</v>
      </c>
      <c r="H3133">
        <v>0</v>
      </c>
      <c r="I3133">
        <v>6</v>
      </c>
      <c r="J3133">
        <v>0</v>
      </c>
      <c r="K3133">
        <v>5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 t="s">
        <v>51</v>
      </c>
      <c r="Z3133">
        <v>55</v>
      </c>
      <c r="AA3133">
        <v>0</v>
      </c>
    </row>
    <row r="3134" spans="1:27" x14ac:dyDescent="0.2">
      <c r="A3134" t="s">
        <v>792</v>
      </c>
      <c r="B3134">
        <v>2022</v>
      </c>
      <c r="C3134">
        <v>37529114</v>
      </c>
      <c r="D3134" t="s">
        <v>4077</v>
      </c>
      <c r="E3134" t="s">
        <v>29</v>
      </c>
      <c r="F3134" t="s">
        <v>30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34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 t="s">
        <v>31</v>
      </c>
      <c r="Z3134">
        <v>55</v>
      </c>
      <c r="AA3134">
        <v>0</v>
      </c>
    </row>
    <row r="3135" spans="1:27" x14ac:dyDescent="0.2">
      <c r="A3135" t="s">
        <v>792</v>
      </c>
      <c r="B3135">
        <v>2022</v>
      </c>
      <c r="C3135">
        <v>37529114</v>
      </c>
      <c r="D3135" t="s">
        <v>1893</v>
      </c>
      <c r="E3135" t="s">
        <v>29</v>
      </c>
      <c r="F3135" t="s">
        <v>30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28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 t="s">
        <v>31</v>
      </c>
      <c r="Z3135">
        <v>55</v>
      </c>
      <c r="AA3135">
        <v>0</v>
      </c>
    </row>
    <row r="3136" spans="1:27" x14ac:dyDescent="0.2">
      <c r="A3136" t="s">
        <v>3423</v>
      </c>
      <c r="B3136">
        <v>2021</v>
      </c>
      <c r="C3136" t="s">
        <v>3424</v>
      </c>
      <c r="D3136" t="s">
        <v>3425</v>
      </c>
      <c r="E3136" t="s">
        <v>29</v>
      </c>
      <c r="F3136" t="s">
        <v>30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6</v>
      </c>
      <c r="T3136">
        <v>0</v>
      </c>
      <c r="U3136">
        <v>21</v>
      </c>
      <c r="V3136">
        <v>1</v>
      </c>
      <c r="W3136">
        <v>0</v>
      </c>
      <c r="X3136">
        <v>0</v>
      </c>
      <c r="Y3136" t="s">
        <v>31</v>
      </c>
      <c r="AA3136">
        <v>0</v>
      </c>
    </row>
    <row r="3137" spans="1:27" x14ac:dyDescent="0.2">
      <c r="A3137" t="s">
        <v>1678</v>
      </c>
      <c r="B3137">
        <v>2021</v>
      </c>
      <c r="C3137">
        <v>54112170</v>
      </c>
      <c r="D3137" t="s">
        <v>4078</v>
      </c>
      <c r="E3137" t="s">
        <v>29</v>
      </c>
      <c r="F3137" t="s">
        <v>41</v>
      </c>
      <c r="G3137">
        <v>0</v>
      </c>
      <c r="H3137">
        <v>0</v>
      </c>
      <c r="I3137">
        <v>0</v>
      </c>
      <c r="J3137">
        <v>0</v>
      </c>
      <c r="K3137">
        <v>11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 t="s">
        <v>51</v>
      </c>
      <c r="AA3137">
        <v>0</v>
      </c>
    </row>
    <row r="3138" spans="1:27" x14ac:dyDescent="0.2">
      <c r="A3138" t="s">
        <v>321</v>
      </c>
      <c r="B3138">
        <v>2018</v>
      </c>
      <c r="C3138">
        <v>4291008025</v>
      </c>
      <c r="D3138" t="s">
        <v>4079</v>
      </c>
      <c r="E3138" t="s">
        <v>29</v>
      </c>
      <c r="F3138" t="s">
        <v>30</v>
      </c>
      <c r="G3138">
        <v>4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 t="s">
        <v>51</v>
      </c>
      <c r="Z3138">
        <v>55</v>
      </c>
      <c r="AA3138">
        <v>0</v>
      </c>
    </row>
    <row r="3139" spans="1:27" x14ac:dyDescent="0.2">
      <c r="A3139" t="s">
        <v>321</v>
      </c>
      <c r="B3139">
        <v>2018</v>
      </c>
      <c r="C3139">
        <v>4290002008</v>
      </c>
      <c r="D3139" t="s">
        <v>4080</v>
      </c>
      <c r="E3139" t="s">
        <v>29</v>
      </c>
      <c r="F3139" t="s">
        <v>30</v>
      </c>
      <c r="G3139">
        <v>8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 t="s">
        <v>51</v>
      </c>
      <c r="Z3139">
        <v>55</v>
      </c>
      <c r="AA3139">
        <v>0</v>
      </c>
    </row>
    <row r="3140" spans="1:27" x14ac:dyDescent="0.2">
      <c r="A3140" t="s">
        <v>321</v>
      </c>
      <c r="B3140">
        <v>2018</v>
      </c>
      <c r="C3140">
        <v>4290020045</v>
      </c>
      <c r="D3140" t="s">
        <v>4081</v>
      </c>
      <c r="E3140" t="s">
        <v>29</v>
      </c>
      <c r="F3140" t="s">
        <v>30</v>
      </c>
      <c r="G3140">
        <v>12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 t="s">
        <v>51</v>
      </c>
      <c r="Z3140">
        <v>55</v>
      </c>
      <c r="AA3140">
        <v>0</v>
      </c>
    </row>
    <row r="3141" spans="1:27" x14ac:dyDescent="0.2">
      <c r="A3141" t="s">
        <v>321</v>
      </c>
      <c r="B3141">
        <v>2018</v>
      </c>
      <c r="C3141">
        <v>4283003012</v>
      </c>
      <c r="D3141" t="s">
        <v>4082</v>
      </c>
      <c r="E3141" t="s">
        <v>29</v>
      </c>
      <c r="F3141" t="s">
        <v>30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5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 t="s">
        <v>51</v>
      </c>
      <c r="Z3141">
        <v>55</v>
      </c>
      <c r="AA3141">
        <v>0</v>
      </c>
    </row>
    <row r="3142" spans="1:27" x14ac:dyDescent="0.2">
      <c r="A3142" t="s">
        <v>670</v>
      </c>
      <c r="B3142">
        <v>2021</v>
      </c>
      <c r="C3142">
        <v>4011023004</v>
      </c>
      <c r="D3142" t="s">
        <v>4083</v>
      </c>
      <c r="E3142" t="s">
        <v>29</v>
      </c>
      <c r="F3142" t="s">
        <v>30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 t="s">
        <v>31</v>
      </c>
      <c r="Z3142">
        <v>55</v>
      </c>
      <c r="AA3142">
        <v>8</v>
      </c>
    </row>
    <row r="3143" spans="1:27" x14ac:dyDescent="0.2">
      <c r="A3143" t="s">
        <v>4084</v>
      </c>
      <c r="B3143">
        <v>2024</v>
      </c>
      <c r="C3143" t="s">
        <v>4085</v>
      </c>
      <c r="D3143" t="s">
        <v>4086</v>
      </c>
      <c r="E3143" t="s">
        <v>29</v>
      </c>
      <c r="F3143" t="s">
        <v>41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3</v>
      </c>
      <c r="N3143">
        <v>0</v>
      </c>
      <c r="O3143">
        <v>0</v>
      </c>
      <c r="P3143">
        <v>0</v>
      </c>
      <c r="Q3143">
        <v>3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 t="s">
        <v>31</v>
      </c>
      <c r="AA3143" s="2" t="s">
        <v>3352</v>
      </c>
    </row>
    <row r="3144" spans="1:27" ht="102" x14ac:dyDescent="0.2">
      <c r="A3144" t="s">
        <v>32</v>
      </c>
      <c r="B3144">
        <v>2022</v>
      </c>
      <c r="C3144" t="s">
        <v>2654</v>
      </c>
      <c r="D3144" s="1" t="s">
        <v>4087</v>
      </c>
      <c r="E3144" t="s">
        <v>29</v>
      </c>
      <c r="F3144" t="s">
        <v>30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18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 t="s">
        <v>31</v>
      </c>
      <c r="AA3144">
        <v>58</v>
      </c>
    </row>
    <row r="3145" spans="1:27" x14ac:dyDescent="0.2">
      <c r="A3145" t="s">
        <v>4084</v>
      </c>
      <c r="B3145">
        <v>2024</v>
      </c>
      <c r="C3145" t="s">
        <v>4088</v>
      </c>
      <c r="D3145" t="s">
        <v>4089</v>
      </c>
      <c r="E3145" t="s">
        <v>29</v>
      </c>
      <c r="F3145" t="s">
        <v>30</v>
      </c>
      <c r="G3145">
        <v>0</v>
      </c>
      <c r="H3145">
        <v>0</v>
      </c>
      <c r="I3145">
        <v>32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 t="s">
        <v>31</v>
      </c>
      <c r="AA3145">
        <v>0</v>
      </c>
    </row>
    <row r="3146" spans="1:27" x14ac:dyDescent="0.2">
      <c r="A3146" t="s">
        <v>2268</v>
      </c>
      <c r="B3146">
        <v>2021</v>
      </c>
      <c r="C3146" s="2" t="s">
        <v>4090</v>
      </c>
      <c r="D3146" t="s">
        <v>3041</v>
      </c>
      <c r="E3146" t="s">
        <v>29</v>
      </c>
      <c r="F3146" t="s">
        <v>41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1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 t="s">
        <v>51</v>
      </c>
      <c r="Z3146">
        <v>45</v>
      </c>
      <c r="AA3146">
        <v>0</v>
      </c>
    </row>
    <row r="3147" spans="1:27" x14ac:dyDescent="0.2">
      <c r="A3147" t="s">
        <v>283</v>
      </c>
      <c r="B3147">
        <v>2019</v>
      </c>
      <c r="C3147" t="s">
        <v>2516</v>
      </c>
      <c r="D3147" t="s">
        <v>2544</v>
      </c>
      <c r="E3147" t="s">
        <v>29</v>
      </c>
      <c r="F3147" t="s">
        <v>30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5</v>
      </c>
      <c r="V3147">
        <v>0</v>
      </c>
      <c r="W3147">
        <v>0</v>
      </c>
      <c r="X3147">
        <v>0</v>
      </c>
      <c r="Y3147" t="s">
        <v>51</v>
      </c>
      <c r="Z3147">
        <v>75</v>
      </c>
      <c r="AA3147">
        <v>0</v>
      </c>
    </row>
    <row r="3148" spans="1:27" x14ac:dyDescent="0.2">
      <c r="A3148" t="s">
        <v>283</v>
      </c>
      <c r="B3148">
        <v>2019</v>
      </c>
      <c r="C3148" t="s">
        <v>2516</v>
      </c>
      <c r="D3148" t="s">
        <v>2610</v>
      </c>
      <c r="E3148" t="s">
        <v>29</v>
      </c>
      <c r="F3148" t="s">
        <v>30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7</v>
      </c>
      <c r="V3148">
        <v>0</v>
      </c>
      <c r="W3148">
        <v>0</v>
      </c>
      <c r="X3148">
        <v>0</v>
      </c>
      <c r="Y3148" t="s">
        <v>51</v>
      </c>
      <c r="Z3148">
        <v>75</v>
      </c>
      <c r="AA3148">
        <v>0</v>
      </c>
    </row>
    <row r="3149" spans="1:27" x14ac:dyDescent="0.2">
      <c r="A3149" t="s">
        <v>547</v>
      </c>
      <c r="B3149">
        <v>2019</v>
      </c>
      <c r="C3149">
        <v>4234015009</v>
      </c>
      <c r="D3149" t="s">
        <v>4091</v>
      </c>
      <c r="E3149" t="s">
        <v>29</v>
      </c>
      <c r="F3149" t="s">
        <v>30</v>
      </c>
      <c r="G3149">
        <v>2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 t="s">
        <v>31</v>
      </c>
      <c r="Z3149">
        <v>55</v>
      </c>
      <c r="AA3149">
        <v>0</v>
      </c>
    </row>
    <row r="3150" spans="1:27" x14ac:dyDescent="0.2">
      <c r="A3150" t="s">
        <v>547</v>
      </c>
      <c r="B3150">
        <v>2019</v>
      </c>
      <c r="C3150">
        <v>5534013018</v>
      </c>
      <c r="D3150" t="s">
        <v>4092</v>
      </c>
      <c r="E3150" t="s">
        <v>29</v>
      </c>
      <c r="F3150" t="s">
        <v>30</v>
      </c>
      <c r="G3150">
        <v>3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 t="s">
        <v>31</v>
      </c>
      <c r="Z3150">
        <v>55</v>
      </c>
      <c r="AA3150">
        <v>0</v>
      </c>
    </row>
    <row r="3151" spans="1:27" x14ac:dyDescent="0.2">
      <c r="A3151" t="s">
        <v>547</v>
      </c>
      <c r="B3151">
        <v>2019</v>
      </c>
      <c r="C3151">
        <v>5532017008</v>
      </c>
      <c r="D3151" t="s">
        <v>4093</v>
      </c>
      <c r="E3151" t="s">
        <v>29</v>
      </c>
      <c r="F3151" t="s">
        <v>30</v>
      </c>
      <c r="G3151">
        <v>3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 t="s">
        <v>31</v>
      </c>
      <c r="Z3151">
        <v>55</v>
      </c>
      <c r="AA3151">
        <v>0</v>
      </c>
    </row>
    <row r="3152" spans="1:27" x14ac:dyDescent="0.2">
      <c r="A3152" t="s">
        <v>547</v>
      </c>
      <c r="B3152">
        <v>2019</v>
      </c>
      <c r="C3152">
        <v>2604028031</v>
      </c>
      <c r="D3152" t="s">
        <v>4094</v>
      </c>
      <c r="E3152" t="s">
        <v>29</v>
      </c>
      <c r="F3152" t="s">
        <v>30</v>
      </c>
      <c r="G3152">
        <v>0</v>
      </c>
      <c r="H3152">
        <v>0</v>
      </c>
      <c r="I3152">
        <v>55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 t="s">
        <v>31</v>
      </c>
      <c r="Z3152">
        <v>55</v>
      </c>
      <c r="AA3152">
        <v>0</v>
      </c>
    </row>
    <row r="3153" spans="1:27" x14ac:dyDescent="0.2">
      <c r="A3153" t="s">
        <v>547</v>
      </c>
      <c r="B3153">
        <v>2019</v>
      </c>
      <c r="C3153">
        <v>6046021916</v>
      </c>
      <c r="D3153" t="s">
        <v>4095</v>
      </c>
      <c r="E3153" t="s">
        <v>29</v>
      </c>
      <c r="F3153" t="s">
        <v>30</v>
      </c>
      <c r="G3153">
        <v>0</v>
      </c>
      <c r="H3153">
        <v>0</v>
      </c>
      <c r="I3153">
        <v>1073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 t="s">
        <v>31</v>
      </c>
      <c r="Z3153">
        <v>55</v>
      </c>
      <c r="AA3153">
        <v>0</v>
      </c>
    </row>
    <row r="3154" spans="1:27" x14ac:dyDescent="0.2">
      <c r="A3154" t="s">
        <v>670</v>
      </c>
      <c r="B3154">
        <v>2018</v>
      </c>
      <c r="C3154">
        <v>4021034027</v>
      </c>
      <c r="D3154" t="s">
        <v>4096</v>
      </c>
      <c r="E3154" t="s">
        <v>29</v>
      </c>
      <c r="F3154" t="s">
        <v>41</v>
      </c>
      <c r="G3154">
        <v>1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 t="s">
        <v>31</v>
      </c>
      <c r="AA3154">
        <v>0</v>
      </c>
    </row>
    <row r="3155" spans="1:27" x14ac:dyDescent="0.2">
      <c r="A3155" t="s">
        <v>1197</v>
      </c>
      <c r="B3155">
        <v>2024</v>
      </c>
      <c r="C3155" t="s">
        <v>4097</v>
      </c>
      <c r="D3155" t="s">
        <v>4098</v>
      </c>
      <c r="E3155" t="s">
        <v>29</v>
      </c>
      <c r="F3155" t="s">
        <v>41</v>
      </c>
      <c r="G3155">
        <v>0</v>
      </c>
      <c r="H3155">
        <v>0</v>
      </c>
      <c r="I3155">
        <v>3</v>
      </c>
      <c r="J3155">
        <v>0</v>
      </c>
      <c r="K3155">
        <v>6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 t="s">
        <v>51</v>
      </c>
      <c r="Z3155">
        <v>45</v>
      </c>
      <c r="AA3155">
        <v>0</v>
      </c>
    </row>
    <row r="3156" spans="1:27" x14ac:dyDescent="0.2">
      <c r="A3156" t="s">
        <v>1802</v>
      </c>
      <c r="B3156">
        <v>2018</v>
      </c>
      <c r="C3156" t="s">
        <v>4099</v>
      </c>
      <c r="D3156" t="s">
        <v>4100</v>
      </c>
      <c r="E3156" t="s">
        <v>29</v>
      </c>
      <c r="F3156" t="s">
        <v>30</v>
      </c>
      <c r="G3156">
        <v>0</v>
      </c>
      <c r="H3156">
        <v>0</v>
      </c>
      <c r="I3156">
        <v>0</v>
      </c>
      <c r="J3156">
        <v>0</v>
      </c>
      <c r="K3156">
        <v>3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 t="s">
        <v>51</v>
      </c>
      <c r="AA3156">
        <v>0</v>
      </c>
    </row>
    <row r="3157" spans="1:27" x14ac:dyDescent="0.2">
      <c r="A3157" t="s">
        <v>3510</v>
      </c>
      <c r="B3157">
        <v>2024</v>
      </c>
      <c r="C3157">
        <v>4342031023</v>
      </c>
      <c r="D3157" t="s">
        <v>4101</v>
      </c>
      <c r="E3157" t="s">
        <v>29</v>
      </c>
      <c r="F3157" t="s">
        <v>30</v>
      </c>
      <c r="G3157">
        <v>6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 t="s">
        <v>31</v>
      </c>
      <c r="Z3157">
        <v>55</v>
      </c>
      <c r="AA3157">
        <v>0.5</v>
      </c>
    </row>
    <row r="3158" spans="1:27" x14ac:dyDescent="0.2">
      <c r="A3158" t="s">
        <v>883</v>
      </c>
      <c r="B3158">
        <v>2021</v>
      </c>
      <c r="C3158">
        <v>32322130</v>
      </c>
      <c r="D3158" t="s">
        <v>4102</v>
      </c>
      <c r="E3158" t="s">
        <v>29</v>
      </c>
      <c r="F3158" t="s">
        <v>30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 t="s">
        <v>51</v>
      </c>
      <c r="Z3158">
        <v>1000</v>
      </c>
      <c r="AA3158">
        <v>0</v>
      </c>
    </row>
    <row r="3159" spans="1:27" x14ac:dyDescent="0.2">
      <c r="A3159" t="s">
        <v>883</v>
      </c>
      <c r="B3159">
        <v>2021</v>
      </c>
      <c r="C3159">
        <v>35401450</v>
      </c>
      <c r="D3159" t="s">
        <v>2580</v>
      </c>
      <c r="E3159" t="s">
        <v>29</v>
      </c>
      <c r="F3159" t="s">
        <v>41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2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 t="s">
        <v>51</v>
      </c>
      <c r="Z3159">
        <v>1000</v>
      </c>
      <c r="AA3159">
        <v>0</v>
      </c>
    </row>
    <row r="3160" spans="1:27" x14ac:dyDescent="0.2">
      <c r="A3160" t="s">
        <v>163</v>
      </c>
      <c r="B3160">
        <v>2021</v>
      </c>
      <c r="C3160">
        <v>4943001100</v>
      </c>
      <c r="D3160" t="s">
        <v>4103</v>
      </c>
      <c r="E3160" t="s">
        <v>29</v>
      </c>
      <c r="F3160" t="s">
        <v>41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1</v>
      </c>
      <c r="V3160">
        <v>0</v>
      </c>
      <c r="W3160">
        <v>0</v>
      </c>
      <c r="X3160">
        <v>0</v>
      </c>
      <c r="Y3160" t="s">
        <v>31</v>
      </c>
      <c r="Z3160">
        <v>55</v>
      </c>
      <c r="AA3160">
        <v>0</v>
      </c>
    </row>
    <row r="3161" spans="1:27" x14ac:dyDescent="0.2">
      <c r="A3161" t="s">
        <v>2604</v>
      </c>
      <c r="B3161">
        <v>2023</v>
      </c>
      <c r="C3161" t="s">
        <v>4104</v>
      </c>
      <c r="D3161" t="s">
        <v>4105</v>
      </c>
      <c r="E3161" t="s">
        <v>29</v>
      </c>
      <c r="F3161" t="s">
        <v>30</v>
      </c>
      <c r="G3161">
        <v>24</v>
      </c>
      <c r="H3161">
        <v>0</v>
      </c>
      <c r="I3161">
        <v>16</v>
      </c>
      <c r="J3161">
        <v>0</v>
      </c>
      <c r="K3161">
        <v>1</v>
      </c>
      <c r="L3161">
        <v>0</v>
      </c>
      <c r="M3161">
        <v>24</v>
      </c>
      <c r="N3161">
        <v>0</v>
      </c>
      <c r="O3161">
        <v>16</v>
      </c>
      <c r="P3161">
        <v>0</v>
      </c>
      <c r="Q3161">
        <v>1</v>
      </c>
      <c r="R3161">
        <v>0</v>
      </c>
      <c r="S3161">
        <v>24</v>
      </c>
      <c r="T3161">
        <v>0</v>
      </c>
      <c r="U3161">
        <v>16</v>
      </c>
      <c r="V3161">
        <v>0</v>
      </c>
      <c r="W3161">
        <v>1</v>
      </c>
      <c r="X3161">
        <v>0</v>
      </c>
      <c r="Y3161" t="s">
        <v>31</v>
      </c>
      <c r="Z3161">
        <v>55</v>
      </c>
      <c r="AA3161">
        <v>35</v>
      </c>
    </row>
    <row r="3162" spans="1:27" x14ac:dyDescent="0.2">
      <c r="A3162" t="s">
        <v>387</v>
      </c>
      <c r="B3162">
        <v>2024</v>
      </c>
      <c r="C3162" t="s">
        <v>4106</v>
      </c>
      <c r="D3162" t="s">
        <v>4107</v>
      </c>
      <c r="E3162" t="s">
        <v>29</v>
      </c>
      <c r="F3162" t="s">
        <v>30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120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 t="s">
        <v>31</v>
      </c>
      <c r="Z3162">
        <v>55</v>
      </c>
      <c r="AA3162" s="2" t="s">
        <v>3514</v>
      </c>
    </row>
    <row r="3163" spans="1:27" x14ac:dyDescent="0.2">
      <c r="A3163" t="s">
        <v>387</v>
      </c>
      <c r="B3163">
        <v>2024</v>
      </c>
      <c r="C3163" t="s">
        <v>4108</v>
      </c>
      <c r="D3163" t="s">
        <v>4109</v>
      </c>
      <c r="E3163" t="s">
        <v>29</v>
      </c>
      <c r="F3163" t="s">
        <v>30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17</v>
      </c>
      <c r="T3163">
        <v>0</v>
      </c>
      <c r="U3163">
        <v>47</v>
      </c>
      <c r="V3163">
        <v>0</v>
      </c>
      <c r="W3163">
        <v>0</v>
      </c>
      <c r="X3163">
        <v>0</v>
      </c>
      <c r="Y3163" t="s">
        <v>51</v>
      </c>
      <c r="Z3163">
        <v>1000</v>
      </c>
      <c r="AA3163">
        <v>0</v>
      </c>
    </row>
    <row r="3164" spans="1:27" x14ac:dyDescent="0.2">
      <c r="A3164" t="s">
        <v>547</v>
      </c>
      <c r="B3164">
        <v>2019</v>
      </c>
      <c r="C3164">
        <v>4401024026</v>
      </c>
      <c r="D3164" t="s">
        <v>4110</v>
      </c>
      <c r="E3164" t="s">
        <v>29</v>
      </c>
      <c r="F3164" t="s">
        <v>30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3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 t="s">
        <v>31</v>
      </c>
      <c r="Z3164">
        <v>55</v>
      </c>
      <c r="AA3164">
        <v>0</v>
      </c>
    </row>
    <row r="3165" spans="1:27" x14ac:dyDescent="0.2">
      <c r="A3165" t="s">
        <v>547</v>
      </c>
      <c r="B3165">
        <v>2019</v>
      </c>
      <c r="C3165">
        <v>5544019014</v>
      </c>
      <c r="D3165" t="s">
        <v>4111</v>
      </c>
      <c r="E3165" t="s">
        <v>29</v>
      </c>
      <c r="F3165" t="s">
        <v>30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2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 t="s">
        <v>31</v>
      </c>
      <c r="Z3165">
        <v>55</v>
      </c>
      <c r="AA3165">
        <v>0</v>
      </c>
    </row>
    <row r="3166" spans="1:27" x14ac:dyDescent="0.2">
      <c r="A3166" t="s">
        <v>547</v>
      </c>
      <c r="B3166">
        <v>2019</v>
      </c>
      <c r="C3166">
        <v>4313008010</v>
      </c>
      <c r="D3166" t="s">
        <v>4112</v>
      </c>
      <c r="E3166" t="s">
        <v>29</v>
      </c>
      <c r="F3166" t="s">
        <v>30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1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 t="s">
        <v>31</v>
      </c>
      <c r="Z3166">
        <v>55</v>
      </c>
      <c r="AA3166">
        <v>0</v>
      </c>
    </row>
    <row r="3167" spans="1:27" x14ac:dyDescent="0.2">
      <c r="A3167" t="s">
        <v>547</v>
      </c>
      <c r="B3167">
        <v>2019</v>
      </c>
      <c r="C3167">
        <v>4110001004</v>
      </c>
      <c r="D3167" t="s">
        <v>4113</v>
      </c>
      <c r="E3167" t="s">
        <v>29</v>
      </c>
      <c r="F3167" t="s">
        <v>30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15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 t="s">
        <v>31</v>
      </c>
      <c r="Z3167">
        <v>55</v>
      </c>
      <c r="AA3167">
        <v>0</v>
      </c>
    </row>
    <row r="3168" spans="1:27" x14ac:dyDescent="0.2">
      <c r="A3168" t="s">
        <v>547</v>
      </c>
      <c r="B3168">
        <v>2019</v>
      </c>
      <c r="C3168">
        <v>4306003009</v>
      </c>
      <c r="D3168" t="s">
        <v>4114</v>
      </c>
      <c r="E3168" t="s">
        <v>29</v>
      </c>
      <c r="F3168" t="s">
        <v>30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2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 t="s">
        <v>31</v>
      </c>
      <c r="Z3168">
        <v>55</v>
      </c>
      <c r="AA3168">
        <v>0</v>
      </c>
    </row>
    <row r="3169" spans="1:27" x14ac:dyDescent="0.2">
      <c r="A3169" t="s">
        <v>547</v>
      </c>
      <c r="B3169">
        <v>2019</v>
      </c>
      <c r="C3169">
        <v>2565013041</v>
      </c>
      <c r="D3169" t="s">
        <v>727</v>
      </c>
      <c r="E3169" t="s">
        <v>29</v>
      </c>
      <c r="F3169" t="s">
        <v>30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4</v>
      </c>
      <c r="N3169">
        <v>0</v>
      </c>
      <c r="O3169">
        <v>4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 t="s">
        <v>31</v>
      </c>
      <c r="Z3169">
        <v>55</v>
      </c>
      <c r="AA3169">
        <v>0</v>
      </c>
    </row>
    <row r="3170" spans="1:27" x14ac:dyDescent="0.2">
      <c r="A3170" t="s">
        <v>1075</v>
      </c>
      <c r="B3170">
        <v>2018</v>
      </c>
      <c r="C3170">
        <v>45112224</v>
      </c>
      <c r="D3170" t="s">
        <v>4115</v>
      </c>
      <c r="E3170" t="s">
        <v>29</v>
      </c>
      <c r="F3170" t="s">
        <v>30</v>
      </c>
      <c r="G3170">
        <v>0</v>
      </c>
      <c r="H3170">
        <v>1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 t="s">
        <v>31</v>
      </c>
      <c r="AA3170">
        <v>0</v>
      </c>
    </row>
    <row r="3171" spans="1:27" x14ac:dyDescent="0.2">
      <c r="A3171" t="s">
        <v>1793</v>
      </c>
      <c r="B3171">
        <v>2018</v>
      </c>
      <c r="C3171" t="s">
        <v>4116</v>
      </c>
      <c r="D3171" t="s">
        <v>4117</v>
      </c>
      <c r="E3171" t="s">
        <v>29</v>
      </c>
      <c r="F3171" t="s">
        <v>30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11</v>
      </c>
      <c r="T3171">
        <v>0</v>
      </c>
      <c r="U3171">
        <v>0</v>
      </c>
      <c r="V3171">
        <v>0</v>
      </c>
      <c r="W3171">
        <v>0</v>
      </c>
      <c r="X3171">
        <v>0</v>
      </c>
      <c r="Y3171" t="s">
        <v>31</v>
      </c>
      <c r="AA3171">
        <v>0</v>
      </c>
    </row>
    <row r="3172" spans="1:27" x14ac:dyDescent="0.2">
      <c r="A3172" t="s">
        <v>1071</v>
      </c>
      <c r="B3172">
        <v>2022</v>
      </c>
      <c r="C3172">
        <v>72625061</v>
      </c>
      <c r="D3172" t="s">
        <v>4118</v>
      </c>
      <c r="E3172" t="s">
        <v>29</v>
      </c>
      <c r="F3172" t="s">
        <v>30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4</v>
      </c>
      <c r="N3172">
        <v>0</v>
      </c>
      <c r="O3172">
        <v>0</v>
      </c>
      <c r="P3172">
        <v>0</v>
      </c>
      <c r="Q3172">
        <v>0</v>
      </c>
      <c r="R3172">
        <v>16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 t="s">
        <v>51</v>
      </c>
      <c r="Z3172">
        <v>55</v>
      </c>
      <c r="AA3172">
        <v>0</v>
      </c>
    </row>
    <row r="3173" spans="1:27" x14ac:dyDescent="0.2">
      <c r="A3173" t="s">
        <v>1071</v>
      </c>
      <c r="B3173">
        <v>2022</v>
      </c>
      <c r="C3173">
        <v>72625061</v>
      </c>
      <c r="D3173" t="s">
        <v>4119</v>
      </c>
      <c r="E3173" t="s">
        <v>29</v>
      </c>
      <c r="F3173" t="s">
        <v>30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5</v>
      </c>
      <c r="N3173">
        <v>0</v>
      </c>
      <c r="O3173">
        <v>0</v>
      </c>
      <c r="P3173">
        <v>0</v>
      </c>
      <c r="Q3173">
        <v>0</v>
      </c>
      <c r="R3173">
        <v>14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 t="s">
        <v>51</v>
      </c>
      <c r="Z3173">
        <v>55</v>
      </c>
      <c r="AA3173">
        <v>0</v>
      </c>
    </row>
    <row r="3174" spans="1:27" x14ac:dyDescent="0.2">
      <c r="A3174" t="s">
        <v>1071</v>
      </c>
      <c r="B3174">
        <v>2022</v>
      </c>
      <c r="C3174">
        <v>72636059</v>
      </c>
      <c r="D3174" t="s">
        <v>4120</v>
      </c>
      <c r="E3174" t="s">
        <v>29</v>
      </c>
      <c r="F3174" t="s">
        <v>30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1</v>
      </c>
      <c r="N3174">
        <v>0</v>
      </c>
      <c r="O3174">
        <v>18</v>
      </c>
      <c r="P3174">
        <v>0</v>
      </c>
      <c r="Q3174">
        <v>3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 t="s">
        <v>31</v>
      </c>
      <c r="Z3174">
        <v>55</v>
      </c>
      <c r="AA3174">
        <v>80</v>
      </c>
    </row>
    <row r="3175" spans="1:27" x14ac:dyDescent="0.2">
      <c r="A3175" t="s">
        <v>1071</v>
      </c>
      <c r="B3175">
        <v>2022</v>
      </c>
      <c r="C3175">
        <v>72636059</v>
      </c>
      <c r="D3175" t="s">
        <v>4121</v>
      </c>
      <c r="E3175" t="s">
        <v>29</v>
      </c>
      <c r="F3175" t="s">
        <v>30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1</v>
      </c>
      <c r="N3175">
        <v>0</v>
      </c>
      <c r="O3175">
        <v>9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 t="s">
        <v>31</v>
      </c>
      <c r="Z3175">
        <v>55</v>
      </c>
      <c r="AA3175">
        <v>80</v>
      </c>
    </row>
    <row r="3176" spans="1:27" x14ac:dyDescent="0.2">
      <c r="A3176" t="s">
        <v>1071</v>
      </c>
      <c r="B3176">
        <v>2022</v>
      </c>
      <c r="C3176">
        <v>72636059</v>
      </c>
      <c r="D3176" t="s">
        <v>4122</v>
      </c>
      <c r="E3176" t="s">
        <v>29</v>
      </c>
      <c r="F3176" t="s">
        <v>30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2</v>
      </c>
      <c r="N3176">
        <v>0</v>
      </c>
      <c r="O3176">
        <v>10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 t="s">
        <v>31</v>
      </c>
      <c r="Z3176">
        <v>55</v>
      </c>
      <c r="AA3176">
        <v>80</v>
      </c>
    </row>
    <row r="3177" spans="1:27" x14ac:dyDescent="0.2">
      <c r="A3177" t="s">
        <v>1071</v>
      </c>
      <c r="B3177">
        <v>2022</v>
      </c>
      <c r="C3177">
        <v>72636059</v>
      </c>
      <c r="D3177" t="s">
        <v>4123</v>
      </c>
      <c r="E3177" t="s">
        <v>29</v>
      </c>
      <c r="F3177" t="s">
        <v>30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2</v>
      </c>
      <c r="N3177">
        <v>0</v>
      </c>
      <c r="O3177">
        <v>18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 t="s">
        <v>31</v>
      </c>
      <c r="Z3177">
        <v>55</v>
      </c>
      <c r="AA3177">
        <v>80</v>
      </c>
    </row>
    <row r="3178" spans="1:27" x14ac:dyDescent="0.2">
      <c r="A3178" t="s">
        <v>1010</v>
      </c>
      <c r="B3178">
        <v>2022</v>
      </c>
      <c r="C3178" t="s">
        <v>1099</v>
      </c>
      <c r="D3178" t="s">
        <v>1100</v>
      </c>
      <c r="E3178" t="s">
        <v>29</v>
      </c>
      <c r="F3178" t="s">
        <v>30</v>
      </c>
      <c r="G3178">
        <v>122</v>
      </c>
      <c r="H3178">
        <v>0</v>
      </c>
      <c r="I3178">
        <v>62</v>
      </c>
      <c r="J3178">
        <v>0</v>
      </c>
      <c r="K3178">
        <v>2</v>
      </c>
      <c r="L3178">
        <v>0</v>
      </c>
      <c r="M3178">
        <v>122</v>
      </c>
      <c r="N3178">
        <v>0</v>
      </c>
      <c r="O3178">
        <v>62</v>
      </c>
      <c r="P3178">
        <v>0</v>
      </c>
      <c r="Q3178">
        <v>2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 t="s">
        <v>31</v>
      </c>
      <c r="Z3178">
        <v>55</v>
      </c>
      <c r="AA3178">
        <v>0</v>
      </c>
    </row>
    <row r="3179" spans="1:27" x14ac:dyDescent="0.2">
      <c r="A3179" t="s">
        <v>278</v>
      </c>
      <c r="B3179">
        <v>2019</v>
      </c>
      <c r="C3179" t="s">
        <v>398</v>
      </c>
      <c r="D3179" t="s">
        <v>4124</v>
      </c>
      <c r="E3179" t="s">
        <v>29</v>
      </c>
      <c r="F3179" t="s">
        <v>30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11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 t="s">
        <v>31</v>
      </c>
      <c r="Z3179">
        <v>55</v>
      </c>
      <c r="AA3179">
        <v>0</v>
      </c>
    </row>
    <row r="3180" spans="1:27" x14ac:dyDescent="0.2">
      <c r="A3180" t="s">
        <v>3329</v>
      </c>
      <c r="B3180">
        <v>2022</v>
      </c>
      <c r="C3180" t="s">
        <v>4125</v>
      </c>
      <c r="D3180" t="s">
        <v>4126</v>
      </c>
      <c r="E3180" t="s">
        <v>29</v>
      </c>
      <c r="F3180" t="s">
        <v>41</v>
      </c>
      <c r="G3180">
        <v>2</v>
      </c>
      <c r="H3180">
        <v>0</v>
      </c>
      <c r="I3180">
        <v>4</v>
      </c>
      <c r="J3180">
        <v>0</v>
      </c>
      <c r="K3180">
        <v>2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 t="s">
        <v>51</v>
      </c>
      <c r="AA3180">
        <v>0</v>
      </c>
    </row>
    <row r="3181" spans="1:27" x14ac:dyDescent="0.2">
      <c r="A3181" t="s">
        <v>1678</v>
      </c>
      <c r="B3181">
        <v>2022</v>
      </c>
      <c r="C3181">
        <v>53063070</v>
      </c>
      <c r="D3181" t="s">
        <v>4127</v>
      </c>
      <c r="E3181" t="s">
        <v>29</v>
      </c>
      <c r="F3181" t="s">
        <v>30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30</v>
      </c>
      <c r="N3181">
        <v>0</v>
      </c>
      <c r="O3181">
        <v>8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 t="s">
        <v>51</v>
      </c>
      <c r="AA3181">
        <v>0</v>
      </c>
    </row>
    <row r="3182" spans="1:27" x14ac:dyDescent="0.2">
      <c r="A3182" t="s">
        <v>1678</v>
      </c>
      <c r="B3182">
        <v>2022</v>
      </c>
      <c r="C3182">
        <v>52520330</v>
      </c>
      <c r="D3182" t="s">
        <v>4128</v>
      </c>
      <c r="E3182" t="s">
        <v>29</v>
      </c>
      <c r="F3182" t="s">
        <v>30</v>
      </c>
      <c r="G3182">
        <v>21</v>
      </c>
      <c r="H3182">
        <v>0</v>
      </c>
      <c r="I3182">
        <v>21</v>
      </c>
      <c r="J3182">
        <v>0</v>
      </c>
      <c r="K3182">
        <v>43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 t="s">
        <v>51</v>
      </c>
      <c r="AA3182">
        <v>0</v>
      </c>
    </row>
    <row r="3183" spans="1:27" x14ac:dyDescent="0.2">
      <c r="A3183" t="s">
        <v>1010</v>
      </c>
      <c r="B3183">
        <v>2019</v>
      </c>
      <c r="C3183" t="s">
        <v>4129</v>
      </c>
      <c r="D3183" t="s">
        <v>4130</v>
      </c>
      <c r="E3183" t="s">
        <v>29</v>
      </c>
      <c r="F3183" t="s">
        <v>30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49</v>
      </c>
      <c r="T3183">
        <v>0</v>
      </c>
      <c r="U3183">
        <v>20</v>
      </c>
      <c r="V3183">
        <v>0</v>
      </c>
      <c r="W3183">
        <v>0</v>
      </c>
      <c r="X3183">
        <v>0</v>
      </c>
      <c r="Y3183" t="s">
        <v>31</v>
      </c>
      <c r="Z3183">
        <v>55</v>
      </c>
      <c r="AA3183">
        <v>0</v>
      </c>
    </row>
    <row r="3184" spans="1:27" x14ac:dyDescent="0.2">
      <c r="A3184" t="s">
        <v>75</v>
      </c>
      <c r="B3184">
        <v>2019</v>
      </c>
      <c r="C3184">
        <v>4404021700</v>
      </c>
      <c r="D3184" t="s">
        <v>4131</v>
      </c>
      <c r="E3184" t="s">
        <v>29</v>
      </c>
      <c r="F3184" t="s">
        <v>30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1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 t="s">
        <v>31</v>
      </c>
      <c r="Z3184">
        <v>55</v>
      </c>
      <c r="AA3184">
        <v>0</v>
      </c>
    </row>
    <row r="3185" spans="1:27" x14ac:dyDescent="0.2">
      <c r="A3185" t="s">
        <v>75</v>
      </c>
      <c r="B3185">
        <v>2019</v>
      </c>
      <c r="C3185">
        <v>5351560800</v>
      </c>
      <c r="D3185" t="s">
        <v>4132</v>
      </c>
      <c r="E3185" t="s">
        <v>29</v>
      </c>
      <c r="F3185" t="s">
        <v>30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6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 t="s">
        <v>31</v>
      </c>
      <c r="Z3185">
        <v>55</v>
      </c>
      <c r="AA3185">
        <v>0</v>
      </c>
    </row>
    <row r="3186" spans="1:27" x14ac:dyDescent="0.2">
      <c r="A3186" t="s">
        <v>1624</v>
      </c>
      <c r="B3186">
        <v>2021</v>
      </c>
      <c r="C3186" t="s">
        <v>4133</v>
      </c>
      <c r="D3186" t="s">
        <v>4134</v>
      </c>
      <c r="E3186" t="s">
        <v>29</v>
      </c>
      <c r="F3186" t="s">
        <v>30</v>
      </c>
      <c r="G3186">
        <v>24</v>
      </c>
      <c r="H3186">
        <v>0</v>
      </c>
      <c r="I3186">
        <v>64</v>
      </c>
      <c r="J3186">
        <v>0</v>
      </c>
      <c r="K3186">
        <v>23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 t="s">
        <v>31</v>
      </c>
      <c r="Z3186">
        <v>55</v>
      </c>
      <c r="AA3186">
        <v>14</v>
      </c>
    </row>
    <row r="3187" spans="1:27" x14ac:dyDescent="0.2">
      <c r="A3187" t="s">
        <v>4135</v>
      </c>
      <c r="B3187">
        <v>2021</v>
      </c>
      <c r="C3187" t="s">
        <v>4136</v>
      </c>
      <c r="D3187" t="s">
        <v>4137</v>
      </c>
      <c r="E3187" t="s">
        <v>29</v>
      </c>
      <c r="F3187" t="s">
        <v>30</v>
      </c>
      <c r="G3187">
        <v>40</v>
      </c>
      <c r="H3187">
        <v>0</v>
      </c>
      <c r="I3187">
        <v>15</v>
      </c>
      <c r="J3187">
        <v>0</v>
      </c>
      <c r="K3187">
        <v>0</v>
      </c>
      <c r="L3187">
        <v>0</v>
      </c>
      <c r="M3187">
        <v>38</v>
      </c>
      <c r="N3187">
        <v>0</v>
      </c>
      <c r="O3187">
        <v>12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 t="s">
        <v>31</v>
      </c>
      <c r="AA3187">
        <v>80</v>
      </c>
    </row>
    <row r="3188" spans="1:27" x14ac:dyDescent="0.2">
      <c r="A3188" t="s">
        <v>1441</v>
      </c>
      <c r="B3188">
        <v>2018</v>
      </c>
      <c r="C3188" t="s">
        <v>4138</v>
      </c>
      <c r="D3188" t="s">
        <v>4139</v>
      </c>
      <c r="E3188" t="s">
        <v>29</v>
      </c>
      <c r="F3188" t="s">
        <v>30</v>
      </c>
      <c r="G3188">
        <v>13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 t="s">
        <v>31</v>
      </c>
      <c r="Z3188">
        <v>55</v>
      </c>
      <c r="AA3188">
        <v>0</v>
      </c>
    </row>
    <row r="3189" spans="1:27" x14ac:dyDescent="0.2">
      <c r="A3189" t="s">
        <v>163</v>
      </c>
      <c r="B3189">
        <v>2018</v>
      </c>
      <c r="C3189">
        <v>4691303400</v>
      </c>
      <c r="D3189" t="s">
        <v>4140</v>
      </c>
      <c r="E3189" t="s">
        <v>29</v>
      </c>
      <c r="F3189" t="s">
        <v>30</v>
      </c>
      <c r="G3189">
        <v>5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 t="s">
        <v>31</v>
      </c>
      <c r="Z3189">
        <v>55</v>
      </c>
      <c r="AA3189">
        <v>0</v>
      </c>
    </row>
    <row r="3190" spans="1:27" x14ac:dyDescent="0.2">
      <c r="A3190" t="s">
        <v>1071</v>
      </c>
      <c r="B3190">
        <v>2018</v>
      </c>
      <c r="C3190">
        <v>81703003</v>
      </c>
      <c r="D3190" t="s">
        <v>4141</v>
      </c>
      <c r="E3190" t="s">
        <v>29</v>
      </c>
      <c r="F3190" t="s">
        <v>30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13</v>
      </c>
      <c r="T3190">
        <v>0</v>
      </c>
      <c r="U3190">
        <v>0</v>
      </c>
      <c r="V3190">
        <v>0</v>
      </c>
      <c r="W3190">
        <v>0</v>
      </c>
      <c r="X3190">
        <v>0</v>
      </c>
      <c r="Y3190" t="s">
        <v>31</v>
      </c>
      <c r="Z3190">
        <v>55</v>
      </c>
      <c r="AA3190">
        <v>0</v>
      </c>
    </row>
    <row r="3191" spans="1:27" x14ac:dyDescent="0.2">
      <c r="A3191" t="s">
        <v>38</v>
      </c>
      <c r="B3191">
        <v>2018</v>
      </c>
      <c r="C3191" t="s">
        <v>39</v>
      </c>
      <c r="D3191" t="s">
        <v>40</v>
      </c>
      <c r="E3191" t="s">
        <v>29</v>
      </c>
      <c r="F3191" t="s">
        <v>41</v>
      </c>
      <c r="G3191">
        <v>0</v>
      </c>
      <c r="H3191">
        <v>0</v>
      </c>
      <c r="I3191">
        <v>0</v>
      </c>
      <c r="J3191">
        <v>0</v>
      </c>
      <c r="K3191">
        <v>9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9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 t="s">
        <v>31</v>
      </c>
      <c r="Z3191">
        <v>55</v>
      </c>
      <c r="AA3191">
        <v>0</v>
      </c>
    </row>
    <row r="3192" spans="1:27" x14ac:dyDescent="0.2">
      <c r="A3192" t="s">
        <v>2561</v>
      </c>
      <c r="B3192">
        <v>2019</v>
      </c>
      <c r="C3192">
        <v>31715214</v>
      </c>
      <c r="D3192" t="s">
        <v>4142</v>
      </c>
      <c r="E3192" t="s">
        <v>29</v>
      </c>
      <c r="F3192" t="s">
        <v>41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33</v>
      </c>
      <c r="N3192">
        <v>0</v>
      </c>
      <c r="O3192">
        <v>20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 t="s">
        <v>51</v>
      </c>
      <c r="Z3192">
        <v>57</v>
      </c>
      <c r="AA3192">
        <v>0</v>
      </c>
    </row>
    <row r="3193" spans="1:27" x14ac:dyDescent="0.2">
      <c r="A3193" t="s">
        <v>649</v>
      </c>
      <c r="B3193">
        <v>2023</v>
      </c>
      <c r="C3193" t="s">
        <v>4143</v>
      </c>
      <c r="D3193" t="s">
        <v>4144</v>
      </c>
      <c r="E3193" t="s">
        <v>29</v>
      </c>
      <c r="F3193" t="s">
        <v>30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69</v>
      </c>
      <c r="V3193">
        <v>0</v>
      </c>
      <c r="W3193">
        <v>0</v>
      </c>
      <c r="X3193">
        <v>0</v>
      </c>
      <c r="Y3193" t="s">
        <v>31</v>
      </c>
      <c r="AA3193">
        <v>0</v>
      </c>
    </row>
    <row r="3194" spans="1:27" x14ac:dyDescent="0.2">
      <c r="A3194" t="s">
        <v>1802</v>
      </c>
      <c r="B3194">
        <v>2018</v>
      </c>
      <c r="C3194" t="s">
        <v>4145</v>
      </c>
      <c r="D3194" t="s">
        <v>4146</v>
      </c>
      <c r="E3194" t="s">
        <v>29</v>
      </c>
      <c r="F3194" t="s">
        <v>30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20</v>
      </c>
      <c r="V3194">
        <v>0</v>
      </c>
      <c r="W3194">
        <v>10</v>
      </c>
      <c r="X3194">
        <v>0</v>
      </c>
      <c r="Y3194" t="s">
        <v>51</v>
      </c>
      <c r="Z3194">
        <v>1000</v>
      </c>
      <c r="AA3194">
        <v>0</v>
      </c>
    </row>
    <row r="3195" spans="1:27" x14ac:dyDescent="0.2">
      <c r="A3195" t="s">
        <v>2862</v>
      </c>
      <c r="B3195">
        <v>2023</v>
      </c>
      <c r="C3195">
        <v>13310224</v>
      </c>
      <c r="D3195" t="s">
        <v>4147</v>
      </c>
      <c r="E3195" t="s">
        <v>29</v>
      </c>
      <c r="F3195" t="s">
        <v>30</v>
      </c>
      <c r="G3195">
        <v>3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 t="s">
        <v>31</v>
      </c>
      <c r="Z3195">
        <v>55</v>
      </c>
      <c r="AA3195">
        <v>50</v>
      </c>
    </row>
    <row r="3196" spans="1:27" x14ac:dyDescent="0.2">
      <c r="A3196" t="s">
        <v>321</v>
      </c>
      <c r="B3196">
        <v>2018</v>
      </c>
      <c r="C3196">
        <v>4275006023</v>
      </c>
      <c r="D3196" t="s">
        <v>4148</v>
      </c>
      <c r="E3196" t="s">
        <v>29</v>
      </c>
      <c r="F3196" t="s">
        <v>30</v>
      </c>
      <c r="G3196">
        <v>2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 t="s">
        <v>51</v>
      </c>
      <c r="Z3196">
        <v>55</v>
      </c>
      <c r="AA3196">
        <v>0</v>
      </c>
    </row>
    <row r="3197" spans="1:27" x14ac:dyDescent="0.2">
      <c r="A3197" t="s">
        <v>321</v>
      </c>
      <c r="B3197">
        <v>2018</v>
      </c>
      <c r="C3197">
        <v>4291019018</v>
      </c>
      <c r="D3197" t="s">
        <v>4149</v>
      </c>
      <c r="E3197" t="s">
        <v>29</v>
      </c>
      <c r="F3197" t="s">
        <v>30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19</v>
      </c>
      <c r="N3197">
        <v>0</v>
      </c>
      <c r="O3197">
        <v>0</v>
      </c>
      <c r="P3197">
        <v>0</v>
      </c>
      <c r="Q3197">
        <v>24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 t="s">
        <v>51</v>
      </c>
      <c r="Z3197">
        <v>55</v>
      </c>
      <c r="AA3197">
        <v>0</v>
      </c>
    </row>
    <row r="3198" spans="1:27" x14ac:dyDescent="0.2">
      <c r="A3198" t="s">
        <v>321</v>
      </c>
      <c r="B3198">
        <v>2018</v>
      </c>
      <c r="C3198">
        <v>4290001020</v>
      </c>
      <c r="D3198" t="s">
        <v>4150</v>
      </c>
      <c r="E3198" t="s">
        <v>29</v>
      </c>
      <c r="F3198" t="s">
        <v>30</v>
      </c>
      <c r="G3198">
        <v>0</v>
      </c>
      <c r="H3198">
        <v>0</v>
      </c>
      <c r="I3198">
        <v>0</v>
      </c>
      <c r="J3198">
        <v>0</v>
      </c>
      <c r="K3198">
        <v>0</v>
      </c>
      <c r="L3198">
        <v>0</v>
      </c>
      <c r="M3198">
        <v>0</v>
      </c>
      <c r="N3198">
        <v>0</v>
      </c>
      <c r="O3198">
        <v>0</v>
      </c>
      <c r="P3198">
        <v>0</v>
      </c>
      <c r="Q3198">
        <v>0</v>
      </c>
      <c r="R3198">
        <v>0</v>
      </c>
      <c r="S3198">
        <v>46</v>
      </c>
      <c r="T3198">
        <v>0</v>
      </c>
      <c r="U3198">
        <v>18</v>
      </c>
      <c r="V3198">
        <v>0</v>
      </c>
      <c r="W3198">
        <v>0</v>
      </c>
      <c r="X3198">
        <v>0</v>
      </c>
      <c r="Y3198" t="s">
        <v>51</v>
      </c>
      <c r="Z3198">
        <v>55</v>
      </c>
      <c r="AA3198">
        <v>0</v>
      </c>
    </row>
    <row r="3199" spans="1:27" ht="85" x14ac:dyDescent="0.2">
      <c r="A3199" t="s">
        <v>48</v>
      </c>
      <c r="B3199">
        <v>2023</v>
      </c>
      <c r="C3199" t="s">
        <v>49</v>
      </c>
      <c r="D3199" s="1" t="s">
        <v>4151</v>
      </c>
      <c r="E3199" t="s">
        <v>29</v>
      </c>
      <c r="F3199" t="s">
        <v>30</v>
      </c>
      <c r="G3199">
        <v>0</v>
      </c>
      <c r="H3199">
        <v>0</v>
      </c>
      <c r="I3199">
        <v>0</v>
      </c>
      <c r="J3199">
        <v>0</v>
      </c>
      <c r="K3199">
        <v>0</v>
      </c>
      <c r="L3199">
        <v>0</v>
      </c>
      <c r="M3199">
        <v>0</v>
      </c>
      <c r="N3199">
        <v>0</v>
      </c>
      <c r="O3199">
        <v>0</v>
      </c>
      <c r="P3199">
        <v>0</v>
      </c>
      <c r="Q3199">
        <v>0</v>
      </c>
      <c r="R3199">
        <v>0</v>
      </c>
      <c r="S3199">
        <v>1</v>
      </c>
      <c r="T3199">
        <v>0</v>
      </c>
      <c r="U3199">
        <v>0</v>
      </c>
      <c r="V3199">
        <v>0</v>
      </c>
      <c r="W3199">
        <v>0</v>
      </c>
      <c r="X3199">
        <v>0</v>
      </c>
      <c r="Y3199" t="s">
        <v>51</v>
      </c>
      <c r="AA3199">
        <v>0</v>
      </c>
    </row>
    <row r="3200" spans="1:27" x14ac:dyDescent="0.2">
      <c r="A3200" t="s">
        <v>1959</v>
      </c>
      <c r="B3200">
        <v>2020</v>
      </c>
      <c r="C3200" t="s">
        <v>2260</v>
      </c>
      <c r="D3200" t="s">
        <v>2261</v>
      </c>
      <c r="E3200" t="s">
        <v>29</v>
      </c>
      <c r="F3200" t="s">
        <v>30</v>
      </c>
      <c r="G3200">
        <v>0</v>
      </c>
      <c r="H3200">
        <v>0</v>
      </c>
      <c r="I3200">
        <v>0</v>
      </c>
      <c r="J3200">
        <v>0</v>
      </c>
      <c r="K3200">
        <v>0</v>
      </c>
      <c r="L3200">
        <v>0</v>
      </c>
      <c r="M3200">
        <v>0</v>
      </c>
      <c r="N3200">
        <v>38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</v>
      </c>
      <c r="V3200">
        <v>0</v>
      </c>
      <c r="W3200">
        <v>0</v>
      </c>
      <c r="X3200">
        <v>0</v>
      </c>
      <c r="Y3200" t="s">
        <v>51</v>
      </c>
      <c r="AA3200">
        <v>0</v>
      </c>
    </row>
    <row r="3201" spans="1:27" x14ac:dyDescent="0.2">
      <c r="A3201" t="s">
        <v>1959</v>
      </c>
      <c r="B3201">
        <v>2018</v>
      </c>
      <c r="C3201" t="s">
        <v>4152</v>
      </c>
      <c r="D3201" t="s">
        <v>4153</v>
      </c>
      <c r="E3201" t="s">
        <v>29</v>
      </c>
      <c r="F3201" t="s">
        <v>30</v>
      </c>
      <c r="G3201">
        <v>0</v>
      </c>
      <c r="H3201">
        <v>0</v>
      </c>
      <c r="I3201">
        <v>0</v>
      </c>
      <c r="J3201">
        <v>0</v>
      </c>
      <c r="K3201">
        <v>0</v>
      </c>
      <c r="L3201">
        <v>71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0</v>
      </c>
      <c r="V3201">
        <v>0</v>
      </c>
      <c r="W3201">
        <v>0</v>
      </c>
      <c r="X3201">
        <v>0</v>
      </c>
      <c r="Y3201" t="s">
        <v>51</v>
      </c>
      <c r="AA3201">
        <v>0</v>
      </c>
    </row>
    <row r="3202" spans="1:27" ht="102" x14ac:dyDescent="0.2">
      <c r="A3202" t="s">
        <v>353</v>
      </c>
      <c r="B3202">
        <v>2023</v>
      </c>
      <c r="C3202">
        <v>2042920100</v>
      </c>
      <c r="D3202" s="1" t="s">
        <v>4154</v>
      </c>
      <c r="E3202" t="s">
        <v>29</v>
      </c>
      <c r="F3202" t="s">
        <v>30</v>
      </c>
      <c r="G3202">
        <v>0</v>
      </c>
      <c r="H3202">
        <v>0</v>
      </c>
      <c r="I3202">
        <v>0</v>
      </c>
      <c r="J3202">
        <v>0</v>
      </c>
      <c r="K3202">
        <v>0</v>
      </c>
      <c r="L3202">
        <v>0</v>
      </c>
      <c r="M3202">
        <v>0</v>
      </c>
      <c r="N3202">
        <v>0</v>
      </c>
      <c r="O3202">
        <v>12</v>
      </c>
      <c r="P3202">
        <v>0</v>
      </c>
      <c r="Q3202">
        <v>0</v>
      </c>
      <c r="R3202">
        <v>0</v>
      </c>
      <c r="S3202">
        <v>0</v>
      </c>
      <c r="T3202">
        <v>0</v>
      </c>
      <c r="U3202">
        <v>0</v>
      </c>
      <c r="V3202">
        <v>0</v>
      </c>
      <c r="W3202">
        <v>0</v>
      </c>
      <c r="X3202">
        <v>0</v>
      </c>
      <c r="Y3202" t="s">
        <v>51</v>
      </c>
      <c r="Z3202">
        <v>55</v>
      </c>
      <c r="AA3202">
        <v>0</v>
      </c>
    </row>
    <row r="3203" spans="1:27" x14ac:dyDescent="0.2">
      <c r="A3203" t="s">
        <v>1959</v>
      </c>
      <c r="B3203">
        <v>2018</v>
      </c>
      <c r="C3203" t="s">
        <v>4155</v>
      </c>
      <c r="D3203" t="s">
        <v>4156</v>
      </c>
      <c r="E3203" t="s">
        <v>29</v>
      </c>
      <c r="F3203" t="s">
        <v>30</v>
      </c>
      <c r="G3203">
        <v>0</v>
      </c>
      <c r="H3203">
        <v>0</v>
      </c>
      <c r="I3203">
        <v>0</v>
      </c>
      <c r="J3203">
        <v>0</v>
      </c>
      <c r="K3203">
        <v>0</v>
      </c>
      <c r="L3203">
        <v>0</v>
      </c>
      <c r="M3203">
        <v>0</v>
      </c>
      <c r="N3203">
        <v>0</v>
      </c>
      <c r="O3203">
        <v>0</v>
      </c>
      <c r="P3203">
        <v>0</v>
      </c>
      <c r="Q3203">
        <v>0</v>
      </c>
      <c r="R3203">
        <v>0</v>
      </c>
      <c r="S3203">
        <v>1</v>
      </c>
      <c r="T3203">
        <v>0</v>
      </c>
      <c r="U3203">
        <v>0</v>
      </c>
      <c r="V3203">
        <v>0</v>
      </c>
      <c r="W3203">
        <v>0</v>
      </c>
      <c r="X3203">
        <v>0</v>
      </c>
      <c r="Y3203" t="s">
        <v>51</v>
      </c>
      <c r="AA3203">
        <v>0</v>
      </c>
    </row>
    <row r="3204" spans="1:27" x14ac:dyDescent="0.2">
      <c r="A3204" t="s">
        <v>883</v>
      </c>
      <c r="B3204">
        <v>2019</v>
      </c>
      <c r="C3204">
        <v>34182150</v>
      </c>
      <c r="D3204" t="s">
        <v>4157</v>
      </c>
      <c r="E3204" t="s">
        <v>29</v>
      </c>
      <c r="F3204" t="s">
        <v>30</v>
      </c>
      <c r="G3204">
        <v>3</v>
      </c>
      <c r="H3204">
        <v>0</v>
      </c>
      <c r="I3204">
        <v>0</v>
      </c>
      <c r="J3204">
        <v>0</v>
      </c>
      <c r="K3204">
        <v>0</v>
      </c>
      <c r="L3204">
        <v>0</v>
      </c>
      <c r="M3204">
        <v>0</v>
      </c>
      <c r="N3204">
        <v>0</v>
      </c>
      <c r="O3204">
        <v>0</v>
      </c>
      <c r="P3204">
        <v>0</v>
      </c>
      <c r="Q3204">
        <v>0</v>
      </c>
      <c r="R3204">
        <v>0</v>
      </c>
      <c r="S3204">
        <v>0</v>
      </c>
      <c r="T3204">
        <v>0</v>
      </c>
      <c r="U3204">
        <v>0</v>
      </c>
      <c r="V3204">
        <v>0</v>
      </c>
      <c r="W3204">
        <v>0</v>
      </c>
      <c r="X3204">
        <v>0</v>
      </c>
      <c r="Y3204" t="s">
        <v>51</v>
      </c>
      <c r="Z3204">
        <v>1000</v>
      </c>
      <c r="AA3204">
        <v>0</v>
      </c>
    </row>
    <row r="3205" spans="1:27" x14ac:dyDescent="0.2">
      <c r="A3205" t="s">
        <v>1226</v>
      </c>
      <c r="B3205">
        <v>2024</v>
      </c>
      <c r="C3205">
        <v>507251015</v>
      </c>
      <c r="D3205" t="s">
        <v>4158</v>
      </c>
      <c r="E3205" t="s">
        <v>29</v>
      </c>
      <c r="F3205" t="s">
        <v>41</v>
      </c>
      <c r="G3205">
        <v>0</v>
      </c>
      <c r="H3205">
        <v>0</v>
      </c>
      <c r="I3205">
        <v>0</v>
      </c>
      <c r="J3205">
        <v>0</v>
      </c>
      <c r="K3205">
        <v>0</v>
      </c>
      <c r="L3205">
        <v>0</v>
      </c>
      <c r="M3205">
        <v>0</v>
      </c>
      <c r="N3205">
        <v>0</v>
      </c>
      <c r="O3205">
        <v>0</v>
      </c>
      <c r="P3205">
        <v>0</v>
      </c>
      <c r="Q3205">
        <v>1</v>
      </c>
      <c r="R3205">
        <v>0</v>
      </c>
      <c r="S3205">
        <v>0</v>
      </c>
      <c r="T3205">
        <v>0</v>
      </c>
      <c r="U3205">
        <v>0</v>
      </c>
      <c r="V3205">
        <v>0</v>
      </c>
      <c r="W3205">
        <v>0</v>
      </c>
      <c r="X3205">
        <v>0</v>
      </c>
      <c r="Y3205" t="s">
        <v>51</v>
      </c>
      <c r="AA3205">
        <v>0</v>
      </c>
    </row>
    <row r="3206" spans="1:27" x14ac:dyDescent="0.2">
      <c r="A3206" t="s">
        <v>1226</v>
      </c>
      <c r="B3206">
        <v>2024</v>
      </c>
      <c r="C3206">
        <v>507251015</v>
      </c>
      <c r="D3206" t="s">
        <v>4159</v>
      </c>
      <c r="E3206" t="s">
        <v>29</v>
      </c>
      <c r="F3206" t="s">
        <v>41</v>
      </c>
      <c r="G3206">
        <v>0</v>
      </c>
      <c r="H3206">
        <v>0</v>
      </c>
      <c r="I3206">
        <v>0</v>
      </c>
      <c r="J3206">
        <v>0</v>
      </c>
      <c r="K3206">
        <v>0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1</v>
      </c>
      <c r="R3206">
        <v>0</v>
      </c>
      <c r="S3206">
        <v>0</v>
      </c>
      <c r="T3206">
        <v>0</v>
      </c>
      <c r="U3206">
        <v>0</v>
      </c>
      <c r="V3206">
        <v>0</v>
      </c>
      <c r="W3206">
        <v>0</v>
      </c>
      <c r="X3206">
        <v>0</v>
      </c>
      <c r="Y3206" t="s">
        <v>51</v>
      </c>
      <c r="AA3206">
        <v>0</v>
      </c>
    </row>
    <row r="3207" spans="1:27" x14ac:dyDescent="0.2">
      <c r="A3207" t="s">
        <v>278</v>
      </c>
      <c r="B3207">
        <v>2019</v>
      </c>
      <c r="C3207" t="s">
        <v>4160</v>
      </c>
      <c r="D3207" t="s">
        <v>4161</v>
      </c>
      <c r="E3207" t="s">
        <v>29</v>
      </c>
      <c r="F3207" t="s">
        <v>41</v>
      </c>
      <c r="G3207">
        <v>0</v>
      </c>
      <c r="H3207">
        <v>0</v>
      </c>
      <c r="I3207">
        <v>0</v>
      </c>
      <c r="J3207">
        <v>0</v>
      </c>
      <c r="K3207">
        <v>5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</v>
      </c>
      <c r="V3207">
        <v>0</v>
      </c>
      <c r="W3207">
        <v>0</v>
      </c>
      <c r="X3207">
        <v>0</v>
      </c>
      <c r="Y3207" t="s">
        <v>51</v>
      </c>
      <c r="Z3207">
        <v>55</v>
      </c>
      <c r="AA3207">
        <v>0</v>
      </c>
    </row>
    <row r="3208" spans="1:27" x14ac:dyDescent="0.2">
      <c r="A3208" t="s">
        <v>753</v>
      </c>
      <c r="B3208">
        <v>2023</v>
      </c>
      <c r="C3208">
        <v>5662321800</v>
      </c>
      <c r="D3208" t="s">
        <v>4162</v>
      </c>
      <c r="E3208" t="s">
        <v>29</v>
      </c>
      <c r="F3208" t="s">
        <v>30</v>
      </c>
      <c r="G3208">
        <v>0</v>
      </c>
      <c r="H3208">
        <v>0</v>
      </c>
      <c r="I3208">
        <v>0</v>
      </c>
      <c r="J3208">
        <v>0</v>
      </c>
      <c r="K3208">
        <v>0</v>
      </c>
      <c r="L3208">
        <v>0</v>
      </c>
      <c r="M3208">
        <v>0</v>
      </c>
      <c r="N3208">
        <v>0</v>
      </c>
      <c r="O3208">
        <v>58</v>
      </c>
      <c r="P3208">
        <v>0</v>
      </c>
      <c r="Q3208">
        <v>0</v>
      </c>
      <c r="R3208">
        <v>0</v>
      </c>
      <c r="S3208">
        <v>0</v>
      </c>
      <c r="T3208">
        <v>0</v>
      </c>
      <c r="U3208">
        <v>0</v>
      </c>
      <c r="V3208">
        <v>0</v>
      </c>
      <c r="W3208">
        <v>0</v>
      </c>
      <c r="X3208">
        <v>0</v>
      </c>
      <c r="Y3208" t="s">
        <v>31</v>
      </c>
      <c r="Z3208">
        <v>55</v>
      </c>
      <c r="AA3208">
        <v>100</v>
      </c>
    </row>
    <row r="3209" spans="1:27" x14ac:dyDescent="0.2">
      <c r="A3209" t="s">
        <v>1071</v>
      </c>
      <c r="B3209">
        <v>2020</v>
      </c>
      <c r="C3209">
        <v>72625006</v>
      </c>
      <c r="D3209" t="s">
        <v>4163</v>
      </c>
      <c r="E3209" t="s">
        <v>29</v>
      </c>
      <c r="F3209" t="s">
        <v>30</v>
      </c>
      <c r="G3209">
        <v>0</v>
      </c>
      <c r="H3209">
        <v>0</v>
      </c>
      <c r="I3209">
        <v>0</v>
      </c>
      <c r="J3209">
        <v>0</v>
      </c>
      <c r="K3209">
        <v>15</v>
      </c>
      <c r="L3209">
        <v>0</v>
      </c>
      <c r="M3209">
        <v>0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</v>
      </c>
      <c r="V3209">
        <v>0</v>
      </c>
      <c r="W3209">
        <v>0</v>
      </c>
      <c r="X3209">
        <v>0</v>
      </c>
      <c r="Y3209" t="s">
        <v>51</v>
      </c>
      <c r="AA3209">
        <v>0</v>
      </c>
    </row>
    <row r="3210" spans="1:27" x14ac:dyDescent="0.2">
      <c r="A3210" t="s">
        <v>2419</v>
      </c>
      <c r="B3210">
        <v>2019</v>
      </c>
      <c r="C3210">
        <v>60237018</v>
      </c>
      <c r="D3210" t="s">
        <v>2420</v>
      </c>
      <c r="E3210" t="s">
        <v>29</v>
      </c>
      <c r="F3210" t="s">
        <v>30</v>
      </c>
      <c r="G3210">
        <v>0</v>
      </c>
      <c r="H3210">
        <v>0</v>
      </c>
      <c r="I3210">
        <v>3</v>
      </c>
      <c r="J3210">
        <v>0</v>
      </c>
      <c r="K3210">
        <v>0</v>
      </c>
      <c r="L3210">
        <v>0</v>
      </c>
      <c r="M3210">
        <v>0</v>
      </c>
      <c r="N3210">
        <v>0</v>
      </c>
      <c r="O3210">
        <v>3</v>
      </c>
      <c r="P3210">
        <v>0</v>
      </c>
      <c r="Q3210">
        <v>0</v>
      </c>
      <c r="R3210">
        <v>16</v>
      </c>
      <c r="S3210">
        <v>0</v>
      </c>
      <c r="T3210">
        <v>0</v>
      </c>
      <c r="U3210">
        <v>0</v>
      </c>
      <c r="V3210">
        <v>0</v>
      </c>
      <c r="W3210">
        <v>0</v>
      </c>
      <c r="X3210">
        <v>0</v>
      </c>
      <c r="Y3210" t="s">
        <v>31</v>
      </c>
      <c r="Z3210">
        <v>30</v>
      </c>
      <c r="AA3210">
        <v>0</v>
      </c>
    </row>
    <row r="3211" spans="1:27" x14ac:dyDescent="0.2">
      <c r="A3211" t="s">
        <v>2867</v>
      </c>
      <c r="B3211">
        <v>2018</v>
      </c>
      <c r="C3211" t="s">
        <v>4164</v>
      </c>
      <c r="D3211" t="s">
        <v>4165</v>
      </c>
      <c r="E3211" t="s">
        <v>29</v>
      </c>
      <c r="F3211" t="s">
        <v>30</v>
      </c>
      <c r="G3211">
        <v>0</v>
      </c>
      <c r="H3211">
        <v>0</v>
      </c>
      <c r="I3211">
        <v>0</v>
      </c>
      <c r="J3211">
        <v>0</v>
      </c>
      <c r="K3211">
        <v>0</v>
      </c>
      <c r="L3211">
        <v>0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>
        <v>1</v>
      </c>
      <c r="T3211">
        <v>0</v>
      </c>
      <c r="U3211">
        <v>1</v>
      </c>
      <c r="V3211">
        <v>0</v>
      </c>
      <c r="W3211">
        <v>0</v>
      </c>
      <c r="X3211">
        <v>0</v>
      </c>
      <c r="Y3211" t="s">
        <v>31</v>
      </c>
      <c r="Z3211">
        <v>55</v>
      </c>
      <c r="AA3211">
        <v>0</v>
      </c>
    </row>
    <row r="3212" spans="1:27" x14ac:dyDescent="0.2">
      <c r="A3212" t="s">
        <v>3387</v>
      </c>
      <c r="B3212">
        <v>2022</v>
      </c>
      <c r="C3212" t="s">
        <v>3961</v>
      </c>
      <c r="D3212" t="s">
        <v>4166</v>
      </c>
      <c r="E3212" t="s">
        <v>29</v>
      </c>
      <c r="F3212" t="s">
        <v>30</v>
      </c>
      <c r="G3212">
        <v>17</v>
      </c>
      <c r="H3212">
        <v>0</v>
      </c>
      <c r="I3212">
        <v>0</v>
      </c>
      <c r="J3212">
        <v>0</v>
      </c>
      <c r="K3212">
        <v>0</v>
      </c>
      <c r="L3212">
        <v>0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</v>
      </c>
      <c r="U3212">
        <v>0</v>
      </c>
      <c r="V3212">
        <v>0</v>
      </c>
      <c r="W3212">
        <v>0</v>
      </c>
      <c r="X3212">
        <v>0</v>
      </c>
      <c r="Y3212" t="s">
        <v>31</v>
      </c>
      <c r="Z3212">
        <v>55</v>
      </c>
      <c r="AA3212">
        <v>32.5</v>
      </c>
    </row>
    <row r="3213" spans="1:27" x14ac:dyDescent="0.2">
      <c r="A3213" t="s">
        <v>172</v>
      </c>
      <c r="B3213">
        <v>2019</v>
      </c>
      <c r="C3213" t="s">
        <v>4167</v>
      </c>
      <c r="D3213" t="s">
        <v>4168</v>
      </c>
      <c r="E3213" t="s">
        <v>29</v>
      </c>
      <c r="F3213" t="s">
        <v>30</v>
      </c>
      <c r="G3213">
        <v>0</v>
      </c>
      <c r="H3213">
        <v>0</v>
      </c>
      <c r="I3213">
        <v>0</v>
      </c>
      <c r="J3213">
        <v>0</v>
      </c>
      <c r="K3213">
        <v>0</v>
      </c>
      <c r="L3213">
        <v>0</v>
      </c>
      <c r="M3213">
        <v>0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4</v>
      </c>
      <c r="T3213">
        <v>0</v>
      </c>
      <c r="U3213">
        <v>0</v>
      </c>
      <c r="V3213">
        <v>0</v>
      </c>
      <c r="W3213">
        <v>0</v>
      </c>
      <c r="X3213">
        <v>0</v>
      </c>
      <c r="Y3213" t="s">
        <v>31</v>
      </c>
      <c r="Z3213">
        <v>55</v>
      </c>
      <c r="AA3213">
        <v>0</v>
      </c>
    </row>
    <row r="3214" spans="1:27" x14ac:dyDescent="0.2">
      <c r="A3214" t="s">
        <v>387</v>
      </c>
      <c r="B3214">
        <v>2021</v>
      </c>
      <c r="C3214" t="s">
        <v>763</v>
      </c>
      <c r="D3214" t="s">
        <v>764</v>
      </c>
      <c r="E3214" t="s">
        <v>29</v>
      </c>
      <c r="F3214" t="s">
        <v>30</v>
      </c>
      <c r="G3214">
        <v>0</v>
      </c>
      <c r="H3214">
        <v>0</v>
      </c>
      <c r="I3214">
        <v>2</v>
      </c>
      <c r="J3214">
        <v>0</v>
      </c>
      <c r="K3214">
        <v>0</v>
      </c>
      <c r="L3214">
        <v>0</v>
      </c>
      <c r="M3214">
        <v>0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  <c r="V3214">
        <v>0</v>
      </c>
      <c r="W3214">
        <v>0</v>
      </c>
      <c r="X3214">
        <v>0</v>
      </c>
      <c r="Y3214" t="s">
        <v>51</v>
      </c>
      <c r="Z3214">
        <v>1000</v>
      </c>
      <c r="AA3214">
        <v>0</v>
      </c>
    </row>
    <row r="3215" spans="1:27" x14ac:dyDescent="0.2">
      <c r="A3215" t="s">
        <v>4169</v>
      </c>
      <c r="B3215">
        <v>2022</v>
      </c>
      <c r="C3215" t="s">
        <v>4170</v>
      </c>
      <c r="D3215" t="s">
        <v>4171</v>
      </c>
      <c r="E3215" t="s">
        <v>29</v>
      </c>
      <c r="F3215" t="s">
        <v>41</v>
      </c>
      <c r="G3215">
        <v>6</v>
      </c>
      <c r="H3215">
        <v>0</v>
      </c>
      <c r="I3215">
        <v>6</v>
      </c>
      <c r="J3215">
        <v>0</v>
      </c>
      <c r="K3215">
        <v>0</v>
      </c>
      <c r="L3215">
        <v>0</v>
      </c>
      <c r="M3215">
        <v>0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0</v>
      </c>
      <c r="W3215">
        <v>0</v>
      </c>
      <c r="X3215">
        <v>0</v>
      </c>
      <c r="Y3215" t="s">
        <v>51</v>
      </c>
      <c r="Z3215">
        <v>45</v>
      </c>
      <c r="AA3215">
        <v>0</v>
      </c>
    </row>
    <row r="3216" spans="1:27" ht="102" x14ac:dyDescent="0.2">
      <c r="A3216" t="s">
        <v>32</v>
      </c>
      <c r="B3216">
        <v>2022</v>
      </c>
      <c r="C3216" t="s">
        <v>2654</v>
      </c>
      <c r="D3216" s="1" t="s">
        <v>4172</v>
      </c>
      <c r="E3216" t="s">
        <v>29</v>
      </c>
      <c r="F3216" t="s">
        <v>30</v>
      </c>
      <c r="G3216">
        <v>0</v>
      </c>
      <c r="H3216">
        <v>0</v>
      </c>
      <c r="I3216">
        <v>0</v>
      </c>
      <c r="J3216">
        <v>0</v>
      </c>
      <c r="K3216">
        <v>0</v>
      </c>
      <c r="L3216">
        <v>0</v>
      </c>
      <c r="M3216">
        <v>0</v>
      </c>
      <c r="N3216">
        <v>0</v>
      </c>
      <c r="O3216">
        <v>6</v>
      </c>
      <c r="P3216">
        <v>0</v>
      </c>
      <c r="Q3216">
        <v>0</v>
      </c>
      <c r="R3216">
        <v>0</v>
      </c>
      <c r="S3216">
        <v>0</v>
      </c>
      <c r="T3216">
        <v>0</v>
      </c>
      <c r="U3216">
        <v>0</v>
      </c>
      <c r="V3216">
        <v>0</v>
      </c>
      <c r="W3216">
        <v>0</v>
      </c>
      <c r="X3216">
        <v>0</v>
      </c>
      <c r="Y3216" t="s">
        <v>31</v>
      </c>
      <c r="AA3216">
        <v>58</v>
      </c>
    </row>
    <row r="3217" spans="1:27" ht="102" x14ac:dyDescent="0.2">
      <c r="A3217" t="s">
        <v>32</v>
      </c>
      <c r="B3217">
        <v>2022</v>
      </c>
      <c r="C3217" t="s">
        <v>2654</v>
      </c>
      <c r="D3217" s="1" t="s">
        <v>4173</v>
      </c>
      <c r="E3217" t="s">
        <v>29</v>
      </c>
      <c r="F3217" t="s">
        <v>30</v>
      </c>
      <c r="G3217">
        <v>0</v>
      </c>
      <c r="H3217">
        <v>0</v>
      </c>
      <c r="I3217">
        <v>0</v>
      </c>
      <c r="J3217">
        <v>0</v>
      </c>
      <c r="K3217">
        <v>0</v>
      </c>
      <c r="L3217">
        <v>0</v>
      </c>
      <c r="M3217">
        <v>0</v>
      </c>
      <c r="N3217">
        <v>0</v>
      </c>
      <c r="O3217">
        <v>6</v>
      </c>
      <c r="P3217">
        <v>0</v>
      </c>
      <c r="Q3217">
        <v>0</v>
      </c>
      <c r="R3217">
        <v>0</v>
      </c>
      <c r="S3217">
        <v>0</v>
      </c>
      <c r="T3217">
        <v>0</v>
      </c>
      <c r="U3217">
        <v>0</v>
      </c>
      <c r="V3217">
        <v>0</v>
      </c>
      <c r="W3217">
        <v>0</v>
      </c>
      <c r="X3217">
        <v>0</v>
      </c>
      <c r="Y3217" t="s">
        <v>31</v>
      </c>
      <c r="AA3217">
        <v>58</v>
      </c>
    </row>
    <row r="3218" spans="1:27" x14ac:dyDescent="0.2">
      <c r="A3218" t="s">
        <v>88</v>
      </c>
      <c r="B3218">
        <v>2022</v>
      </c>
      <c r="C3218" t="s">
        <v>3373</v>
      </c>
      <c r="D3218" t="s">
        <v>4174</v>
      </c>
      <c r="E3218" t="s">
        <v>29</v>
      </c>
      <c r="F3218" t="s">
        <v>30</v>
      </c>
      <c r="G3218">
        <v>0</v>
      </c>
      <c r="H3218">
        <v>0</v>
      </c>
      <c r="I3218">
        <v>16</v>
      </c>
      <c r="J3218">
        <v>0</v>
      </c>
      <c r="K3218">
        <v>16</v>
      </c>
      <c r="L3218">
        <v>0</v>
      </c>
      <c r="M3218">
        <v>0</v>
      </c>
      <c r="N3218">
        <v>0</v>
      </c>
      <c r="O3218">
        <v>16</v>
      </c>
      <c r="P3218">
        <v>0</v>
      </c>
      <c r="Q3218">
        <v>16</v>
      </c>
      <c r="R3218">
        <v>0</v>
      </c>
      <c r="S3218">
        <v>0</v>
      </c>
      <c r="T3218">
        <v>0</v>
      </c>
      <c r="U3218">
        <v>0</v>
      </c>
      <c r="V3218">
        <v>0</v>
      </c>
      <c r="W3218">
        <v>0</v>
      </c>
      <c r="X3218">
        <v>0</v>
      </c>
      <c r="Y3218" t="s">
        <v>51</v>
      </c>
      <c r="Z3218">
        <v>55</v>
      </c>
      <c r="AA3218">
        <v>0</v>
      </c>
    </row>
    <row r="3219" spans="1:27" x14ac:dyDescent="0.2">
      <c r="A3219" t="s">
        <v>1071</v>
      </c>
      <c r="B3219">
        <v>2018</v>
      </c>
      <c r="C3219">
        <v>81703003</v>
      </c>
      <c r="D3219" t="s">
        <v>4175</v>
      </c>
      <c r="E3219" t="s">
        <v>29</v>
      </c>
      <c r="F3219" t="s">
        <v>30</v>
      </c>
      <c r="G3219">
        <v>0</v>
      </c>
      <c r="H3219">
        <v>0</v>
      </c>
      <c r="I3219">
        <v>0</v>
      </c>
      <c r="J3219">
        <v>0</v>
      </c>
      <c r="K3219">
        <v>0</v>
      </c>
      <c r="L3219">
        <v>0</v>
      </c>
      <c r="M3219">
        <v>0</v>
      </c>
      <c r="N3219">
        <v>0</v>
      </c>
      <c r="O3219">
        <v>0</v>
      </c>
      <c r="P3219">
        <v>0</v>
      </c>
      <c r="Q3219">
        <v>0</v>
      </c>
      <c r="R3219">
        <v>0</v>
      </c>
      <c r="S3219">
        <v>6</v>
      </c>
      <c r="T3219">
        <v>0</v>
      </c>
      <c r="U3219">
        <v>0</v>
      </c>
      <c r="V3219">
        <v>0</v>
      </c>
      <c r="W3219">
        <v>0</v>
      </c>
      <c r="X3219">
        <v>0</v>
      </c>
      <c r="Y3219" t="s">
        <v>31</v>
      </c>
      <c r="Z3219">
        <v>55</v>
      </c>
      <c r="AA3219">
        <v>0</v>
      </c>
    </row>
    <row r="3220" spans="1:27" x14ac:dyDescent="0.2">
      <c r="A3220" t="s">
        <v>88</v>
      </c>
      <c r="B3220">
        <v>2022</v>
      </c>
      <c r="C3220" t="s">
        <v>4176</v>
      </c>
      <c r="D3220" t="s">
        <v>4177</v>
      </c>
      <c r="E3220" t="s">
        <v>29</v>
      </c>
      <c r="F3220" t="s">
        <v>30</v>
      </c>
      <c r="G3220">
        <v>0</v>
      </c>
      <c r="H3220">
        <v>0</v>
      </c>
      <c r="I3220">
        <v>0</v>
      </c>
      <c r="J3220">
        <v>0</v>
      </c>
      <c r="K3220">
        <v>0</v>
      </c>
      <c r="L3220">
        <v>0</v>
      </c>
      <c r="M3220">
        <v>0</v>
      </c>
      <c r="N3220">
        <v>0</v>
      </c>
      <c r="O3220">
        <v>0</v>
      </c>
      <c r="P3220">
        <v>0</v>
      </c>
      <c r="Q3220">
        <v>0</v>
      </c>
      <c r="R3220">
        <v>0</v>
      </c>
      <c r="S3220">
        <v>0</v>
      </c>
      <c r="T3220">
        <v>0</v>
      </c>
      <c r="U3220">
        <v>11</v>
      </c>
      <c r="V3220">
        <v>0</v>
      </c>
      <c r="W3220">
        <v>25</v>
      </c>
      <c r="X3220">
        <v>0</v>
      </c>
      <c r="Y3220" t="s">
        <v>51</v>
      </c>
      <c r="Z3220">
        <v>30</v>
      </c>
      <c r="AA3220">
        <v>0</v>
      </c>
    </row>
    <row r="3221" spans="1:27" x14ac:dyDescent="0.2">
      <c r="A3221" t="s">
        <v>1500</v>
      </c>
      <c r="B3221">
        <v>2019</v>
      </c>
      <c r="C3221">
        <v>4140004039</v>
      </c>
      <c r="D3221" t="s">
        <v>4178</v>
      </c>
      <c r="E3221" t="s">
        <v>29</v>
      </c>
      <c r="F3221" t="s">
        <v>30</v>
      </c>
      <c r="G3221">
        <v>7</v>
      </c>
      <c r="H3221">
        <v>0</v>
      </c>
      <c r="I3221">
        <v>0</v>
      </c>
      <c r="J3221">
        <v>0</v>
      </c>
      <c r="K3221">
        <v>0</v>
      </c>
      <c r="L3221">
        <v>0</v>
      </c>
      <c r="M3221">
        <v>0</v>
      </c>
      <c r="N3221">
        <v>0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  <c r="V3221">
        <v>0</v>
      </c>
      <c r="W3221">
        <v>0</v>
      </c>
      <c r="X3221">
        <v>0</v>
      </c>
      <c r="Y3221" t="s">
        <v>31</v>
      </c>
      <c r="Z3221">
        <v>55</v>
      </c>
      <c r="AA3221">
        <v>0</v>
      </c>
    </row>
    <row r="3222" spans="1:27" x14ac:dyDescent="0.2">
      <c r="A3222" t="s">
        <v>2598</v>
      </c>
      <c r="B3222">
        <v>2023</v>
      </c>
      <c r="C3222" t="s">
        <v>4179</v>
      </c>
      <c r="D3222" t="s">
        <v>4180</v>
      </c>
      <c r="E3222" t="s">
        <v>29</v>
      </c>
      <c r="F3222" t="s">
        <v>30</v>
      </c>
      <c r="G3222">
        <v>0</v>
      </c>
      <c r="H3222">
        <v>0</v>
      </c>
      <c r="I3222">
        <v>12</v>
      </c>
      <c r="J3222">
        <v>0</v>
      </c>
      <c r="K3222">
        <v>0</v>
      </c>
      <c r="L3222">
        <v>0</v>
      </c>
      <c r="M3222">
        <v>0</v>
      </c>
      <c r="N3222">
        <v>0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  <c r="V3222">
        <v>0</v>
      </c>
      <c r="W3222">
        <v>0</v>
      </c>
      <c r="X3222">
        <v>0</v>
      </c>
      <c r="Y3222" t="s">
        <v>31</v>
      </c>
      <c r="Z3222">
        <v>55</v>
      </c>
      <c r="AA3222">
        <v>20</v>
      </c>
    </row>
    <row r="3223" spans="1:27" x14ac:dyDescent="0.2">
      <c r="A3223" t="s">
        <v>1075</v>
      </c>
      <c r="B3223">
        <v>2021</v>
      </c>
      <c r="C3223" t="s">
        <v>2291</v>
      </c>
      <c r="D3223" t="s">
        <v>3385</v>
      </c>
      <c r="E3223" t="s">
        <v>29</v>
      </c>
      <c r="F3223" t="s">
        <v>30</v>
      </c>
      <c r="G3223">
        <v>0</v>
      </c>
      <c r="H3223">
        <v>0</v>
      </c>
      <c r="I3223">
        <v>0</v>
      </c>
      <c r="J3223">
        <v>0</v>
      </c>
      <c r="K3223">
        <v>0</v>
      </c>
      <c r="L3223">
        <v>0</v>
      </c>
      <c r="M3223">
        <v>0</v>
      </c>
      <c r="N3223">
        <v>34</v>
      </c>
      <c r="O3223">
        <v>0</v>
      </c>
      <c r="P3223">
        <v>25</v>
      </c>
      <c r="Q3223">
        <v>0</v>
      </c>
      <c r="R3223">
        <v>0</v>
      </c>
      <c r="S3223">
        <v>0</v>
      </c>
      <c r="T3223">
        <v>0</v>
      </c>
      <c r="U3223">
        <v>0</v>
      </c>
      <c r="V3223">
        <v>0</v>
      </c>
      <c r="W3223">
        <v>0</v>
      </c>
      <c r="X3223">
        <v>0</v>
      </c>
      <c r="Y3223" t="s">
        <v>31</v>
      </c>
      <c r="AA3223">
        <v>33</v>
      </c>
    </row>
    <row r="3224" spans="1:27" x14ac:dyDescent="0.2">
      <c r="A3224" t="s">
        <v>1809</v>
      </c>
      <c r="B3224">
        <v>2018</v>
      </c>
      <c r="C3224" t="s">
        <v>4181</v>
      </c>
      <c r="D3224" t="s">
        <v>4182</v>
      </c>
      <c r="E3224" t="s">
        <v>29</v>
      </c>
      <c r="F3224" t="s">
        <v>30</v>
      </c>
      <c r="G3224">
        <v>0</v>
      </c>
      <c r="H3224">
        <v>0</v>
      </c>
      <c r="I3224">
        <v>0</v>
      </c>
      <c r="J3224">
        <v>0</v>
      </c>
      <c r="K3224">
        <v>0</v>
      </c>
      <c r="L3224">
        <v>0</v>
      </c>
      <c r="M3224">
        <v>0</v>
      </c>
      <c r="N3224">
        <v>0</v>
      </c>
      <c r="O3224">
        <v>0</v>
      </c>
      <c r="P3224">
        <v>0</v>
      </c>
      <c r="Q3224">
        <v>0</v>
      </c>
      <c r="R3224">
        <v>0</v>
      </c>
      <c r="S3224">
        <v>23</v>
      </c>
      <c r="T3224">
        <v>0</v>
      </c>
      <c r="U3224">
        <v>7</v>
      </c>
      <c r="V3224">
        <v>0</v>
      </c>
      <c r="W3224">
        <v>0</v>
      </c>
      <c r="X3224">
        <v>0</v>
      </c>
      <c r="Y3224" t="s">
        <v>31</v>
      </c>
      <c r="Z3224">
        <v>75</v>
      </c>
      <c r="AA3224">
        <v>0</v>
      </c>
    </row>
    <row r="3225" spans="1:27" x14ac:dyDescent="0.2">
      <c r="A3225" t="s">
        <v>1802</v>
      </c>
      <c r="B3225">
        <v>2018</v>
      </c>
      <c r="C3225" t="s">
        <v>4183</v>
      </c>
      <c r="D3225" t="s">
        <v>4184</v>
      </c>
      <c r="E3225" t="s">
        <v>29</v>
      </c>
      <c r="F3225" t="s">
        <v>41</v>
      </c>
      <c r="G3225">
        <v>0</v>
      </c>
      <c r="H3225">
        <v>0</v>
      </c>
      <c r="I3225">
        <v>0</v>
      </c>
      <c r="J3225">
        <v>0</v>
      </c>
      <c r="K3225">
        <v>0</v>
      </c>
      <c r="L3225">
        <v>0</v>
      </c>
      <c r="M3225">
        <v>0</v>
      </c>
      <c r="N3225">
        <v>0</v>
      </c>
      <c r="O3225">
        <v>0</v>
      </c>
      <c r="P3225">
        <v>0</v>
      </c>
      <c r="Q3225">
        <v>0</v>
      </c>
      <c r="R3225">
        <v>0</v>
      </c>
      <c r="S3225">
        <v>1</v>
      </c>
      <c r="T3225">
        <v>0</v>
      </c>
      <c r="U3225">
        <v>0</v>
      </c>
      <c r="V3225">
        <v>0</v>
      </c>
      <c r="W3225">
        <v>1</v>
      </c>
      <c r="X3225">
        <v>0</v>
      </c>
      <c r="Y3225" t="s">
        <v>51</v>
      </c>
      <c r="Z3225">
        <v>45</v>
      </c>
      <c r="AA3225">
        <v>0</v>
      </c>
    </row>
    <row r="3226" spans="1:27" x14ac:dyDescent="0.2">
      <c r="A3226" t="s">
        <v>321</v>
      </c>
      <c r="B3226">
        <v>2018</v>
      </c>
      <c r="C3226">
        <v>4275010016</v>
      </c>
      <c r="D3226" t="s">
        <v>4185</v>
      </c>
      <c r="E3226" t="s">
        <v>29</v>
      </c>
      <c r="F3226" t="s">
        <v>30</v>
      </c>
      <c r="G3226">
        <v>0</v>
      </c>
      <c r="H3226">
        <v>0</v>
      </c>
      <c r="I3226">
        <v>0</v>
      </c>
      <c r="J3226">
        <v>0</v>
      </c>
      <c r="K3226">
        <v>0</v>
      </c>
      <c r="L3226">
        <v>0</v>
      </c>
      <c r="M3226">
        <v>0</v>
      </c>
      <c r="N3226">
        <v>0</v>
      </c>
      <c r="O3226">
        <v>0</v>
      </c>
      <c r="P3226">
        <v>0</v>
      </c>
      <c r="Q3226">
        <v>0</v>
      </c>
      <c r="R3226">
        <v>0</v>
      </c>
      <c r="S3226">
        <v>0</v>
      </c>
      <c r="T3226">
        <v>0</v>
      </c>
      <c r="U3226">
        <v>0</v>
      </c>
      <c r="V3226">
        <v>0</v>
      </c>
      <c r="W3226">
        <v>0</v>
      </c>
      <c r="X3226">
        <v>0</v>
      </c>
      <c r="Y3226" t="s">
        <v>51</v>
      </c>
      <c r="AA3226">
        <v>0</v>
      </c>
    </row>
    <row r="3227" spans="1:27" x14ac:dyDescent="0.2">
      <c r="A3227" t="s">
        <v>321</v>
      </c>
      <c r="B3227">
        <v>2018</v>
      </c>
      <c r="C3227">
        <v>4283001001</v>
      </c>
      <c r="D3227" t="s">
        <v>4186</v>
      </c>
      <c r="E3227" t="s">
        <v>29</v>
      </c>
      <c r="F3227" t="s">
        <v>30</v>
      </c>
      <c r="G3227">
        <v>0</v>
      </c>
      <c r="H3227">
        <v>0</v>
      </c>
      <c r="I3227">
        <v>0</v>
      </c>
      <c r="J3227">
        <v>0</v>
      </c>
      <c r="K3227">
        <v>0</v>
      </c>
      <c r="L3227">
        <v>0</v>
      </c>
      <c r="M3227">
        <v>14</v>
      </c>
      <c r="N3227">
        <v>0</v>
      </c>
      <c r="O3227">
        <v>4</v>
      </c>
      <c r="P3227">
        <v>0</v>
      </c>
      <c r="Q3227">
        <v>1</v>
      </c>
      <c r="R3227">
        <v>0</v>
      </c>
      <c r="S3227">
        <v>0</v>
      </c>
      <c r="T3227">
        <v>0</v>
      </c>
      <c r="U3227">
        <v>0</v>
      </c>
      <c r="V3227">
        <v>0</v>
      </c>
      <c r="W3227">
        <v>0</v>
      </c>
      <c r="X3227">
        <v>0</v>
      </c>
      <c r="Y3227" t="s">
        <v>51</v>
      </c>
      <c r="Z3227">
        <v>55</v>
      </c>
      <c r="AA3227">
        <v>0</v>
      </c>
    </row>
    <row r="3228" spans="1:27" x14ac:dyDescent="0.2">
      <c r="A3228" t="s">
        <v>321</v>
      </c>
      <c r="B3228">
        <v>2018</v>
      </c>
      <c r="C3228">
        <v>4291022024</v>
      </c>
      <c r="D3228" t="s">
        <v>4187</v>
      </c>
      <c r="E3228" t="s">
        <v>29</v>
      </c>
      <c r="F3228" t="s">
        <v>30</v>
      </c>
      <c r="G3228">
        <v>0</v>
      </c>
      <c r="H3228">
        <v>0</v>
      </c>
      <c r="I3228">
        <v>0</v>
      </c>
      <c r="J3228">
        <v>0</v>
      </c>
      <c r="K3228">
        <v>0</v>
      </c>
      <c r="L3228">
        <v>0</v>
      </c>
      <c r="M3228">
        <v>15</v>
      </c>
      <c r="N3228">
        <v>0</v>
      </c>
      <c r="O3228">
        <v>5</v>
      </c>
      <c r="P3228">
        <v>0</v>
      </c>
      <c r="Q3228">
        <v>0</v>
      </c>
      <c r="R3228">
        <v>0</v>
      </c>
      <c r="S3228">
        <v>0</v>
      </c>
      <c r="T3228">
        <v>0</v>
      </c>
      <c r="U3228">
        <v>0</v>
      </c>
      <c r="V3228">
        <v>0</v>
      </c>
      <c r="W3228">
        <v>0</v>
      </c>
      <c r="X3228">
        <v>0</v>
      </c>
      <c r="Y3228" t="s">
        <v>51</v>
      </c>
      <c r="Z3228">
        <v>55</v>
      </c>
      <c r="AA3228">
        <v>0</v>
      </c>
    </row>
    <row r="3229" spans="1:27" x14ac:dyDescent="0.2">
      <c r="A3229" t="s">
        <v>1045</v>
      </c>
      <c r="B3229">
        <v>2023</v>
      </c>
      <c r="C3229" t="s">
        <v>4188</v>
      </c>
      <c r="D3229" t="s">
        <v>4189</v>
      </c>
      <c r="E3229" t="s">
        <v>29</v>
      </c>
      <c r="F3229" t="s">
        <v>30</v>
      </c>
      <c r="G3229">
        <v>18</v>
      </c>
      <c r="H3229">
        <v>0</v>
      </c>
      <c r="I3229">
        <v>0</v>
      </c>
      <c r="J3229">
        <v>0</v>
      </c>
      <c r="K3229">
        <v>0</v>
      </c>
      <c r="L3229">
        <v>0</v>
      </c>
      <c r="M3229">
        <v>0</v>
      </c>
      <c r="N3229">
        <v>0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  <c r="V3229">
        <v>0</v>
      </c>
      <c r="W3229">
        <v>0</v>
      </c>
      <c r="X3229">
        <v>0</v>
      </c>
      <c r="Y3229" t="s">
        <v>31</v>
      </c>
      <c r="Z3229">
        <v>55</v>
      </c>
      <c r="AA3229">
        <v>50</v>
      </c>
    </row>
    <row r="3230" spans="1:27" x14ac:dyDescent="0.2">
      <c r="A3230" t="s">
        <v>43</v>
      </c>
      <c r="B3230">
        <v>2022</v>
      </c>
      <c r="C3230">
        <v>4340011013</v>
      </c>
      <c r="D3230" t="s">
        <v>4190</v>
      </c>
      <c r="E3230" t="s">
        <v>29</v>
      </c>
      <c r="F3230" t="s">
        <v>41</v>
      </c>
      <c r="G3230">
        <v>0</v>
      </c>
      <c r="H3230">
        <v>0</v>
      </c>
      <c r="I3230">
        <v>0</v>
      </c>
      <c r="J3230">
        <v>0</v>
      </c>
      <c r="K3230">
        <v>0</v>
      </c>
      <c r="L3230">
        <v>0</v>
      </c>
      <c r="M3230">
        <v>0</v>
      </c>
      <c r="N3230">
        <v>0</v>
      </c>
      <c r="O3230">
        <v>0</v>
      </c>
      <c r="P3230">
        <v>0</v>
      </c>
      <c r="Q3230">
        <v>0</v>
      </c>
      <c r="R3230">
        <v>0</v>
      </c>
      <c r="S3230">
        <v>0</v>
      </c>
      <c r="T3230">
        <v>0</v>
      </c>
      <c r="U3230">
        <v>4</v>
      </c>
      <c r="V3230">
        <v>0</v>
      </c>
      <c r="W3230">
        <v>4</v>
      </c>
      <c r="X3230">
        <v>0</v>
      </c>
      <c r="Y3230" t="s">
        <v>31</v>
      </c>
      <c r="Z3230">
        <v>1000</v>
      </c>
      <c r="AA3230" s="2" t="s">
        <v>4191</v>
      </c>
    </row>
    <row r="3231" spans="1:27" x14ac:dyDescent="0.2">
      <c r="A3231" t="s">
        <v>318</v>
      </c>
      <c r="B3231">
        <v>2022</v>
      </c>
      <c r="C3231">
        <v>20935031</v>
      </c>
      <c r="D3231" t="s">
        <v>4192</v>
      </c>
      <c r="E3231" t="s">
        <v>29</v>
      </c>
      <c r="F3231" t="s">
        <v>30</v>
      </c>
      <c r="G3231">
        <v>0</v>
      </c>
      <c r="H3231">
        <v>0</v>
      </c>
      <c r="I3231">
        <v>0</v>
      </c>
      <c r="J3231">
        <v>0</v>
      </c>
      <c r="K3231">
        <v>0</v>
      </c>
      <c r="L3231">
        <v>0</v>
      </c>
      <c r="M3231">
        <v>16</v>
      </c>
      <c r="N3231">
        <v>0</v>
      </c>
      <c r="O3231">
        <v>31</v>
      </c>
      <c r="P3231">
        <v>0</v>
      </c>
      <c r="Q3231">
        <v>6</v>
      </c>
      <c r="R3231">
        <v>0</v>
      </c>
      <c r="S3231">
        <v>0</v>
      </c>
      <c r="T3231">
        <v>0</v>
      </c>
      <c r="U3231">
        <v>0</v>
      </c>
      <c r="V3231">
        <v>0</v>
      </c>
      <c r="W3231">
        <v>0</v>
      </c>
      <c r="X3231">
        <v>0</v>
      </c>
      <c r="Y3231" t="s">
        <v>51</v>
      </c>
      <c r="Z3231">
        <v>55</v>
      </c>
      <c r="AA3231">
        <v>0</v>
      </c>
    </row>
    <row r="3232" spans="1:27" x14ac:dyDescent="0.2">
      <c r="A3232" t="s">
        <v>409</v>
      </c>
      <c r="B3232">
        <v>2018</v>
      </c>
      <c r="C3232" s="2" t="s">
        <v>3007</v>
      </c>
      <c r="D3232" t="s">
        <v>4193</v>
      </c>
      <c r="E3232" t="s">
        <v>29</v>
      </c>
      <c r="F3232" t="s">
        <v>30</v>
      </c>
      <c r="G3232">
        <v>0</v>
      </c>
      <c r="H3232">
        <v>0</v>
      </c>
      <c r="I3232">
        <v>0</v>
      </c>
      <c r="J3232">
        <v>0</v>
      </c>
      <c r="K3232">
        <v>0</v>
      </c>
      <c r="L3232">
        <v>0</v>
      </c>
      <c r="M3232">
        <v>2</v>
      </c>
      <c r="N3232">
        <v>0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</v>
      </c>
      <c r="V3232">
        <v>0</v>
      </c>
      <c r="W3232">
        <v>0</v>
      </c>
      <c r="X3232">
        <v>0</v>
      </c>
      <c r="Y3232" t="s">
        <v>31</v>
      </c>
      <c r="Z3232">
        <v>55</v>
      </c>
      <c r="AA3232">
        <v>0</v>
      </c>
    </row>
    <row r="3233" spans="1:27" x14ac:dyDescent="0.2">
      <c r="A3233" t="s">
        <v>1845</v>
      </c>
      <c r="B3233">
        <v>2023</v>
      </c>
      <c r="C3233" t="s">
        <v>4194</v>
      </c>
      <c r="D3233" t="s">
        <v>4195</v>
      </c>
      <c r="E3233" t="s">
        <v>29</v>
      </c>
      <c r="F3233" t="s">
        <v>30</v>
      </c>
      <c r="G3233">
        <v>18</v>
      </c>
      <c r="H3233">
        <v>0</v>
      </c>
      <c r="I3233">
        <v>0</v>
      </c>
      <c r="J3233">
        <v>0</v>
      </c>
      <c r="K3233">
        <v>0</v>
      </c>
      <c r="L3233">
        <v>0</v>
      </c>
      <c r="M3233">
        <v>0</v>
      </c>
      <c r="N3233">
        <v>0</v>
      </c>
      <c r="O3233">
        <v>0</v>
      </c>
      <c r="P3233">
        <v>0</v>
      </c>
      <c r="Q3233">
        <v>0</v>
      </c>
      <c r="R3233">
        <v>0</v>
      </c>
      <c r="S3233">
        <v>0</v>
      </c>
      <c r="T3233">
        <v>0</v>
      </c>
      <c r="U3233">
        <v>0</v>
      </c>
      <c r="V3233">
        <v>0</v>
      </c>
      <c r="W3233">
        <v>0</v>
      </c>
      <c r="X3233">
        <v>0</v>
      </c>
      <c r="Y3233" t="s">
        <v>31</v>
      </c>
      <c r="AA3233">
        <v>50</v>
      </c>
    </row>
    <row r="3234" spans="1:27" x14ac:dyDescent="0.2">
      <c r="A3234" t="s">
        <v>1802</v>
      </c>
      <c r="B3234">
        <v>2018</v>
      </c>
      <c r="C3234" t="s">
        <v>4196</v>
      </c>
      <c r="D3234" t="s">
        <v>4197</v>
      </c>
      <c r="E3234" t="s">
        <v>29</v>
      </c>
      <c r="F3234" t="s">
        <v>30</v>
      </c>
      <c r="G3234">
        <v>0</v>
      </c>
      <c r="H3234">
        <v>0</v>
      </c>
      <c r="I3234">
        <v>0</v>
      </c>
      <c r="J3234">
        <v>0</v>
      </c>
      <c r="K3234">
        <v>0</v>
      </c>
      <c r="L3234">
        <v>0</v>
      </c>
      <c r="M3234">
        <v>0</v>
      </c>
      <c r="N3234">
        <v>0</v>
      </c>
      <c r="O3234">
        <v>0</v>
      </c>
      <c r="P3234">
        <v>0</v>
      </c>
      <c r="Q3234">
        <v>0</v>
      </c>
      <c r="R3234">
        <v>0</v>
      </c>
      <c r="S3234">
        <v>1</v>
      </c>
      <c r="T3234">
        <v>0</v>
      </c>
      <c r="U3234">
        <v>0</v>
      </c>
      <c r="V3234">
        <v>0</v>
      </c>
      <c r="W3234">
        <v>0</v>
      </c>
      <c r="X3234">
        <v>0</v>
      </c>
      <c r="Y3234" t="s">
        <v>51</v>
      </c>
      <c r="Z3234">
        <v>1000</v>
      </c>
      <c r="AA3234">
        <v>0</v>
      </c>
    </row>
    <row r="3235" spans="1:27" x14ac:dyDescent="0.2">
      <c r="A3235" t="s">
        <v>622</v>
      </c>
      <c r="B3235">
        <v>2018</v>
      </c>
      <c r="C3235" t="s">
        <v>909</v>
      </c>
      <c r="D3235" t="s">
        <v>910</v>
      </c>
      <c r="E3235" t="s">
        <v>29</v>
      </c>
      <c r="F3235" t="s">
        <v>30</v>
      </c>
      <c r="G3235">
        <v>43</v>
      </c>
      <c r="H3235">
        <v>0</v>
      </c>
      <c r="I3235">
        <v>20</v>
      </c>
      <c r="J3235">
        <v>0</v>
      </c>
      <c r="K3235">
        <v>2</v>
      </c>
      <c r="L3235">
        <v>0</v>
      </c>
      <c r="M3235">
        <v>0</v>
      </c>
      <c r="N3235">
        <v>0</v>
      </c>
      <c r="O3235">
        <v>0</v>
      </c>
      <c r="P3235">
        <v>0</v>
      </c>
      <c r="Q3235">
        <v>0</v>
      </c>
      <c r="R3235">
        <v>0</v>
      </c>
      <c r="S3235">
        <v>0</v>
      </c>
      <c r="T3235">
        <v>0</v>
      </c>
      <c r="U3235">
        <v>0</v>
      </c>
      <c r="V3235">
        <v>0</v>
      </c>
      <c r="W3235">
        <v>0</v>
      </c>
      <c r="X3235">
        <v>0</v>
      </c>
      <c r="Y3235" t="s">
        <v>51</v>
      </c>
      <c r="AA3235">
        <v>0</v>
      </c>
    </row>
    <row r="3236" spans="1:27" x14ac:dyDescent="0.2">
      <c r="A3236" t="s">
        <v>2719</v>
      </c>
      <c r="B3236">
        <v>2022</v>
      </c>
      <c r="C3236" t="s">
        <v>4198</v>
      </c>
      <c r="D3236" t="s">
        <v>4199</v>
      </c>
      <c r="E3236" t="s">
        <v>29</v>
      </c>
      <c r="F3236" t="s">
        <v>30</v>
      </c>
      <c r="G3236">
        <v>0</v>
      </c>
      <c r="H3236">
        <v>0</v>
      </c>
      <c r="I3236">
        <v>0</v>
      </c>
      <c r="J3236">
        <v>0</v>
      </c>
      <c r="K3236">
        <v>0</v>
      </c>
      <c r="L3236">
        <v>0</v>
      </c>
      <c r="M3236">
        <v>0</v>
      </c>
      <c r="N3236">
        <v>0</v>
      </c>
      <c r="O3236">
        <v>0</v>
      </c>
      <c r="P3236">
        <v>0</v>
      </c>
      <c r="Q3236">
        <v>0</v>
      </c>
      <c r="R3236">
        <v>0</v>
      </c>
      <c r="S3236">
        <v>34</v>
      </c>
      <c r="T3236">
        <v>0</v>
      </c>
      <c r="U3236">
        <v>70</v>
      </c>
      <c r="V3236">
        <v>0</v>
      </c>
      <c r="W3236">
        <v>25</v>
      </c>
      <c r="X3236">
        <v>1</v>
      </c>
      <c r="Y3236" t="s">
        <v>31</v>
      </c>
      <c r="Z3236">
        <v>55</v>
      </c>
      <c r="AA3236">
        <v>35</v>
      </c>
    </row>
    <row r="3237" spans="1:27" x14ac:dyDescent="0.2">
      <c r="A3237" t="s">
        <v>2411</v>
      </c>
      <c r="B3237">
        <v>2021</v>
      </c>
      <c r="C3237" t="s">
        <v>4200</v>
      </c>
      <c r="D3237" t="s">
        <v>4201</v>
      </c>
      <c r="E3237" t="s">
        <v>29</v>
      </c>
      <c r="F3237" t="s">
        <v>30</v>
      </c>
      <c r="G3237">
        <v>0</v>
      </c>
      <c r="H3237">
        <v>0</v>
      </c>
      <c r="I3237">
        <v>0</v>
      </c>
      <c r="J3237">
        <v>0</v>
      </c>
      <c r="K3237">
        <v>0</v>
      </c>
      <c r="L3237">
        <v>0</v>
      </c>
      <c r="M3237">
        <v>103</v>
      </c>
      <c r="N3237">
        <v>0</v>
      </c>
      <c r="O3237">
        <v>21</v>
      </c>
      <c r="P3237">
        <v>0</v>
      </c>
      <c r="Q3237">
        <v>0</v>
      </c>
      <c r="R3237">
        <v>0</v>
      </c>
      <c r="S3237">
        <v>0</v>
      </c>
      <c r="T3237">
        <v>0</v>
      </c>
      <c r="U3237">
        <v>0</v>
      </c>
      <c r="V3237">
        <v>0</v>
      </c>
      <c r="W3237">
        <v>0</v>
      </c>
      <c r="X3237">
        <v>0</v>
      </c>
      <c r="Y3237" t="s">
        <v>31</v>
      </c>
      <c r="Z3237">
        <v>1000</v>
      </c>
      <c r="AA3237">
        <v>300</v>
      </c>
    </row>
    <row r="3238" spans="1:27" x14ac:dyDescent="0.2">
      <c r="A3238" t="s">
        <v>1541</v>
      </c>
      <c r="B3238">
        <v>2018</v>
      </c>
      <c r="C3238" t="s">
        <v>2916</v>
      </c>
      <c r="D3238" t="s">
        <v>4202</v>
      </c>
      <c r="E3238" t="s">
        <v>29</v>
      </c>
      <c r="F3238" t="s">
        <v>30</v>
      </c>
      <c r="G3238">
        <v>0</v>
      </c>
      <c r="H3238">
        <v>0</v>
      </c>
      <c r="I3238">
        <v>0</v>
      </c>
      <c r="J3238">
        <v>0</v>
      </c>
      <c r="K3238">
        <v>0</v>
      </c>
      <c r="L3238">
        <v>0</v>
      </c>
      <c r="M3238">
        <v>5</v>
      </c>
      <c r="N3238">
        <v>0</v>
      </c>
      <c r="O3238">
        <v>5</v>
      </c>
      <c r="P3238">
        <v>0</v>
      </c>
      <c r="Q3238">
        <v>0</v>
      </c>
      <c r="R3238">
        <v>0</v>
      </c>
      <c r="S3238">
        <v>5</v>
      </c>
      <c r="T3238">
        <v>0</v>
      </c>
      <c r="U3238">
        <v>5</v>
      </c>
      <c r="V3238">
        <v>0</v>
      </c>
      <c r="W3238">
        <v>0</v>
      </c>
      <c r="X3238">
        <v>0</v>
      </c>
      <c r="Y3238" t="s">
        <v>31</v>
      </c>
      <c r="AA3238">
        <v>0</v>
      </c>
    </row>
    <row r="3239" spans="1:27" x14ac:dyDescent="0.2">
      <c r="A3239" t="s">
        <v>1541</v>
      </c>
      <c r="B3239">
        <v>2018</v>
      </c>
      <c r="C3239" t="s">
        <v>2916</v>
      </c>
      <c r="D3239" t="s">
        <v>4203</v>
      </c>
      <c r="E3239" t="s">
        <v>29</v>
      </c>
      <c r="F3239" t="s">
        <v>30</v>
      </c>
      <c r="G3239">
        <v>0</v>
      </c>
      <c r="H3239">
        <v>0</v>
      </c>
      <c r="I3239">
        <v>0</v>
      </c>
      <c r="J3239">
        <v>0</v>
      </c>
      <c r="K3239">
        <v>0</v>
      </c>
      <c r="L3239">
        <v>0</v>
      </c>
      <c r="M3239">
        <v>6</v>
      </c>
      <c r="N3239">
        <v>0</v>
      </c>
      <c r="O3239">
        <v>4</v>
      </c>
      <c r="P3239">
        <v>0</v>
      </c>
      <c r="Q3239">
        <v>0</v>
      </c>
      <c r="R3239">
        <v>0</v>
      </c>
      <c r="S3239">
        <v>6</v>
      </c>
      <c r="T3239">
        <v>0</v>
      </c>
      <c r="U3239">
        <v>4</v>
      </c>
      <c r="V3239">
        <v>0</v>
      </c>
      <c r="W3239">
        <v>0</v>
      </c>
      <c r="X3239">
        <v>0</v>
      </c>
      <c r="Y3239" t="s">
        <v>31</v>
      </c>
      <c r="AA3239">
        <v>0</v>
      </c>
    </row>
    <row r="3240" spans="1:27" x14ac:dyDescent="0.2">
      <c r="A3240" t="s">
        <v>524</v>
      </c>
      <c r="B3240">
        <v>2019</v>
      </c>
      <c r="C3240">
        <v>61430490</v>
      </c>
      <c r="D3240" t="s">
        <v>4204</v>
      </c>
      <c r="E3240" t="s">
        <v>29</v>
      </c>
      <c r="F3240" t="s">
        <v>30</v>
      </c>
      <c r="G3240">
        <v>0</v>
      </c>
      <c r="H3240">
        <v>0</v>
      </c>
      <c r="I3240">
        <v>0</v>
      </c>
      <c r="J3240">
        <v>0</v>
      </c>
      <c r="K3240">
        <v>0</v>
      </c>
      <c r="L3240">
        <v>0</v>
      </c>
      <c r="M3240">
        <v>0</v>
      </c>
      <c r="N3240">
        <v>0</v>
      </c>
      <c r="O3240">
        <v>14</v>
      </c>
      <c r="P3240">
        <v>0</v>
      </c>
      <c r="Q3240">
        <v>6</v>
      </c>
      <c r="R3240">
        <v>0</v>
      </c>
      <c r="S3240">
        <v>0</v>
      </c>
      <c r="T3240">
        <v>0</v>
      </c>
      <c r="U3240">
        <v>0</v>
      </c>
      <c r="V3240">
        <v>0</v>
      </c>
      <c r="W3240">
        <v>0</v>
      </c>
      <c r="X3240">
        <v>0</v>
      </c>
      <c r="Y3240" t="s">
        <v>51</v>
      </c>
      <c r="AA3240">
        <v>0</v>
      </c>
    </row>
    <row r="3241" spans="1:27" x14ac:dyDescent="0.2">
      <c r="A3241" t="s">
        <v>1075</v>
      </c>
      <c r="B3241">
        <v>2018</v>
      </c>
      <c r="C3241">
        <v>46517116</v>
      </c>
      <c r="D3241" t="s">
        <v>4205</v>
      </c>
      <c r="E3241" t="s">
        <v>29</v>
      </c>
      <c r="F3241" t="s">
        <v>30</v>
      </c>
      <c r="G3241">
        <v>0</v>
      </c>
      <c r="H3241">
        <v>12</v>
      </c>
      <c r="I3241">
        <v>0</v>
      </c>
      <c r="J3241">
        <v>0</v>
      </c>
      <c r="K3241">
        <v>0</v>
      </c>
      <c r="L3241">
        <v>0</v>
      </c>
      <c r="M3241">
        <v>0</v>
      </c>
      <c r="N3241">
        <v>0</v>
      </c>
      <c r="O3241">
        <v>0</v>
      </c>
      <c r="P3241">
        <v>0</v>
      </c>
      <c r="Q3241">
        <v>0</v>
      </c>
      <c r="R3241">
        <v>0</v>
      </c>
      <c r="S3241">
        <v>0</v>
      </c>
      <c r="T3241">
        <v>0</v>
      </c>
      <c r="U3241">
        <v>0</v>
      </c>
      <c r="V3241">
        <v>0</v>
      </c>
      <c r="W3241">
        <v>0</v>
      </c>
      <c r="X3241">
        <v>0</v>
      </c>
      <c r="Y3241" t="s">
        <v>31</v>
      </c>
      <c r="AA3241">
        <v>0</v>
      </c>
    </row>
    <row r="3242" spans="1:27" x14ac:dyDescent="0.2">
      <c r="A3242" t="s">
        <v>1678</v>
      </c>
      <c r="B3242">
        <v>2019</v>
      </c>
      <c r="C3242">
        <v>54012140</v>
      </c>
      <c r="D3242" t="s">
        <v>4206</v>
      </c>
      <c r="E3242" t="s">
        <v>29</v>
      </c>
      <c r="F3242" t="s">
        <v>30</v>
      </c>
      <c r="G3242">
        <v>24</v>
      </c>
      <c r="H3242">
        <v>0</v>
      </c>
      <c r="I3242">
        <v>95</v>
      </c>
      <c r="J3242">
        <v>0</v>
      </c>
      <c r="K3242">
        <v>0</v>
      </c>
      <c r="L3242">
        <v>0</v>
      </c>
      <c r="M3242">
        <v>0</v>
      </c>
      <c r="N3242">
        <v>0</v>
      </c>
      <c r="O3242">
        <v>0</v>
      </c>
      <c r="P3242">
        <v>0</v>
      </c>
      <c r="Q3242">
        <v>0</v>
      </c>
      <c r="R3242">
        <v>0</v>
      </c>
      <c r="S3242">
        <v>0</v>
      </c>
      <c r="T3242">
        <v>0</v>
      </c>
      <c r="U3242">
        <v>0</v>
      </c>
      <c r="V3242">
        <v>0</v>
      </c>
      <c r="W3242">
        <v>0</v>
      </c>
      <c r="X3242">
        <v>0</v>
      </c>
      <c r="Y3242" t="s">
        <v>31</v>
      </c>
      <c r="AA3242">
        <v>0</v>
      </c>
    </row>
    <row r="3243" spans="1:27" x14ac:dyDescent="0.2">
      <c r="A3243" t="s">
        <v>1678</v>
      </c>
      <c r="B3243">
        <v>2019</v>
      </c>
      <c r="C3243">
        <v>52386060</v>
      </c>
      <c r="D3243" t="s">
        <v>4207</v>
      </c>
      <c r="E3243" t="s">
        <v>29</v>
      </c>
      <c r="F3243" t="s">
        <v>30</v>
      </c>
      <c r="G3243">
        <v>7</v>
      </c>
      <c r="H3243">
        <v>0</v>
      </c>
      <c r="I3243">
        <v>0</v>
      </c>
      <c r="J3243">
        <v>0</v>
      </c>
      <c r="K3243">
        <v>0</v>
      </c>
      <c r="L3243">
        <v>0</v>
      </c>
      <c r="M3243">
        <v>7</v>
      </c>
      <c r="N3243">
        <v>0</v>
      </c>
      <c r="O3243">
        <v>0</v>
      </c>
      <c r="P3243">
        <v>0</v>
      </c>
      <c r="Q3243">
        <v>0</v>
      </c>
      <c r="R3243">
        <v>0</v>
      </c>
      <c r="S3243">
        <v>7</v>
      </c>
      <c r="T3243">
        <v>0</v>
      </c>
      <c r="U3243">
        <v>0</v>
      </c>
      <c r="V3243">
        <v>0</v>
      </c>
      <c r="W3243">
        <v>0</v>
      </c>
      <c r="X3243">
        <v>0</v>
      </c>
      <c r="Y3243" t="s">
        <v>51</v>
      </c>
      <c r="AA3243">
        <v>0</v>
      </c>
    </row>
    <row r="3244" spans="1:27" x14ac:dyDescent="0.2">
      <c r="A3244" t="s">
        <v>1418</v>
      </c>
      <c r="B3244">
        <v>2023</v>
      </c>
      <c r="C3244" t="s">
        <v>4208</v>
      </c>
      <c r="D3244" t="s">
        <v>4209</v>
      </c>
      <c r="E3244" t="s">
        <v>29</v>
      </c>
      <c r="F3244" t="s">
        <v>30</v>
      </c>
      <c r="G3244">
        <v>0</v>
      </c>
      <c r="H3244">
        <v>0</v>
      </c>
      <c r="I3244">
        <v>0</v>
      </c>
      <c r="J3244">
        <v>0</v>
      </c>
      <c r="K3244">
        <v>0</v>
      </c>
      <c r="L3244">
        <v>0</v>
      </c>
      <c r="M3244">
        <v>16</v>
      </c>
      <c r="N3244">
        <v>0</v>
      </c>
      <c r="O3244">
        <v>17</v>
      </c>
      <c r="P3244">
        <v>0</v>
      </c>
      <c r="Q3244">
        <v>17</v>
      </c>
      <c r="R3244">
        <v>0</v>
      </c>
      <c r="S3244">
        <v>0</v>
      </c>
      <c r="T3244">
        <v>0</v>
      </c>
      <c r="U3244">
        <v>0</v>
      </c>
      <c r="V3244">
        <v>0</v>
      </c>
      <c r="W3244">
        <v>0</v>
      </c>
      <c r="X3244">
        <v>0</v>
      </c>
      <c r="Y3244" t="s">
        <v>51</v>
      </c>
      <c r="Z3244">
        <v>55</v>
      </c>
      <c r="AA3244">
        <v>0</v>
      </c>
    </row>
    <row r="3245" spans="1:27" x14ac:dyDescent="0.2">
      <c r="A3245" t="s">
        <v>38</v>
      </c>
      <c r="B3245">
        <v>2018</v>
      </c>
      <c r="C3245" t="s">
        <v>4210</v>
      </c>
      <c r="D3245" t="s">
        <v>2893</v>
      </c>
      <c r="E3245" t="s">
        <v>29</v>
      </c>
      <c r="F3245" t="s">
        <v>30</v>
      </c>
      <c r="G3245">
        <v>0</v>
      </c>
      <c r="H3245">
        <v>0</v>
      </c>
      <c r="I3245">
        <v>5</v>
      </c>
      <c r="J3245">
        <v>0</v>
      </c>
      <c r="K3245">
        <v>0</v>
      </c>
      <c r="L3245">
        <v>0</v>
      </c>
      <c r="M3245">
        <v>0</v>
      </c>
      <c r="N3245">
        <v>0</v>
      </c>
      <c r="O3245">
        <v>5</v>
      </c>
      <c r="P3245">
        <v>0</v>
      </c>
      <c r="Q3245">
        <v>0</v>
      </c>
      <c r="R3245">
        <v>0</v>
      </c>
      <c r="S3245">
        <v>0</v>
      </c>
      <c r="T3245">
        <v>0</v>
      </c>
      <c r="U3245">
        <v>0</v>
      </c>
      <c r="V3245">
        <v>0</v>
      </c>
      <c r="W3245">
        <v>0</v>
      </c>
      <c r="X3245">
        <v>0</v>
      </c>
      <c r="Y3245" t="s">
        <v>31</v>
      </c>
      <c r="Z3245">
        <v>55</v>
      </c>
      <c r="AA3245">
        <v>0</v>
      </c>
    </row>
    <row r="3246" spans="1:27" ht="85" x14ac:dyDescent="0.2">
      <c r="A3246" t="s">
        <v>711</v>
      </c>
      <c r="B3246">
        <v>2023</v>
      </c>
      <c r="C3246" t="s">
        <v>2851</v>
      </c>
      <c r="D3246" s="1" t="s">
        <v>4211</v>
      </c>
      <c r="E3246" t="s">
        <v>29</v>
      </c>
      <c r="F3246" t="s">
        <v>30</v>
      </c>
      <c r="G3246">
        <v>0</v>
      </c>
      <c r="H3246">
        <v>0</v>
      </c>
      <c r="I3246">
        <v>0</v>
      </c>
      <c r="J3246">
        <v>0</v>
      </c>
      <c r="K3246">
        <v>0</v>
      </c>
      <c r="L3246">
        <v>0</v>
      </c>
      <c r="M3246">
        <v>0</v>
      </c>
      <c r="N3246">
        <v>0</v>
      </c>
      <c r="O3246">
        <v>0</v>
      </c>
      <c r="P3246">
        <v>0</v>
      </c>
      <c r="Q3246">
        <v>0</v>
      </c>
      <c r="R3246">
        <v>0</v>
      </c>
      <c r="S3246">
        <v>0</v>
      </c>
      <c r="T3246">
        <v>0</v>
      </c>
      <c r="U3246">
        <v>0</v>
      </c>
      <c r="V3246">
        <v>0</v>
      </c>
      <c r="W3246">
        <v>22</v>
      </c>
      <c r="X3246">
        <v>0</v>
      </c>
      <c r="Y3246" t="s">
        <v>51</v>
      </c>
      <c r="Z3246">
        <v>55</v>
      </c>
      <c r="AA3246">
        <v>0</v>
      </c>
    </row>
    <row r="3247" spans="1:27" x14ac:dyDescent="0.2">
      <c r="A3247" t="s">
        <v>1247</v>
      </c>
      <c r="B3247">
        <v>2023</v>
      </c>
      <c r="C3247">
        <v>36091051</v>
      </c>
      <c r="D3247" t="s">
        <v>4212</v>
      </c>
      <c r="E3247" t="s">
        <v>29</v>
      </c>
      <c r="F3247" t="s">
        <v>30</v>
      </c>
      <c r="G3247">
        <v>0</v>
      </c>
      <c r="H3247">
        <v>0</v>
      </c>
      <c r="I3247">
        <v>0</v>
      </c>
      <c r="J3247">
        <v>0</v>
      </c>
      <c r="K3247">
        <v>50</v>
      </c>
      <c r="L3247">
        <v>0</v>
      </c>
      <c r="M3247">
        <v>0</v>
      </c>
      <c r="N3247">
        <v>0</v>
      </c>
      <c r="O3247">
        <v>0</v>
      </c>
      <c r="P3247">
        <v>0</v>
      </c>
      <c r="Q3247">
        <v>0</v>
      </c>
      <c r="R3247">
        <v>0</v>
      </c>
      <c r="S3247">
        <v>0</v>
      </c>
      <c r="T3247">
        <v>0</v>
      </c>
      <c r="U3247">
        <v>0</v>
      </c>
      <c r="V3247">
        <v>0</v>
      </c>
      <c r="W3247">
        <v>0</v>
      </c>
      <c r="X3247">
        <v>0</v>
      </c>
      <c r="Y3247" t="s">
        <v>51</v>
      </c>
      <c r="Z3247">
        <v>55</v>
      </c>
      <c r="AA3247">
        <v>0</v>
      </c>
    </row>
    <row r="3248" spans="1:27" x14ac:dyDescent="0.2">
      <c r="A3248" t="s">
        <v>1247</v>
      </c>
      <c r="B3248">
        <v>2023</v>
      </c>
      <c r="C3248">
        <v>9333018</v>
      </c>
      <c r="D3248" t="s">
        <v>4213</v>
      </c>
      <c r="E3248" t="s">
        <v>29</v>
      </c>
      <c r="F3248" t="s">
        <v>30</v>
      </c>
      <c r="G3248">
        <v>0</v>
      </c>
      <c r="H3248">
        <v>0</v>
      </c>
      <c r="I3248">
        <v>0</v>
      </c>
      <c r="J3248">
        <v>0</v>
      </c>
      <c r="K3248">
        <v>0</v>
      </c>
      <c r="L3248">
        <v>0</v>
      </c>
      <c r="M3248">
        <v>0</v>
      </c>
      <c r="N3248">
        <v>0</v>
      </c>
      <c r="O3248">
        <v>63</v>
      </c>
      <c r="P3248">
        <v>0</v>
      </c>
      <c r="Q3248">
        <v>0</v>
      </c>
      <c r="R3248">
        <v>0</v>
      </c>
      <c r="S3248">
        <v>0</v>
      </c>
      <c r="T3248">
        <v>0</v>
      </c>
      <c r="U3248">
        <v>0</v>
      </c>
      <c r="V3248">
        <v>0</v>
      </c>
      <c r="W3248">
        <v>0</v>
      </c>
      <c r="X3248">
        <v>0</v>
      </c>
      <c r="Y3248" t="s">
        <v>31</v>
      </c>
      <c r="Z3248">
        <v>55</v>
      </c>
      <c r="AA3248">
        <v>100</v>
      </c>
    </row>
    <row r="3249" spans="1:27" x14ac:dyDescent="0.2">
      <c r="A3249" t="s">
        <v>547</v>
      </c>
      <c r="B3249">
        <v>2018</v>
      </c>
      <c r="C3249">
        <v>5148024026</v>
      </c>
      <c r="D3249" t="s">
        <v>4214</v>
      </c>
      <c r="E3249" t="s">
        <v>29</v>
      </c>
      <c r="F3249" t="s">
        <v>30</v>
      </c>
      <c r="G3249">
        <v>98</v>
      </c>
      <c r="H3249">
        <v>0</v>
      </c>
      <c r="I3249">
        <v>0</v>
      </c>
      <c r="J3249">
        <v>0</v>
      </c>
      <c r="K3249">
        <v>0</v>
      </c>
      <c r="L3249">
        <v>0</v>
      </c>
      <c r="M3249">
        <v>98</v>
      </c>
      <c r="N3249">
        <v>0</v>
      </c>
      <c r="O3249">
        <v>0</v>
      </c>
      <c r="P3249">
        <v>0</v>
      </c>
      <c r="Q3249">
        <v>0</v>
      </c>
      <c r="R3249">
        <v>1</v>
      </c>
      <c r="S3249">
        <v>0</v>
      </c>
      <c r="T3249">
        <v>0</v>
      </c>
      <c r="U3249">
        <v>0</v>
      </c>
      <c r="V3249">
        <v>0</v>
      </c>
      <c r="W3249">
        <v>0</v>
      </c>
      <c r="X3249">
        <v>0</v>
      </c>
      <c r="Y3249" t="s">
        <v>31</v>
      </c>
      <c r="Z3249">
        <v>55</v>
      </c>
      <c r="AA3249">
        <v>0</v>
      </c>
    </row>
    <row r="3250" spans="1:27" x14ac:dyDescent="0.2">
      <c r="A3250" t="s">
        <v>547</v>
      </c>
      <c r="B3250">
        <v>2018</v>
      </c>
      <c r="C3250">
        <v>2353023018</v>
      </c>
      <c r="D3250" t="s">
        <v>4215</v>
      </c>
      <c r="E3250" t="s">
        <v>29</v>
      </c>
      <c r="F3250" t="s">
        <v>30</v>
      </c>
      <c r="G3250">
        <v>0</v>
      </c>
      <c r="H3250">
        <v>0</v>
      </c>
      <c r="I3250">
        <v>0</v>
      </c>
      <c r="J3250">
        <v>0</v>
      </c>
      <c r="K3250">
        <v>0</v>
      </c>
      <c r="L3250">
        <v>0</v>
      </c>
      <c r="M3250">
        <v>6</v>
      </c>
      <c r="N3250">
        <v>0</v>
      </c>
      <c r="O3250">
        <v>0</v>
      </c>
      <c r="P3250">
        <v>0</v>
      </c>
      <c r="Q3250">
        <v>0</v>
      </c>
      <c r="R3250">
        <v>0</v>
      </c>
      <c r="S3250">
        <v>0</v>
      </c>
      <c r="T3250">
        <v>0</v>
      </c>
      <c r="U3250">
        <v>0</v>
      </c>
      <c r="V3250">
        <v>0</v>
      </c>
      <c r="W3250">
        <v>0</v>
      </c>
      <c r="X3250">
        <v>0</v>
      </c>
      <c r="Y3250" t="s">
        <v>31</v>
      </c>
      <c r="Z3250">
        <v>55</v>
      </c>
      <c r="AA3250">
        <v>0</v>
      </c>
    </row>
    <row r="3251" spans="1:27" x14ac:dyDescent="0.2">
      <c r="A3251" t="s">
        <v>547</v>
      </c>
      <c r="B3251">
        <v>2018</v>
      </c>
      <c r="C3251">
        <v>5536004003</v>
      </c>
      <c r="D3251" t="s">
        <v>4216</v>
      </c>
      <c r="E3251" t="s">
        <v>29</v>
      </c>
      <c r="F3251" t="s">
        <v>30</v>
      </c>
      <c r="G3251">
        <v>1</v>
      </c>
      <c r="H3251">
        <v>0</v>
      </c>
      <c r="I3251">
        <v>0</v>
      </c>
      <c r="J3251">
        <v>0</v>
      </c>
      <c r="K3251">
        <v>0</v>
      </c>
      <c r="L3251">
        <v>0</v>
      </c>
      <c r="M3251">
        <v>1</v>
      </c>
      <c r="N3251">
        <v>0</v>
      </c>
      <c r="O3251">
        <v>0</v>
      </c>
      <c r="P3251">
        <v>0</v>
      </c>
      <c r="Q3251">
        <v>0</v>
      </c>
      <c r="R3251">
        <v>0</v>
      </c>
      <c r="S3251">
        <v>0</v>
      </c>
      <c r="T3251">
        <v>0</v>
      </c>
      <c r="U3251">
        <v>0</v>
      </c>
      <c r="V3251">
        <v>0</v>
      </c>
      <c r="W3251">
        <v>0</v>
      </c>
      <c r="X3251">
        <v>0</v>
      </c>
      <c r="Y3251" t="s">
        <v>31</v>
      </c>
      <c r="Z3251">
        <v>55</v>
      </c>
      <c r="AA3251">
        <v>0</v>
      </c>
    </row>
    <row r="3252" spans="1:27" x14ac:dyDescent="0.2">
      <c r="A3252" t="s">
        <v>547</v>
      </c>
      <c r="B3252">
        <v>2018</v>
      </c>
      <c r="C3252">
        <v>5404008010</v>
      </c>
      <c r="D3252" t="s">
        <v>4217</v>
      </c>
      <c r="E3252" t="s">
        <v>29</v>
      </c>
      <c r="F3252" t="s">
        <v>30</v>
      </c>
      <c r="G3252">
        <v>0</v>
      </c>
      <c r="H3252">
        <v>0</v>
      </c>
      <c r="I3252">
        <v>0</v>
      </c>
      <c r="J3252">
        <v>0</v>
      </c>
      <c r="K3252">
        <v>0</v>
      </c>
      <c r="L3252">
        <v>0</v>
      </c>
      <c r="M3252">
        <v>4</v>
      </c>
      <c r="N3252">
        <v>0</v>
      </c>
      <c r="O3252">
        <v>0</v>
      </c>
      <c r="P3252">
        <v>0</v>
      </c>
      <c r="Q3252">
        <v>0</v>
      </c>
      <c r="R3252">
        <v>0</v>
      </c>
      <c r="S3252">
        <v>0</v>
      </c>
      <c r="T3252">
        <v>0</v>
      </c>
      <c r="U3252">
        <v>0</v>
      </c>
      <c r="V3252">
        <v>0</v>
      </c>
      <c r="W3252">
        <v>0</v>
      </c>
      <c r="X3252">
        <v>0</v>
      </c>
      <c r="Y3252" t="s">
        <v>31</v>
      </c>
      <c r="Z3252">
        <v>55</v>
      </c>
      <c r="AA3252">
        <v>0</v>
      </c>
    </row>
    <row r="3253" spans="1:27" x14ac:dyDescent="0.2">
      <c r="A3253" t="s">
        <v>547</v>
      </c>
      <c r="B3253">
        <v>2018</v>
      </c>
      <c r="C3253">
        <v>5442010027</v>
      </c>
      <c r="D3253" t="s">
        <v>4218</v>
      </c>
      <c r="E3253" t="s">
        <v>29</v>
      </c>
      <c r="F3253" t="s">
        <v>30</v>
      </c>
      <c r="G3253">
        <v>5</v>
      </c>
      <c r="H3253">
        <v>0</v>
      </c>
      <c r="I3253">
        <v>0</v>
      </c>
      <c r="J3253">
        <v>0</v>
      </c>
      <c r="K3253">
        <v>0</v>
      </c>
      <c r="L3253">
        <v>0</v>
      </c>
      <c r="M3253">
        <v>0</v>
      </c>
      <c r="N3253">
        <v>0</v>
      </c>
      <c r="O3253">
        <v>0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</v>
      </c>
      <c r="V3253">
        <v>0</v>
      </c>
      <c r="W3253">
        <v>0</v>
      </c>
      <c r="X3253">
        <v>0</v>
      </c>
      <c r="Y3253" t="s">
        <v>31</v>
      </c>
      <c r="Z3253">
        <v>55</v>
      </c>
      <c r="AA3253">
        <v>0</v>
      </c>
    </row>
    <row r="3254" spans="1:27" x14ac:dyDescent="0.2">
      <c r="A3254" t="s">
        <v>547</v>
      </c>
      <c r="B3254">
        <v>2018</v>
      </c>
      <c r="C3254">
        <v>5040019024</v>
      </c>
      <c r="D3254" t="s">
        <v>4219</v>
      </c>
      <c r="E3254" t="s">
        <v>29</v>
      </c>
      <c r="F3254" t="s">
        <v>30</v>
      </c>
      <c r="G3254">
        <v>0</v>
      </c>
      <c r="H3254">
        <v>0</v>
      </c>
      <c r="I3254">
        <v>0</v>
      </c>
      <c r="J3254">
        <v>0</v>
      </c>
      <c r="K3254">
        <v>0</v>
      </c>
      <c r="L3254">
        <v>0</v>
      </c>
      <c r="M3254">
        <v>0</v>
      </c>
      <c r="N3254">
        <v>0</v>
      </c>
      <c r="O3254">
        <v>1</v>
      </c>
      <c r="P3254">
        <v>0</v>
      </c>
      <c r="Q3254">
        <v>0</v>
      </c>
      <c r="R3254">
        <v>0</v>
      </c>
      <c r="S3254">
        <v>0</v>
      </c>
      <c r="T3254">
        <v>0</v>
      </c>
      <c r="U3254">
        <v>0</v>
      </c>
      <c r="V3254">
        <v>0</v>
      </c>
      <c r="W3254">
        <v>0</v>
      </c>
      <c r="X3254">
        <v>0</v>
      </c>
      <c r="Y3254" t="s">
        <v>31</v>
      </c>
      <c r="Z3254">
        <v>55</v>
      </c>
      <c r="AA3254">
        <v>0</v>
      </c>
    </row>
    <row r="3255" spans="1:27" x14ac:dyDescent="0.2">
      <c r="A3255" t="s">
        <v>547</v>
      </c>
      <c r="B3255">
        <v>2018</v>
      </c>
      <c r="C3255">
        <v>4313003009</v>
      </c>
      <c r="D3255" t="s">
        <v>4220</v>
      </c>
      <c r="E3255" t="s">
        <v>29</v>
      </c>
      <c r="F3255" t="s">
        <v>30</v>
      </c>
      <c r="G3255">
        <v>0</v>
      </c>
      <c r="H3255">
        <v>0</v>
      </c>
      <c r="I3255">
        <v>0</v>
      </c>
      <c r="J3255">
        <v>0</v>
      </c>
      <c r="K3255">
        <v>0</v>
      </c>
      <c r="L3255">
        <v>0</v>
      </c>
      <c r="M3255">
        <v>1</v>
      </c>
      <c r="N3255">
        <v>0</v>
      </c>
      <c r="O3255">
        <v>0</v>
      </c>
      <c r="P3255">
        <v>0</v>
      </c>
      <c r="Q3255">
        <v>0</v>
      </c>
      <c r="R3255">
        <v>0</v>
      </c>
      <c r="S3255">
        <v>0</v>
      </c>
      <c r="T3255">
        <v>0</v>
      </c>
      <c r="U3255">
        <v>0</v>
      </c>
      <c r="V3255">
        <v>0</v>
      </c>
      <c r="W3255">
        <v>0</v>
      </c>
      <c r="X3255">
        <v>0</v>
      </c>
      <c r="Y3255" t="s">
        <v>31</v>
      </c>
      <c r="Z3255">
        <v>55</v>
      </c>
      <c r="AA3255">
        <v>0</v>
      </c>
    </row>
    <row r="3256" spans="1:27" x14ac:dyDescent="0.2">
      <c r="A3256" t="s">
        <v>547</v>
      </c>
      <c r="B3256">
        <v>2018</v>
      </c>
      <c r="C3256">
        <v>2210031012</v>
      </c>
      <c r="D3256" t="s">
        <v>4221</v>
      </c>
      <c r="E3256" t="s">
        <v>29</v>
      </c>
      <c r="F3256" t="s">
        <v>30</v>
      </c>
      <c r="G3256">
        <v>0</v>
      </c>
      <c r="H3256">
        <v>0</v>
      </c>
      <c r="I3256">
        <v>0</v>
      </c>
      <c r="J3256">
        <v>0</v>
      </c>
      <c r="K3256">
        <v>0</v>
      </c>
      <c r="L3256">
        <v>0</v>
      </c>
      <c r="M3256">
        <v>4</v>
      </c>
      <c r="N3256">
        <v>0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0</v>
      </c>
      <c r="U3256">
        <v>0</v>
      </c>
      <c r="V3256">
        <v>0</v>
      </c>
      <c r="W3256">
        <v>0</v>
      </c>
      <c r="X3256">
        <v>0</v>
      </c>
      <c r="Y3256" t="s">
        <v>31</v>
      </c>
      <c r="Z3256">
        <v>55</v>
      </c>
      <c r="AA3256">
        <v>0</v>
      </c>
    </row>
    <row r="3257" spans="1:27" x14ac:dyDescent="0.2">
      <c r="A3257" t="s">
        <v>547</v>
      </c>
      <c r="B3257">
        <v>2018</v>
      </c>
      <c r="C3257">
        <v>2350001020</v>
      </c>
      <c r="D3257" t="s">
        <v>4222</v>
      </c>
      <c r="E3257" t="s">
        <v>29</v>
      </c>
      <c r="F3257" t="s">
        <v>30</v>
      </c>
      <c r="G3257">
        <v>0</v>
      </c>
      <c r="H3257">
        <v>0</v>
      </c>
      <c r="I3257">
        <v>0</v>
      </c>
      <c r="J3257">
        <v>0</v>
      </c>
      <c r="K3257">
        <v>0</v>
      </c>
      <c r="L3257">
        <v>0</v>
      </c>
      <c r="M3257">
        <v>2</v>
      </c>
      <c r="N3257">
        <v>0</v>
      </c>
      <c r="O3257">
        <v>0</v>
      </c>
      <c r="P3257">
        <v>0</v>
      </c>
      <c r="Q3257">
        <v>0</v>
      </c>
      <c r="R3257">
        <v>0</v>
      </c>
      <c r="S3257">
        <v>0</v>
      </c>
      <c r="T3257">
        <v>0</v>
      </c>
      <c r="U3257">
        <v>0</v>
      </c>
      <c r="V3257">
        <v>0</v>
      </c>
      <c r="W3257">
        <v>0</v>
      </c>
      <c r="X3257">
        <v>0</v>
      </c>
      <c r="Y3257" t="s">
        <v>31</v>
      </c>
      <c r="Z3257">
        <v>55</v>
      </c>
      <c r="AA3257">
        <v>0</v>
      </c>
    </row>
    <row r="3258" spans="1:27" x14ac:dyDescent="0.2">
      <c r="A3258" t="s">
        <v>547</v>
      </c>
      <c r="B3258">
        <v>2018</v>
      </c>
      <c r="C3258">
        <v>4006022018</v>
      </c>
      <c r="D3258" t="s">
        <v>4223</v>
      </c>
      <c r="E3258" t="s">
        <v>29</v>
      </c>
      <c r="F3258" t="s">
        <v>30</v>
      </c>
      <c r="G3258">
        <v>0</v>
      </c>
      <c r="H3258">
        <v>0</v>
      </c>
      <c r="I3258">
        <v>0</v>
      </c>
      <c r="J3258">
        <v>0</v>
      </c>
      <c r="K3258">
        <v>0</v>
      </c>
      <c r="L3258">
        <v>0</v>
      </c>
      <c r="M3258">
        <v>2</v>
      </c>
      <c r="N3258">
        <v>0</v>
      </c>
      <c r="O3258">
        <v>0</v>
      </c>
      <c r="P3258">
        <v>0</v>
      </c>
      <c r="Q3258">
        <v>0</v>
      </c>
      <c r="R3258">
        <v>0</v>
      </c>
      <c r="S3258">
        <v>0</v>
      </c>
      <c r="T3258">
        <v>0</v>
      </c>
      <c r="U3258">
        <v>0</v>
      </c>
      <c r="V3258">
        <v>0</v>
      </c>
      <c r="W3258">
        <v>0</v>
      </c>
      <c r="X3258">
        <v>0</v>
      </c>
      <c r="Y3258" t="s">
        <v>31</v>
      </c>
      <c r="Z3258">
        <v>55</v>
      </c>
      <c r="AA3258">
        <v>0</v>
      </c>
    </row>
    <row r="3259" spans="1:27" x14ac:dyDescent="0.2">
      <c r="A3259" t="s">
        <v>547</v>
      </c>
      <c r="B3259">
        <v>2018</v>
      </c>
      <c r="C3259">
        <v>2346006055</v>
      </c>
      <c r="D3259" t="s">
        <v>4224</v>
      </c>
      <c r="E3259" t="s">
        <v>29</v>
      </c>
      <c r="F3259" t="s">
        <v>30</v>
      </c>
      <c r="G3259">
        <v>0</v>
      </c>
      <c r="H3259">
        <v>0</v>
      </c>
      <c r="I3259">
        <v>0</v>
      </c>
      <c r="J3259">
        <v>0</v>
      </c>
      <c r="K3259">
        <v>0</v>
      </c>
      <c r="L3259">
        <v>0</v>
      </c>
      <c r="M3259">
        <v>0</v>
      </c>
      <c r="N3259">
        <v>0</v>
      </c>
      <c r="O3259">
        <v>0</v>
      </c>
      <c r="P3259">
        <v>0</v>
      </c>
      <c r="Q3259">
        <v>1</v>
      </c>
      <c r="R3259">
        <v>0</v>
      </c>
      <c r="S3259">
        <v>0</v>
      </c>
      <c r="T3259">
        <v>0</v>
      </c>
      <c r="U3259">
        <v>0</v>
      </c>
      <c r="V3259">
        <v>0</v>
      </c>
      <c r="W3259">
        <v>1</v>
      </c>
      <c r="X3259">
        <v>0</v>
      </c>
      <c r="Y3259" t="s">
        <v>31</v>
      </c>
      <c r="Z3259">
        <v>55</v>
      </c>
      <c r="AA3259">
        <v>0</v>
      </c>
    </row>
    <row r="3260" spans="1:27" x14ac:dyDescent="0.2">
      <c r="A3260" t="s">
        <v>547</v>
      </c>
      <c r="B3260">
        <v>2018</v>
      </c>
      <c r="C3260">
        <v>5536011017</v>
      </c>
      <c r="D3260" t="s">
        <v>4225</v>
      </c>
      <c r="E3260" t="s">
        <v>29</v>
      </c>
      <c r="F3260" t="s">
        <v>30</v>
      </c>
      <c r="G3260">
        <v>4</v>
      </c>
      <c r="H3260">
        <v>0</v>
      </c>
      <c r="I3260">
        <v>0</v>
      </c>
      <c r="J3260">
        <v>0</v>
      </c>
      <c r="K3260">
        <v>0</v>
      </c>
      <c r="L3260">
        <v>0</v>
      </c>
      <c r="M3260">
        <v>0</v>
      </c>
      <c r="N3260">
        <v>0</v>
      </c>
      <c r="O3260">
        <v>0</v>
      </c>
      <c r="P3260">
        <v>0</v>
      </c>
      <c r="Q3260">
        <v>0</v>
      </c>
      <c r="R3260">
        <v>0</v>
      </c>
      <c r="S3260">
        <v>0</v>
      </c>
      <c r="T3260">
        <v>0</v>
      </c>
      <c r="U3260">
        <v>0</v>
      </c>
      <c r="V3260">
        <v>0</v>
      </c>
      <c r="W3260">
        <v>0</v>
      </c>
      <c r="X3260">
        <v>0</v>
      </c>
      <c r="Y3260" t="s">
        <v>31</v>
      </c>
      <c r="Z3260">
        <v>55</v>
      </c>
      <c r="AA3260">
        <v>0</v>
      </c>
    </row>
    <row r="3261" spans="1:27" x14ac:dyDescent="0.2">
      <c r="A3261" t="s">
        <v>547</v>
      </c>
      <c r="B3261">
        <v>2018</v>
      </c>
      <c r="C3261">
        <v>5076018014</v>
      </c>
      <c r="D3261" t="s">
        <v>4226</v>
      </c>
      <c r="E3261" t="s">
        <v>29</v>
      </c>
      <c r="F3261" t="s">
        <v>30</v>
      </c>
      <c r="G3261">
        <v>4</v>
      </c>
      <c r="H3261">
        <v>0</v>
      </c>
      <c r="I3261">
        <v>0</v>
      </c>
      <c r="J3261">
        <v>0</v>
      </c>
      <c r="K3261">
        <v>0</v>
      </c>
      <c r="L3261">
        <v>0</v>
      </c>
      <c r="M3261">
        <v>0</v>
      </c>
      <c r="N3261">
        <v>0</v>
      </c>
      <c r="O3261">
        <v>0</v>
      </c>
      <c r="P3261">
        <v>0</v>
      </c>
      <c r="Q3261">
        <v>0</v>
      </c>
      <c r="R3261">
        <v>0</v>
      </c>
      <c r="S3261">
        <v>0</v>
      </c>
      <c r="T3261">
        <v>0</v>
      </c>
      <c r="U3261">
        <v>0</v>
      </c>
      <c r="V3261">
        <v>0</v>
      </c>
      <c r="W3261">
        <v>0</v>
      </c>
      <c r="X3261">
        <v>0</v>
      </c>
      <c r="Y3261" t="s">
        <v>31</v>
      </c>
      <c r="Z3261">
        <v>55</v>
      </c>
      <c r="AA3261">
        <v>0</v>
      </c>
    </row>
    <row r="3262" spans="1:27" x14ac:dyDescent="0.2">
      <c r="A3262" t="s">
        <v>547</v>
      </c>
      <c r="B3262">
        <v>2018</v>
      </c>
      <c r="C3262">
        <v>4248017010</v>
      </c>
      <c r="D3262" t="s">
        <v>4227</v>
      </c>
      <c r="E3262" t="s">
        <v>29</v>
      </c>
      <c r="F3262" t="s">
        <v>30</v>
      </c>
      <c r="G3262">
        <v>3</v>
      </c>
      <c r="H3262">
        <v>0</v>
      </c>
      <c r="I3262">
        <v>0</v>
      </c>
      <c r="J3262">
        <v>0</v>
      </c>
      <c r="K3262">
        <v>0</v>
      </c>
      <c r="L3262">
        <v>0</v>
      </c>
      <c r="M3262">
        <v>0</v>
      </c>
      <c r="N3262">
        <v>0</v>
      </c>
      <c r="O3262">
        <v>0</v>
      </c>
      <c r="P3262">
        <v>0</v>
      </c>
      <c r="Q3262">
        <v>0</v>
      </c>
      <c r="R3262">
        <v>0</v>
      </c>
      <c r="S3262">
        <v>0</v>
      </c>
      <c r="T3262">
        <v>0</v>
      </c>
      <c r="U3262">
        <v>0</v>
      </c>
      <c r="V3262">
        <v>0</v>
      </c>
      <c r="W3262">
        <v>0</v>
      </c>
      <c r="X3262">
        <v>0</v>
      </c>
      <c r="Y3262" t="s">
        <v>31</v>
      </c>
      <c r="Z3262">
        <v>55</v>
      </c>
      <c r="AA3262">
        <v>0</v>
      </c>
    </row>
    <row r="3263" spans="1:27" x14ac:dyDescent="0.2">
      <c r="A3263" t="s">
        <v>547</v>
      </c>
      <c r="B3263">
        <v>2018</v>
      </c>
      <c r="C3263">
        <v>2234024042</v>
      </c>
      <c r="D3263" t="s">
        <v>4228</v>
      </c>
      <c r="E3263" t="s">
        <v>29</v>
      </c>
      <c r="F3263" t="s">
        <v>30</v>
      </c>
      <c r="G3263">
        <v>0</v>
      </c>
      <c r="H3263">
        <v>0</v>
      </c>
      <c r="I3263">
        <v>1</v>
      </c>
      <c r="J3263">
        <v>0</v>
      </c>
      <c r="K3263">
        <v>0</v>
      </c>
      <c r="L3263">
        <v>0</v>
      </c>
      <c r="M3263">
        <v>0</v>
      </c>
      <c r="N3263">
        <v>0</v>
      </c>
      <c r="O3263">
        <v>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0</v>
      </c>
      <c r="V3263">
        <v>0</v>
      </c>
      <c r="W3263">
        <v>0</v>
      </c>
      <c r="X3263">
        <v>0</v>
      </c>
      <c r="Y3263" t="s">
        <v>31</v>
      </c>
      <c r="Z3263">
        <v>55</v>
      </c>
      <c r="AA3263">
        <v>0</v>
      </c>
    </row>
    <row r="3264" spans="1:27" x14ac:dyDescent="0.2">
      <c r="A3264" t="s">
        <v>547</v>
      </c>
      <c r="B3264">
        <v>2018</v>
      </c>
      <c r="C3264">
        <v>5154001019</v>
      </c>
      <c r="D3264" t="s">
        <v>4229</v>
      </c>
      <c r="E3264" t="s">
        <v>29</v>
      </c>
      <c r="F3264" t="s">
        <v>30</v>
      </c>
      <c r="G3264">
        <v>21</v>
      </c>
      <c r="H3264">
        <v>0</v>
      </c>
      <c r="I3264">
        <v>0</v>
      </c>
      <c r="J3264">
        <v>0</v>
      </c>
      <c r="K3264">
        <v>0</v>
      </c>
      <c r="L3264">
        <v>0</v>
      </c>
      <c r="M3264">
        <v>0</v>
      </c>
      <c r="N3264">
        <v>0</v>
      </c>
      <c r="O3264">
        <v>0</v>
      </c>
      <c r="P3264">
        <v>0</v>
      </c>
      <c r="Q3264">
        <v>0</v>
      </c>
      <c r="R3264">
        <v>0</v>
      </c>
      <c r="S3264">
        <v>0</v>
      </c>
      <c r="T3264">
        <v>0</v>
      </c>
      <c r="U3264">
        <v>0</v>
      </c>
      <c r="V3264">
        <v>0</v>
      </c>
      <c r="W3264">
        <v>0</v>
      </c>
      <c r="X3264">
        <v>0</v>
      </c>
      <c r="Y3264" t="s">
        <v>31</v>
      </c>
      <c r="Z3264">
        <v>55</v>
      </c>
      <c r="AA3264">
        <v>0</v>
      </c>
    </row>
    <row r="3265" spans="1:27" x14ac:dyDescent="0.2">
      <c r="A3265" t="s">
        <v>547</v>
      </c>
      <c r="B3265">
        <v>2018</v>
      </c>
      <c r="C3265">
        <v>5501017023</v>
      </c>
      <c r="D3265" t="s">
        <v>4230</v>
      </c>
      <c r="E3265" t="s">
        <v>29</v>
      </c>
      <c r="F3265" t="s">
        <v>30</v>
      </c>
      <c r="G3265">
        <v>0</v>
      </c>
      <c r="H3265">
        <v>0</v>
      </c>
      <c r="I3265">
        <v>5</v>
      </c>
      <c r="J3265">
        <v>0</v>
      </c>
      <c r="K3265">
        <v>0</v>
      </c>
      <c r="L3265">
        <v>0</v>
      </c>
      <c r="M3265">
        <v>0</v>
      </c>
      <c r="N3265">
        <v>0</v>
      </c>
      <c r="O3265">
        <v>0</v>
      </c>
      <c r="P3265">
        <v>0</v>
      </c>
      <c r="Q3265">
        <v>0</v>
      </c>
      <c r="R3265">
        <v>0</v>
      </c>
      <c r="S3265">
        <v>0</v>
      </c>
      <c r="T3265">
        <v>0</v>
      </c>
      <c r="U3265">
        <v>0</v>
      </c>
      <c r="V3265">
        <v>0</v>
      </c>
      <c r="W3265">
        <v>0</v>
      </c>
      <c r="X3265">
        <v>0</v>
      </c>
      <c r="Y3265" t="s">
        <v>31</v>
      </c>
      <c r="Z3265">
        <v>55</v>
      </c>
      <c r="AA3265">
        <v>0</v>
      </c>
    </row>
    <row r="3266" spans="1:27" x14ac:dyDescent="0.2">
      <c r="A3266" t="s">
        <v>547</v>
      </c>
      <c r="B3266">
        <v>2018</v>
      </c>
      <c r="C3266">
        <v>5501004006</v>
      </c>
      <c r="D3266" t="s">
        <v>4231</v>
      </c>
      <c r="E3266" t="s">
        <v>29</v>
      </c>
      <c r="F3266" t="s">
        <v>30</v>
      </c>
      <c r="G3266">
        <v>19</v>
      </c>
      <c r="H3266">
        <v>0</v>
      </c>
      <c r="I3266">
        <v>0</v>
      </c>
      <c r="J3266">
        <v>0</v>
      </c>
      <c r="K3266">
        <v>0</v>
      </c>
      <c r="L3266">
        <v>0</v>
      </c>
      <c r="M3266">
        <v>0</v>
      </c>
      <c r="N3266">
        <v>0</v>
      </c>
      <c r="O3266">
        <v>0</v>
      </c>
      <c r="P3266">
        <v>0</v>
      </c>
      <c r="Q3266">
        <v>0</v>
      </c>
      <c r="R3266">
        <v>0</v>
      </c>
      <c r="S3266">
        <v>0</v>
      </c>
      <c r="T3266">
        <v>0</v>
      </c>
      <c r="U3266">
        <v>0</v>
      </c>
      <c r="V3266">
        <v>0</v>
      </c>
      <c r="W3266">
        <v>0</v>
      </c>
      <c r="X3266">
        <v>0</v>
      </c>
      <c r="Y3266" t="s">
        <v>31</v>
      </c>
      <c r="Z3266">
        <v>55</v>
      </c>
      <c r="AA3266">
        <v>0</v>
      </c>
    </row>
    <row r="3267" spans="1:27" x14ac:dyDescent="0.2">
      <c r="A3267" t="s">
        <v>547</v>
      </c>
      <c r="B3267">
        <v>2018</v>
      </c>
      <c r="C3267">
        <v>5522017028</v>
      </c>
      <c r="D3267" t="s">
        <v>4232</v>
      </c>
      <c r="E3267" t="s">
        <v>29</v>
      </c>
      <c r="F3267" t="s">
        <v>30</v>
      </c>
      <c r="G3267">
        <v>1</v>
      </c>
      <c r="H3267">
        <v>0</v>
      </c>
      <c r="I3267">
        <v>0</v>
      </c>
      <c r="J3267">
        <v>0</v>
      </c>
      <c r="K3267">
        <v>0</v>
      </c>
      <c r="L3267">
        <v>0</v>
      </c>
      <c r="M3267">
        <v>0</v>
      </c>
      <c r="N3267">
        <v>0</v>
      </c>
      <c r="O3267">
        <v>0</v>
      </c>
      <c r="P3267">
        <v>0</v>
      </c>
      <c r="Q3267">
        <v>0</v>
      </c>
      <c r="R3267">
        <v>0</v>
      </c>
      <c r="S3267">
        <v>0</v>
      </c>
      <c r="T3267">
        <v>0</v>
      </c>
      <c r="U3267">
        <v>0</v>
      </c>
      <c r="V3267">
        <v>0</v>
      </c>
      <c r="W3267">
        <v>0</v>
      </c>
      <c r="X3267">
        <v>0</v>
      </c>
      <c r="Y3267" t="s">
        <v>31</v>
      </c>
      <c r="Z3267">
        <v>55</v>
      </c>
      <c r="AA3267">
        <v>0</v>
      </c>
    </row>
    <row r="3268" spans="1:27" x14ac:dyDescent="0.2">
      <c r="A3268" t="s">
        <v>324</v>
      </c>
      <c r="B3268">
        <v>2022</v>
      </c>
      <c r="C3268" t="s">
        <v>4233</v>
      </c>
      <c r="D3268" t="s">
        <v>1561</v>
      </c>
      <c r="E3268" t="s">
        <v>29</v>
      </c>
      <c r="F3268" t="s">
        <v>30</v>
      </c>
      <c r="G3268">
        <v>0</v>
      </c>
      <c r="H3268">
        <v>0</v>
      </c>
      <c r="I3268">
        <v>0</v>
      </c>
      <c r="J3268">
        <v>0</v>
      </c>
      <c r="K3268">
        <v>0</v>
      </c>
      <c r="L3268">
        <v>0</v>
      </c>
      <c r="M3268">
        <v>0</v>
      </c>
      <c r="N3268">
        <v>0</v>
      </c>
      <c r="O3268">
        <v>0</v>
      </c>
      <c r="P3268">
        <v>0</v>
      </c>
      <c r="Q3268">
        <v>0</v>
      </c>
      <c r="R3268">
        <v>0</v>
      </c>
      <c r="S3268">
        <v>0</v>
      </c>
      <c r="T3268">
        <v>0</v>
      </c>
      <c r="U3268">
        <v>0</v>
      </c>
      <c r="V3268">
        <v>0</v>
      </c>
      <c r="W3268">
        <v>13</v>
      </c>
      <c r="X3268">
        <v>0</v>
      </c>
      <c r="Y3268" t="s">
        <v>31</v>
      </c>
      <c r="Z3268">
        <v>30</v>
      </c>
      <c r="AA3268">
        <v>10</v>
      </c>
    </row>
    <row r="3269" spans="1:27" x14ac:dyDescent="0.2">
      <c r="A3269" t="s">
        <v>324</v>
      </c>
      <c r="B3269">
        <v>2022</v>
      </c>
      <c r="C3269" t="s">
        <v>4234</v>
      </c>
      <c r="D3269" t="s">
        <v>4235</v>
      </c>
      <c r="E3269" t="s">
        <v>29</v>
      </c>
      <c r="F3269" t="s">
        <v>30</v>
      </c>
      <c r="G3269">
        <v>0</v>
      </c>
      <c r="H3269">
        <v>0</v>
      </c>
      <c r="I3269">
        <v>0</v>
      </c>
      <c r="J3269">
        <v>0</v>
      </c>
      <c r="K3269">
        <v>0</v>
      </c>
      <c r="L3269">
        <v>0</v>
      </c>
      <c r="M3269">
        <v>0</v>
      </c>
      <c r="N3269">
        <v>0</v>
      </c>
      <c r="O3269">
        <v>43</v>
      </c>
      <c r="P3269">
        <v>0</v>
      </c>
      <c r="Q3269">
        <v>0</v>
      </c>
      <c r="R3269">
        <v>0</v>
      </c>
      <c r="S3269">
        <v>0</v>
      </c>
      <c r="T3269">
        <v>0</v>
      </c>
      <c r="U3269">
        <v>0</v>
      </c>
      <c r="V3269">
        <v>0</v>
      </c>
      <c r="W3269">
        <v>0</v>
      </c>
      <c r="X3269">
        <v>0</v>
      </c>
      <c r="Y3269" t="s">
        <v>31</v>
      </c>
      <c r="Z3269">
        <v>55</v>
      </c>
      <c r="AA3269" s="2" t="s">
        <v>4236</v>
      </c>
    </row>
    <row r="3270" spans="1:27" x14ac:dyDescent="0.2">
      <c r="A3270" t="s">
        <v>547</v>
      </c>
      <c r="B3270">
        <v>2018</v>
      </c>
      <c r="C3270">
        <v>5545009031</v>
      </c>
      <c r="D3270" t="s">
        <v>4237</v>
      </c>
      <c r="E3270" t="s">
        <v>29</v>
      </c>
      <c r="F3270" t="s">
        <v>30</v>
      </c>
      <c r="G3270">
        <v>15</v>
      </c>
      <c r="H3270">
        <v>0</v>
      </c>
      <c r="I3270">
        <v>0</v>
      </c>
      <c r="J3270">
        <v>0</v>
      </c>
      <c r="K3270">
        <v>15</v>
      </c>
      <c r="L3270">
        <v>0</v>
      </c>
      <c r="M3270">
        <v>0</v>
      </c>
      <c r="N3270">
        <v>0</v>
      </c>
      <c r="O3270">
        <v>0</v>
      </c>
      <c r="P3270">
        <v>0</v>
      </c>
      <c r="Q3270">
        <v>0</v>
      </c>
      <c r="R3270">
        <v>0</v>
      </c>
      <c r="S3270">
        <v>0</v>
      </c>
      <c r="T3270">
        <v>0</v>
      </c>
      <c r="U3270">
        <v>0</v>
      </c>
      <c r="V3270">
        <v>0</v>
      </c>
      <c r="W3270">
        <v>0</v>
      </c>
      <c r="X3270">
        <v>0</v>
      </c>
      <c r="Y3270" t="s">
        <v>31</v>
      </c>
      <c r="Z3270">
        <v>55</v>
      </c>
      <c r="AA3270">
        <v>0</v>
      </c>
    </row>
    <row r="3271" spans="1:27" x14ac:dyDescent="0.2">
      <c r="A3271" t="s">
        <v>547</v>
      </c>
      <c r="B3271">
        <v>2018</v>
      </c>
      <c r="C3271">
        <v>5092028020</v>
      </c>
      <c r="D3271" t="s">
        <v>4238</v>
      </c>
      <c r="E3271" t="s">
        <v>29</v>
      </c>
      <c r="F3271" t="s">
        <v>30</v>
      </c>
      <c r="G3271">
        <v>4</v>
      </c>
      <c r="H3271">
        <v>0</v>
      </c>
      <c r="I3271">
        <v>0</v>
      </c>
      <c r="J3271">
        <v>0</v>
      </c>
      <c r="K3271">
        <v>0</v>
      </c>
      <c r="L3271">
        <v>0</v>
      </c>
      <c r="M3271">
        <v>0</v>
      </c>
      <c r="N3271">
        <v>0</v>
      </c>
      <c r="O3271">
        <v>0</v>
      </c>
      <c r="P3271">
        <v>0</v>
      </c>
      <c r="Q3271">
        <v>0</v>
      </c>
      <c r="R3271">
        <v>0</v>
      </c>
      <c r="S3271">
        <v>0</v>
      </c>
      <c r="T3271">
        <v>0</v>
      </c>
      <c r="U3271">
        <v>0</v>
      </c>
      <c r="V3271">
        <v>0</v>
      </c>
      <c r="W3271">
        <v>0</v>
      </c>
      <c r="X3271">
        <v>0</v>
      </c>
      <c r="Y3271" t="s">
        <v>31</v>
      </c>
      <c r="Z3271">
        <v>55</v>
      </c>
      <c r="AA3271">
        <v>0</v>
      </c>
    </row>
    <row r="3272" spans="1:27" x14ac:dyDescent="0.2">
      <c r="A3272" t="s">
        <v>1197</v>
      </c>
      <c r="B3272">
        <v>2018</v>
      </c>
      <c r="C3272" t="s">
        <v>2120</v>
      </c>
      <c r="D3272" t="s">
        <v>4076</v>
      </c>
      <c r="E3272" t="s">
        <v>29</v>
      </c>
      <c r="F3272" t="s">
        <v>41</v>
      </c>
      <c r="G3272">
        <v>0</v>
      </c>
      <c r="H3272">
        <v>0</v>
      </c>
      <c r="I3272">
        <v>0</v>
      </c>
      <c r="J3272">
        <v>0</v>
      </c>
      <c r="K3272">
        <v>0</v>
      </c>
      <c r="L3272">
        <v>0</v>
      </c>
      <c r="M3272">
        <v>0</v>
      </c>
      <c r="N3272">
        <v>0</v>
      </c>
      <c r="O3272">
        <v>0</v>
      </c>
      <c r="P3272">
        <v>0</v>
      </c>
      <c r="Q3272">
        <v>0</v>
      </c>
      <c r="R3272">
        <v>0</v>
      </c>
      <c r="S3272">
        <v>0</v>
      </c>
      <c r="T3272">
        <v>0</v>
      </c>
      <c r="U3272">
        <v>0</v>
      </c>
      <c r="V3272">
        <v>0</v>
      </c>
      <c r="W3272">
        <v>0</v>
      </c>
      <c r="X3272">
        <v>0</v>
      </c>
      <c r="Y3272" t="s">
        <v>51</v>
      </c>
      <c r="Z3272">
        <v>45</v>
      </c>
      <c r="AA3272">
        <v>0</v>
      </c>
    </row>
    <row r="3273" spans="1:27" x14ac:dyDescent="0.2">
      <c r="A3273" t="s">
        <v>703</v>
      </c>
      <c r="B3273">
        <v>2018</v>
      </c>
      <c r="C3273" t="s">
        <v>704</v>
      </c>
      <c r="D3273" t="s">
        <v>4239</v>
      </c>
      <c r="E3273" t="s">
        <v>29</v>
      </c>
      <c r="F3273" t="s">
        <v>30</v>
      </c>
      <c r="G3273">
        <v>0</v>
      </c>
      <c r="H3273">
        <v>0</v>
      </c>
      <c r="I3273">
        <v>20</v>
      </c>
      <c r="J3273">
        <v>0</v>
      </c>
      <c r="K3273">
        <v>0</v>
      </c>
      <c r="L3273">
        <v>0</v>
      </c>
      <c r="M3273">
        <v>0</v>
      </c>
      <c r="N3273">
        <v>0</v>
      </c>
      <c r="O3273">
        <v>0</v>
      </c>
      <c r="P3273">
        <v>0</v>
      </c>
      <c r="Q3273">
        <v>0</v>
      </c>
      <c r="R3273">
        <v>0</v>
      </c>
      <c r="S3273">
        <v>0</v>
      </c>
      <c r="T3273">
        <v>0</v>
      </c>
      <c r="U3273">
        <v>0</v>
      </c>
      <c r="V3273">
        <v>0</v>
      </c>
      <c r="W3273">
        <v>0</v>
      </c>
      <c r="X3273">
        <v>0</v>
      </c>
      <c r="Y3273" t="s">
        <v>31</v>
      </c>
      <c r="Z3273">
        <v>55</v>
      </c>
      <c r="AA3273">
        <v>0</v>
      </c>
    </row>
    <row r="3274" spans="1:27" x14ac:dyDescent="0.2">
      <c r="A3274" t="s">
        <v>1769</v>
      </c>
      <c r="B3274">
        <v>2018</v>
      </c>
      <c r="C3274" t="s">
        <v>4240</v>
      </c>
      <c r="D3274" t="s">
        <v>4241</v>
      </c>
      <c r="E3274" t="s">
        <v>29</v>
      </c>
      <c r="F3274" t="s">
        <v>30</v>
      </c>
      <c r="G3274">
        <v>0</v>
      </c>
      <c r="H3274">
        <v>0</v>
      </c>
      <c r="I3274">
        <v>0</v>
      </c>
      <c r="J3274">
        <v>0</v>
      </c>
      <c r="K3274">
        <v>0</v>
      </c>
      <c r="L3274">
        <v>0</v>
      </c>
      <c r="M3274">
        <v>91</v>
      </c>
      <c r="N3274">
        <v>0</v>
      </c>
      <c r="O3274">
        <v>0</v>
      </c>
      <c r="P3274">
        <v>0</v>
      </c>
      <c r="Q3274">
        <v>0</v>
      </c>
      <c r="R3274">
        <v>0</v>
      </c>
      <c r="S3274">
        <v>0</v>
      </c>
      <c r="T3274">
        <v>0</v>
      </c>
      <c r="U3274">
        <v>0</v>
      </c>
      <c r="V3274">
        <v>0</v>
      </c>
      <c r="W3274">
        <v>0</v>
      </c>
      <c r="X3274">
        <v>0</v>
      </c>
      <c r="Y3274" t="s">
        <v>31</v>
      </c>
      <c r="Z3274">
        <v>55</v>
      </c>
      <c r="AA3274">
        <v>0</v>
      </c>
    </row>
    <row r="3275" spans="1:27" x14ac:dyDescent="0.2">
      <c r="A3275" t="s">
        <v>75</v>
      </c>
      <c r="B3275">
        <v>2019</v>
      </c>
      <c r="C3275">
        <v>5395312900</v>
      </c>
      <c r="D3275" t="s">
        <v>248</v>
      </c>
      <c r="E3275" t="s">
        <v>29</v>
      </c>
      <c r="F3275" t="s">
        <v>30</v>
      </c>
      <c r="G3275">
        <v>0</v>
      </c>
      <c r="H3275">
        <v>0</v>
      </c>
      <c r="I3275">
        <v>0</v>
      </c>
      <c r="J3275">
        <v>0</v>
      </c>
      <c r="K3275">
        <v>0</v>
      </c>
      <c r="L3275">
        <v>0</v>
      </c>
      <c r="M3275">
        <v>2</v>
      </c>
      <c r="N3275">
        <v>0</v>
      </c>
      <c r="O3275">
        <v>0</v>
      </c>
      <c r="P3275">
        <v>0</v>
      </c>
      <c r="Q3275">
        <v>0</v>
      </c>
      <c r="R3275">
        <v>0</v>
      </c>
      <c r="S3275">
        <v>0</v>
      </c>
      <c r="T3275">
        <v>0</v>
      </c>
      <c r="U3275">
        <v>0</v>
      </c>
      <c r="V3275">
        <v>0</v>
      </c>
      <c r="W3275">
        <v>0</v>
      </c>
      <c r="X3275">
        <v>0</v>
      </c>
      <c r="Y3275" t="s">
        <v>31</v>
      </c>
      <c r="Z3275">
        <v>55</v>
      </c>
      <c r="AA3275">
        <v>0</v>
      </c>
    </row>
    <row r="3276" spans="1:27" x14ac:dyDescent="0.2">
      <c r="A3276" t="s">
        <v>1077</v>
      </c>
      <c r="B3276">
        <v>2023</v>
      </c>
      <c r="C3276" t="s">
        <v>4242</v>
      </c>
      <c r="D3276" t="s">
        <v>1079</v>
      </c>
      <c r="E3276" t="s">
        <v>29</v>
      </c>
      <c r="F3276" t="s">
        <v>30</v>
      </c>
      <c r="G3276">
        <v>0</v>
      </c>
      <c r="H3276">
        <v>0</v>
      </c>
      <c r="I3276">
        <v>0</v>
      </c>
      <c r="J3276">
        <v>0</v>
      </c>
      <c r="K3276">
        <v>0</v>
      </c>
      <c r="L3276">
        <v>0</v>
      </c>
      <c r="M3276">
        <v>0</v>
      </c>
      <c r="N3276">
        <v>0</v>
      </c>
      <c r="O3276">
        <v>0</v>
      </c>
      <c r="P3276">
        <v>0</v>
      </c>
      <c r="Q3276">
        <v>0</v>
      </c>
      <c r="R3276">
        <v>0</v>
      </c>
      <c r="S3276">
        <v>25</v>
      </c>
      <c r="T3276">
        <v>0</v>
      </c>
      <c r="U3276">
        <v>25</v>
      </c>
      <c r="V3276">
        <v>0</v>
      </c>
      <c r="W3276">
        <v>0</v>
      </c>
      <c r="X3276">
        <v>0</v>
      </c>
      <c r="Y3276" t="s">
        <v>31</v>
      </c>
      <c r="Z3276">
        <v>55</v>
      </c>
      <c r="AA3276">
        <v>38</v>
      </c>
    </row>
    <row r="3277" spans="1:27" x14ac:dyDescent="0.2">
      <c r="A3277" t="s">
        <v>1077</v>
      </c>
      <c r="B3277">
        <v>2023</v>
      </c>
      <c r="C3277" t="s">
        <v>4243</v>
      </c>
      <c r="D3277" t="s">
        <v>4244</v>
      </c>
      <c r="E3277" t="s">
        <v>29</v>
      </c>
      <c r="F3277" t="s">
        <v>41</v>
      </c>
      <c r="G3277">
        <v>0</v>
      </c>
      <c r="H3277">
        <v>0</v>
      </c>
      <c r="I3277">
        <v>10</v>
      </c>
      <c r="J3277">
        <v>0</v>
      </c>
      <c r="K3277">
        <v>0</v>
      </c>
      <c r="L3277">
        <v>0</v>
      </c>
      <c r="M3277">
        <v>0</v>
      </c>
      <c r="N3277">
        <v>0</v>
      </c>
      <c r="O3277">
        <v>0</v>
      </c>
      <c r="P3277">
        <v>0</v>
      </c>
      <c r="Q3277">
        <v>0</v>
      </c>
      <c r="R3277">
        <v>0</v>
      </c>
      <c r="S3277">
        <v>0</v>
      </c>
      <c r="T3277">
        <v>0</v>
      </c>
      <c r="U3277">
        <v>0</v>
      </c>
      <c r="V3277">
        <v>0</v>
      </c>
      <c r="W3277">
        <v>0</v>
      </c>
      <c r="X3277">
        <v>0</v>
      </c>
      <c r="Y3277" t="s">
        <v>31</v>
      </c>
      <c r="Z3277">
        <v>55</v>
      </c>
      <c r="AA3277">
        <v>40</v>
      </c>
    </row>
    <row r="3278" spans="1:27" x14ac:dyDescent="0.2">
      <c r="A3278" t="s">
        <v>75</v>
      </c>
      <c r="B3278">
        <v>2019</v>
      </c>
      <c r="C3278">
        <v>4463030100</v>
      </c>
      <c r="D3278" t="s">
        <v>4245</v>
      </c>
      <c r="E3278" t="s">
        <v>29</v>
      </c>
      <c r="F3278" t="s">
        <v>30</v>
      </c>
      <c r="G3278">
        <v>0</v>
      </c>
      <c r="H3278">
        <v>0</v>
      </c>
      <c r="I3278">
        <v>0</v>
      </c>
      <c r="J3278">
        <v>0</v>
      </c>
      <c r="K3278">
        <v>0</v>
      </c>
      <c r="L3278">
        <v>0</v>
      </c>
      <c r="M3278">
        <v>3</v>
      </c>
      <c r="N3278">
        <v>0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  <c r="V3278">
        <v>0</v>
      </c>
      <c r="W3278">
        <v>0</v>
      </c>
      <c r="X3278">
        <v>0</v>
      </c>
      <c r="Y3278" t="s">
        <v>31</v>
      </c>
      <c r="Z3278">
        <v>55</v>
      </c>
      <c r="AA3278">
        <v>0</v>
      </c>
    </row>
    <row r="3279" spans="1:27" x14ac:dyDescent="0.2">
      <c r="A3279" t="s">
        <v>172</v>
      </c>
      <c r="B3279">
        <v>2022</v>
      </c>
      <c r="C3279" t="s">
        <v>4246</v>
      </c>
      <c r="D3279" t="s">
        <v>4247</v>
      </c>
      <c r="E3279" t="s">
        <v>29</v>
      </c>
      <c r="F3279" t="s">
        <v>30</v>
      </c>
      <c r="G3279">
        <v>91</v>
      </c>
      <c r="H3279">
        <v>0</v>
      </c>
      <c r="I3279">
        <v>92</v>
      </c>
      <c r="J3279">
        <v>0</v>
      </c>
      <c r="K3279">
        <v>0</v>
      </c>
      <c r="L3279">
        <v>0</v>
      </c>
      <c r="M3279">
        <v>0</v>
      </c>
      <c r="N3279">
        <v>0</v>
      </c>
      <c r="O3279">
        <v>0</v>
      </c>
      <c r="P3279">
        <v>0</v>
      </c>
      <c r="Q3279">
        <v>0</v>
      </c>
      <c r="R3279">
        <v>0</v>
      </c>
      <c r="S3279">
        <v>0</v>
      </c>
      <c r="T3279">
        <v>0</v>
      </c>
      <c r="U3279">
        <v>0</v>
      </c>
      <c r="V3279">
        <v>0</v>
      </c>
      <c r="W3279">
        <v>0</v>
      </c>
      <c r="X3279">
        <v>0</v>
      </c>
      <c r="Y3279" t="s">
        <v>31</v>
      </c>
      <c r="Z3279">
        <v>55</v>
      </c>
      <c r="AA3279">
        <v>80</v>
      </c>
    </row>
    <row r="3280" spans="1:27" x14ac:dyDescent="0.2">
      <c r="A3280" t="s">
        <v>172</v>
      </c>
      <c r="B3280">
        <v>2022</v>
      </c>
      <c r="C3280" t="s">
        <v>4248</v>
      </c>
      <c r="D3280" t="s">
        <v>4249</v>
      </c>
      <c r="E3280" t="s">
        <v>29</v>
      </c>
      <c r="F3280" t="s">
        <v>30</v>
      </c>
      <c r="G3280">
        <v>0</v>
      </c>
      <c r="H3280">
        <v>0</v>
      </c>
      <c r="I3280">
        <v>0</v>
      </c>
      <c r="J3280">
        <v>0</v>
      </c>
      <c r="K3280">
        <v>0</v>
      </c>
      <c r="L3280">
        <v>0</v>
      </c>
      <c r="M3280">
        <v>3</v>
      </c>
      <c r="N3280">
        <v>0</v>
      </c>
      <c r="O3280">
        <v>0</v>
      </c>
      <c r="P3280">
        <v>0</v>
      </c>
      <c r="Q3280">
        <v>0</v>
      </c>
      <c r="R3280">
        <v>0</v>
      </c>
      <c r="S3280">
        <v>0</v>
      </c>
      <c r="T3280">
        <v>0</v>
      </c>
      <c r="U3280">
        <v>0</v>
      </c>
      <c r="V3280">
        <v>0</v>
      </c>
      <c r="W3280">
        <v>0</v>
      </c>
      <c r="X3280">
        <v>0</v>
      </c>
      <c r="Y3280" t="s">
        <v>31</v>
      </c>
      <c r="Z3280">
        <v>55</v>
      </c>
      <c r="AA3280">
        <v>32.5</v>
      </c>
    </row>
    <row r="3281" spans="1:27" x14ac:dyDescent="0.2">
      <c r="A3281" t="s">
        <v>75</v>
      </c>
      <c r="B3281">
        <v>2019</v>
      </c>
      <c r="C3281">
        <v>5356140100</v>
      </c>
      <c r="D3281" t="s">
        <v>4250</v>
      </c>
      <c r="E3281" t="s">
        <v>29</v>
      </c>
      <c r="F3281" t="s">
        <v>30</v>
      </c>
      <c r="G3281">
        <v>0</v>
      </c>
      <c r="H3281">
        <v>0</v>
      </c>
      <c r="I3281">
        <v>0</v>
      </c>
      <c r="J3281">
        <v>0</v>
      </c>
      <c r="K3281">
        <v>0</v>
      </c>
      <c r="L3281">
        <v>0</v>
      </c>
      <c r="M3281">
        <v>363</v>
      </c>
      <c r="N3281">
        <v>0</v>
      </c>
      <c r="O3281">
        <v>40</v>
      </c>
      <c r="P3281">
        <v>0</v>
      </c>
      <c r="Q3281">
        <v>0</v>
      </c>
      <c r="R3281">
        <v>0</v>
      </c>
      <c r="S3281">
        <v>0</v>
      </c>
      <c r="T3281">
        <v>0</v>
      </c>
      <c r="U3281">
        <v>0</v>
      </c>
      <c r="V3281">
        <v>0</v>
      </c>
      <c r="W3281">
        <v>0</v>
      </c>
      <c r="X3281">
        <v>0</v>
      </c>
      <c r="Y3281" t="s">
        <v>51</v>
      </c>
      <c r="Z3281">
        <v>55</v>
      </c>
      <c r="AA3281">
        <v>0</v>
      </c>
    </row>
    <row r="3282" spans="1:27" x14ac:dyDescent="0.2">
      <c r="A3282" t="s">
        <v>321</v>
      </c>
      <c r="B3282">
        <v>2018</v>
      </c>
      <c r="C3282">
        <v>4285027030</v>
      </c>
      <c r="D3282" t="s">
        <v>4251</v>
      </c>
      <c r="E3282" t="s">
        <v>29</v>
      </c>
      <c r="F3282" t="s">
        <v>30</v>
      </c>
      <c r="G3282">
        <v>4</v>
      </c>
      <c r="H3282">
        <v>0</v>
      </c>
      <c r="I3282">
        <v>0</v>
      </c>
      <c r="J3282">
        <v>0</v>
      </c>
      <c r="K3282">
        <v>0</v>
      </c>
      <c r="L3282">
        <v>0</v>
      </c>
      <c r="M3282">
        <v>0</v>
      </c>
      <c r="N3282">
        <v>0</v>
      </c>
      <c r="O3282">
        <v>0</v>
      </c>
      <c r="P3282">
        <v>0</v>
      </c>
      <c r="Q3282">
        <v>0</v>
      </c>
      <c r="R3282">
        <v>0</v>
      </c>
      <c r="S3282">
        <v>0</v>
      </c>
      <c r="T3282">
        <v>0</v>
      </c>
      <c r="U3282">
        <v>0</v>
      </c>
      <c r="V3282">
        <v>0</v>
      </c>
      <c r="W3282">
        <v>0</v>
      </c>
      <c r="X3282">
        <v>0</v>
      </c>
      <c r="Y3282" t="s">
        <v>51</v>
      </c>
      <c r="Z3282">
        <v>55</v>
      </c>
      <c r="AA3282">
        <v>0</v>
      </c>
    </row>
    <row r="3283" spans="1:27" x14ac:dyDescent="0.2">
      <c r="A3283" t="s">
        <v>1045</v>
      </c>
      <c r="B3283">
        <v>2023</v>
      </c>
      <c r="C3283" t="s">
        <v>4252</v>
      </c>
      <c r="D3283" t="s">
        <v>4253</v>
      </c>
      <c r="E3283" t="s">
        <v>29</v>
      </c>
      <c r="F3283" t="s">
        <v>30</v>
      </c>
      <c r="G3283">
        <v>0</v>
      </c>
      <c r="H3283">
        <v>0</v>
      </c>
      <c r="I3283">
        <v>0</v>
      </c>
      <c r="J3283">
        <v>0</v>
      </c>
      <c r="K3283">
        <v>24</v>
      </c>
      <c r="L3283">
        <v>0</v>
      </c>
      <c r="M3283">
        <v>0</v>
      </c>
      <c r="N3283">
        <v>0</v>
      </c>
      <c r="O3283">
        <v>0</v>
      </c>
      <c r="P3283">
        <v>0</v>
      </c>
      <c r="Q3283">
        <v>0</v>
      </c>
      <c r="R3283">
        <v>0</v>
      </c>
      <c r="S3283">
        <v>0</v>
      </c>
      <c r="T3283">
        <v>0</v>
      </c>
      <c r="U3283">
        <v>0</v>
      </c>
      <c r="V3283">
        <v>0</v>
      </c>
      <c r="W3283">
        <v>0</v>
      </c>
      <c r="X3283">
        <v>0</v>
      </c>
      <c r="Y3283" t="s">
        <v>51</v>
      </c>
      <c r="Z3283">
        <v>55</v>
      </c>
      <c r="AA3283">
        <v>0</v>
      </c>
    </row>
    <row r="3284" spans="1:27" x14ac:dyDescent="0.2">
      <c r="A3284" t="s">
        <v>835</v>
      </c>
      <c r="B3284">
        <v>2018</v>
      </c>
      <c r="C3284" s="2" t="s">
        <v>4254</v>
      </c>
      <c r="D3284" t="s">
        <v>4255</v>
      </c>
      <c r="E3284" t="s">
        <v>29</v>
      </c>
      <c r="F3284" t="s">
        <v>41</v>
      </c>
      <c r="G3284">
        <v>0</v>
      </c>
      <c r="H3284">
        <v>0</v>
      </c>
      <c r="I3284">
        <v>0</v>
      </c>
      <c r="J3284">
        <v>0</v>
      </c>
      <c r="K3284">
        <v>0</v>
      </c>
      <c r="L3284">
        <v>0</v>
      </c>
      <c r="M3284">
        <v>0</v>
      </c>
      <c r="N3284">
        <v>0</v>
      </c>
      <c r="O3284">
        <v>0</v>
      </c>
      <c r="P3284">
        <v>0</v>
      </c>
      <c r="Q3284">
        <v>0</v>
      </c>
      <c r="R3284">
        <v>0</v>
      </c>
      <c r="S3284">
        <v>0</v>
      </c>
      <c r="T3284">
        <v>0</v>
      </c>
      <c r="U3284">
        <v>0</v>
      </c>
      <c r="V3284">
        <v>0</v>
      </c>
      <c r="W3284">
        <v>1</v>
      </c>
      <c r="X3284">
        <v>0</v>
      </c>
      <c r="Y3284" t="s">
        <v>51</v>
      </c>
      <c r="Z3284">
        <v>55</v>
      </c>
      <c r="AA3284">
        <v>0</v>
      </c>
    </row>
    <row r="3285" spans="1:27" x14ac:dyDescent="0.2">
      <c r="A3285" t="s">
        <v>883</v>
      </c>
      <c r="B3285">
        <v>2019</v>
      </c>
      <c r="C3285" s="2" t="s">
        <v>4256</v>
      </c>
      <c r="D3285" t="s">
        <v>3971</v>
      </c>
      <c r="E3285" t="s">
        <v>29</v>
      </c>
      <c r="F3285" t="s">
        <v>30</v>
      </c>
      <c r="G3285">
        <v>0</v>
      </c>
      <c r="H3285">
        <v>0</v>
      </c>
      <c r="I3285">
        <v>0</v>
      </c>
      <c r="J3285">
        <v>0</v>
      </c>
      <c r="K3285">
        <v>0</v>
      </c>
      <c r="L3285">
        <v>0</v>
      </c>
      <c r="M3285">
        <v>6</v>
      </c>
      <c r="N3285">
        <v>0</v>
      </c>
      <c r="O3285">
        <v>0</v>
      </c>
      <c r="P3285">
        <v>0</v>
      </c>
      <c r="Q3285">
        <v>0</v>
      </c>
      <c r="R3285">
        <v>0</v>
      </c>
      <c r="S3285">
        <v>0</v>
      </c>
      <c r="T3285">
        <v>0</v>
      </c>
      <c r="U3285">
        <v>0</v>
      </c>
      <c r="V3285">
        <v>0</v>
      </c>
      <c r="W3285">
        <v>0</v>
      </c>
      <c r="X3285">
        <v>0</v>
      </c>
      <c r="Y3285" t="s">
        <v>31</v>
      </c>
      <c r="Z3285">
        <v>1000</v>
      </c>
      <c r="AA3285">
        <v>0</v>
      </c>
    </row>
    <row r="3286" spans="1:27" x14ac:dyDescent="0.2">
      <c r="A3286" t="s">
        <v>172</v>
      </c>
      <c r="B3286">
        <v>2022</v>
      </c>
      <c r="C3286" t="s">
        <v>3805</v>
      </c>
      <c r="D3286" t="s">
        <v>4257</v>
      </c>
      <c r="E3286" t="s">
        <v>29</v>
      </c>
      <c r="F3286" t="s">
        <v>30</v>
      </c>
      <c r="G3286">
        <v>0</v>
      </c>
      <c r="H3286">
        <v>0</v>
      </c>
      <c r="I3286">
        <v>0</v>
      </c>
      <c r="J3286">
        <v>0</v>
      </c>
      <c r="K3286">
        <v>0</v>
      </c>
      <c r="L3286">
        <v>0</v>
      </c>
      <c r="M3286">
        <v>0</v>
      </c>
      <c r="N3286">
        <v>0</v>
      </c>
      <c r="O3286">
        <v>0</v>
      </c>
      <c r="P3286">
        <v>0</v>
      </c>
      <c r="Q3286">
        <v>0</v>
      </c>
      <c r="R3286">
        <v>0</v>
      </c>
      <c r="S3286">
        <v>0</v>
      </c>
      <c r="T3286">
        <v>0</v>
      </c>
      <c r="U3286">
        <v>1</v>
      </c>
      <c r="V3286">
        <v>0</v>
      </c>
      <c r="W3286">
        <v>0</v>
      </c>
      <c r="X3286">
        <v>0</v>
      </c>
      <c r="Y3286" t="s">
        <v>31</v>
      </c>
      <c r="Z3286">
        <v>55</v>
      </c>
      <c r="AA3286">
        <v>0</v>
      </c>
    </row>
    <row r="3287" spans="1:27" x14ac:dyDescent="0.2">
      <c r="A3287" t="s">
        <v>4258</v>
      </c>
      <c r="B3287">
        <v>2022</v>
      </c>
      <c r="C3287" t="s">
        <v>4259</v>
      </c>
      <c r="D3287" t="s">
        <v>4260</v>
      </c>
      <c r="E3287" t="s">
        <v>29</v>
      </c>
      <c r="F3287" t="s">
        <v>30</v>
      </c>
      <c r="G3287">
        <v>0</v>
      </c>
      <c r="H3287">
        <v>0</v>
      </c>
      <c r="I3287">
        <v>0</v>
      </c>
      <c r="J3287">
        <v>0</v>
      </c>
      <c r="K3287">
        <v>0</v>
      </c>
      <c r="L3287">
        <v>0</v>
      </c>
      <c r="M3287">
        <v>70</v>
      </c>
      <c r="N3287">
        <v>0</v>
      </c>
      <c r="O3287">
        <v>0</v>
      </c>
      <c r="P3287">
        <v>0</v>
      </c>
      <c r="Q3287">
        <v>0</v>
      </c>
      <c r="R3287">
        <v>0</v>
      </c>
      <c r="S3287">
        <v>0</v>
      </c>
      <c r="T3287">
        <v>0</v>
      </c>
      <c r="U3287">
        <v>0</v>
      </c>
      <c r="V3287">
        <v>0</v>
      </c>
      <c r="W3287">
        <v>0</v>
      </c>
      <c r="X3287">
        <v>0</v>
      </c>
      <c r="Y3287" t="s">
        <v>31</v>
      </c>
      <c r="Z3287">
        <v>55</v>
      </c>
      <c r="AA3287">
        <v>0</v>
      </c>
    </row>
    <row r="3288" spans="1:27" x14ac:dyDescent="0.2">
      <c r="A3288" t="s">
        <v>1077</v>
      </c>
      <c r="B3288">
        <v>2023</v>
      </c>
      <c r="C3288" t="s">
        <v>4261</v>
      </c>
      <c r="D3288" t="s">
        <v>4262</v>
      </c>
      <c r="E3288" t="s">
        <v>29</v>
      </c>
      <c r="F3288" t="s">
        <v>30</v>
      </c>
      <c r="G3288">
        <v>3</v>
      </c>
      <c r="H3288">
        <v>0</v>
      </c>
      <c r="I3288">
        <v>0</v>
      </c>
      <c r="J3288">
        <v>0</v>
      </c>
      <c r="K3288">
        <v>0</v>
      </c>
      <c r="L3288">
        <v>0</v>
      </c>
      <c r="M3288">
        <v>0</v>
      </c>
      <c r="N3288">
        <v>0</v>
      </c>
      <c r="O3288">
        <v>0</v>
      </c>
      <c r="P3288">
        <v>0</v>
      </c>
      <c r="Q3288">
        <v>0</v>
      </c>
      <c r="R3288">
        <v>0</v>
      </c>
      <c r="S3288">
        <v>0</v>
      </c>
      <c r="T3288">
        <v>0</v>
      </c>
      <c r="U3288">
        <v>0</v>
      </c>
      <c r="V3288">
        <v>0</v>
      </c>
      <c r="W3288">
        <v>0</v>
      </c>
      <c r="X3288">
        <v>0</v>
      </c>
      <c r="Y3288" t="s">
        <v>31</v>
      </c>
      <c r="Z3288">
        <v>55</v>
      </c>
      <c r="AA3288">
        <v>61</v>
      </c>
    </row>
    <row r="3289" spans="1:27" x14ac:dyDescent="0.2">
      <c r="A3289" t="s">
        <v>3672</v>
      </c>
      <c r="B3289">
        <v>2018</v>
      </c>
      <c r="C3289" t="s">
        <v>4263</v>
      </c>
      <c r="D3289" t="s">
        <v>4264</v>
      </c>
      <c r="E3289" t="s">
        <v>29</v>
      </c>
      <c r="F3289" t="s">
        <v>30</v>
      </c>
      <c r="G3289">
        <v>0</v>
      </c>
      <c r="H3289">
        <v>0</v>
      </c>
      <c r="I3289">
        <v>30</v>
      </c>
      <c r="J3289">
        <v>0</v>
      </c>
      <c r="K3289">
        <v>0</v>
      </c>
      <c r="L3289">
        <v>0</v>
      </c>
      <c r="M3289">
        <v>0</v>
      </c>
      <c r="N3289">
        <v>0</v>
      </c>
      <c r="O3289">
        <v>0</v>
      </c>
      <c r="P3289">
        <v>0</v>
      </c>
      <c r="Q3289">
        <v>0</v>
      </c>
      <c r="R3289">
        <v>0</v>
      </c>
      <c r="S3289">
        <v>0</v>
      </c>
      <c r="T3289">
        <v>0</v>
      </c>
      <c r="U3289">
        <v>0</v>
      </c>
      <c r="V3289">
        <v>0</v>
      </c>
      <c r="W3289">
        <v>0</v>
      </c>
      <c r="X3289">
        <v>0</v>
      </c>
      <c r="Y3289" t="s">
        <v>31</v>
      </c>
      <c r="Z3289">
        <v>1000</v>
      </c>
      <c r="AA3289">
        <v>0</v>
      </c>
    </row>
    <row r="3290" spans="1:27" x14ac:dyDescent="0.2">
      <c r="A3290" t="s">
        <v>4169</v>
      </c>
      <c r="B3290">
        <v>2022</v>
      </c>
      <c r="C3290" t="s">
        <v>4265</v>
      </c>
      <c r="D3290" t="s">
        <v>4266</v>
      </c>
      <c r="E3290" t="s">
        <v>29</v>
      </c>
      <c r="F3290" t="s">
        <v>30</v>
      </c>
      <c r="G3290">
        <v>1</v>
      </c>
      <c r="H3290">
        <v>0</v>
      </c>
      <c r="I3290">
        <v>1</v>
      </c>
      <c r="J3290">
        <v>0</v>
      </c>
      <c r="K3290">
        <v>0</v>
      </c>
      <c r="L3290">
        <v>0</v>
      </c>
      <c r="M3290">
        <v>0</v>
      </c>
      <c r="N3290">
        <v>0</v>
      </c>
      <c r="O3290">
        <v>0</v>
      </c>
      <c r="P3290">
        <v>0</v>
      </c>
      <c r="Q3290">
        <v>0</v>
      </c>
      <c r="R3290">
        <v>0</v>
      </c>
      <c r="S3290">
        <v>0</v>
      </c>
      <c r="T3290">
        <v>0</v>
      </c>
      <c r="U3290">
        <v>0</v>
      </c>
      <c r="V3290">
        <v>0</v>
      </c>
      <c r="W3290">
        <v>0</v>
      </c>
      <c r="X3290">
        <v>0</v>
      </c>
      <c r="Y3290" t="s">
        <v>51</v>
      </c>
      <c r="Z3290">
        <v>45</v>
      </c>
      <c r="AA3290">
        <v>0</v>
      </c>
    </row>
    <row r="3291" spans="1:27" ht="102" x14ac:dyDescent="0.2">
      <c r="A3291" t="s">
        <v>32</v>
      </c>
      <c r="B3291">
        <v>2022</v>
      </c>
      <c r="C3291" t="s">
        <v>2654</v>
      </c>
      <c r="D3291" s="1" t="s">
        <v>4267</v>
      </c>
      <c r="E3291" t="s">
        <v>29</v>
      </c>
      <c r="F3291" t="s">
        <v>30</v>
      </c>
      <c r="G3291">
        <v>0</v>
      </c>
      <c r="H3291">
        <v>0</v>
      </c>
      <c r="I3291">
        <v>0</v>
      </c>
      <c r="J3291">
        <v>0</v>
      </c>
      <c r="K3291">
        <v>0</v>
      </c>
      <c r="L3291">
        <v>0</v>
      </c>
      <c r="M3291">
        <v>0</v>
      </c>
      <c r="N3291">
        <v>0</v>
      </c>
      <c r="O3291">
        <v>6</v>
      </c>
      <c r="P3291">
        <v>0</v>
      </c>
      <c r="Q3291">
        <v>0</v>
      </c>
      <c r="R3291">
        <v>0</v>
      </c>
      <c r="S3291">
        <v>0</v>
      </c>
      <c r="T3291">
        <v>0</v>
      </c>
      <c r="U3291">
        <v>0</v>
      </c>
      <c r="V3291">
        <v>0</v>
      </c>
      <c r="W3291">
        <v>0</v>
      </c>
      <c r="X3291">
        <v>0</v>
      </c>
      <c r="Y3291" t="s">
        <v>31</v>
      </c>
      <c r="AA3291">
        <v>58</v>
      </c>
    </row>
    <row r="3292" spans="1:27" ht="102" x14ac:dyDescent="0.2">
      <c r="A3292" t="s">
        <v>32</v>
      </c>
      <c r="B3292">
        <v>2022</v>
      </c>
      <c r="C3292" t="s">
        <v>2654</v>
      </c>
      <c r="D3292" s="1" t="s">
        <v>4268</v>
      </c>
      <c r="E3292" t="s">
        <v>29</v>
      </c>
      <c r="F3292" t="s">
        <v>30</v>
      </c>
      <c r="G3292">
        <v>0</v>
      </c>
      <c r="H3292">
        <v>0</v>
      </c>
      <c r="I3292">
        <v>0</v>
      </c>
      <c r="J3292">
        <v>0</v>
      </c>
      <c r="K3292">
        <v>0</v>
      </c>
      <c r="L3292">
        <v>0</v>
      </c>
      <c r="M3292">
        <v>0</v>
      </c>
      <c r="N3292">
        <v>0</v>
      </c>
      <c r="O3292">
        <v>6</v>
      </c>
      <c r="P3292">
        <v>0</v>
      </c>
      <c r="Q3292">
        <v>0</v>
      </c>
      <c r="R3292">
        <v>0</v>
      </c>
      <c r="S3292">
        <v>0</v>
      </c>
      <c r="T3292">
        <v>0</v>
      </c>
      <c r="U3292">
        <v>0</v>
      </c>
      <c r="V3292">
        <v>0</v>
      </c>
      <c r="W3292">
        <v>0</v>
      </c>
      <c r="X3292">
        <v>0</v>
      </c>
      <c r="Y3292" t="s">
        <v>31</v>
      </c>
      <c r="AA3292">
        <v>58</v>
      </c>
    </row>
    <row r="3293" spans="1:27" x14ac:dyDescent="0.2">
      <c r="A3293" t="s">
        <v>4269</v>
      </c>
      <c r="B3293">
        <v>2018</v>
      </c>
      <c r="C3293" t="s">
        <v>4270</v>
      </c>
      <c r="D3293" t="s">
        <v>4271</v>
      </c>
      <c r="E3293" t="s">
        <v>29</v>
      </c>
      <c r="F3293" t="s">
        <v>30</v>
      </c>
      <c r="G3293">
        <v>0</v>
      </c>
      <c r="H3293">
        <v>0</v>
      </c>
      <c r="I3293">
        <v>32</v>
      </c>
      <c r="J3293">
        <v>0</v>
      </c>
      <c r="K3293">
        <v>0</v>
      </c>
      <c r="L3293">
        <v>0</v>
      </c>
      <c r="M3293">
        <v>0</v>
      </c>
      <c r="N3293">
        <v>0</v>
      </c>
      <c r="O3293">
        <v>0</v>
      </c>
      <c r="P3293">
        <v>0</v>
      </c>
      <c r="Q3293">
        <v>0</v>
      </c>
      <c r="R3293">
        <v>0</v>
      </c>
      <c r="S3293">
        <v>0</v>
      </c>
      <c r="T3293">
        <v>0</v>
      </c>
      <c r="U3293">
        <v>0</v>
      </c>
      <c r="V3293">
        <v>0</v>
      </c>
      <c r="W3293">
        <v>0</v>
      </c>
      <c r="X3293">
        <v>0</v>
      </c>
      <c r="Y3293" t="s">
        <v>31</v>
      </c>
      <c r="AA3293">
        <v>0</v>
      </c>
    </row>
    <row r="3294" spans="1:27" x14ac:dyDescent="0.2">
      <c r="A3294" t="s">
        <v>1802</v>
      </c>
      <c r="B3294">
        <v>2018</v>
      </c>
      <c r="C3294" t="s">
        <v>4272</v>
      </c>
      <c r="D3294" t="s">
        <v>4273</v>
      </c>
      <c r="E3294" t="s">
        <v>29</v>
      </c>
      <c r="F3294" t="s">
        <v>30</v>
      </c>
      <c r="G3294">
        <v>0</v>
      </c>
      <c r="H3294">
        <v>0</v>
      </c>
      <c r="I3294">
        <v>0</v>
      </c>
      <c r="J3294">
        <v>0</v>
      </c>
      <c r="K3294">
        <v>0</v>
      </c>
      <c r="L3294">
        <v>0</v>
      </c>
      <c r="M3294">
        <v>1</v>
      </c>
      <c r="N3294">
        <v>0</v>
      </c>
      <c r="O3294">
        <v>0</v>
      </c>
      <c r="P3294">
        <v>0</v>
      </c>
      <c r="Q3294">
        <v>0</v>
      </c>
      <c r="R3294">
        <v>0</v>
      </c>
      <c r="S3294">
        <v>0</v>
      </c>
      <c r="T3294">
        <v>0</v>
      </c>
      <c r="U3294">
        <v>0</v>
      </c>
      <c r="V3294">
        <v>0</v>
      </c>
      <c r="W3294">
        <v>0</v>
      </c>
      <c r="X3294">
        <v>0</v>
      </c>
      <c r="Y3294" t="s">
        <v>51</v>
      </c>
      <c r="Z3294">
        <v>1000</v>
      </c>
      <c r="AA3294">
        <v>0</v>
      </c>
    </row>
    <row r="3295" spans="1:27" x14ac:dyDescent="0.2">
      <c r="A3295" t="s">
        <v>88</v>
      </c>
      <c r="B3295">
        <v>2022</v>
      </c>
      <c r="C3295" t="s">
        <v>4274</v>
      </c>
      <c r="D3295" t="s">
        <v>4275</v>
      </c>
      <c r="E3295" t="s">
        <v>29</v>
      </c>
      <c r="F3295" t="s">
        <v>30</v>
      </c>
      <c r="G3295">
        <v>0</v>
      </c>
      <c r="H3295">
        <v>0</v>
      </c>
      <c r="I3295">
        <v>0</v>
      </c>
      <c r="J3295">
        <v>0</v>
      </c>
      <c r="K3295">
        <v>0</v>
      </c>
      <c r="L3295">
        <v>0</v>
      </c>
      <c r="M3295">
        <v>0</v>
      </c>
      <c r="N3295">
        <v>0</v>
      </c>
      <c r="O3295">
        <v>0</v>
      </c>
      <c r="P3295">
        <v>0</v>
      </c>
      <c r="Q3295">
        <v>0</v>
      </c>
      <c r="R3295">
        <v>0</v>
      </c>
      <c r="S3295">
        <v>37</v>
      </c>
      <c r="T3295">
        <v>0</v>
      </c>
      <c r="U3295">
        <v>158</v>
      </c>
      <c r="V3295">
        <v>0</v>
      </c>
      <c r="W3295">
        <v>0</v>
      </c>
      <c r="X3295">
        <v>0</v>
      </c>
      <c r="Y3295" t="s">
        <v>51</v>
      </c>
      <c r="Z3295">
        <v>55</v>
      </c>
      <c r="AA3295">
        <v>0</v>
      </c>
    </row>
    <row r="3296" spans="1:27" x14ac:dyDescent="0.2">
      <c r="A3296" t="s">
        <v>1418</v>
      </c>
      <c r="B3296">
        <v>2023</v>
      </c>
      <c r="C3296" t="s">
        <v>4276</v>
      </c>
      <c r="D3296" t="s">
        <v>4277</v>
      </c>
      <c r="E3296" t="s">
        <v>29</v>
      </c>
      <c r="F3296" t="s">
        <v>30</v>
      </c>
      <c r="G3296">
        <v>5</v>
      </c>
      <c r="H3296">
        <v>0</v>
      </c>
      <c r="I3296">
        <v>18</v>
      </c>
      <c r="J3296">
        <v>0</v>
      </c>
      <c r="K3296">
        <v>0</v>
      </c>
      <c r="L3296">
        <v>0</v>
      </c>
      <c r="M3296">
        <v>0</v>
      </c>
      <c r="N3296">
        <v>0</v>
      </c>
      <c r="O3296">
        <v>0</v>
      </c>
      <c r="P3296">
        <v>0</v>
      </c>
      <c r="Q3296">
        <v>0</v>
      </c>
      <c r="R3296">
        <v>0</v>
      </c>
      <c r="S3296">
        <v>0</v>
      </c>
      <c r="T3296">
        <v>0</v>
      </c>
      <c r="U3296">
        <v>0</v>
      </c>
      <c r="V3296">
        <v>0</v>
      </c>
      <c r="W3296">
        <v>0</v>
      </c>
      <c r="X3296">
        <v>0</v>
      </c>
      <c r="Y3296" t="s">
        <v>31</v>
      </c>
      <c r="Z3296">
        <v>55</v>
      </c>
      <c r="AA3296">
        <v>50</v>
      </c>
    </row>
    <row r="3297" spans="1:27" x14ac:dyDescent="0.2">
      <c r="A3297" t="s">
        <v>1226</v>
      </c>
      <c r="B3297">
        <v>2023</v>
      </c>
      <c r="C3297" t="s">
        <v>4278</v>
      </c>
      <c r="D3297" t="s">
        <v>4279</v>
      </c>
      <c r="E3297" t="s">
        <v>29</v>
      </c>
      <c r="F3297" t="s">
        <v>30</v>
      </c>
      <c r="G3297">
        <v>0</v>
      </c>
      <c r="H3297">
        <v>0</v>
      </c>
      <c r="I3297">
        <v>312</v>
      </c>
      <c r="J3297">
        <v>0</v>
      </c>
      <c r="K3297">
        <v>0</v>
      </c>
      <c r="L3297">
        <v>77</v>
      </c>
      <c r="M3297">
        <v>0</v>
      </c>
      <c r="N3297">
        <v>0</v>
      </c>
      <c r="O3297">
        <v>0</v>
      </c>
      <c r="P3297">
        <v>0</v>
      </c>
      <c r="Q3297">
        <v>0</v>
      </c>
      <c r="R3297">
        <v>0</v>
      </c>
      <c r="S3297">
        <v>0</v>
      </c>
      <c r="T3297">
        <v>0</v>
      </c>
      <c r="U3297">
        <v>0</v>
      </c>
      <c r="V3297">
        <v>0</v>
      </c>
      <c r="W3297">
        <v>0</v>
      </c>
      <c r="X3297">
        <v>0</v>
      </c>
      <c r="Y3297" t="s">
        <v>31</v>
      </c>
      <c r="Z3297">
        <v>55</v>
      </c>
      <c r="AA3297">
        <v>204</v>
      </c>
    </row>
    <row r="3298" spans="1:27" x14ac:dyDescent="0.2">
      <c r="A3298" t="s">
        <v>2316</v>
      </c>
      <c r="B3298">
        <v>2023</v>
      </c>
      <c r="C3298" t="s">
        <v>4280</v>
      </c>
      <c r="D3298" t="s">
        <v>4281</v>
      </c>
      <c r="E3298" t="s">
        <v>29</v>
      </c>
      <c r="F3298" t="s">
        <v>30</v>
      </c>
      <c r="G3298">
        <v>0</v>
      </c>
      <c r="H3298">
        <v>0</v>
      </c>
      <c r="I3298">
        <v>0</v>
      </c>
      <c r="J3298">
        <v>0</v>
      </c>
      <c r="K3298">
        <v>0</v>
      </c>
      <c r="L3298">
        <v>0</v>
      </c>
      <c r="M3298">
        <v>0</v>
      </c>
      <c r="N3298">
        <v>0</v>
      </c>
      <c r="O3298">
        <v>1</v>
      </c>
      <c r="P3298">
        <v>0</v>
      </c>
      <c r="Q3298">
        <v>0</v>
      </c>
      <c r="R3298">
        <v>0</v>
      </c>
      <c r="S3298">
        <v>0</v>
      </c>
      <c r="T3298">
        <v>0</v>
      </c>
      <c r="U3298">
        <v>0</v>
      </c>
      <c r="V3298">
        <v>0</v>
      </c>
      <c r="W3298">
        <v>0</v>
      </c>
      <c r="X3298">
        <v>0</v>
      </c>
      <c r="Y3298" t="s">
        <v>31</v>
      </c>
      <c r="Z3298">
        <v>55</v>
      </c>
      <c r="AA3298">
        <v>32.5</v>
      </c>
    </row>
    <row r="3299" spans="1:27" x14ac:dyDescent="0.2">
      <c r="A3299" t="s">
        <v>88</v>
      </c>
      <c r="B3299">
        <v>2019</v>
      </c>
      <c r="C3299" t="s">
        <v>4282</v>
      </c>
      <c r="D3299" t="s">
        <v>4283</v>
      </c>
      <c r="E3299" t="s">
        <v>29</v>
      </c>
      <c r="F3299" t="s">
        <v>30</v>
      </c>
      <c r="G3299">
        <v>0</v>
      </c>
      <c r="H3299">
        <v>0</v>
      </c>
      <c r="I3299">
        <v>0</v>
      </c>
      <c r="J3299">
        <v>0</v>
      </c>
      <c r="K3299">
        <v>0</v>
      </c>
      <c r="L3299">
        <v>0</v>
      </c>
      <c r="M3299">
        <v>0</v>
      </c>
      <c r="N3299">
        <v>0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  <c r="U3299">
        <v>0</v>
      </c>
      <c r="V3299">
        <v>0</v>
      </c>
      <c r="W3299">
        <v>1</v>
      </c>
      <c r="X3299">
        <v>0</v>
      </c>
      <c r="Y3299" t="s">
        <v>51</v>
      </c>
      <c r="AA3299">
        <v>0</v>
      </c>
    </row>
    <row r="3300" spans="1:27" x14ac:dyDescent="0.2">
      <c r="A3300" t="s">
        <v>88</v>
      </c>
      <c r="B3300">
        <v>2019</v>
      </c>
      <c r="C3300" t="s">
        <v>4284</v>
      </c>
      <c r="D3300" t="s">
        <v>4285</v>
      </c>
      <c r="E3300" t="s">
        <v>29</v>
      </c>
      <c r="F3300" t="s">
        <v>30</v>
      </c>
      <c r="G3300">
        <v>0</v>
      </c>
      <c r="H3300">
        <v>0</v>
      </c>
      <c r="I3300">
        <v>0</v>
      </c>
      <c r="J3300">
        <v>0</v>
      </c>
      <c r="K3300">
        <v>48</v>
      </c>
      <c r="L3300">
        <v>0</v>
      </c>
      <c r="M3300">
        <v>0</v>
      </c>
      <c r="N3300">
        <v>0</v>
      </c>
      <c r="O3300">
        <v>0</v>
      </c>
      <c r="P3300">
        <v>0</v>
      </c>
      <c r="Q3300">
        <v>0</v>
      </c>
      <c r="R3300">
        <v>0</v>
      </c>
      <c r="S3300">
        <v>0</v>
      </c>
      <c r="T3300">
        <v>0</v>
      </c>
      <c r="U3300">
        <v>0</v>
      </c>
      <c r="V3300">
        <v>0</v>
      </c>
      <c r="W3300">
        <v>0</v>
      </c>
      <c r="X3300">
        <v>0</v>
      </c>
      <c r="Y3300" t="s">
        <v>51</v>
      </c>
      <c r="AA3300">
        <v>0</v>
      </c>
    </row>
    <row r="3301" spans="1:27" x14ac:dyDescent="0.2">
      <c r="A3301" t="s">
        <v>1449</v>
      </c>
      <c r="B3301">
        <v>2019</v>
      </c>
      <c r="C3301" t="s">
        <v>3226</v>
      </c>
      <c r="D3301" t="s">
        <v>3608</v>
      </c>
      <c r="E3301" t="s">
        <v>29</v>
      </c>
      <c r="F3301" t="s">
        <v>30</v>
      </c>
      <c r="G3301">
        <v>14</v>
      </c>
      <c r="H3301">
        <v>0</v>
      </c>
      <c r="I3301">
        <v>0</v>
      </c>
      <c r="J3301">
        <v>0</v>
      </c>
      <c r="K3301">
        <v>0</v>
      </c>
      <c r="L3301">
        <v>0</v>
      </c>
      <c r="M3301">
        <v>0</v>
      </c>
      <c r="N3301">
        <v>0</v>
      </c>
      <c r="O3301">
        <v>0</v>
      </c>
      <c r="P3301">
        <v>0</v>
      </c>
      <c r="Q3301">
        <v>0</v>
      </c>
      <c r="R3301">
        <v>0</v>
      </c>
      <c r="S3301">
        <v>0</v>
      </c>
      <c r="T3301">
        <v>0</v>
      </c>
      <c r="U3301">
        <v>0</v>
      </c>
      <c r="V3301">
        <v>0</v>
      </c>
      <c r="W3301">
        <v>0</v>
      </c>
      <c r="X3301">
        <v>0</v>
      </c>
      <c r="Y3301" t="s">
        <v>31</v>
      </c>
      <c r="AA3301">
        <v>0</v>
      </c>
    </row>
    <row r="3302" spans="1:27" x14ac:dyDescent="0.2">
      <c r="A3302" t="s">
        <v>1449</v>
      </c>
      <c r="B3302">
        <v>2019</v>
      </c>
      <c r="C3302" t="s">
        <v>2231</v>
      </c>
      <c r="D3302" t="s">
        <v>3625</v>
      </c>
      <c r="E3302" t="s">
        <v>29</v>
      </c>
      <c r="F3302" t="s">
        <v>30</v>
      </c>
      <c r="G3302">
        <v>0</v>
      </c>
      <c r="H3302">
        <v>0</v>
      </c>
      <c r="I3302">
        <v>0</v>
      </c>
      <c r="J3302">
        <v>0</v>
      </c>
      <c r="K3302">
        <v>0</v>
      </c>
      <c r="L3302">
        <v>0</v>
      </c>
      <c r="M3302">
        <v>11</v>
      </c>
      <c r="N3302">
        <v>0</v>
      </c>
      <c r="O3302">
        <v>0</v>
      </c>
      <c r="P3302">
        <v>0</v>
      </c>
      <c r="Q3302">
        <v>0</v>
      </c>
      <c r="R3302">
        <v>0</v>
      </c>
      <c r="S3302">
        <v>0</v>
      </c>
      <c r="T3302">
        <v>0</v>
      </c>
      <c r="U3302">
        <v>0</v>
      </c>
      <c r="V3302">
        <v>0</v>
      </c>
      <c r="W3302">
        <v>0</v>
      </c>
      <c r="X3302">
        <v>0</v>
      </c>
      <c r="Y3302" t="s">
        <v>31</v>
      </c>
      <c r="AA3302">
        <v>0</v>
      </c>
    </row>
    <row r="3303" spans="1:27" x14ac:dyDescent="0.2">
      <c r="A3303" t="s">
        <v>2725</v>
      </c>
      <c r="B3303">
        <v>2022</v>
      </c>
      <c r="C3303">
        <v>944330005</v>
      </c>
      <c r="D3303" t="s">
        <v>4286</v>
      </c>
      <c r="E3303" t="s">
        <v>29</v>
      </c>
      <c r="F3303" t="s">
        <v>30</v>
      </c>
      <c r="G3303">
        <v>0</v>
      </c>
      <c r="H3303">
        <v>0</v>
      </c>
      <c r="I3303">
        <v>0</v>
      </c>
      <c r="J3303">
        <v>0</v>
      </c>
      <c r="K3303">
        <v>0</v>
      </c>
      <c r="L3303">
        <v>0</v>
      </c>
      <c r="M3303">
        <v>11</v>
      </c>
      <c r="N3303">
        <v>0</v>
      </c>
      <c r="O3303">
        <v>0</v>
      </c>
      <c r="P3303">
        <v>0</v>
      </c>
      <c r="Q3303">
        <v>0</v>
      </c>
      <c r="R3303">
        <v>0</v>
      </c>
      <c r="S3303">
        <v>0</v>
      </c>
      <c r="T3303">
        <v>0</v>
      </c>
      <c r="U3303">
        <v>0</v>
      </c>
      <c r="V3303">
        <v>0</v>
      </c>
      <c r="W3303">
        <v>0</v>
      </c>
      <c r="X3303">
        <v>0</v>
      </c>
      <c r="Y3303" t="s">
        <v>51</v>
      </c>
      <c r="Z3303">
        <v>55</v>
      </c>
      <c r="AA3303">
        <v>0</v>
      </c>
    </row>
    <row r="3304" spans="1:27" x14ac:dyDescent="0.2">
      <c r="A3304" t="s">
        <v>318</v>
      </c>
      <c r="B3304">
        <v>2022</v>
      </c>
      <c r="C3304">
        <v>-4498</v>
      </c>
      <c r="D3304" t="s">
        <v>2787</v>
      </c>
      <c r="E3304" t="s">
        <v>29</v>
      </c>
      <c r="F3304" t="s">
        <v>30</v>
      </c>
      <c r="G3304">
        <v>0</v>
      </c>
      <c r="H3304">
        <v>0</v>
      </c>
      <c r="I3304">
        <v>0</v>
      </c>
      <c r="J3304">
        <v>0</v>
      </c>
      <c r="K3304">
        <v>0</v>
      </c>
      <c r="L3304">
        <v>0</v>
      </c>
      <c r="M3304">
        <v>0</v>
      </c>
      <c r="N3304">
        <v>0</v>
      </c>
      <c r="O3304">
        <v>0</v>
      </c>
      <c r="P3304">
        <v>0</v>
      </c>
      <c r="Q3304">
        <v>0</v>
      </c>
      <c r="R3304">
        <v>0</v>
      </c>
      <c r="S3304">
        <v>9</v>
      </c>
      <c r="T3304">
        <v>0</v>
      </c>
      <c r="U3304">
        <v>0</v>
      </c>
      <c r="V3304">
        <v>0</v>
      </c>
      <c r="W3304">
        <v>0</v>
      </c>
      <c r="X3304">
        <v>0</v>
      </c>
      <c r="Y3304" t="s">
        <v>31</v>
      </c>
      <c r="Z3304">
        <v>55</v>
      </c>
      <c r="AA3304">
        <v>22.5</v>
      </c>
    </row>
    <row r="3305" spans="1:27" x14ac:dyDescent="0.2">
      <c r="A3305" t="s">
        <v>600</v>
      </c>
      <c r="B3305">
        <v>2020</v>
      </c>
      <c r="C3305" s="2" t="s">
        <v>2170</v>
      </c>
      <c r="D3305" t="s">
        <v>4287</v>
      </c>
      <c r="E3305" t="s">
        <v>29</v>
      </c>
      <c r="F3305" t="s">
        <v>30</v>
      </c>
      <c r="G3305">
        <v>36</v>
      </c>
      <c r="H3305">
        <v>0</v>
      </c>
      <c r="I3305">
        <v>51</v>
      </c>
      <c r="J3305">
        <v>0</v>
      </c>
      <c r="K3305">
        <v>41</v>
      </c>
      <c r="L3305">
        <v>0</v>
      </c>
      <c r="M3305">
        <v>0</v>
      </c>
      <c r="N3305">
        <v>0</v>
      </c>
      <c r="O3305">
        <v>0</v>
      </c>
      <c r="P3305">
        <v>0</v>
      </c>
      <c r="Q3305">
        <v>0</v>
      </c>
      <c r="R3305">
        <v>0</v>
      </c>
      <c r="S3305">
        <v>0</v>
      </c>
      <c r="T3305">
        <v>0</v>
      </c>
      <c r="U3305">
        <v>0</v>
      </c>
      <c r="V3305">
        <v>0</v>
      </c>
      <c r="W3305">
        <v>0</v>
      </c>
      <c r="X3305">
        <v>0</v>
      </c>
      <c r="Y3305" t="s">
        <v>31</v>
      </c>
      <c r="AA3305">
        <v>0</v>
      </c>
    </row>
    <row r="3306" spans="1:27" x14ac:dyDescent="0.2">
      <c r="A3306" t="s">
        <v>600</v>
      </c>
      <c r="B3306">
        <v>2020</v>
      </c>
      <c r="C3306">
        <v>8715004</v>
      </c>
      <c r="D3306" t="s">
        <v>871</v>
      </c>
      <c r="E3306" t="s">
        <v>29</v>
      </c>
      <c r="F3306" t="s">
        <v>30</v>
      </c>
      <c r="G3306">
        <v>0</v>
      </c>
      <c r="H3306">
        <v>0</v>
      </c>
      <c r="I3306">
        <v>0</v>
      </c>
      <c r="J3306">
        <v>0</v>
      </c>
      <c r="K3306">
        <v>0</v>
      </c>
      <c r="L3306">
        <v>0</v>
      </c>
      <c r="M3306">
        <v>4</v>
      </c>
      <c r="N3306">
        <v>0</v>
      </c>
      <c r="O3306">
        <v>13</v>
      </c>
      <c r="P3306">
        <v>0</v>
      </c>
      <c r="Q3306">
        <v>5</v>
      </c>
      <c r="R3306">
        <v>0</v>
      </c>
      <c r="S3306">
        <v>4</v>
      </c>
      <c r="T3306">
        <v>0</v>
      </c>
      <c r="U3306">
        <v>13</v>
      </c>
      <c r="V3306">
        <v>0</v>
      </c>
      <c r="W3306">
        <v>5</v>
      </c>
      <c r="X3306">
        <v>0</v>
      </c>
      <c r="Y3306" t="s">
        <v>51</v>
      </c>
      <c r="AA3306">
        <v>0</v>
      </c>
    </row>
    <row r="3307" spans="1:27" x14ac:dyDescent="0.2">
      <c r="A3307" t="s">
        <v>600</v>
      </c>
      <c r="B3307">
        <v>2020</v>
      </c>
      <c r="C3307">
        <v>3725090</v>
      </c>
      <c r="D3307" t="s">
        <v>4288</v>
      </c>
      <c r="E3307" t="s">
        <v>29</v>
      </c>
      <c r="F3307" t="s">
        <v>30</v>
      </c>
      <c r="G3307">
        <v>0</v>
      </c>
      <c r="H3307">
        <v>0</v>
      </c>
      <c r="I3307">
        <v>0</v>
      </c>
      <c r="J3307">
        <v>0</v>
      </c>
      <c r="K3307">
        <v>0</v>
      </c>
      <c r="L3307">
        <v>0</v>
      </c>
      <c r="M3307">
        <v>0</v>
      </c>
      <c r="N3307">
        <v>0</v>
      </c>
      <c r="O3307">
        <v>0</v>
      </c>
      <c r="P3307">
        <v>0</v>
      </c>
      <c r="Q3307">
        <v>53</v>
      </c>
      <c r="R3307">
        <v>0</v>
      </c>
      <c r="S3307">
        <v>0</v>
      </c>
      <c r="T3307">
        <v>0</v>
      </c>
      <c r="U3307">
        <v>0</v>
      </c>
      <c r="V3307">
        <v>0</v>
      </c>
      <c r="W3307">
        <v>0</v>
      </c>
      <c r="X3307">
        <v>0</v>
      </c>
      <c r="Y3307" t="s">
        <v>51</v>
      </c>
      <c r="AA3307">
        <v>0</v>
      </c>
    </row>
    <row r="3308" spans="1:27" x14ac:dyDescent="0.2">
      <c r="A3308" t="s">
        <v>600</v>
      </c>
      <c r="B3308">
        <v>2020</v>
      </c>
      <c r="C3308">
        <v>8715004</v>
      </c>
      <c r="D3308" t="s">
        <v>1003</v>
      </c>
      <c r="E3308" t="s">
        <v>29</v>
      </c>
      <c r="F3308" t="s">
        <v>30</v>
      </c>
      <c r="G3308">
        <v>0</v>
      </c>
      <c r="H3308">
        <v>0</v>
      </c>
      <c r="I3308">
        <v>0</v>
      </c>
      <c r="J3308">
        <v>0</v>
      </c>
      <c r="K3308">
        <v>0</v>
      </c>
      <c r="L3308">
        <v>0</v>
      </c>
      <c r="M3308">
        <v>5</v>
      </c>
      <c r="N3308">
        <v>0</v>
      </c>
      <c r="O3308">
        <v>16</v>
      </c>
      <c r="P3308">
        <v>0</v>
      </c>
      <c r="Q3308">
        <v>6</v>
      </c>
      <c r="R3308">
        <v>0</v>
      </c>
      <c r="S3308">
        <v>0</v>
      </c>
      <c r="T3308">
        <v>0</v>
      </c>
      <c r="U3308">
        <v>0</v>
      </c>
      <c r="V3308">
        <v>0</v>
      </c>
      <c r="W3308">
        <v>0</v>
      </c>
      <c r="X3308">
        <v>0</v>
      </c>
      <c r="Y3308" t="s">
        <v>51</v>
      </c>
      <c r="AA3308">
        <v>0</v>
      </c>
    </row>
    <row r="3309" spans="1:27" x14ac:dyDescent="0.2">
      <c r="A3309" t="s">
        <v>600</v>
      </c>
      <c r="B3309">
        <v>2020</v>
      </c>
      <c r="C3309" s="2" t="s">
        <v>1339</v>
      </c>
      <c r="D3309" t="s">
        <v>1340</v>
      </c>
      <c r="E3309" t="s">
        <v>29</v>
      </c>
      <c r="F3309" t="s">
        <v>30</v>
      </c>
      <c r="G3309">
        <v>0</v>
      </c>
      <c r="H3309">
        <v>0</v>
      </c>
      <c r="I3309">
        <v>0</v>
      </c>
      <c r="J3309">
        <v>0</v>
      </c>
      <c r="K3309">
        <v>0</v>
      </c>
      <c r="L3309">
        <v>0</v>
      </c>
      <c r="M3309">
        <v>0</v>
      </c>
      <c r="N3309">
        <v>0</v>
      </c>
      <c r="O3309">
        <v>12</v>
      </c>
      <c r="P3309">
        <v>0</v>
      </c>
      <c r="Q3309">
        <v>0</v>
      </c>
      <c r="R3309">
        <v>0</v>
      </c>
      <c r="S3309">
        <v>0</v>
      </c>
      <c r="T3309">
        <v>0</v>
      </c>
      <c r="U3309">
        <v>0</v>
      </c>
      <c r="V3309">
        <v>0</v>
      </c>
      <c r="W3309">
        <v>0</v>
      </c>
      <c r="X3309">
        <v>0</v>
      </c>
      <c r="Y3309" t="s">
        <v>51</v>
      </c>
      <c r="AA3309">
        <v>0</v>
      </c>
    </row>
    <row r="3310" spans="1:27" x14ac:dyDescent="0.2">
      <c r="A3310" t="s">
        <v>600</v>
      </c>
      <c r="B3310">
        <v>2020</v>
      </c>
      <c r="C3310">
        <v>3519017</v>
      </c>
      <c r="D3310" t="s">
        <v>4289</v>
      </c>
      <c r="E3310" t="s">
        <v>29</v>
      </c>
      <c r="F3310" t="s">
        <v>30</v>
      </c>
      <c r="G3310">
        <v>0</v>
      </c>
      <c r="H3310">
        <v>0</v>
      </c>
      <c r="I3310">
        <v>0</v>
      </c>
      <c r="J3310">
        <v>0</v>
      </c>
      <c r="K3310">
        <v>0</v>
      </c>
      <c r="L3310">
        <v>0</v>
      </c>
      <c r="M3310">
        <v>0</v>
      </c>
      <c r="N3310">
        <v>0</v>
      </c>
      <c r="O3310">
        <v>0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0</v>
      </c>
      <c r="V3310">
        <v>0</v>
      </c>
      <c r="W3310">
        <v>0</v>
      </c>
      <c r="X3310">
        <v>0</v>
      </c>
      <c r="Y3310" t="s">
        <v>51</v>
      </c>
      <c r="AA3310">
        <v>0</v>
      </c>
    </row>
    <row r="3311" spans="1:27" x14ac:dyDescent="0.2">
      <c r="A3311" t="s">
        <v>622</v>
      </c>
      <c r="B3311">
        <v>2019</v>
      </c>
      <c r="C3311" t="s">
        <v>4290</v>
      </c>
      <c r="D3311" t="s">
        <v>4291</v>
      </c>
      <c r="E3311" t="s">
        <v>29</v>
      </c>
      <c r="F3311" t="s">
        <v>30</v>
      </c>
      <c r="G3311">
        <v>2</v>
      </c>
      <c r="H3311">
        <v>0</v>
      </c>
      <c r="I3311">
        <v>3</v>
      </c>
      <c r="J3311">
        <v>0</v>
      </c>
      <c r="K3311">
        <v>0</v>
      </c>
      <c r="L3311">
        <v>71</v>
      </c>
      <c r="M3311">
        <v>0</v>
      </c>
      <c r="N3311">
        <v>0</v>
      </c>
      <c r="O3311">
        <v>0</v>
      </c>
      <c r="P3311">
        <v>0</v>
      </c>
      <c r="Q3311">
        <v>0</v>
      </c>
      <c r="R3311">
        <v>0</v>
      </c>
      <c r="S3311">
        <v>0</v>
      </c>
      <c r="T3311">
        <v>0</v>
      </c>
      <c r="U3311">
        <v>0</v>
      </c>
      <c r="V3311">
        <v>0</v>
      </c>
      <c r="W3311">
        <v>0</v>
      </c>
      <c r="X3311">
        <v>0</v>
      </c>
      <c r="Y3311" t="s">
        <v>51</v>
      </c>
      <c r="Z3311">
        <v>55</v>
      </c>
      <c r="AA3311">
        <v>0</v>
      </c>
    </row>
    <row r="3312" spans="1:27" x14ac:dyDescent="0.2">
      <c r="A3312" t="s">
        <v>622</v>
      </c>
      <c r="B3312">
        <v>2019</v>
      </c>
      <c r="C3312" t="s">
        <v>2999</v>
      </c>
      <c r="D3312" t="s">
        <v>4292</v>
      </c>
      <c r="E3312" t="s">
        <v>29</v>
      </c>
      <c r="F3312" t="s">
        <v>30</v>
      </c>
      <c r="G3312">
        <v>0</v>
      </c>
      <c r="H3312">
        <v>0</v>
      </c>
      <c r="I3312">
        <v>0</v>
      </c>
      <c r="J3312">
        <v>0</v>
      </c>
      <c r="K3312">
        <v>0</v>
      </c>
      <c r="L3312">
        <v>0</v>
      </c>
      <c r="M3312">
        <v>0</v>
      </c>
      <c r="N3312">
        <v>0</v>
      </c>
      <c r="O3312">
        <v>0</v>
      </c>
      <c r="P3312">
        <v>0</v>
      </c>
      <c r="Q3312">
        <v>0</v>
      </c>
      <c r="R3312">
        <v>0</v>
      </c>
      <c r="S3312">
        <v>3</v>
      </c>
      <c r="T3312">
        <v>0</v>
      </c>
      <c r="U3312">
        <v>0</v>
      </c>
      <c r="V3312">
        <v>0</v>
      </c>
      <c r="W3312">
        <v>0</v>
      </c>
      <c r="X3312">
        <v>0</v>
      </c>
      <c r="Y3312" t="s">
        <v>51</v>
      </c>
      <c r="Z3312">
        <v>55</v>
      </c>
      <c r="AA3312">
        <v>0</v>
      </c>
    </row>
    <row r="3313" spans="1:27" x14ac:dyDescent="0.2">
      <c r="A3313" t="s">
        <v>600</v>
      </c>
      <c r="B3313">
        <v>2020</v>
      </c>
      <c r="C3313">
        <v>3746003</v>
      </c>
      <c r="D3313" t="s">
        <v>4293</v>
      </c>
      <c r="E3313" t="s">
        <v>29</v>
      </c>
      <c r="F3313" t="s">
        <v>30</v>
      </c>
      <c r="G3313">
        <v>0</v>
      </c>
      <c r="H3313">
        <v>0</v>
      </c>
      <c r="I3313">
        <v>0</v>
      </c>
      <c r="J3313">
        <v>0</v>
      </c>
      <c r="K3313">
        <v>0</v>
      </c>
      <c r="L3313">
        <v>0</v>
      </c>
      <c r="M3313">
        <v>0</v>
      </c>
      <c r="N3313">
        <v>0</v>
      </c>
      <c r="O3313">
        <v>0</v>
      </c>
      <c r="P3313">
        <v>0</v>
      </c>
      <c r="Q3313">
        <v>0</v>
      </c>
      <c r="R3313">
        <v>0</v>
      </c>
      <c r="S3313">
        <v>0</v>
      </c>
      <c r="T3313">
        <v>0</v>
      </c>
      <c r="U3313">
        <v>0</v>
      </c>
      <c r="V3313">
        <v>0</v>
      </c>
      <c r="W3313">
        <v>0</v>
      </c>
      <c r="X3313">
        <v>0</v>
      </c>
      <c r="Y3313" t="s">
        <v>51</v>
      </c>
      <c r="AA3313">
        <v>0</v>
      </c>
    </row>
    <row r="3314" spans="1:27" x14ac:dyDescent="0.2">
      <c r="A3314" t="s">
        <v>600</v>
      </c>
      <c r="B3314">
        <v>2020</v>
      </c>
      <c r="C3314" s="2" t="s">
        <v>3502</v>
      </c>
      <c r="D3314" t="s">
        <v>3503</v>
      </c>
      <c r="E3314" t="s">
        <v>29</v>
      </c>
      <c r="F3314" t="s">
        <v>30</v>
      </c>
      <c r="G3314">
        <v>0</v>
      </c>
      <c r="H3314">
        <v>0</v>
      </c>
      <c r="I3314">
        <v>0</v>
      </c>
      <c r="J3314">
        <v>0</v>
      </c>
      <c r="K3314">
        <v>0</v>
      </c>
      <c r="L3314">
        <v>0</v>
      </c>
      <c r="M3314">
        <v>0</v>
      </c>
      <c r="N3314">
        <v>0</v>
      </c>
      <c r="O3314">
        <v>0</v>
      </c>
      <c r="P3314">
        <v>0</v>
      </c>
      <c r="Q3314">
        <v>0</v>
      </c>
      <c r="R3314">
        <v>0</v>
      </c>
      <c r="S3314">
        <v>0</v>
      </c>
      <c r="T3314">
        <v>0</v>
      </c>
      <c r="U3314">
        <v>0</v>
      </c>
      <c r="V3314">
        <v>0</v>
      </c>
      <c r="W3314">
        <v>0</v>
      </c>
      <c r="X3314">
        <v>0</v>
      </c>
      <c r="Y3314" t="s">
        <v>51</v>
      </c>
      <c r="AA3314">
        <v>0</v>
      </c>
    </row>
    <row r="3315" spans="1:27" x14ac:dyDescent="0.2">
      <c r="A3315" t="s">
        <v>600</v>
      </c>
      <c r="B3315">
        <v>2020</v>
      </c>
      <c r="C3315">
        <v>3548039</v>
      </c>
      <c r="D3315" t="s">
        <v>606</v>
      </c>
      <c r="E3315" t="s">
        <v>29</v>
      </c>
      <c r="F3315" t="s">
        <v>41</v>
      </c>
      <c r="G3315">
        <v>0</v>
      </c>
      <c r="H3315">
        <v>0</v>
      </c>
      <c r="I3315">
        <v>0</v>
      </c>
      <c r="J3315">
        <v>0</v>
      </c>
      <c r="K3315">
        <v>0</v>
      </c>
      <c r="L3315">
        <v>0</v>
      </c>
      <c r="M3315">
        <v>0</v>
      </c>
      <c r="N3315">
        <v>0</v>
      </c>
      <c r="O3315">
        <v>0</v>
      </c>
      <c r="P3315">
        <v>0</v>
      </c>
      <c r="Q3315">
        <v>0</v>
      </c>
      <c r="R3315">
        <v>0</v>
      </c>
      <c r="S3315">
        <v>0</v>
      </c>
      <c r="T3315">
        <v>0</v>
      </c>
      <c r="U3315">
        <v>0</v>
      </c>
      <c r="V3315">
        <v>0</v>
      </c>
      <c r="W3315">
        <v>2</v>
      </c>
      <c r="X3315">
        <v>0</v>
      </c>
      <c r="Y3315" t="s">
        <v>51</v>
      </c>
      <c r="AA3315">
        <v>0</v>
      </c>
    </row>
    <row r="3316" spans="1:27" x14ac:dyDescent="0.2">
      <c r="A3316" t="s">
        <v>600</v>
      </c>
      <c r="B3316">
        <v>2020</v>
      </c>
      <c r="C3316">
        <v>3509024</v>
      </c>
      <c r="D3316" t="s">
        <v>926</v>
      </c>
      <c r="E3316" t="s">
        <v>29</v>
      </c>
      <c r="F3316" t="s">
        <v>30</v>
      </c>
      <c r="G3316">
        <v>0</v>
      </c>
      <c r="H3316">
        <v>0</v>
      </c>
      <c r="I3316">
        <v>0</v>
      </c>
      <c r="J3316">
        <v>0</v>
      </c>
      <c r="K3316">
        <v>0</v>
      </c>
      <c r="L3316">
        <v>0</v>
      </c>
      <c r="M3316">
        <v>0</v>
      </c>
      <c r="N3316">
        <v>0</v>
      </c>
      <c r="O3316">
        <v>0</v>
      </c>
      <c r="P3316">
        <v>0</v>
      </c>
      <c r="Q3316">
        <v>0</v>
      </c>
      <c r="R3316">
        <v>0</v>
      </c>
      <c r="S3316">
        <v>0</v>
      </c>
      <c r="T3316">
        <v>0</v>
      </c>
      <c r="U3316">
        <v>0</v>
      </c>
      <c r="V3316">
        <v>0</v>
      </c>
      <c r="W3316">
        <v>0</v>
      </c>
      <c r="X3316">
        <v>0</v>
      </c>
      <c r="Y3316" t="s">
        <v>51</v>
      </c>
      <c r="AA3316">
        <v>0</v>
      </c>
    </row>
    <row r="3317" spans="1:27" x14ac:dyDescent="0.2">
      <c r="A3317" t="s">
        <v>600</v>
      </c>
      <c r="B3317">
        <v>2020</v>
      </c>
      <c r="C3317">
        <v>3509026</v>
      </c>
      <c r="D3317" t="s">
        <v>1000</v>
      </c>
      <c r="E3317" t="s">
        <v>29</v>
      </c>
      <c r="F3317" t="s">
        <v>30</v>
      </c>
      <c r="G3317">
        <v>0</v>
      </c>
      <c r="H3317">
        <v>0</v>
      </c>
      <c r="I3317">
        <v>0</v>
      </c>
      <c r="J3317">
        <v>0</v>
      </c>
      <c r="K3317">
        <v>0</v>
      </c>
      <c r="L3317">
        <v>0</v>
      </c>
      <c r="M3317">
        <v>0</v>
      </c>
      <c r="N3317">
        <v>0</v>
      </c>
      <c r="O3317">
        <v>0</v>
      </c>
      <c r="P3317">
        <v>0</v>
      </c>
      <c r="Q3317">
        <v>0</v>
      </c>
      <c r="R3317">
        <v>0</v>
      </c>
      <c r="S3317">
        <v>0</v>
      </c>
      <c r="T3317">
        <v>0</v>
      </c>
      <c r="U3317">
        <v>0</v>
      </c>
      <c r="V3317">
        <v>0</v>
      </c>
      <c r="W3317">
        <v>0</v>
      </c>
      <c r="X3317">
        <v>0</v>
      </c>
      <c r="Y3317" t="s">
        <v>51</v>
      </c>
      <c r="AA3317">
        <v>0</v>
      </c>
    </row>
    <row r="3318" spans="1:27" x14ac:dyDescent="0.2">
      <c r="A3318" t="s">
        <v>321</v>
      </c>
      <c r="B3318">
        <v>2018</v>
      </c>
      <c r="C3318">
        <v>4275005016</v>
      </c>
      <c r="D3318" t="s">
        <v>4294</v>
      </c>
      <c r="E3318" t="s">
        <v>29</v>
      </c>
      <c r="F3318" t="s">
        <v>30</v>
      </c>
      <c r="G3318">
        <v>3</v>
      </c>
      <c r="H3318">
        <v>0</v>
      </c>
      <c r="I3318">
        <v>0</v>
      </c>
      <c r="J3318">
        <v>0</v>
      </c>
      <c r="K3318">
        <v>0</v>
      </c>
      <c r="L3318">
        <v>0</v>
      </c>
      <c r="M3318">
        <v>0</v>
      </c>
      <c r="N3318">
        <v>0</v>
      </c>
      <c r="O3318">
        <v>0</v>
      </c>
      <c r="P3318">
        <v>0</v>
      </c>
      <c r="Q3318">
        <v>0</v>
      </c>
      <c r="R3318">
        <v>0</v>
      </c>
      <c r="S3318">
        <v>0</v>
      </c>
      <c r="T3318">
        <v>0</v>
      </c>
      <c r="U3318">
        <v>0</v>
      </c>
      <c r="V3318">
        <v>0</v>
      </c>
      <c r="W3318">
        <v>0</v>
      </c>
      <c r="X3318">
        <v>0</v>
      </c>
      <c r="Y3318" t="s">
        <v>51</v>
      </c>
      <c r="Z3318">
        <v>55</v>
      </c>
      <c r="AA3318">
        <v>0</v>
      </c>
    </row>
    <row r="3319" spans="1:27" ht="102" x14ac:dyDescent="0.2">
      <c r="A3319" t="s">
        <v>32</v>
      </c>
      <c r="B3319">
        <v>2022</v>
      </c>
      <c r="C3319" t="s">
        <v>2654</v>
      </c>
      <c r="D3319" s="1" t="s">
        <v>4295</v>
      </c>
      <c r="E3319" t="s">
        <v>29</v>
      </c>
      <c r="F3319" t="s">
        <v>30</v>
      </c>
      <c r="G3319">
        <v>0</v>
      </c>
      <c r="H3319">
        <v>0</v>
      </c>
      <c r="I3319">
        <v>0</v>
      </c>
      <c r="J3319">
        <v>0</v>
      </c>
      <c r="K3319">
        <v>0</v>
      </c>
      <c r="L3319">
        <v>0</v>
      </c>
      <c r="M3319">
        <v>0</v>
      </c>
      <c r="N3319">
        <v>0</v>
      </c>
      <c r="O3319">
        <v>6</v>
      </c>
      <c r="P3319">
        <v>0</v>
      </c>
      <c r="Q3319">
        <v>0</v>
      </c>
      <c r="R3319">
        <v>0</v>
      </c>
      <c r="S3319">
        <v>0</v>
      </c>
      <c r="T3319">
        <v>0</v>
      </c>
      <c r="U3319">
        <v>0</v>
      </c>
      <c r="V3319">
        <v>0</v>
      </c>
      <c r="W3319">
        <v>0</v>
      </c>
      <c r="X3319">
        <v>0</v>
      </c>
      <c r="Y3319" t="s">
        <v>31</v>
      </c>
      <c r="AA3319">
        <v>58</v>
      </c>
    </row>
    <row r="3320" spans="1:27" ht="102" x14ac:dyDescent="0.2">
      <c r="A3320" t="s">
        <v>32</v>
      </c>
      <c r="B3320">
        <v>2022</v>
      </c>
      <c r="C3320" t="s">
        <v>2654</v>
      </c>
      <c r="D3320" s="1" t="s">
        <v>4296</v>
      </c>
      <c r="E3320" t="s">
        <v>29</v>
      </c>
      <c r="F3320" t="s">
        <v>30</v>
      </c>
      <c r="G3320">
        <v>0</v>
      </c>
      <c r="H3320">
        <v>0</v>
      </c>
      <c r="I3320">
        <v>0</v>
      </c>
      <c r="J3320">
        <v>0</v>
      </c>
      <c r="K3320">
        <v>0</v>
      </c>
      <c r="L3320">
        <v>0</v>
      </c>
      <c r="M3320">
        <v>0</v>
      </c>
      <c r="N3320">
        <v>0</v>
      </c>
      <c r="O3320">
        <v>18</v>
      </c>
      <c r="P3320">
        <v>0</v>
      </c>
      <c r="Q3320">
        <v>0</v>
      </c>
      <c r="R3320">
        <v>0</v>
      </c>
      <c r="S3320">
        <v>0</v>
      </c>
      <c r="T3320">
        <v>0</v>
      </c>
      <c r="U3320">
        <v>0</v>
      </c>
      <c r="V3320">
        <v>0</v>
      </c>
      <c r="W3320">
        <v>0</v>
      </c>
      <c r="X3320">
        <v>0</v>
      </c>
      <c r="Y3320" t="s">
        <v>31</v>
      </c>
      <c r="AA3320">
        <v>58</v>
      </c>
    </row>
    <row r="3321" spans="1:27" x14ac:dyDescent="0.2">
      <c r="A3321" t="s">
        <v>88</v>
      </c>
      <c r="B3321">
        <v>2022</v>
      </c>
      <c r="C3321" t="s">
        <v>4297</v>
      </c>
      <c r="D3321" t="s">
        <v>4298</v>
      </c>
      <c r="E3321" t="s">
        <v>29</v>
      </c>
      <c r="F3321" t="s">
        <v>30</v>
      </c>
      <c r="G3321">
        <v>0</v>
      </c>
      <c r="H3321">
        <v>0</v>
      </c>
      <c r="I3321">
        <v>0</v>
      </c>
      <c r="J3321">
        <v>0</v>
      </c>
      <c r="K3321">
        <v>0</v>
      </c>
      <c r="L3321">
        <v>0</v>
      </c>
      <c r="M3321">
        <v>0</v>
      </c>
      <c r="N3321">
        <v>0</v>
      </c>
      <c r="O3321">
        <v>6</v>
      </c>
      <c r="P3321">
        <v>0</v>
      </c>
      <c r="Q3321">
        <v>28</v>
      </c>
      <c r="R3321">
        <v>0</v>
      </c>
      <c r="S3321">
        <v>0</v>
      </c>
      <c r="T3321">
        <v>0</v>
      </c>
      <c r="U3321">
        <v>0</v>
      </c>
      <c r="V3321">
        <v>0</v>
      </c>
      <c r="W3321">
        <v>0</v>
      </c>
      <c r="X3321">
        <v>0</v>
      </c>
      <c r="Y3321" t="s">
        <v>51</v>
      </c>
      <c r="Z3321">
        <v>55</v>
      </c>
      <c r="AA3321">
        <v>0</v>
      </c>
    </row>
    <row r="3322" spans="1:27" x14ac:dyDescent="0.2">
      <c r="A3322" t="s">
        <v>88</v>
      </c>
      <c r="B3322">
        <v>2022</v>
      </c>
      <c r="C3322" t="s">
        <v>89</v>
      </c>
      <c r="D3322" t="s">
        <v>4299</v>
      </c>
      <c r="E3322" t="s">
        <v>29</v>
      </c>
      <c r="F3322" t="s">
        <v>30</v>
      </c>
      <c r="G3322">
        <v>74</v>
      </c>
      <c r="H3322">
        <v>0</v>
      </c>
      <c r="I3322">
        <v>76</v>
      </c>
      <c r="J3322">
        <v>0</v>
      </c>
      <c r="K3322">
        <v>0</v>
      </c>
      <c r="L3322">
        <v>0</v>
      </c>
      <c r="M3322">
        <v>74</v>
      </c>
      <c r="N3322">
        <v>0</v>
      </c>
      <c r="O3322">
        <v>76</v>
      </c>
      <c r="P3322">
        <v>0</v>
      </c>
      <c r="Q3322">
        <v>0</v>
      </c>
      <c r="R3322">
        <v>0</v>
      </c>
      <c r="S3322">
        <v>0</v>
      </c>
      <c r="T3322">
        <v>0</v>
      </c>
      <c r="U3322">
        <v>0</v>
      </c>
      <c r="V3322">
        <v>0</v>
      </c>
      <c r="W3322">
        <v>0</v>
      </c>
      <c r="X3322">
        <v>0</v>
      </c>
      <c r="Y3322" t="s">
        <v>51</v>
      </c>
      <c r="Z3322">
        <v>55</v>
      </c>
      <c r="AA3322">
        <v>0</v>
      </c>
    </row>
    <row r="3323" spans="1:27" x14ac:dyDescent="0.2">
      <c r="A3323" t="s">
        <v>2411</v>
      </c>
      <c r="B3323">
        <v>2021</v>
      </c>
      <c r="C3323" t="s">
        <v>4300</v>
      </c>
      <c r="D3323" t="s">
        <v>4301</v>
      </c>
      <c r="E3323" t="s">
        <v>29</v>
      </c>
      <c r="F3323" t="s">
        <v>30</v>
      </c>
      <c r="G3323">
        <v>1</v>
      </c>
      <c r="H3323">
        <v>0</v>
      </c>
      <c r="I3323">
        <v>0</v>
      </c>
      <c r="J3323">
        <v>0</v>
      </c>
      <c r="K3323">
        <v>1</v>
      </c>
      <c r="L3323">
        <v>0</v>
      </c>
      <c r="M3323">
        <v>0</v>
      </c>
      <c r="N3323">
        <v>0</v>
      </c>
      <c r="O3323">
        <v>0</v>
      </c>
      <c r="P3323">
        <v>0</v>
      </c>
      <c r="Q3323">
        <v>0</v>
      </c>
      <c r="R3323">
        <v>0</v>
      </c>
      <c r="S3323">
        <v>0</v>
      </c>
      <c r="T3323">
        <v>0</v>
      </c>
      <c r="U3323">
        <v>0</v>
      </c>
      <c r="V3323">
        <v>0</v>
      </c>
      <c r="W3323">
        <v>0</v>
      </c>
      <c r="X3323">
        <v>0</v>
      </c>
      <c r="Y3323" t="s">
        <v>51</v>
      </c>
      <c r="Z3323">
        <v>1000</v>
      </c>
      <c r="AA3323">
        <v>0</v>
      </c>
    </row>
    <row r="3324" spans="1:27" x14ac:dyDescent="0.2">
      <c r="A3324" t="s">
        <v>2411</v>
      </c>
      <c r="B3324">
        <v>2021</v>
      </c>
      <c r="C3324" t="s">
        <v>4302</v>
      </c>
      <c r="D3324" t="s">
        <v>4303</v>
      </c>
      <c r="E3324" t="s">
        <v>29</v>
      </c>
      <c r="F3324" t="s">
        <v>30</v>
      </c>
      <c r="G3324">
        <v>0</v>
      </c>
      <c r="H3324">
        <v>0</v>
      </c>
      <c r="I3324">
        <v>0</v>
      </c>
      <c r="J3324">
        <v>0</v>
      </c>
      <c r="K3324">
        <v>0</v>
      </c>
      <c r="L3324">
        <v>0</v>
      </c>
      <c r="M3324">
        <v>0</v>
      </c>
      <c r="N3324">
        <v>0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0</v>
      </c>
      <c r="U3324">
        <v>10</v>
      </c>
      <c r="V3324">
        <v>0</v>
      </c>
      <c r="W3324">
        <v>0</v>
      </c>
      <c r="X3324">
        <v>0</v>
      </c>
      <c r="Y3324" t="s">
        <v>51</v>
      </c>
      <c r="Z3324">
        <v>1000</v>
      </c>
      <c r="AA3324">
        <v>0</v>
      </c>
    </row>
    <row r="3325" spans="1:27" x14ac:dyDescent="0.2">
      <c r="A3325" t="s">
        <v>1500</v>
      </c>
      <c r="B3325">
        <v>2022</v>
      </c>
      <c r="C3325">
        <v>3103010047</v>
      </c>
      <c r="D3325" t="s">
        <v>4304</v>
      </c>
      <c r="E3325" t="s">
        <v>29</v>
      </c>
      <c r="F3325" t="s">
        <v>30</v>
      </c>
      <c r="G3325">
        <v>35</v>
      </c>
      <c r="H3325">
        <v>0</v>
      </c>
      <c r="I3325">
        <v>0</v>
      </c>
      <c r="J3325">
        <v>0</v>
      </c>
      <c r="K3325">
        <v>0</v>
      </c>
      <c r="L3325">
        <v>0</v>
      </c>
      <c r="M3325">
        <v>0</v>
      </c>
      <c r="N3325">
        <v>0</v>
      </c>
      <c r="O3325">
        <v>0</v>
      </c>
      <c r="P3325">
        <v>0</v>
      </c>
      <c r="Q3325">
        <v>0</v>
      </c>
      <c r="R3325">
        <v>0</v>
      </c>
      <c r="S3325">
        <v>0</v>
      </c>
      <c r="T3325">
        <v>0</v>
      </c>
      <c r="U3325">
        <v>0</v>
      </c>
      <c r="V3325">
        <v>0</v>
      </c>
      <c r="W3325">
        <v>0</v>
      </c>
      <c r="X3325">
        <v>0</v>
      </c>
      <c r="Y3325" t="s">
        <v>31</v>
      </c>
      <c r="Z3325">
        <v>55</v>
      </c>
      <c r="AA3325">
        <v>89</v>
      </c>
    </row>
    <row r="3326" spans="1:27" x14ac:dyDescent="0.2">
      <c r="A3326" t="s">
        <v>75</v>
      </c>
      <c r="B3326">
        <v>2019</v>
      </c>
      <c r="C3326">
        <v>4275001400</v>
      </c>
      <c r="D3326" t="s">
        <v>4305</v>
      </c>
      <c r="E3326" t="s">
        <v>29</v>
      </c>
      <c r="F3326" t="s">
        <v>30</v>
      </c>
      <c r="G3326">
        <v>0</v>
      </c>
      <c r="H3326">
        <v>0</v>
      </c>
      <c r="I3326">
        <v>0</v>
      </c>
      <c r="J3326">
        <v>0</v>
      </c>
      <c r="K3326">
        <v>0</v>
      </c>
      <c r="L3326">
        <v>0</v>
      </c>
      <c r="M3326">
        <v>5</v>
      </c>
      <c r="N3326">
        <v>0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  <c r="U3326">
        <v>0</v>
      </c>
      <c r="V3326">
        <v>0</v>
      </c>
      <c r="W3326">
        <v>0</v>
      </c>
      <c r="X3326">
        <v>0</v>
      </c>
      <c r="Y3326" t="s">
        <v>31</v>
      </c>
      <c r="Z3326">
        <v>55</v>
      </c>
      <c r="AA3326">
        <v>0</v>
      </c>
    </row>
    <row r="3327" spans="1:27" x14ac:dyDescent="0.2">
      <c r="A3327" t="s">
        <v>75</v>
      </c>
      <c r="B3327">
        <v>2019</v>
      </c>
      <c r="C3327">
        <v>4714122800</v>
      </c>
      <c r="D3327" t="s">
        <v>4306</v>
      </c>
      <c r="E3327" t="s">
        <v>29</v>
      </c>
      <c r="F3327" t="s">
        <v>30</v>
      </c>
      <c r="G3327">
        <v>0</v>
      </c>
      <c r="H3327">
        <v>0</v>
      </c>
      <c r="I3327">
        <v>0</v>
      </c>
      <c r="J3327">
        <v>0</v>
      </c>
      <c r="K3327">
        <v>0</v>
      </c>
      <c r="L3327">
        <v>0</v>
      </c>
      <c r="M3327">
        <v>0</v>
      </c>
      <c r="N3327">
        <v>0</v>
      </c>
      <c r="O3327">
        <v>1</v>
      </c>
      <c r="P3327">
        <v>0</v>
      </c>
      <c r="Q3327">
        <v>0</v>
      </c>
      <c r="R3327">
        <v>0</v>
      </c>
      <c r="S3327">
        <v>0</v>
      </c>
      <c r="T3327">
        <v>0</v>
      </c>
      <c r="U3327">
        <v>0</v>
      </c>
      <c r="V3327">
        <v>0</v>
      </c>
      <c r="W3327">
        <v>0</v>
      </c>
      <c r="X3327">
        <v>0</v>
      </c>
      <c r="Y3327" t="s">
        <v>51</v>
      </c>
      <c r="Z3327">
        <v>55</v>
      </c>
      <c r="AA3327">
        <v>0</v>
      </c>
    </row>
    <row r="3328" spans="1:27" x14ac:dyDescent="0.2">
      <c r="A3328" t="s">
        <v>75</v>
      </c>
      <c r="B3328">
        <v>2019</v>
      </c>
      <c r="C3328">
        <v>4441102300</v>
      </c>
      <c r="D3328" t="s">
        <v>4307</v>
      </c>
      <c r="E3328" t="s">
        <v>29</v>
      </c>
      <c r="F3328" t="s">
        <v>30</v>
      </c>
      <c r="G3328">
        <v>0</v>
      </c>
      <c r="H3328">
        <v>0</v>
      </c>
      <c r="I3328">
        <v>0</v>
      </c>
      <c r="J3328">
        <v>0</v>
      </c>
      <c r="K3328">
        <v>0</v>
      </c>
      <c r="L3328">
        <v>0</v>
      </c>
      <c r="M3328">
        <v>14</v>
      </c>
      <c r="N3328">
        <v>0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  <c r="U3328">
        <v>0</v>
      </c>
      <c r="V3328">
        <v>0</v>
      </c>
      <c r="W3328">
        <v>0</v>
      </c>
      <c r="X3328">
        <v>0</v>
      </c>
      <c r="Y3328" t="s">
        <v>31</v>
      </c>
      <c r="Z3328">
        <v>55</v>
      </c>
      <c r="AA3328">
        <v>0</v>
      </c>
    </row>
    <row r="3329" spans="1:27" x14ac:dyDescent="0.2">
      <c r="A3329" t="s">
        <v>43</v>
      </c>
      <c r="B3329">
        <v>2022</v>
      </c>
      <c r="C3329">
        <v>5531022019</v>
      </c>
      <c r="D3329" t="s">
        <v>4308</v>
      </c>
      <c r="E3329" t="s">
        <v>29</v>
      </c>
      <c r="F3329" t="s">
        <v>30</v>
      </c>
      <c r="G3329">
        <v>25</v>
      </c>
      <c r="H3329">
        <v>0</v>
      </c>
      <c r="I3329">
        <v>24</v>
      </c>
      <c r="J3329">
        <v>0</v>
      </c>
      <c r="K3329">
        <v>0</v>
      </c>
      <c r="L3329">
        <v>0</v>
      </c>
      <c r="M3329">
        <v>0</v>
      </c>
      <c r="N3329">
        <v>0</v>
      </c>
      <c r="O3329">
        <v>0</v>
      </c>
      <c r="P3329">
        <v>0</v>
      </c>
      <c r="Q3329">
        <v>0</v>
      </c>
      <c r="R3329">
        <v>0</v>
      </c>
      <c r="S3329">
        <v>0</v>
      </c>
      <c r="T3329">
        <v>0</v>
      </c>
      <c r="U3329">
        <v>0</v>
      </c>
      <c r="V3329">
        <v>0</v>
      </c>
      <c r="W3329">
        <v>0</v>
      </c>
      <c r="X3329">
        <v>0</v>
      </c>
      <c r="Y3329" t="s">
        <v>31</v>
      </c>
      <c r="Z3329">
        <v>1000</v>
      </c>
      <c r="AA3329">
        <v>178</v>
      </c>
    </row>
    <row r="3330" spans="1:27" x14ac:dyDescent="0.2">
      <c r="A3330" t="s">
        <v>43</v>
      </c>
      <c r="B3330">
        <v>2022</v>
      </c>
      <c r="C3330">
        <v>4336019033</v>
      </c>
      <c r="D3330" t="s">
        <v>2912</v>
      </c>
      <c r="E3330" t="s">
        <v>29</v>
      </c>
      <c r="F3330" t="s">
        <v>41</v>
      </c>
      <c r="G3330">
        <v>0</v>
      </c>
      <c r="H3330">
        <v>0</v>
      </c>
      <c r="I3330">
        <v>0</v>
      </c>
      <c r="J3330">
        <v>0</v>
      </c>
      <c r="K3330">
        <v>0</v>
      </c>
      <c r="L3330">
        <v>0</v>
      </c>
      <c r="M3330">
        <v>0</v>
      </c>
      <c r="N3330">
        <v>0</v>
      </c>
      <c r="O3330">
        <v>0</v>
      </c>
      <c r="P3330">
        <v>0</v>
      </c>
      <c r="Q3330">
        <v>0</v>
      </c>
      <c r="R3330">
        <v>0</v>
      </c>
      <c r="S3330">
        <v>0</v>
      </c>
      <c r="T3330">
        <v>0</v>
      </c>
      <c r="U3330">
        <v>0</v>
      </c>
      <c r="V3330">
        <v>0</v>
      </c>
      <c r="W3330">
        <v>0</v>
      </c>
      <c r="X3330">
        <v>0</v>
      </c>
      <c r="Y3330" t="s">
        <v>31</v>
      </c>
      <c r="Z3330">
        <v>1000</v>
      </c>
      <c r="AA3330">
        <v>35</v>
      </c>
    </row>
    <row r="3331" spans="1:27" x14ac:dyDescent="0.2">
      <c r="A3331" t="s">
        <v>1624</v>
      </c>
      <c r="B3331">
        <v>2020</v>
      </c>
      <c r="C3331" t="s">
        <v>4309</v>
      </c>
      <c r="D3331" t="s">
        <v>2682</v>
      </c>
      <c r="E3331" t="s">
        <v>29</v>
      </c>
      <c r="F3331" t="s">
        <v>41</v>
      </c>
      <c r="G3331">
        <v>0</v>
      </c>
      <c r="H3331">
        <v>0</v>
      </c>
      <c r="I3331">
        <v>0</v>
      </c>
      <c r="J3331">
        <v>0</v>
      </c>
      <c r="K3331">
        <v>0</v>
      </c>
      <c r="L3331">
        <v>0</v>
      </c>
      <c r="M3331">
        <v>0</v>
      </c>
      <c r="N3331">
        <v>0</v>
      </c>
      <c r="O3331">
        <v>0</v>
      </c>
      <c r="P3331">
        <v>0</v>
      </c>
      <c r="Q3331">
        <v>0</v>
      </c>
      <c r="R3331">
        <v>0</v>
      </c>
      <c r="S3331">
        <v>0</v>
      </c>
      <c r="T3331">
        <v>0</v>
      </c>
      <c r="U3331">
        <v>0</v>
      </c>
      <c r="V3331">
        <v>0</v>
      </c>
      <c r="W3331">
        <v>8</v>
      </c>
      <c r="X3331">
        <v>0</v>
      </c>
      <c r="Y3331" t="s">
        <v>51</v>
      </c>
      <c r="Z3331">
        <v>30</v>
      </c>
      <c r="AA3331">
        <v>0</v>
      </c>
    </row>
    <row r="3332" spans="1:27" x14ac:dyDescent="0.2">
      <c r="A3332" t="s">
        <v>75</v>
      </c>
      <c r="B3332">
        <v>2019</v>
      </c>
      <c r="C3332">
        <v>3692300100</v>
      </c>
      <c r="D3332" t="s">
        <v>4310</v>
      </c>
      <c r="E3332" t="s">
        <v>29</v>
      </c>
      <c r="F3332" t="s">
        <v>30</v>
      </c>
      <c r="G3332">
        <v>0</v>
      </c>
      <c r="H3332">
        <v>0</v>
      </c>
      <c r="I3332">
        <v>0</v>
      </c>
      <c r="J3332">
        <v>0</v>
      </c>
      <c r="K3332">
        <v>0</v>
      </c>
      <c r="L3332">
        <v>0</v>
      </c>
      <c r="M3332">
        <v>0</v>
      </c>
      <c r="N3332">
        <v>0</v>
      </c>
      <c r="O3332">
        <v>22</v>
      </c>
      <c r="P3332">
        <v>0</v>
      </c>
      <c r="Q3332">
        <v>23</v>
      </c>
      <c r="R3332">
        <v>0</v>
      </c>
      <c r="S3332">
        <v>0</v>
      </c>
      <c r="T3332">
        <v>0</v>
      </c>
      <c r="U3332">
        <v>0</v>
      </c>
      <c r="V3332">
        <v>0</v>
      </c>
      <c r="W3332">
        <v>0</v>
      </c>
      <c r="X3332">
        <v>0</v>
      </c>
      <c r="Y3332" t="s">
        <v>51</v>
      </c>
      <c r="Z3332">
        <v>55</v>
      </c>
      <c r="AA3332">
        <v>0</v>
      </c>
    </row>
    <row r="3333" spans="1:27" x14ac:dyDescent="0.2">
      <c r="A3333" t="s">
        <v>4311</v>
      </c>
      <c r="B3333">
        <v>2023</v>
      </c>
      <c r="C3333" t="s">
        <v>4312</v>
      </c>
      <c r="D3333" t="s">
        <v>4313</v>
      </c>
      <c r="E3333" t="s">
        <v>29</v>
      </c>
      <c r="F3333" t="s">
        <v>30</v>
      </c>
      <c r="G3333">
        <v>11</v>
      </c>
      <c r="H3333">
        <v>0</v>
      </c>
      <c r="I3333">
        <v>0</v>
      </c>
      <c r="J3333">
        <v>209</v>
      </c>
      <c r="K3333">
        <v>0</v>
      </c>
      <c r="L3333">
        <v>0</v>
      </c>
      <c r="M3333">
        <v>0</v>
      </c>
      <c r="N3333">
        <v>0</v>
      </c>
      <c r="O3333">
        <v>0</v>
      </c>
      <c r="P3333">
        <v>0</v>
      </c>
      <c r="Q3333">
        <v>0</v>
      </c>
      <c r="R3333">
        <v>0</v>
      </c>
      <c r="S3333">
        <v>0</v>
      </c>
      <c r="T3333">
        <v>0</v>
      </c>
      <c r="U3333">
        <v>0</v>
      </c>
      <c r="V3333">
        <v>0</v>
      </c>
      <c r="W3333">
        <v>0</v>
      </c>
      <c r="X3333">
        <v>0</v>
      </c>
      <c r="Y3333" t="s">
        <v>31</v>
      </c>
      <c r="Z3333">
        <v>55</v>
      </c>
      <c r="AA3333">
        <v>20</v>
      </c>
    </row>
    <row r="3334" spans="1:27" x14ac:dyDescent="0.2">
      <c r="A3334" t="s">
        <v>1959</v>
      </c>
      <c r="B3334">
        <v>2018</v>
      </c>
      <c r="C3334" t="s">
        <v>4314</v>
      </c>
      <c r="D3334" t="s">
        <v>4315</v>
      </c>
      <c r="E3334" t="s">
        <v>29</v>
      </c>
      <c r="F3334" t="s">
        <v>30</v>
      </c>
      <c r="G3334">
        <v>0</v>
      </c>
      <c r="H3334">
        <v>0</v>
      </c>
      <c r="I3334">
        <v>0</v>
      </c>
      <c r="J3334">
        <v>0</v>
      </c>
      <c r="K3334">
        <v>0</v>
      </c>
      <c r="L3334">
        <v>0</v>
      </c>
      <c r="M3334">
        <v>58</v>
      </c>
      <c r="N3334">
        <v>0</v>
      </c>
      <c r="O3334">
        <v>32</v>
      </c>
      <c r="P3334">
        <v>0</v>
      </c>
      <c r="Q3334">
        <v>0</v>
      </c>
      <c r="R3334">
        <v>0</v>
      </c>
      <c r="S3334">
        <v>0</v>
      </c>
      <c r="T3334">
        <v>0</v>
      </c>
      <c r="U3334">
        <v>0</v>
      </c>
      <c r="V3334">
        <v>0</v>
      </c>
      <c r="W3334">
        <v>0</v>
      </c>
      <c r="X3334">
        <v>0</v>
      </c>
      <c r="Y3334" t="s">
        <v>51</v>
      </c>
      <c r="AA3334">
        <v>0</v>
      </c>
    </row>
    <row r="3335" spans="1:27" x14ac:dyDescent="0.2">
      <c r="A3335" t="s">
        <v>1959</v>
      </c>
      <c r="B3335">
        <v>2018</v>
      </c>
      <c r="C3335" t="s">
        <v>4316</v>
      </c>
      <c r="D3335" t="s">
        <v>4317</v>
      </c>
      <c r="E3335" t="s">
        <v>29</v>
      </c>
      <c r="F3335" t="s">
        <v>30</v>
      </c>
      <c r="G3335">
        <v>0</v>
      </c>
      <c r="H3335">
        <v>0</v>
      </c>
      <c r="I3335">
        <v>0</v>
      </c>
      <c r="J3335">
        <v>0</v>
      </c>
      <c r="K3335">
        <v>0</v>
      </c>
      <c r="L3335">
        <v>700</v>
      </c>
      <c r="M3335">
        <v>0</v>
      </c>
      <c r="N3335">
        <v>0</v>
      </c>
      <c r="O3335">
        <v>0</v>
      </c>
      <c r="P3335">
        <v>0</v>
      </c>
      <c r="Q3335">
        <v>0</v>
      </c>
      <c r="R3335">
        <v>0</v>
      </c>
      <c r="S3335">
        <v>0</v>
      </c>
      <c r="T3335">
        <v>0</v>
      </c>
      <c r="U3335">
        <v>0</v>
      </c>
      <c r="V3335">
        <v>0</v>
      </c>
      <c r="W3335">
        <v>0</v>
      </c>
      <c r="X3335">
        <v>0</v>
      </c>
      <c r="Y3335" t="s">
        <v>51</v>
      </c>
      <c r="AA3335">
        <v>0</v>
      </c>
    </row>
    <row r="3336" spans="1:27" x14ac:dyDescent="0.2">
      <c r="A3336" t="s">
        <v>1959</v>
      </c>
      <c r="B3336">
        <v>2018</v>
      </c>
      <c r="C3336" t="s">
        <v>4318</v>
      </c>
      <c r="D3336" t="s">
        <v>2097</v>
      </c>
      <c r="E3336" t="s">
        <v>29</v>
      </c>
      <c r="F3336" t="s">
        <v>30</v>
      </c>
      <c r="G3336">
        <v>100</v>
      </c>
      <c r="H3336">
        <v>0</v>
      </c>
      <c r="I3336">
        <v>50</v>
      </c>
      <c r="J3336">
        <v>0</v>
      </c>
      <c r="K3336">
        <v>0</v>
      </c>
      <c r="L3336">
        <v>0</v>
      </c>
      <c r="M3336">
        <v>0</v>
      </c>
      <c r="N3336">
        <v>0</v>
      </c>
      <c r="O3336">
        <v>0</v>
      </c>
      <c r="P3336">
        <v>0</v>
      </c>
      <c r="Q3336">
        <v>0</v>
      </c>
      <c r="R3336">
        <v>0</v>
      </c>
      <c r="S3336">
        <v>0</v>
      </c>
      <c r="T3336">
        <v>0</v>
      </c>
      <c r="U3336">
        <v>0</v>
      </c>
      <c r="V3336">
        <v>0</v>
      </c>
      <c r="W3336">
        <v>0</v>
      </c>
      <c r="X3336">
        <v>0</v>
      </c>
      <c r="Y3336" t="s">
        <v>51</v>
      </c>
      <c r="AA3336">
        <v>0</v>
      </c>
    </row>
    <row r="3337" spans="1:27" x14ac:dyDescent="0.2">
      <c r="A3337" t="s">
        <v>379</v>
      </c>
      <c r="B3337">
        <v>2023</v>
      </c>
      <c r="C3337" t="s">
        <v>4319</v>
      </c>
      <c r="D3337" t="s">
        <v>4320</v>
      </c>
      <c r="E3337" t="s">
        <v>29</v>
      </c>
      <c r="F3337" t="s">
        <v>30</v>
      </c>
      <c r="G3337">
        <v>5</v>
      </c>
      <c r="H3337">
        <v>0</v>
      </c>
      <c r="I3337">
        <v>0</v>
      </c>
      <c r="J3337">
        <v>0</v>
      </c>
      <c r="K3337">
        <v>5</v>
      </c>
      <c r="L3337">
        <v>0</v>
      </c>
      <c r="M3337">
        <v>0</v>
      </c>
      <c r="N3337">
        <v>0</v>
      </c>
      <c r="O3337">
        <v>0</v>
      </c>
      <c r="P3337">
        <v>0</v>
      </c>
      <c r="Q3337">
        <v>0</v>
      </c>
      <c r="R3337">
        <v>0</v>
      </c>
      <c r="S3337">
        <v>0</v>
      </c>
      <c r="T3337">
        <v>0</v>
      </c>
      <c r="U3337">
        <v>0</v>
      </c>
      <c r="V3337">
        <v>0</v>
      </c>
      <c r="W3337">
        <v>0</v>
      </c>
      <c r="X3337">
        <v>0</v>
      </c>
      <c r="Y3337" t="s">
        <v>51</v>
      </c>
      <c r="Z3337">
        <v>45</v>
      </c>
      <c r="AA3337">
        <v>0</v>
      </c>
    </row>
    <row r="3338" spans="1:27" x14ac:dyDescent="0.2">
      <c r="A3338" t="s">
        <v>584</v>
      </c>
      <c r="B3338">
        <v>2020</v>
      </c>
      <c r="C3338" t="s">
        <v>4321</v>
      </c>
      <c r="D3338" t="s">
        <v>4322</v>
      </c>
      <c r="E3338" t="s">
        <v>29</v>
      </c>
      <c r="F3338" t="s">
        <v>30</v>
      </c>
      <c r="G3338">
        <v>0</v>
      </c>
      <c r="H3338">
        <v>0</v>
      </c>
      <c r="I3338">
        <v>68</v>
      </c>
      <c r="J3338">
        <v>0</v>
      </c>
      <c r="K3338">
        <v>0</v>
      </c>
      <c r="L3338">
        <v>0</v>
      </c>
      <c r="M3338">
        <v>0</v>
      </c>
      <c r="N3338">
        <v>0</v>
      </c>
      <c r="O3338">
        <v>0</v>
      </c>
      <c r="P3338">
        <v>0</v>
      </c>
      <c r="Q3338">
        <v>0</v>
      </c>
      <c r="R3338">
        <v>0</v>
      </c>
      <c r="S3338">
        <v>0</v>
      </c>
      <c r="T3338">
        <v>0</v>
      </c>
      <c r="U3338">
        <v>0</v>
      </c>
      <c r="V3338">
        <v>0</v>
      </c>
      <c r="W3338">
        <v>0</v>
      </c>
      <c r="X3338">
        <v>0</v>
      </c>
      <c r="Y3338" t="s">
        <v>51</v>
      </c>
      <c r="AA3338">
        <v>0</v>
      </c>
    </row>
    <row r="3339" spans="1:27" x14ac:dyDescent="0.2">
      <c r="A3339" t="s">
        <v>1449</v>
      </c>
      <c r="B3339">
        <v>2019</v>
      </c>
      <c r="C3339" t="s">
        <v>4323</v>
      </c>
      <c r="D3339" t="s">
        <v>4324</v>
      </c>
      <c r="E3339" t="s">
        <v>29</v>
      </c>
      <c r="F3339" t="s">
        <v>30</v>
      </c>
      <c r="G3339">
        <v>5</v>
      </c>
      <c r="H3339">
        <v>0</v>
      </c>
      <c r="I3339">
        <v>0</v>
      </c>
      <c r="J3339">
        <v>0</v>
      </c>
      <c r="K3339">
        <v>0</v>
      </c>
      <c r="L3339">
        <v>0</v>
      </c>
      <c r="M3339">
        <v>0</v>
      </c>
      <c r="N3339">
        <v>0</v>
      </c>
      <c r="O3339">
        <v>0</v>
      </c>
      <c r="P3339">
        <v>0</v>
      </c>
      <c r="Q3339">
        <v>0</v>
      </c>
      <c r="R3339">
        <v>0</v>
      </c>
      <c r="S3339">
        <v>0</v>
      </c>
      <c r="T3339">
        <v>0</v>
      </c>
      <c r="U3339">
        <v>0</v>
      </c>
      <c r="V3339">
        <v>0</v>
      </c>
      <c r="W3339">
        <v>0</v>
      </c>
      <c r="X3339">
        <v>0</v>
      </c>
      <c r="Y3339" t="s">
        <v>31</v>
      </c>
      <c r="AA3339">
        <v>0</v>
      </c>
    </row>
    <row r="3340" spans="1:27" x14ac:dyDescent="0.2">
      <c r="A3340" t="s">
        <v>1576</v>
      </c>
      <c r="B3340">
        <v>2022</v>
      </c>
      <c r="C3340">
        <v>1523201100</v>
      </c>
      <c r="D3340" t="s">
        <v>4325</v>
      </c>
      <c r="E3340" t="s">
        <v>29</v>
      </c>
      <c r="F3340" t="s">
        <v>30</v>
      </c>
      <c r="G3340">
        <v>15</v>
      </c>
      <c r="H3340">
        <v>0</v>
      </c>
      <c r="I3340">
        <v>0</v>
      </c>
      <c r="J3340">
        <v>0</v>
      </c>
      <c r="K3340">
        <v>0</v>
      </c>
      <c r="L3340">
        <v>0</v>
      </c>
      <c r="M3340">
        <v>0</v>
      </c>
      <c r="N3340">
        <v>0</v>
      </c>
      <c r="O3340">
        <v>0</v>
      </c>
      <c r="P3340">
        <v>0</v>
      </c>
      <c r="Q3340">
        <v>0</v>
      </c>
      <c r="R3340">
        <v>0</v>
      </c>
      <c r="S3340">
        <v>0</v>
      </c>
      <c r="T3340">
        <v>0</v>
      </c>
      <c r="U3340">
        <v>0</v>
      </c>
      <c r="V3340">
        <v>0</v>
      </c>
      <c r="W3340">
        <v>0</v>
      </c>
      <c r="X3340">
        <v>0</v>
      </c>
      <c r="Y3340" t="s">
        <v>31</v>
      </c>
      <c r="AA3340">
        <v>0.5</v>
      </c>
    </row>
    <row r="3341" spans="1:27" x14ac:dyDescent="0.2">
      <c r="A3341" t="s">
        <v>324</v>
      </c>
      <c r="B3341">
        <v>2022</v>
      </c>
      <c r="C3341" t="s">
        <v>4326</v>
      </c>
      <c r="D3341" t="s">
        <v>4327</v>
      </c>
      <c r="E3341" t="s">
        <v>29</v>
      </c>
      <c r="F3341" t="s">
        <v>30</v>
      </c>
      <c r="G3341">
        <v>0</v>
      </c>
      <c r="H3341">
        <v>0</v>
      </c>
      <c r="I3341">
        <v>35</v>
      </c>
      <c r="J3341">
        <v>0</v>
      </c>
      <c r="K3341">
        <v>0</v>
      </c>
      <c r="L3341">
        <v>0</v>
      </c>
      <c r="M3341">
        <v>0</v>
      </c>
      <c r="N3341">
        <v>0</v>
      </c>
      <c r="O3341">
        <v>0</v>
      </c>
      <c r="P3341">
        <v>0</v>
      </c>
      <c r="Q3341">
        <v>0</v>
      </c>
      <c r="R3341">
        <v>0</v>
      </c>
      <c r="S3341">
        <v>0</v>
      </c>
      <c r="T3341">
        <v>0</v>
      </c>
      <c r="U3341">
        <v>0</v>
      </c>
      <c r="V3341">
        <v>0</v>
      </c>
      <c r="W3341">
        <v>0</v>
      </c>
      <c r="X3341">
        <v>0</v>
      </c>
      <c r="Y3341" t="s">
        <v>31</v>
      </c>
      <c r="Z3341">
        <v>55</v>
      </c>
      <c r="AA3341">
        <v>20</v>
      </c>
    </row>
    <row r="3342" spans="1:27" x14ac:dyDescent="0.2">
      <c r="A3342" t="s">
        <v>172</v>
      </c>
      <c r="B3342">
        <v>2022</v>
      </c>
      <c r="C3342" t="s">
        <v>4328</v>
      </c>
      <c r="D3342" t="s">
        <v>4329</v>
      </c>
      <c r="E3342" t="s">
        <v>29</v>
      </c>
      <c r="F3342" t="s">
        <v>30</v>
      </c>
      <c r="G3342">
        <v>23</v>
      </c>
      <c r="H3342">
        <v>0</v>
      </c>
      <c r="I3342">
        <v>0</v>
      </c>
      <c r="J3342">
        <v>0</v>
      </c>
      <c r="K3342">
        <v>0</v>
      </c>
      <c r="L3342">
        <v>0</v>
      </c>
      <c r="M3342">
        <v>0</v>
      </c>
      <c r="N3342">
        <v>0</v>
      </c>
      <c r="O3342">
        <v>0</v>
      </c>
      <c r="P3342">
        <v>0</v>
      </c>
      <c r="Q3342">
        <v>0</v>
      </c>
      <c r="R3342">
        <v>0</v>
      </c>
      <c r="S3342">
        <v>0</v>
      </c>
      <c r="T3342">
        <v>0</v>
      </c>
      <c r="U3342">
        <v>0</v>
      </c>
      <c r="V3342">
        <v>0</v>
      </c>
      <c r="W3342">
        <v>0</v>
      </c>
      <c r="X3342">
        <v>0</v>
      </c>
      <c r="Y3342" t="s">
        <v>31</v>
      </c>
      <c r="Z3342">
        <v>55</v>
      </c>
      <c r="AA3342" s="2" t="s">
        <v>4330</v>
      </c>
    </row>
    <row r="3343" spans="1:27" x14ac:dyDescent="0.2">
      <c r="A3343" t="s">
        <v>172</v>
      </c>
      <c r="B3343">
        <v>2022</v>
      </c>
      <c r="C3343" t="s">
        <v>4331</v>
      </c>
      <c r="D3343" t="s">
        <v>4332</v>
      </c>
      <c r="E3343" t="s">
        <v>29</v>
      </c>
      <c r="F3343" t="s">
        <v>30</v>
      </c>
      <c r="G3343">
        <v>8</v>
      </c>
      <c r="H3343">
        <v>0</v>
      </c>
      <c r="I3343">
        <v>0</v>
      </c>
      <c r="J3343">
        <v>0</v>
      </c>
      <c r="K3343">
        <v>0</v>
      </c>
      <c r="L3343">
        <v>0</v>
      </c>
      <c r="M3343">
        <v>0</v>
      </c>
      <c r="N3343">
        <v>0</v>
      </c>
      <c r="O3343">
        <v>0</v>
      </c>
      <c r="P3343">
        <v>0</v>
      </c>
      <c r="Q3343">
        <v>0</v>
      </c>
      <c r="R3343">
        <v>0</v>
      </c>
      <c r="S3343">
        <v>0</v>
      </c>
      <c r="T3343">
        <v>0</v>
      </c>
      <c r="U3343">
        <v>0</v>
      </c>
      <c r="V3343">
        <v>0</v>
      </c>
      <c r="W3343">
        <v>0</v>
      </c>
      <c r="X3343">
        <v>0</v>
      </c>
      <c r="Y3343" t="s">
        <v>31</v>
      </c>
      <c r="Z3343">
        <v>55</v>
      </c>
      <c r="AA3343" s="2" t="s">
        <v>4333</v>
      </c>
    </row>
    <row r="3344" spans="1:27" x14ac:dyDescent="0.2">
      <c r="A3344" t="s">
        <v>172</v>
      </c>
      <c r="B3344">
        <v>2022</v>
      </c>
      <c r="C3344" t="s">
        <v>4334</v>
      </c>
      <c r="D3344" t="s">
        <v>4335</v>
      </c>
      <c r="E3344" t="s">
        <v>29</v>
      </c>
      <c r="F3344" t="s">
        <v>30</v>
      </c>
      <c r="G3344">
        <v>5</v>
      </c>
      <c r="H3344">
        <v>0</v>
      </c>
      <c r="I3344">
        <v>0</v>
      </c>
      <c r="J3344">
        <v>0</v>
      </c>
      <c r="K3344">
        <v>0</v>
      </c>
      <c r="L3344">
        <v>0</v>
      </c>
      <c r="M3344">
        <v>0</v>
      </c>
      <c r="N3344">
        <v>0</v>
      </c>
      <c r="O3344">
        <v>0</v>
      </c>
      <c r="P3344">
        <v>0</v>
      </c>
      <c r="Q3344">
        <v>0</v>
      </c>
      <c r="R3344">
        <v>0</v>
      </c>
      <c r="S3344">
        <v>0</v>
      </c>
      <c r="T3344">
        <v>0</v>
      </c>
      <c r="U3344">
        <v>0</v>
      </c>
      <c r="V3344">
        <v>0</v>
      </c>
      <c r="W3344">
        <v>0</v>
      </c>
      <c r="X3344">
        <v>0</v>
      </c>
      <c r="Y3344" t="s">
        <v>31</v>
      </c>
      <c r="Z3344">
        <v>55</v>
      </c>
      <c r="AA3344" s="2" t="s">
        <v>4336</v>
      </c>
    </row>
    <row r="3345" spans="1:27" x14ac:dyDescent="0.2">
      <c r="A3345" t="s">
        <v>172</v>
      </c>
      <c r="B3345">
        <v>2022</v>
      </c>
      <c r="C3345" t="s">
        <v>4337</v>
      </c>
      <c r="D3345" t="s">
        <v>4338</v>
      </c>
      <c r="E3345" t="s">
        <v>29</v>
      </c>
      <c r="F3345" t="s">
        <v>30</v>
      </c>
      <c r="G3345">
        <v>0</v>
      </c>
      <c r="H3345">
        <v>0</v>
      </c>
      <c r="I3345">
        <v>72</v>
      </c>
      <c r="J3345">
        <v>0</v>
      </c>
      <c r="K3345">
        <v>0</v>
      </c>
      <c r="L3345">
        <v>0</v>
      </c>
      <c r="M3345">
        <v>0</v>
      </c>
      <c r="N3345">
        <v>0</v>
      </c>
      <c r="O3345">
        <v>0</v>
      </c>
      <c r="P3345">
        <v>0</v>
      </c>
      <c r="Q3345">
        <v>0</v>
      </c>
      <c r="R3345">
        <v>0</v>
      </c>
      <c r="S3345">
        <v>0</v>
      </c>
      <c r="T3345">
        <v>0</v>
      </c>
      <c r="U3345">
        <v>0</v>
      </c>
      <c r="V3345">
        <v>0</v>
      </c>
      <c r="W3345">
        <v>0</v>
      </c>
      <c r="X3345">
        <v>0</v>
      </c>
      <c r="Y3345" t="s">
        <v>31</v>
      </c>
      <c r="Z3345">
        <v>55</v>
      </c>
      <c r="AA3345" s="2" t="s">
        <v>4339</v>
      </c>
    </row>
    <row r="3346" spans="1:27" x14ac:dyDescent="0.2">
      <c r="A3346" t="s">
        <v>172</v>
      </c>
      <c r="B3346">
        <v>2022</v>
      </c>
      <c r="C3346" t="s">
        <v>3893</v>
      </c>
      <c r="D3346" t="s">
        <v>4340</v>
      </c>
      <c r="E3346" t="s">
        <v>29</v>
      </c>
      <c r="F3346" t="s">
        <v>30</v>
      </c>
      <c r="G3346">
        <v>0</v>
      </c>
      <c r="H3346">
        <v>0</v>
      </c>
      <c r="I3346">
        <v>0</v>
      </c>
      <c r="J3346">
        <v>0</v>
      </c>
      <c r="K3346">
        <v>0</v>
      </c>
      <c r="L3346">
        <v>0</v>
      </c>
      <c r="M3346">
        <v>0</v>
      </c>
      <c r="N3346">
        <v>0</v>
      </c>
      <c r="O3346">
        <v>0</v>
      </c>
      <c r="P3346">
        <v>0</v>
      </c>
      <c r="Q3346">
        <v>3</v>
      </c>
      <c r="R3346">
        <v>0</v>
      </c>
      <c r="S3346">
        <v>0</v>
      </c>
      <c r="T3346">
        <v>0</v>
      </c>
      <c r="U3346">
        <v>0</v>
      </c>
      <c r="V3346">
        <v>0</v>
      </c>
      <c r="W3346">
        <v>0</v>
      </c>
      <c r="X3346">
        <v>0</v>
      </c>
      <c r="Y3346" t="s">
        <v>31</v>
      </c>
      <c r="Z3346">
        <v>55</v>
      </c>
      <c r="AA3346">
        <v>0</v>
      </c>
    </row>
    <row r="3347" spans="1:27" x14ac:dyDescent="0.2">
      <c r="A3347" t="s">
        <v>172</v>
      </c>
      <c r="B3347">
        <v>2022</v>
      </c>
      <c r="C3347" t="s">
        <v>4341</v>
      </c>
      <c r="D3347" t="s">
        <v>4342</v>
      </c>
      <c r="E3347" t="s">
        <v>29</v>
      </c>
      <c r="F3347" t="s">
        <v>30</v>
      </c>
      <c r="G3347">
        <v>0</v>
      </c>
      <c r="H3347">
        <v>0</v>
      </c>
      <c r="I3347">
        <v>0</v>
      </c>
      <c r="J3347">
        <v>0</v>
      </c>
      <c r="K3347">
        <v>0</v>
      </c>
      <c r="L3347">
        <v>0</v>
      </c>
      <c r="M3347">
        <v>78</v>
      </c>
      <c r="N3347">
        <v>0</v>
      </c>
      <c r="O3347">
        <v>0</v>
      </c>
      <c r="P3347">
        <v>0</v>
      </c>
      <c r="Q3347">
        <v>0</v>
      </c>
      <c r="R3347">
        <v>0</v>
      </c>
      <c r="S3347">
        <v>0</v>
      </c>
      <c r="T3347">
        <v>0</v>
      </c>
      <c r="U3347">
        <v>0</v>
      </c>
      <c r="V3347">
        <v>0</v>
      </c>
      <c r="W3347">
        <v>0</v>
      </c>
      <c r="X3347">
        <v>0</v>
      </c>
      <c r="Y3347" t="s">
        <v>31</v>
      </c>
      <c r="Z3347">
        <v>55</v>
      </c>
      <c r="AA3347">
        <v>14.5</v>
      </c>
    </row>
    <row r="3348" spans="1:27" x14ac:dyDescent="0.2">
      <c r="A3348" t="s">
        <v>2725</v>
      </c>
      <c r="B3348">
        <v>2022</v>
      </c>
      <c r="C3348">
        <v>921050016</v>
      </c>
      <c r="D3348" t="s">
        <v>4343</v>
      </c>
      <c r="E3348" t="s">
        <v>29</v>
      </c>
      <c r="F3348" t="s">
        <v>30</v>
      </c>
      <c r="G3348">
        <v>0</v>
      </c>
      <c r="H3348">
        <v>0</v>
      </c>
      <c r="I3348">
        <v>0</v>
      </c>
      <c r="J3348">
        <v>0</v>
      </c>
      <c r="K3348">
        <v>0</v>
      </c>
      <c r="L3348">
        <v>0</v>
      </c>
      <c r="M3348">
        <v>20</v>
      </c>
      <c r="N3348">
        <v>0</v>
      </c>
      <c r="O3348">
        <v>27</v>
      </c>
      <c r="P3348">
        <v>0</v>
      </c>
      <c r="Q3348">
        <v>0</v>
      </c>
      <c r="R3348">
        <v>1</v>
      </c>
      <c r="S3348">
        <v>0</v>
      </c>
      <c r="T3348">
        <v>0</v>
      </c>
      <c r="U3348">
        <v>0</v>
      </c>
      <c r="V3348">
        <v>0</v>
      </c>
      <c r="W3348">
        <v>0</v>
      </c>
      <c r="X3348">
        <v>0</v>
      </c>
      <c r="Y3348" t="s">
        <v>51</v>
      </c>
      <c r="Z3348">
        <v>55</v>
      </c>
      <c r="AA3348">
        <v>0</v>
      </c>
    </row>
    <row r="3349" spans="1:27" x14ac:dyDescent="0.2">
      <c r="A3349" t="s">
        <v>1075</v>
      </c>
      <c r="B3349">
        <v>2021</v>
      </c>
      <c r="C3349">
        <v>47219036</v>
      </c>
      <c r="D3349" t="s">
        <v>4344</v>
      </c>
      <c r="E3349" t="s">
        <v>29</v>
      </c>
      <c r="F3349" t="s">
        <v>30</v>
      </c>
      <c r="G3349">
        <v>0</v>
      </c>
      <c r="H3349">
        <v>0</v>
      </c>
      <c r="I3349">
        <v>0</v>
      </c>
      <c r="J3349">
        <v>0</v>
      </c>
      <c r="K3349">
        <v>0</v>
      </c>
      <c r="L3349">
        <v>0</v>
      </c>
      <c r="M3349">
        <v>0</v>
      </c>
      <c r="N3349">
        <v>0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  <c r="V3349">
        <v>0</v>
      </c>
      <c r="W3349">
        <v>0</v>
      </c>
      <c r="X3349">
        <v>0</v>
      </c>
      <c r="Y3349" t="s">
        <v>31</v>
      </c>
      <c r="AA3349">
        <v>22</v>
      </c>
    </row>
    <row r="3350" spans="1:27" x14ac:dyDescent="0.2">
      <c r="A3350" t="s">
        <v>1769</v>
      </c>
      <c r="B3350">
        <v>2019</v>
      </c>
      <c r="C3350" t="s">
        <v>4240</v>
      </c>
      <c r="D3350" t="s">
        <v>4241</v>
      </c>
      <c r="E3350" t="s">
        <v>29</v>
      </c>
      <c r="F3350" t="s">
        <v>30</v>
      </c>
      <c r="G3350">
        <v>0</v>
      </c>
      <c r="H3350">
        <v>0</v>
      </c>
      <c r="I3350">
        <v>0</v>
      </c>
      <c r="J3350">
        <v>0</v>
      </c>
      <c r="K3350">
        <v>0</v>
      </c>
      <c r="L3350">
        <v>0</v>
      </c>
      <c r="M3350">
        <v>0</v>
      </c>
      <c r="N3350">
        <v>0</v>
      </c>
      <c r="O3350">
        <v>0</v>
      </c>
      <c r="P3350">
        <v>0</v>
      </c>
      <c r="Q3350">
        <v>0</v>
      </c>
      <c r="R3350">
        <v>0</v>
      </c>
      <c r="S3350">
        <v>91</v>
      </c>
      <c r="T3350">
        <v>0</v>
      </c>
      <c r="U3350">
        <v>0</v>
      </c>
      <c r="V3350">
        <v>0</v>
      </c>
      <c r="W3350">
        <v>0</v>
      </c>
      <c r="X3350">
        <v>0</v>
      </c>
      <c r="Y3350" t="s">
        <v>31</v>
      </c>
      <c r="AA3350">
        <v>0</v>
      </c>
    </row>
    <row r="3351" spans="1:27" x14ac:dyDescent="0.2">
      <c r="A3351" t="s">
        <v>43</v>
      </c>
      <c r="B3351">
        <v>2022</v>
      </c>
      <c r="C3351">
        <v>5560022003</v>
      </c>
      <c r="D3351" t="s">
        <v>4345</v>
      </c>
      <c r="E3351" t="s">
        <v>29</v>
      </c>
      <c r="F3351" t="s">
        <v>41</v>
      </c>
      <c r="G3351">
        <v>0</v>
      </c>
      <c r="H3351">
        <v>0</v>
      </c>
      <c r="I3351">
        <v>0</v>
      </c>
      <c r="J3351">
        <v>0</v>
      </c>
      <c r="K3351">
        <v>0</v>
      </c>
      <c r="L3351">
        <v>0</v>
      </c>
      <c r="M3351">
        <v>0</v>
      </c>
      <c r="N3351">
        <v>0</v>
      </c>
      <c r="O3351">
        <v>3</v>
      </c>
      <c r="P3351">
        <v>0</v>
      </c>
      <c r="Q3351">
        <v>2</v>
      </c>
      <c r="R3351">
        <v>0</v>
      </c>
      <c r="S3351">
        <v>0</v>
      </c>
      <c r="T3351">
        <v>0</v>
      </c>
      <c r="U3351">
        <v>0</v>
      </c>
      <c r="V3351">
        <v>0</v>
      </c>
      <c r="W3351">
        <v>0</v>
      </c>
      <c r="X3351">
        <v>0</v>
      </c>
      <c r="Y3351" t="s">
        <v>31</v>
      </c>
      <c r="Z3351">
        <v>1000</v>
      </c>
      <c r="AA3351">
        <v>30</v>
      </c>
    </row>
    <row r="3352" spans="1:27" x14ac:dyDescent="0.2">
      <c r="A3352" t="s">
        <v>43</v>
      </c>
      <c r="B3352">
        <v>2022</v>
      </c>
      <c r="C3352">
        <v>4336019033</v>
      </c>
      <c r="D3352" t="s">
        <v>2912</v>
      </c>
      <c r="E3352" t="s">
        <v>29</v>
      </c>
      <c r="F3352" t="s">
        <v>30</v>
      </c>
      <c r="G3352">
        <v>0</v>
      </c>
      <c r="H3352">
        <v>0</v>
      </c>
      <c r="I3352">
        <v>0</v>
      </c>
      <c r="J3352">
        <v>0</v>
      </c>
      <c r="K3352">
        <v>0</v>
      </c>
      <c r="L3352">
        <v>0</v>
      </c>
      <c r="M3352">
        <v>0</v>
      </c>
      <c r="N3352">
        <v>0</v>
      </c>
      <c r="O3352">
        <v>0</v>
      </c>
      <c r="P3352">
        <v>0</v>
      </c>
      <c r="Q3352">
        <v>0</v>
      </c>
      <c r="R3352">
        <v>0</v>
      </c>
      <c r="S3352">
        <v>7</v>
      </c>
      <c r="T3352">
        <v>0</v>
      </c>
      <c r="U3352">
        <v>0</v>
      </c>
      <c r="V3352">
        <v>0</v>
      </c>
      <c r="W3352">
        <v>8</v>
      </c>
      <c r="X3352">
        <v>0</v>
      </c>
      <c r="Y3352" t="s">
        <v>31</v>
      </c>
      <c r="Z3352">
        <v>1000</v>
      </c>
      <c r="AA3352">
        <v>35</v>
      </c>
    </row>
    <row r="3353" spans="1:27" x14ac:dyDescent="0.2">
      <c r="A3353" t="s">
        <v>1010</v>
      </c>
      <c r="B3353">
        <v>2022</v>
      </c>
      <c r="C3353" t="s">
        <v>1097</v>
      </c>
      <c r="D3353" t="s">
        <v>4346</v>
      </c>
      <c r="E3353" t="s">
        <v>29</v>
      </c>
      <c r="F3353" t="s">
        <v>30</v>
      </c>
      <c r="G3353">
        <v>26</v>
      </c>
      <c r="H3353">
        <v>0</v>
      </c>
      <c r="I3353">
        <v>39</v>
      </c>
      <c r="J3353">
        <v>0</v>
      </c>
      <c r="K3353">
        <v>0</v>
      </c>
      <c r="L3353">
        <v>1</v>
      </c>
      <c r="M3353">
        <v>26</v>
      </c>
      <c r="N3353">
        <v>0</v>
      </c>
      <c r="O3353">
        <v>39</v>
      </c>
      <c r="P3353">
        <v>0</v>
      </c>
      <c r="Q3353">
        <v>0</v>
      </c>
      <c r="R3353">
        <v>1</v>
      </c>
      <c r="S3353">
        <v>0</v>
      </c>
      <c r="T3353">
        <v>0</v>
      </c>
      <c r="U3353">
        <v>0</v>
      </c>
      <c r="V3353">
        <v>0</v>
      </c>
      <c r="W3353">
        <v>0</v>
      </c>
      <c r="X3353">
        <v>0</v>
      </c>
      <c r="Y3353" t="s">
        <v>31</v>
      </c>
      <c r="Z3353">
        <v>55</v>
      </c>
      <c r="AA3353">
        <v>0</v>
      </c>
    </row>
    <row r="3354" spans="1:27" x14ac:dyDescent="0.2">
      <c r="A3354" t="s">
        <v>1500</v>
      </c>
      <c r="B3354">
        <v>2022</v>
      </c>
      <c r="C3354">
        <v>7344004007</v>
      </c>
      <c r="D3354" t="s">
        <v>4347</v>
      </c>
      <c r="E3354" t="s">
        <v>29</v>
      </c>
      <c r="F3354" t="s">
        <v>30</v>
      </c>
      <c r="G3354">
        <v>35</v>
      </c>
      <c r="H3354">
        <v>0</v>
      </c>
      <c r="I3354">
        <v>0</v>
      </c>
      <c r="J3354">
        <v>0</v>
      </c>
      <c r="K3354">
        <v>0</v>
      </c>
      <c r="L3354">
        <v>0</v>
      </c>
      <c r="M3354">
        <v>0</v>
      </c>
      <c r="N3354">
        <v>0</v>
      </c>
      <c r="O3354">
        <v>0</v>
      </c>
      <c r="P3354">
        <v>0</v>
      </c>
      <c r="Q3354">
        <v>0</v>
      </c>
      <c r="R3354">
        <v>0</v>
      </c>
      <c r="S3354">
        <v>0</v>
      </c>
      <c r="T3354">
        <v>0</v>
      </c>
      <c r="U3354">
        <v>0</v>
      </c>
      <c r="V3354">
        <v>0</v>
      </c>
      <c r="W3354">
        <v>0</v>
      </c>
      <c r="X3354">
        <v>0</v>
      </c>
      <c r="Y3354" t="s">
        <v>31</v>
      </c>
      <c r="Z3354">
        <v>55</v>
      </c>
      <c r="AA3354">
        <v>55</v>
      </c>
    </row>
    <row r="3355" spans="1:27" x14ac:dyDescent="0.2">
      <c r="A3355" t="s">
        <v>172</v>
      </c>
      <c r="B3355">
        <v>2022</v>
      </c>
      <c r="C3355" t="s">
        <v>4348</v>
      </c>
      <c r="D3355" t="s">
        <v>4349</v>
      </c>
      <c r="E3355" t="s">
        <v>29</v>
      </c>
      <c r="F3355" t="s">
        <v>30</v>
      </c>
      <c r="G3355">
        <v>1</v>
      </c>
      <c r="H3355">
        <v>0</v>
      </c>
      <c r="I3355">
        <v>3</v>
      </c>
      <c r="J3355">
        <v>0</v>
      </c>
      <c r="K3355">
        <v>0</v>
      </c>
      <c r="L3355">
        <v>0</v>
      </c>
      <c r="M3355">
        <v>0</v>
      </c>
      <c r="N3355">
        <v>0</v>
      </c>
      <c r="O3355">
        <v>0</v>
      </c>
      <c r="P3355">
        <v>0</v>
      </c>
      <c r="Q3355">
        <v>0</v>
      </c>
      <c r="R3355">
        <v>0</v>
      </c>
      <c r="S3355">
        <v>0</v>
      </c>
      <c r="T3355">
        <v>0</v>
      </c>
      <c r="U3355">
        <v>0</v>
      </c>
      <c r="V3355">
        <v>0</v>
      </c>
      <c r="W3355">
        <v>0</v>
      </c>
      <c r="X3355">
        <v>0</v>
      </c>
      <c r="Y3355" t="s">
        <v>31</v>
      </c>
      <c r="Z3355">
        <v>55</v>
      </c>
      <c r="AA3355" s="2" t="s">
        <v>4350</v>
      </c>
    </row>
    <row r="3356" spans="1:27" x14ac:dyDescent="0.2">
      <c r="A3356" t="s">
        <v>172</v>
      </c>
      <c r="B3356">
        <v>2022</v>
      </c>
      <c r="C3356">
        <v>101113244446</v>
      </c>
      <c r="D3356" t="s">
        <v>4351</v>
      </c>
      <c r="E3356" t="s">
        <v>29</v>
      </c>
      <c r="F3356" t="s">
        <v>30</v>
      </c>
      <c r="G3356">
        <v>35</v>
      </c>
      <c r="H3356">
        <v>0</v>
      </c>
      <c r="I3356">
        <v>55</v>
      </c>
      <c r="J3356">
        <v>0</v>
      </c>
      <c r="K3356">
        <v>0</v>
      </c>
      <c r="L3356">
        <v>0</v>
      </c>
      <c r="M3356">
        <v>0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0</v>
      </c>
      <c r="T3356">
        <v>0</v>
      </c>
      <c r="U3356">
        <v>0</v>
      </c>
      <c r="V3356">
        <v>0</v>
      </c>
      <c r="W3356">
        <v>0</v>
      </c>
      <c r="X3356">
        <v>0</v>
      </c>
      <c r="Y3356" t="s">
        <v>31</v>
      </c>
      <c r="Z3356">
        <v>55</v>
      </c>
      <c r="AA3356">
        <v>62.5</v>
      </c>
    </row>
    <row r="3357" spans="1:27" x14ac:dyDescent="0.2">
      <c r="A3357" t="s">
        <v>75</v>
      </c>
      <c r="B3357">
        <v>2019</v>
      </c>
      <c r="C3357">
        <v>4522001800</v>
      </c>
      <c r="D3357" t="s">
        <v>4352</v>
      </c>
      <c r="E3357" t="s">
        <v>29</v>
      </c>
      <c r="F3357" t="s">
        <v>30</v>
      </c>
      <c r="G3357">
        <v>0</v>
      </c>
      <c r="H3357">
        <v>0</v>
      </c>
      <c r="I3357">
        <v>0</v>
      </c>
      <c r="J3357">
        <v>0</v>
      </c>
      <c r="K3357">
        <v>0</v>
      </c>
      <c r="L3357">
        <v>0</v>
      </c>
      <c r="M3357">
        <v>0</v>
      </c>
      <c r="N3357">
        <v>0</v>
      </c>
      <c r="O3357">
        <v>0</v>
      </c>
      <c r="P3357">
        <v>0</v>
      </c>
      <c r="Q3357">
        <v>1</v>
      </c>
      <c r="R3357">
        <v>0</v>
      </c>
      <c r="S3357">
        <v>0</v>
      </c>
      <c r="T3357">
        <v>0</v>
      </c>
      <c r="U3357">
        <v>0</v>
      </c>
      <c r="V3357">
        <v>0</v>
      </c>
      <c r="W3357">
        <v>0</v>
      </c>
      <c r="X3357">
        <v>0</v>
      </c>
      <c r="Y3357" t="s">
        <v>31</v>
      </c>
      <c r="Z3357">
        <v>55</v>
      </c>
      <c r="AA3357">
        <v>0</v>
      </c>
    </row>
    <row r="3358" spans="1:27" x14ac:dyDescent="0.2">
      <c r="A3358" t="s">
        <v>75</v>
      </c>
      <c r="B3358">
        <v>2019</v>
      </c>
      <c r="C3358">
        <v>4531540100</v>
      </c>
      <c r="D3358" t="s">
        <v>204</v>
      </c>
      <c r="E3358" t="s">
        <v>29</v>
      </c>
      <c r="F3358" t="s">
        <v>30</v>
      </c>
      <c r="G3358">
        <v>0</v>
      </c>
      <c r="H3358">
        <v>0</v>
      </c>
      <c r="I3358">
        <v>0</v>
      </c>
      <c r="J3358">
        <v>0</v>
      </c>
      <c r="K3358">
        <v>0</v>
      </c>
      <c r="L3358">
        <v>0</v>
      </c>
      <c r="M3358">
        <v>2</v>
      </c>
      <c r="N3358">
        <v>0</v>
      </c>
      <c r="O3358">
        <v>0</v>
      </c>
      <c r="P3358">
        <v>0</v>
      </c>
      <c r="Q3358">
        <v>0</v>
      </c>
      <c r="R3358">
        <v>0</v>
      </c>
      <c r="S3358">
        <v>0</v>
      </c>
      <c r="T3358">
        <v>0</v>
      </c>
      <c r="U3358">
        <v>0</v>
      </c>
      <c r="V3358">
        <v>0</v>
      </c>
      <c r="W3358">
        <v>0</v>
      </c>
      <c r="X3358">
        <v>0</v>
      </c>
      <c r="Y3358" t="s">
        <v>31</v>
      </c>
      <c r="Z3358">
        <v>55</v>
      </c>
      <c r="AA3358">
        <v>0</v>
      </c>
    </row>
    <row r="3359" spans="1:27" x14ac:dyDescent="0.2">
      <c r="A3359" t="s">
        <v>75</v>
      </c>
      <c r="B3359">
        <v>2019</v>
      </c>
      <c r="C3359">
        <v>4365521200</v>
      </c>
      <c r="D3359" t="s">
        <v>430</v>
      </c>
      <c r="E3359" t="s">
        <v>29</v>
      </c>
      <c r="F3359" t="s">
        <v>30</v>
      </c>
      <c r="G3359">
        <v>0</v>
      </c>
      <c r="H3359">
        <v>0</v>
      </c>
      <c r="I3359">
        <v>0</v>
      </c>
      <c r="J3359">
        <v>0</v>
      </c>
      <c r="K3359">
        <v>0</v>
      </c>
      <c r="L3359">
        <v>0</v>
      </c>
      <c r="M3359">
        <v>1</v>
      </c>
      <c r="N3359">
        <v>0</v>
      </c>
      <c r="O3359">
        <v>0</v>
      </c>
      <c r="P3359">
        <v>0</v>
      </c>
      <c r="Q3359">
        <v>0</v>
      </c>
      <c r="R3359">
        <v>0</v>
      </c>
      <c r="S3359">
        <v>0</v>
      </c>
      <c r="T3359">
        <v>0</v>
      </c>
      <c r="U3359">
        <v>0</v>
      </c>
      <c r="V3359">
        <v>0</v>
      </c>
      <c r="W3359">
        <v>0</v>
      </c>
      <c r="X3359">
        <v>0</v>
      </c>
      <c r="Y3359" t="s">
        <v>31</v>
      </c>
      <c r="Z3359">
        <v>55</v>
      </c>
      <c r="AA3359">
        <v>0</v>
      </c>
    </row>
    <row r="3360" spans="1:27" x14ac:dyDescent="0.2">
      <c r="A3360" t="s">
        <v>75</v>
      </c>
      <c r="B3360">
        <v>2019</v>
      </c>
      <c r="C3360">
        <v>5351802500</v>
      </c>
      <c r="D3360" t="s">
        <v>4353</v>
      </c>
      <c r="E3360" t="s">
        <v>29</v>
      </c>
      <c r="F3360" t="s">
        <v>30</v>
      </c>
      <c r="G3360">
        <v>0</v>
      </c>
      <c r="H3360">
        <v>0</v>
      </c>
      <c r="I3360">
        <v>0</v>
      </c>
      <c r="J3360">
        <v>0</v>
      </c>
      <c r="K3360">
        <v>0</v>
      </c>
      <c r="L3360">
        <v>0</v>
      </c>
      <c r="M3360">
        <v>86</v>
      </c>
      <c r="N3360">
        <v>0</v>
      </c>
      <c r="O3360">
        <v>0</v>
      </c>
      <c r="P3360">
        <v>0</v>
      </c>
      <c r="Q3360">
        <v>0</v>
      </c>
      <c r="R3360">
        <v>0</v>
      </c>
      <c r="S3360">
        <v>0</v>
      </c>
      <c r="T3360">
        <v>0</v>
      </c>
      <c r="U3360">
        <v>0</v>
      </c>
      <c r="V3360">
        <v>0</v>
      </c>
      <c r="W3360">
        <v>0</v>
      </c>
      <c r="X3360">
        <v>0</v>
      </c>
      <c r="Y3360" t="s">
        <v>31</v>
      </c>
      <c r="Z3360">
        <v>55</v>
      </c>
      <c r="AA3360">
        <v>0</v>
      </c>
    </row>
    <row r="3361" spans="1:27" x14ac:dyDescent="0.2">
      <c r="A3361" t="s">
        <v>172</v>
      </c>
      <c r="B3361">
        <v>2022</v>
      </c>
      <c r="C3361" t="s">
        <v>3807</v>
      </c>
      <c r="D3361" t="s">
        <v>4354</v>
      </c>
      <c r="E3361" t="s">
        <v>29</v>
      </c>
      <c r="F3361" t="s">
        <v>30</v>
      </c>
      <c r="G3361">
        <v>0</v>
      </c>
      <c r="H3361">
        <v>0</v>
      </c>
      <c r="I3361">
        <v>0</v>
      </c>
      <c r="J3361">
        <v>0</v>
      </c>
      <c r="K3361">
        <v>0</v>
      </c>
      <c r="L3361">
        <v>0</v>
      </c>
      <c r="M3361">
        <v>0</v>
      </c>
      <c r="N3361">
        <v>0</v>
      </c>
      <c r="O3361">
        <v>0</v>
      </c>
      <c r="P3361">
        <v>0</v>
      </c>
      <c r="Q3361">
        <v>0</v>
      </c>
      <c r="R3361">
        <v>0</v>
      </c>
      <c r="S3361">
        <v>0</v>
      </c>
      <c r="T3361">
        <v>0</v>
      </c>
      <c r="U3361">
        <v>0</v>
      </c>
      <c r="V3361">
        <v>0</v>
      </c>
      <c r="W3361">
        <v>9</v>
      </c>
      <c r="X3361">
        <v>0</v>
      </c>
      <c r="Y3361" t="s">
        <v>31</v>
      </c>
      <c r="Z3361">
        <v>55</v>
      </c>
      <c r="AA3361">
        <v>0</v>
      </c>
    </row>
    <row r="3362" spans="1:27" x14ac:dyDescent="0.2">
      <c r="A3362" t="s">
        <v>318</v>
      </c>
      <c r="B3362">
        <v>2020</v>
      </c>
      <c r="C3362" t="s">
        <v>4355</v>
      </c>
      <c r="D3362" t="s">
        <v>4356</v>
      </c>
      <c r="E3362" t="s">
        <v>29</v>
      </c>
      <c r="F3362" t="s">
        <v>30</v>
      </c>
      <c r="G3362">
        <v>0</v>
      </c>
      <c r="H3362">
        <v>0</v>
      </c>
      <c r="I3362">
        <v>0</v>
      </c>
      <c r="J3362">
        <v>0</v>
      </c>
      <c r="K3362">
        <v>0</v>
      </c>
      <c r="L3362">
        <v>0</v>
      </c>
      <c r="M3362">
        <v>0</v>
      </c>
      <c r="N3362">
        <v>0</v>
      </c>
      <c r="O3362">
        <v>0</v>
      </c>
      <c r="P3362">
        <v>0</v>
      </c>
      <c r="Q3362">
        <v>0</v>
      </c>
      <c r="R3362">
        <v>0</v>
      </c>
      <c r="S3362">
        <v>0</v>
      </c>
      <c r="T3362">
        <v>0</v>
      </c>
      <c r="U3362">
        <v>40</v>
      </c>
      <c r="V3362">
        <v>0</v>
      </c>
      <c r="W3362">
        <v>0</v>
      </c>
      <c r="X3362">
        <v>0</v>
      </c>
      <c r="Y3362" t="s">
        <v>51</v>
      </c>
      <c r="Z3362">
        <v>55</v>
      </c>
      <c r="AA3362">
        <v>0</v>
      </c>
    </row>
    <row r="3363" spans="1:27" x14ac:dyDescent="0.2">
      <c r="A3363" t="s">
        <v>75</v>
      </c>
      <c r="B3363">
        <v>2019</v>
      </c>
      <c r="C3363">
        <v>4243233200</v>
      </c>
      <c r="D3363" t="s">
        <v>4357</v>
      </c>
      <c r="E3363" t="s">
        <v>29</v>
      </c>
      <c r="F3363" t="s">
        <v>30</v>
      </c>
      <c r="G3363">
        <v>0</v>
      </c>
      <c r="H3363">
        <v>0</v>
      </c>
      <c r="I3363">
        <v>0</v>
      </c>
      <c r="J3363">
        <v>0</v>
      </c>
      <c r="K3363">
        <v>0</v>
      </c>
      <c r="L3363">
        <v>0</v>
      </c>
      <c r="M3363">
        <v>1</v>
      </c>
      <c r="N3363">
        <v>0</v>
      </c>
      <c r="O3363">
        <v>0</v>
      </c>
      <c r="P3363">
        <v>0</v>
      </c>
      <c r="Q3363">
        <v>0</v>
      </c>
      <c r="R3363">
        <v>0</v>
      </c>
      <c r="S3363">
        <v>0</v>
      </c>
      <c r="T3363">
        <v>0</v>
      </c>
      <c r="U3363">
        <v>0</v>
      </c>
      <c r="V3363">
        <v>0</v>
      </c>
      <c r="W3363">
        <v>0</v>
      </c>
      <c r="X3363">
        <v>0</v>
      </c>
      <c r="Y3363" t="s">
        <v>31</v>
      </c>
      <c r="Z3363">
        <v>55</v>
      </c>
      <c r="AA3363">
        <v>0</v>
      </c>
    </row>
    <row r="3364" spans="1:27" ht="102" x14ac:dyDescent="0.2">
      <c r="A3364" t="s">
        <v>32</v>
      </c>
      <c r="B3364">
        <v>2022</v>
      </c>
      <c r="C3364" t="s">
        <v>2654</v>
      </c>
      <c r="D3364" s="1" t="s">
        <v>4358</v>
      </c>
      <c r="E3364" t="s">
        <v>29</v>
      </c>
      <c r="F3364" t="s">
        <v>30</v>
      </c>
      <c r="G3364">
        <v>0</v>
      </c>
      <c r="H3364">
        <v>0</v>
      </c>
      <c r="I3364">
        <v>0</v>
      </c>
      <c r="J3364">
        <v>0</v>
      </c>
      <c r="K3364">
        <v>0</v>
      </c>
      <c r="L3364">
        <v>0</v>
      </c>
      <c r="M3364">
        <v>0</v>
      </c>
      <c r="N3364">
        <v>0</v>
      </c>
      <c r="O3364">
        <v>6</v>
      </c>
      <c r="P3364">
        <v>0</v>
      </c>
      <c r="Q3364">
        <v>0</v>
      </c>
      <c r="R3364">
        <v>0</v>
      </c>
      <c r="S3364">
        <v>0</v>
      </c>
      <c r="T3364">
        <v>0</v>
      </c>
      <c r="U3364">
        <v>0</v>
      </c>
      <c r="V3364">
        <v>0</v>
      </c>
      <c r="W3364">
        <v>0</v>
      </c>
      <c r="X3364">
        <v>0</v>
      </c>
      <c r="Y3364" t="s">
        <v>31</v>
      </c>
      <c r="AA3364">
        <v>58</v>
      </c>
    </row>
    <row r="3365" spans="1:27" ht="102" x14ac:dyDescent="0.2">
      <c r="A3365" t="s">
        <v>32</v>
      </c>
      <c r="B3365">
        <v>2022</v>
      </c>
      <c r="C3365" t="s">
        <v>2654</v>
      </c>
      <c r="D3365" s="1" t="s">
        <v>4359</v>
      </c>
      <c r="E3365" t="s">
        <v>29</v>
      </c>
      <c r="F3365" t="s">
        <v>30</v>
      </c>
      <c r="G3365">
        <v>0</v>
      </c>
      <c r="H3365">
        <v>0</v>
      </c>
      <c r="I3365">
        <v>0</v>
      </c>
      <c r="J3365">
        <v>0</v>
      </c>
      <c r="K3365">
        <v>0</v>
      </c>
      <c r="L3365">
        <v>0</v>
      </c>
      <c r="M3365">
        <v>0</v>
      </c>
      <c r="N3365">
        <v>0</v>
      </c>
      <c r="O3365">
        <v>6</v>
      </c>
      <c r="P3365">
        <v>0</v>
      </c>
      <c r="Q3365">
        <v>0</v>
      </c>
      <c r="R3365">
        <v>0</v>
      </c>
      <c r="S3365">
        <v>0</v>
      </c>
      <c r="T3365">
        <v>0</v>
      </c>
      <c r="U3365">
        <v>0</v>
      </c>
      <c r="V3365">
        <v>0</v>
      </c>
      <c r="W3365">
        <v>0</v>
      </c>
      <c r="X3365">
        <v>0</v>
      </c>
      <c r="Y3365" t="s">
        <v>31</v>
      </c>
      <c r="AA3365">
        <v>58</v>
      </c>
    </row>
    <row r="3366" spans="1:27" x14ac:dyDescent="0.2">
      <c r="A3366" t="s">
        <v>883</v>
      </c>
      <c r="B3366">
        <v>2019</v>
      </c>
      <c r="C3366" t="s">
        <v>4360</v>
      </c>
      <c r="D3366" t="s">
        <v>4361</v>
      </c>
      <c r="E3366" t="s">
        <v>29</v>
      </c>
      <c r="F3366" t="s">
        <v>41</v>
      </c>
      <c r="G3366">
        <v>0</v>
      </c>
      <c r="H3366">
        <v>0</v>
      </c>
      <c r="I3366">
        <v>19</v>
      </c>
      <c r="J3366">
        <v>0</v>
      </c>
      <c r="K3366">
        <v>0</v>
      </c>
      <c r="L3366">
        <v>0</v>
      </c>
      <c r="M3366">
        <v>0</v>
      </c>
      <c r="N3366">
        <v>0</v>
      </c>
      <c r="O3366">
        <v>0</v>
      </c>
      <c r="P3366">
        <v>0</v>
      </c>
      <c r="Q3366">
        <v>0</v>
      </c>
      <c r="R3366">
        <v>0</v>
      </c>
      <c r="S3366">
        <v>0</v>
      </c>
      <c r="T3366">
        <v>0</v>
      </c>
      <c r="U3366">
        <v>0</v>
      </c>
      <c r="V3366">
        <v>0</v>
      </c>
      <c r="W3366">
        <v>0</v>
      </c>
      <c r="X3366">
        <v>0</v>
      </c>
      <c r="Y3366" t="s">
        <v>51</v>
      </c>
      <c r="Z3366">
        <v>1000</v>
      </c>
      <c r="AA3366">
        <v>0</v>
      </c>
    </row>
    <row r="3367" spans="1:27" x14ac:dyDescent="0.2">
      <c r="A3367" t="s">
        <v>547</v>
      </c>
      <c r="B3367">
        <v>2019</v>
      </c>
      <c r="C3367">
        <v>5080007021</v>
      </c>
      <c r="D3367" t="s">
        <v>4362</v>
      </c>
      <c r="E3367" t="s">
        <v>29</v>
      </c>
      <c r="F3367" t="s">
        <v>30</v>
      </c>
      <c r="G3367">
        <v>8</v>
      </c>
      <c r="H3367">
        <v>0</v>
      </c>
      <c r="I3367">
        <v>0</v>
      </c>
      <c r="J3367">
        <v>0</v>
      </c>
      <c r="K3367">
        <v>0</v>
      </c>
      <c r="L3367">
        <v>0</v>
      </c>
      <c r="M3367">
        <v>0</v>
      </c>
      <c r="N3367">
        <v>0</v>
      </c>
      <c r="O3367">
        <v>0</v>
      </c>
      <c r="P3367">
        <v>0</v>
      </c>
      <c r="Q3367">
        <v>0</v>
      </c>
      <c r="R3367">
        <v>0</v>
      </c>
      <c r="S3367">
        <v>0</v>
      </c>
      <c r="T3367">
        <v>0</v>
      </c>
      <c r="U3367">
        <v>0</v>
      </c>
      <c r="V3367">
        <v>0</v>
      </c>
      <c r="W3367">
        <v>0</v>
      </c>
      <c r="X3367">
        <v>0</v>
      </c>
      <c r="Y3367" t="s">
        <v>31</v>
      </c>
      <c r="Z3367">
        <v>55</v>
      </c>
      <c r="AA3367">
        <v>0</v>
      </c>
    </row>
    <row r="3368" spans="1:27" x14ac:dyDescent="0.2">
      <c r="A3368" t="s">
        <v>547</v>
      </c>
      <c r="B3368">
        <v>2019</v>
      </c>
      <c r="C3368">
        <v>2164001001</v>
      </c>
      <c r="D3368" t="s">
        <v>4363</v>
      </c>
      <c r="E3368" t="s">
        <v>29</v>
      </c>
      <c r="F3368" t="s">
        <v>30</v>
      </c>
      <c r="G3368">
        <v>6</v>
      </c>
      <c r="H3368">
        <v>0</v>
      </c>
      <c r="I3368">
        <v>0</v>
      </c>
      <c r="J3368">
        <v>0</v>
      </c>
      <c r="K3368">
        <v>0</v>
      </c>
      <c r="L3368">
        <v>0</v>
      </c>
      <c r="M3368">
        <v>0</v>
      </c>
      <c r="N3368">
        <v>0</v>
      </c>
      <c r="O3368">
        <v>0</v>
      </c>
      <c r="P3368">
        <v>0</v>
      </c>
      <c r="Q3368">
        <v>0</v>
      </c>
      <c r="R3368">
        <v>0</v>
      </c>
      <c r="S3368">
        <v>0</v>
      </c>
      <c r="T3368">
        <v>0</v>
      </c>
      <c r="U3368">
        <v>0</v>
      </c>
      <c r="V3368">
        <v>0</v>
      </c>
      <c r="W3368">
        <v>0</v>
      </c>
      <c r="X3368">
        <v>0</v>
      </c>
      <c r="Y3368" t="s">
        <v>31</v>
      </c>
      <c r="Z3368">
        <v>55</v>
      </c>
      <c r="AA3368">
        <v>0</v>
      </c>
    </row>
    <row r="3369" spans="1:27" x14ac:dyDescent="0.2">
      <c r="A3369" t="s">
        <v>547</v>
      </c>
      <c r="B3369">
        <v>2019</v>
      </c>
      <c r="C3369">
        <v>2423009070</v>
      </c>
      <c r="D3369" t="s">
        <v>4364</v>
      </c>
      <c r="E3369" t="s">
        <v>29</v>
      </c>
      <c r="F3369" t="s">
        <v>30</v>
      </c>
      <c r="G3369">
        <v>8</v>
      </c>
      <c r="H3369">
        <v>0</v>
      </c>
      <c r="I3369">
        <v>0</v>
      </c>
      <c r="J3369">
        <v>0</v>
      </c>
      <c r="K3369">
        <v>0</v>
      </c>
      <c r="L3369">
        <v>0</v>
      </c>
      <c r="M3369">
        <v>0</v>
      </c>
      <c r="N3369">
        <v>0</v>
      </c>
      <c r="O3369">
        <v>0</v>
      </c>
      <c r="P3369">
        <v>0</v>
      </c>
      <c r="Q3369">
        <v>0</v>
      </c>
      <c r="R3369">
        <v>0</v>
      </c>
      <c r="S3369">
        <v>0</v>
      </c>
      <c r="T3369">
        <v>0</v>
      </c>
      <c r="U3369">
        <v>0</v>
      </c>
      <c r="V3369">
        <v>0</v>
      </c>
      <c r="W3369">
        <v>0</v>
      </c>
      <c r="X3369">
        <v>0</v>
      </c>
      <c r="Y3369" t="s">
        <v>31</v>
      </c>
      <c r="Z3369">
        <v>55</v>
      </c>
      <c r="AA3369">
        <v>0</v>
      </c>
    </row>
    <row r="3370" spans="1:27" x14ac:dyDescent="0.2">
      <c r="A3370" t="s">
        <v>547</v>
      </c>
      <c r="B3370">
        <v>2019</v>
      </c>
      <c r="C3370">
        <v>2114004023</v>
      </c>
      <c r="D3370" t="s">
        <v>4365</v>
      </c>
      <c r="E3370" t="s">
        <v>29</v>
      </c>
      <c r="F3370" t="s">
        <v>30</v>
      </c>
      <c r="G3370">
        <v>0</v>
      </c>
      <c r="H3370">
        <v>0</v>
      </c>
      <c r="I3370">
        <v>4</v>
      </c>
      <c r="J3370">
        <v>0</v>
      </c>
      <c r="K3370">
        <v>0</v>
      </c>
      <c r="L3370">
        <v>0</v>
      </c>
      <c r="M3370">
        <v>0</v>
      </c>
      <c r="N3370">
        <v>0</v>
      </c>
      <c r="O3370">
        <v>0</v>
      </c>
      <c r="P3370">
        <v>0</v>
      </c>
      <c r="Q3370">
        <v>0</v>
      </c>
      <c r="R3370">
        <v>0</v>
      </c>
      <c r="S3370">
        <v>0</v>
      </c>
      <c r="T3370">
        <v>0</v>
      </c>
      <c r="U3370">
        <v>0</v>
      </c>
      <c r="V3370">
        <v>0</v>
      </c>
      <c r="W3370">
        <v>0</v>
      </c>
      <c r="X3370">
        <v>0</v>
      </c>
      <c r="Y3370" t="s">
        <v>31</v>
      </c>
      <c r="Z3370">
        <v>55</v>
      </c>
      <c r="AA3370">
        <v>0</v>
      </c>
    </row>
    <row r="3371" spans="1:27" x14ac:dyDescent="0.2">
      <c r="A3371" t="s">
        <v>547</v>
      </c>
      <c r="B3371">
        <v>2019</v>
      </c>
      <c r="C3371">
        <v>4240018045</v>
      </c>
      <c r="D3371" t="s">
        <v>4366</v>
      </c>
      <c r="E3371" t="s">
        <v>29</v>
      </c>
      <c r="F3371" t="s">
        <v>30</v>
      </c>
      <c r="G3371">
        <v>34</v>
      </c>
      <c r="H3371">
        <v>0</v>
      </c>
      <c r="I3371">
        <v>0</v>
      </c>
      <c r="J3371">
        <v>0</v>
      </c>
      <c r="K3371">
        <v>0</v>
      </c>
      <c r="L3371">
        <v>0</v>
      </c>
      <c r="M3371">
        <v>0</v>
      </c>
      <c r="N3371">
        <v>0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</v>
      </c>
      <c r="V3371">
        <v>0</v>
      </c>
      <c r="W3371">
        <v>0</v>
      </c>
      <c r="X3371">
        <v>0</v>
      </c>
      <c r="Y3371" t="s">
        <v>31</v>
      </c>
      <c r="Z3371">
        <v>55</v>
      </c>
      <c r="AA3371">
        <v>0</v>
      </c>
    </row>
    <row r="3372" spans="1:27" x14ac:dyDescent="0.2">
      <c r="A3372" t="s">
        <v>547</v>
      </c>
      <c r="B3372">
        <v>2019</v>
      </c>
      <c r="C3372">
        <v>5547016907</v>
      </c>
      <c r="D3372" t="s">
        <v>4367</v>
      </c>
      <c r="E3372" t="s">
        <v>29</v>
      </c>
      <c r="F3372" t="s">
        <v>30</v>
      </c>
      <c r="G3372">
        <v>0</v>
      </c>
      <c r="H3372">
        <v>0</v>
      </c>
      <c r="I3372">
        <v>35</v>
      </c>
      <c r="J3372">
        <v>0</v>
      </c>
      <c r="K3372">
        <v>0</v>
      </c>
      <c r="L3372">
        <v>0</v>
      </c>
      <c r="M3372">
        <v>0</v>
      </c>
      <c r="N3372">
        <v>0</v>
      </c>
      <c r="O3372">
        <v>0</v>
      </c>
      <c r="P3372">
        <v>0</v>
      </c>
      <c r="Q3372">
        <v>0</v>
      </c>
      <c r="R3372">
        <v>0</v>
      </c>
      <c r="S3372">
        <v>0</v>
      </c>
      <c r="T3372">
        <v>0</v>
      </c>
      <c r="U3372">
        <v>0</v>
      </c>
      <c r="V3372">
        <v>0</v>
      </c>
      <c r="W3372">
        <v>0</v>
      </c>
      <c r="X3372">
        <v>0</v>
      </c>
      <c r="Y3372" t="s">
        <v>31</v>
      </c>
      <c r="Z3372">
        <v>55</v>
      </c>
      <c r="AA3372">
        <v>0</v>
      </c>
    </row>
    <row r="3373" spans="1:27" x14ac:dyDescent="0.2">
      <c r="A3373" t="s">
        <v>379</v>
      </c>
      <c r="B3373">
        <v>2023</v>
      </c>
      <c r="C3373" t="s">
        <v>3493</v>
      </c>
      <c r="D3373" t="s">
        <v>3494</v>
      </c>
      <c r="E3373" t="s">
        <v>29</v>
      </c>
      <c r="F3373" t="s">
        <v>41</v>
      </c>
      <c r="G3373">
        <v>0</v>
      </c>
      <c r="H3373">
        <v>0</v>
      </c>
      <c r="I3373">
        <v>0</v>
      </c>
      <c r="J3373">
        <v>0</v>
      </c>
      <c r="K3373">
        <v>1</v>
      </c>
      <c r="L3373">
        <v>0</v>
      </c>
      <c r="M3373">
        <v>0</v>
      </c>
      <c r="N3373">
        <v>0</v>
      </c>
      <c r="O3373">
        <v>0</v>
      </c>
      <c r="P3373">
        <v>0</v>
      </c>
      <c r="Q3373">
        <v>0</v>
      </c>
      <c r="R3373">
        <v>0</v>
      </c>
      <c r="S3373">
        <v>0</v>
      </c>
      <c r="T3373">
        <v>0</v>
      </c>
      <c r="U3373">
        <v>0</v>
      </c>
      <c r="V3373">
        <v>0</v>
      </c>
      <c r="W3373">
        <v>0</v>
      </c>
      <c r="X3373">
        <v>0</v>
      </c>
      <c r="Y3373" t="s">
        <v>31</v>
      </c>
      <c r="Z3373">
        <v>55</v>
      </c>
      <c r="AA3373">
        <v>0</v>
      </c>
    </row>
    <row r="3374" spans="1:27" x14ac:dyDescent="0.2">
      <c r="A3374" t="s">
        <v>883</v>
      </c>
      <c r="B3374">
        <v>2019</v>
      </c>
      <c r="C3374" s="2" t="s">
        <v>4368</v>
      </c>
      <c r="D3374" t="s">
        <v>4369</v>
      </c>
      <c r="E3374" t="s">
        <v>29</v>
      </c>
      <c r="F3374" t="s">
        <v>30</v>
      </c>
      <c r="G3374">
        <v>0</v>
      </c>
      <c r="H3374">
        <v>0</v>
      </c>
      <c r="I3374">
        <v>0</v>
      </c>
      <c r="J3374">
        <v>0</v>
      </c>
      <c r="K3374">
        <v>0</v>
      </c>
      <c r="L3374">
        <v>0</v>
      </c>
      <c r="M3374">
        <v>0</v>
      </c>
      <c r="N3374">
        <v>0</v>
      </c>
      <c r="O3374">
        <v>8</v>
      </c>
      <c r="P3374">
        <v>0</v>
      </c>
      <c r="Q3374">
        <v>0</v>
      </c>
      <c r="R3374">
        <v>0</v>
      </c>
      <c r="S3374">
        <v>0</v>
      </c>
      <c r="T3374">
        <v>0</v>
      </c>
      <c r="U3374">
        <v>0</v>
      </c>
      <c r="V3374">
        <v>0</v>
      </c>
      <c r="W3374">
        <v>0</v>
      </c>
      <c r="X3374">
        <v>0</v>
      </c>
      <c r="Y3374" t="s">
        <v>51</v>
      </c>
      <c r="Z3374">
        <v>1000</v>
      </c>
      <c r="AA3374">
        <v>0</v>
      </c>
    </row>
    <row r="3375" spans="1:27" x14ac:dyDescent="0.2">
      <c r="A3375" t="s">
        <v>67</v>
      </c>
      <c r="B3375">
        <v>2023</v>
      </c>
      <c r="C3375">
        <v>482161026</v>
      </c>
      <c r="D3375" t="s">
        <v>4370</v>
      </c>
      <c r="E3375" t="s">
        <v>29</v>
      </c>
      <c r="F3375" t="s">
        <v>30</v>
      </c>
      <c r="G3375">
        <v>0</v>
      </c>
      <c r="H3375">
        <v>0</v>
      </c>
      <c r="I3375">
        <v>0</v>
      </c>
      <c r="J3375">
        <v>0</v>
      </c>
      <c r="K3375">
        <v>0</v>
      </c>
      <c r="L3375">
        <v>0</v>
      </c>
      <c r="M3375">
        <v>0</v>
      </c>
      <c r="N3375">
        <v>0</v>
      </c>
      <c r="O3375">
        <v>16</v>
      </c>
      <c r="P3375">
        <v>0</v>
      </c>
      <c r="Q3375">
        <v>0</v>
      </c>
      <c r="R3375">
        <v>0</v>
      </c>
      <c r="S3375">
        <v>0</v>
      </c>
      <c r="T3375">
        <v>0</v>
      </c>
      <c r="U3375">
        <v>0</v>
      </c>
      <c r="V3375">
        <v>0</v>
      </c>
      <c r="W3375">
        <v>0</v>
      </c>
      <c r="X3375">
        <v>0</v>
      </c>
      <c r="Y3375" t="s">
        <v>31</v>
      </c>
      <c r="Z3375">
        <v>55</v>
      </c>
      <c r="AA3375">
        <v>35</v>
      </c>
    </row>
    <row r="3376" spans="1:27" x14ac:dyDescent="0.2">
      <c r="A3376" t="s">
        <v>1449</v>
      </c>
      <c r="B3376">
        <v>2019</v>
      </c>
      <c r="C3376" t="s">
        <v>1454</v>
      </c>
      <c r="D3376" t="s">
        <v>4371</v>
      </c>
      <c r="E3376" t="s">
        <v>29</v>
      </c>
      <c r="F3376" t="s">
        <v>30</v>
      </c>
      <c r="G3376">
        <v>2</v>
      </c>
      <c r="H3376">
        <v>0</v>
      </c>
      <c r="I3376">
        <v>0</v>
      </c>
      <c r="J3376">
        <v>0</v>
      </c>
      <c r="K3376">
        <v>0</v>
      </c>
      <c r="L3376">
        <v>0</v>
      </c>
      <c r="M3376">
        <v>2</v>
      </c>
      <c r="N3376">
        <v>0</v>
      </c>
      <c r="O3376">
        <v>0</v>
      </c>
      <c r="P3376">
        <v>0</v>
      </c>
      <c r="Q3376">
        <v>0</v>
      </c>
      <c r="R3376">
        <v>0</v>
      </c>
      <c r="S3376">
        <v>0</v>
      </c>
      <c r="T3376">
        <v>0</v>
      </c>
      <c r="U3376">
        <v>0</v>
      </c>
      <c r="V3376">
        <v>0</v>
      </c>
      <c r="W3376">
        <v>0</v>
      </c>
      <c r="X3376">
        <v>0</v>
      </c>
      <c r="Y3376" t="s">
        <v>31</v>
      </c>
      <c r="AA3376">
        <v>0</v>
      </c>
    </row>
    <row r="3377" spans="1:27" x14ac:dyDescent="0.2">
      <c r="A3377" t="s">
        <v>1449</v>
      </c>
      <c r="B3377">
        <v>2019</v>
      </c>
      <c r="C3377" t="s">
        <v>3717</v>
      </c>
      <c r="D3377" t="s">
        <v>4372</v>
      </c>
      <c r="E3377" t="s">
        <v>29</v>
      </c>
      <c r="F3377" t="s">
        <v>30</v>
      </c>
      <c r="G3377">
        <v>5</v>
      </c>
      <c r="H3377">
        <v>0</v>
      </c>
      <c r="I3377">
        <v>0</v>
      </c>
      <c r="J3377">
        <v>0</v>
      </c>
      <c r="K3377">
        <v>0</v>
      </c>
      <c r="L3377">
        <v>0</v>
      </c>
      <c r="M3377">
        <v>0</v>
      </c>
      <c r="N3377">
        <v>0</v>
      </c>
      <c r="O3377">
        <v>0</v>
      </c>
      <c r="P3377">
        <v>0</v>
      </c>
      <c r="Q3377">
        <v>0</v>
      </c>
      <c r="R3377">
        <v>0</v>
      </c>
      <c r="S3377">
        <v>0</v>
      </c>
      <c r="T3377">
        <v>0</v>
      </c>
      <c r="U3377">
        <v>0</v>
      </c>
      <c r="V3377">
        <v>0</v>
      </c>
      <c r="W3377">
        <v>0</v>
      </c>
      <c r="X3377">
        <v>0</v>
      </c>
      <c r="Y3377" t="s">
        <v>31</v>
      </c>
      <c r="Z3377">
        <v>1000</v>
      </c>
      <c r="AA3377">
        <v>0</v>
      </c>
    </row>
    <row r="3378" spans="1:27" x14ac:dyDescent="0.2">
      <c r="A3378" t="s">
        <v>547</v>
      </c>
      <c r="B3378">
        <v>2019</v>
      </c>
      <c r="C3378">
        <v>6012010034</v>
      </c>
      <c r="D3378" t="s">
        <v>4373</v>
      </c>
      <c r="E3378" t="s">
        <v>29</v>
      </c>
      <c r="F3378" t="s">
        <v>30</v>
      </c>
      <c r="G3378">
        <v>0</v>
      </c>
      <c r="H3378">
        <v>0</v>
      </c>
      <c r="I3378">
        <v>0</v>
      </c>
      <c r="J3378">
        <v>0</v>
      </c>
      <c r="K3378">
        <v>0</v>
      </c>
      <c r="L3378">
        <v>0</v>
      </c>
      <c r="M3378">
        <v>1</v>
      </c>
      <c r="N3378">
        <v>0</v>
      </c>
      <c r="O3378">
        <v>0</v>
      </c>
      <c r="P3378">
        <v>0</v>
      </c>
      <c r="Q3378">
        <v>0</v>
      </c>
      <c r="R3378">
        <v>0</v>
      </c>
      <c r="S3378">
        <v>0</v>
      </c>
      <c r="T3378">
        <v>0</v>
      </c>
      <c r="U3378">
        <v>0</v>
      </c>
      <c r="V3378">
        <v>0</v>
      </c>
      <c r="W3378">
        <v>0</v>
      </c>
      <c r="X3378">
        <v>0</v>
      </c>
      <c r="Y3378" t="s">
        <v>31</v>
      </c>
      <c r="Z3378">
        <v>55</v>
      </c>
      <c r="AA3378">
        <v>0</v>
      </c>
    </row>
    <row r="3379" spans="1:27" x14ac:dyDescent="0.2">
      <c r="A3379" t="s">
        <v>67</v>
      </c>
      <c r="B3379">
        <v>2023</v>
      </c>
      <c r="C3379">
        <v>482161026</v>
      </c>
      <c r="D3379" t="s">
        <v>4374</v>
      </c>
      <c r="E3379" t="s">
        <v>29</v>
      </c>
      <c r="F3379" t="s">
        <v>30</v>
      </c>
      <c r="G3379">
        <v>0</v>
      </c>
      <c r="H3379">
        <v>0</v>
      </c>
      <c r="I3379">
        <v>0</v>
      </c>
      <c r="J3379">
        <v>0</v>
      </c>
      <c r="K3379">
        <v>0</v>
      </c>
      <c r="L3379">
        <v>0</v>
      </c>
      <c r="M3379">
        <v>0</v>
      </c>
      <c r="N3379">
        <v>0</v>
      </c>
      <c r="O3379">
        <v>16</v>
      </c>
      <c r="P3379">
        <v>0</v>
      </c>
      <c r="Q3379">
        <v>0</v>
      </c>
      <c r="R3379">
        <v>0</v>
      </c>
      <c r="S3379">
        <v>0</v>
      </c>
      <c r="T3379">
        <v>0</v>
      </c>
      <c r="U3379">
        <v>0</v>
      </c>
      <c r="V3379">
        <v>0</v>
      </c>
      <c r="W3379">
        <v>0</v>
      </c>
      <c r="X3379">
        <v>0</v>
      </c>
      <c r="Y3379" t="s">
        <v>31</v>
      </c>
      <c r="Z3379">
        <v>55</v>
      </c>
      <c r="AA3379">
        <v>35</v>
      </c>
    </row>
    <row r="3380" spans="1:27" x14ac:dyDescent="0.2">
      <c r="A3380" t="s">
        <v>547</v>
      </c>
      <c r="B3380">
        <v>2019</v>
      </c>
      <c r="C3380">
        <v>2654006023</v>
      </c>
      <c r="D3380" t="s">
        <v>4375</v>
      </c>
      <c r="E3380" t="s">
        <v>29</v>
      </c>
      <c r="F3380" t="s">
        <v>30</v>
      </c>
      <c r="G3380">
        <v>0</v>
      </c>
      <c r="H3380">
        <v>0</v>
      </c>
      <c r="I3380">
        <v>0</v>
      </c>
      <c r="J3380">
        <v>0</v>
      </c>
      <c r="K3380">
        <v>0</v>
      </c>
      <c r="L3380">
        <v>0</v>
      </c>
      <c r="M3380">
        <v>1</v>
      </c>
      <c r="N3380">
        <v>0</v>
      </c>
      <c r="O3380">
        <v>0</v>
      </c>
      <c r="P3380">
        <v>0</v>
      </c>
      <c r="Q3380">
        <v>0</v>
      </c>
      <c r="R3380">
        <v>0</v>
      </c>
      <c r="S3380">
        <v>0</v>
      </c>
      <c r="T3380">
        <v>0</v>
      </c>
      <c r="U3380">
        <v>0</v>
      </c>
      <c r="V3380">
        <v>0</v>
      </c>
      <c r="W3380">
        <v>0</v>
      </c>
      <c r="X3380">
        <v>0</v>
      </c>
      <c r="Y3380" t="s">
        <v>31</v>
      </c>
      <c r="Z3380">
        <v>55</v>
      </c>
      <c r="AA3380">
        <v>0</v>
      </c>
    </row>
    <row r="3381" spans="1:27" x14ac:dyDescent="0.2">
      <c r="A3381" t="s">
        <v>2725</v>
      </c>
      <c r="B3381">
        <v>2022</v>
      </c>
      <c r="C3381">
        <v>944330005</v>
      </c>
      <c r="D3381" t="s">
        <v>4376</v>
      </c>
      <c r="E3381" t="s">
        <v>29</v>
      </c>
      <c r="F3381" t="s">
        <v>30</v>
      </c>
      <c r="G3381">
        <v>0</v>
      </c>
      <c r="H3381">
        <v>0</v>
      </c>
      <c r="I3381">
        <v>0</v>
      </c>
      <c r="J3381">
        <v>0</v>
      </c>
      <c r="K3381">
        <v>0</v>
      </c>
      <c r="L3381">
        <v>0</v>
      </c>
      <c r="M3381">
        <v>15</v>
      </c>
      <c r="N3381">
        <v>0</v>
      </c>
      <c r="O3381">
        <v>0</v>
      </c>
      <c r="P3381">
        <v>0</v>
      </c>
      <c r="Q3381">
        <v>0</v>
      </c>
      <c r="R3381">
        <v>0</v>
      </c>
      <c r="S3381">
        <v>0</v>
      </c>
      <c r="T3381">
        <v>0</v>
      </c>
      <c r="U3381">
        <v>0</v>
      </c>
      <c r="V3381">
        <v>0</v>
      </c>
      <c r="W3381">
        <v>0</v>
      </c>
      <c r="X3381">
        <v>0</v>
      </c>
      <c r="Y3381" t="s">
        <v>51</v>
      </c>
      <c r="Z3381">
        <v>55</v>
      </c>
      <c r="AA3381">
        <v>0</v>
      </c>
    </row>
    <row r="3382" spans="1:27" x14ac:dyDescent="0.2">
      <c r="A3382" t="s">
        <v>619</v>
      </c>
      <c r="B3382">
        <v>2022</v>
      </c>
      <c r="C3382" t="s">
        <v>4377</v>
      </c>
      <c r="D3382" t="s">
        <v>4378</v>
      </c>
      <c r="E3382" t="s">
        <v>29</v>
      </c>
      <c r="F3382" t="s">
        <v>30</v>
      </c>
      <c r="G3382">
        <v>0</v>
      </c>
      <c r="H3382">
        <v>0</v>
      </c>
      <c r="I3382">
        <v>0</v>
      </c>
      <c r="J3382">
        <v>0</v>
      </c>
      <c r="K3382">
        <v>0</v>
      </c>
      <c r="L3382">
        <v>0</v>
      </c>
      <c r="M3382">
        <v>0</v>
      </c>
      <c r="N3382">
        <v>0</v>
      </c>
      <c r="O3382">
        <v>0</v>
      </c>
      <c r="P3382">
        <v>0</v>
      </c>
      <c r="Q3382">
        <v>0</v>
      </c>
      <c r="R3382">
        <v>0</v>
      </c>
      <c r="S3382">
        <v>0</v>
      </c>
      <c r="T3382">
        <v>0</v>
      </c>
      <c r="U3382">
        <v>6</v>
      </c>
      <c r="V3382">
        <v>0</v>
      </c>
      <c r="W3382">
        <v>0</v>
      </c>
      <c r="X3382">
        <v>0</v>
      </c>
      <c r="Y3382" t="s">
        <v>51</v>
      </c>
      <c r="Z3382">
        <v>55</v>
      </c>
      <c r="AA3382">
        <v>0</v>
      </c>
    </row>
    <row r="3383" spans="1:27" x14ac:dyDescent="0.2">
      <c r="A3383" t="s">
        <v>1075</v>
      </c>
      <c r="B3383">
        <v>2021</v>
      </c>
      <c r="C3383">
        <v>45106416</v>
      </c>
      <c r="D3383" t="s">
        <v>4379</v>
      </c>
      <c r="E3383" t="s">
        <v>29</v>
      </c>
      <c r="F3383" t="s">
        <v>30</v>
      </c>
      <c r="G3383">
        <v>0</v>
      </c>
      <c r="H3383">
        <v>0</v>
      </c>
      <c r="I3383">
        <v>0</v>
      </c>
      <c r="J3383">
        <v>0</v>
      </c>
      <c r="K3383">
        <v>0</v>
      </c>
      <c r="L3383">
        <v>0</v>
      </c>
      <c r="M3383">
        <v>0</v>
      </c>
      <c r="N3383">
        <v>0</v>
      </c>
      <c r="O3383">
        <v>0</v>
      </c>
      <c r="P3383">
        <v>0</v>
      </c>
      <c r="Q3383">
        <v>0</v>
      </c>
      <c r="R3383">
        <v>0</v>
      </c>
      <c r="S3383">
        <v>53</v>
      </c>
      <c r="T3383">
        <v>0</v>
      </c>
      <c r="U3383">
        <v>34</v>
      </c>
      <c r="V3383">
        <v>0</v>
      </c>
      <c r="W3383">
        <v>0</v>
      </c>
      <c r="X3383">
        <v>0</v>
      </c>
      <c r="Y3383" t="s">
        <v>31</v>
      </c>
      <c r="AA3383">
        <v>88</v>
      </c>
    </row>
    <row r="3384" spans="1:27" x14ac:dyDescent="0.2">
      <c r="A3384" t="s">
        <v>1982</v>
      </c>
      <c r="B3384">
        <v>2022</v>
      </c>
      <c r="C3384" t="s">
        <v>2010</v>
      </c>
      <c r="D3384" t="s">
        <v>4380</v>
      </c>
      <c r="E3384" t="s">
        <v>29</v>
      </c>
      <c r="F3384" t="s">
        <v>30</v>
      </c>
      <c r="G3384">
        <v>58</v>
      </c>
      <c r="H3384">
        <v>0</v>
      </c>
      <c r="I3384">
        <v>30</v>
      </c>
      <c r="J3384">
        <v>0</v>
      </c>
      <c r="K3384">
        <v>0</v>
      </c>
      <c r="L3384">
        <v>0</v>
      </c>
      <c r="M3384">
        <v>0</v>
      </c>
      <c r="N3384">
        <v>0</v>
      </c>
      <c r="O3384">
        <v>0</v>
      </c>
      <c r="P3384">
        <v>0</v>
      </c>
      <c r="Q3384">
        <v>0</v>
      </c>
      <c r="R3384">
        <v>0</v>
      </c>
      <c r="S3384">
        <v>0</v>
      </c>
      <c r="T3384">
        <v>0</v>
      </c>
      <c r="U3384">
        <v>0</v>
      </c>
      <c r="V3384">
        <v>0</v>
      </c>
      <c r="W3384">
        <v>0</v>
      </c>
      <c r="X3384">
        <v>0</v>
      </c>
      <c r="Y3384" t="s">
        <v>31</v>
      </c>
      <c r="Z3384">
        <v>55</v>
      </c>
      <c r="AA3384">
        <v>15.6</v>
      </c>
    </row>
    <row r="3385" spans="1:27" x14ac:dyDescent="0.2">
      <c r="A3385" t="s">
        <v>1982</v>
      </c>
      <c r="B3385">
        <v>2022</v>
      </c>
      <c r="C3385" t="s">
        <v>4381</v>
      </c>
      <c r="D3385" t="s">
        <v>4382</v>
      </c>
      <c r="E3385" t="s">
        <v>29</v>
      </c>
      <c r="F3385" t="s">
        <v>30</v>
      </c>
      <c r="G3385">
        <v>24</v>
      </c>
      <c r="H3385">
        <v>0</v>
      </c>
      <c r="I3385">
        <v>24</v>
      </c>
      <c r="J3385">
        <v>0</v>
      </c>
      <c r="K3385">
        <v>0</v>
      </c>
      <c r="L3385">
        <v>0</v>
      </c>
      <c r="M3385">
        <v>0</v>
      </c>
      <c r="N3385">
        <v>0</v>
      </c>
      <c r="O3385">
        <v>0</v>
      </c>
      <c r="P3385">
        <v>0</v>
      </c>
      <c r="Q3385">
        <v>0</v>
      </c>
      <c r="R3385">
        <v>0</v>
      </c>
      <c r="S3385">
        <v>0</v>
      </c>
      <c r="T3385">
        <v>0</v>
      </c>
      <c r="U3385">
        <v>0</v>
      </c>
      <c r="V3385">
        <v>0</v>
      </c>
      <c r="W3385">
        <v>0</v>
      </c>
      <c r="X3385">
        <v>0</v>
      </c>
      <c r="Y3385" t="s">
        <v>31</v>
      </c>
      <c r="Z3385">
        <v>55</v>
      </c>
      <c r="AA3385" s="2" t="s">
        <v>1985</v>
      </c>
    </row>
    <row r="3386" spans="1:27" x14ac:dyDescent="0.2">
      <c r="A3386" t="s">
        <v>600</v>
      </c>
      <c r="B3386">
        <v>2020</v>
      </c>
      <c r="C3386">
        <v>3506004</v>
      </c>
      <c r="D3386" t="s">
        <v>4383</v>
      </c>
      <c r="E3386" t="s">
        <v>29</v>
      </c>
      <c r="F3386" t="s">
        <v>30</v>
      </c>
      <c r="G3386">
        <v>0</v>
      </c>
      <c r="H3386">
        <v>0</v>
      </c>
      <c r="I3386">
        <v>0</v>
      </c>
      <c r="J3386">
        <v>0</v>
      </c>
      <c r="K3386">
        <v>0</v>
      </c>
      <c r="L3386">
        <v>0</v>
      </c>
      <c r="M3386">
        <v>0</v>
      </c>
      <c r="N3386">
        <v>0</v>
      </c>
      <c r="O3386">
        <v>0</v>
      </c>
      <c r="P3386">
        <v>0</v>
      </c>
      <c r="Q3386">
        <v>0</v>
      </c>
      <c r="R3386">
        <v>0</v>
      </c>
      <c r="S3386">
        <v>0</v>
      </c>
      <c r="T3386">
        <v>0</v>
      </c>
      <c r="U3386">
        <v>0</v>
      </c>
      <c r="V3386">
        <v>0</v>
      </c>
      <c r="W3386">
        <v>0</v>
      </c>
      <c r="X3386">
        <v>0</v>
      </c>
      <c r="Y3386" t="s">
        <v>51</v>
      </c>
      <c r="AA3386">
        <v>0</v>
      </c>
    </row>
    <row r="3387" spans="1:27" x14ac:dyDescent="0.2">
      <c r="A3387" t="s">
        <v>600</v>
      </c>
      <c r="B3387">
        <v>2020</v>
      </c>
      <c r="C3387" s="2" t="s">
        <v>2135</v>
      </c>
      <c r="D3387" t="s">
        <v>4384</v>
      </c>
      <c r="E3387" t="s">
        <v>29</v>
      </c>
      <c r="F3387" t="s">
        <v>41</v>
      </c>
      <c r="G3387">
        <v>0</v>
      </c>
      <c r="H3387">
        <v>0</v>
      </c>
      <c r="I3387">
        <v>33</v>
      </c>
      <c r="J3387">
        <v>0</v>
      </c>
      <c r="K3387">
        <v>0</v>
      </c>
      <c r="L3387">
        <v>0</v>
      </c>
      <c r="M3387">
        <v>0</v>
      </c>
      <c r="N3387">
        <v>0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0</v>
      </c>
      <c r="U3387">
        <v>0</v>
      </c>
      <c r="V3387">
        <v>0</v>
      </c>
      <c r="W3387">
        <v>0</v>
      </c>
      <c r="X3387">
        <v>0</v>
      </c>
      <c r="Y3387" t="s">
        <v>51</v>
      </c>
      <c r="AA3387">
        <v>0</v>
      </c>
    </row>
    <row r="3388" spans="1:27" x14ac:dyDescent="0.2">
      <c r="A3388" t="s">
        <v>600</v>
      </c>
      <c r="B3388">
        <v>2020</v>
      </c>
      <c r="C3388">
        <v>3732100</v>
      </c>
      <c r="D3388" t="s">
        <v>1858</v>
      </c>
      <c r="E3388" t="s">
        <v>29</v>
      </c>
      <c r="F3388" t="s">
        <v>30</v>
      </c>
      <c r="G3388">
        <v>0</v>
      </c>
      <c r="H3388">
        <v>0</v>
      </c>
      <c r="I3388">
        <v>102</v>
      </c>
      <c r="J3388">
        <v>0</v>
      </c>
      <c r="K3388">
        <v>99</v>
      </c>
      <c r="L3388">
        <v>0</v>
      </c>
      <c r="M3388">
        <v>0</v>
      </c>
      <c r="N3388">
        <v>0</v>
      </c>
      <c r="O3388">
        <v>0</v>
      </c>
      <c r="P3388">
        <v>0</v>
      </c>
      <c r="Q3388">
        <v>0</v>
      </c>
      <c r="R3388">
        <v>0</v>
      </c>
      <c r="S3388">
        <v>0</v>
      </c>
      <c r="T3388">
        <v>0</v>
      </c>
      <c r="U3388">
        <v>0</v>
      </c>
      <c r="V3388">
        <v>0</v>
      </c>
      <c r="W3388">
        <v>0</v>
      </c>
      <c r="X3388">
        <v>0</v>
      </c>
      <c r="Y3388" t="s">
        <v>31</v>
      </c>
      <c r="AA3388">
        <v>0</v>
      </c>
    </row>
    <row r="3389" spans="1:27" x14ac:dyDescent="0.2">
      <c r="A3389" t="s">
        <v>600</v>
      </c>
      <c r="B3389">
        <v>2020</v>
      </c>
      <c r="C3389">
        <v>1901001</v>
      </c>
      <c r="D3389" t="s">
        <v>4385</v>
      </c>
      <c r="E3389" t="s">
        <v>29</v>
      </c>
      <c r="F3389" t="s">
        <v>30</v>
      </c>
      <c r="G3389">
        <v>0</v>
      </c>
      <c r="H3389">
        <v>0</v>
      </c>
      <c r="I3389">
        <v>4</v>
      </c>
      <c r="J3389">
        <v>0</v>
      </c>
      <c r="K3389">
        <v>3</v>
      </c>
      <c r="L3389">
        <v>0</v>
      </c>
      <c r="M3389">
        <v>0</v>
      </c>
      <c r="N3389">
        <v>0</v>
      </c>
      <c r="O3389">
        <v>0</v>
      </c>
      <c r="P3389">
        <v>0</v>
      </c>
      <c r="Q3389">
        <v>0</v>
      </c>
      <c r="R3389">
        <v>0</v>
      </c>
      <c r="S3389">
        <v>0</v>
      </c>
      <c r="T3389">
        <v>0</v>
      </c>
      <c r="U3389">
        <v>0</v>
      </c>
      <c r="V3389">
        <v>0</v>
      </c>
      <c r="W3389">
        <v>0</v>
      </c>
      <c r="X3389">
        <v>0</v>
      </c>
      <c r="Y3389" t="s">
        <v>31</v>
      </c>
      <c r="AA3389">
        <v>0</v>
      </c>
    </row>
    <row r="3390" spans="1:27" x14ac:dyDescent="0.2">
      <c r="A3390" t="s">
        <v>600</v>
      </c>
      <c r="B3390">
        <v>2020</v>
      </c>
      <c r="C3390">
        <v>3753062</v>
      </c>
      <c r="D3390" t="s">
        <v>4386</v>
      </c>
      <c r="E3390" t="s">
        <v>29</v>
      </c>
      <c r="F3390" t="s">
        <v>41</v>
      </c>
      <c r="G3390">
        <v>0</v>
      </c>
      <c r="H3390">
        <v>0</v>
      </c>
      <c r="I3390">
        <v>0</v>
      </c>
      <c r="J3390">
        <v>0</v>
      </c>
      <c r="K3390">
        <v>0</v>
      </c>
      <c r="L3390">
        <v>0</v>
      </c>
      <c r="M3390">
        <v>0</v>
      </c>
      <c r="N3390">
        <v>0</v>
      </c>
      <c r="O3390">
        <v>0</v>
      </c>
      <c r="P3390">
        <v>0</v>
      </c>
      <c r="Q3390">
        <v>0</v>
      </c>
      <c r="R3390">
        <v>0</v>
      </c>
      <c r="S3390">
        <v>0</v>
      </c>
      <c r="T3390">
        <v>0</v>
      </c>
      <c r="U3390">
        <v>0</v>
      </c>
      <c r="V3390">
        <v>0</v>
      </c>
      <c r="W3390">
        <v>0</v>
      </c>
      <c r="X3390">
        <v>0</v>
      </c>
      <c r="Y3390" t="s">
        <v>51</v>
      </c>
      <c r="AA3390">
        <v>0</v>
      </c>
    </row>
    <row r="3391" spans="1:27" x14ac:dyDescent="0.2">
      <c r="A3391" t="s">
        <v>600</v>
      </c>
      <c r="B3391">
        <v>2020</v>
      </c>
      <c r="C3391">
        <v>3753007</v>
      </c>
      <c r="D3391" t="s">
        <v>4387</v>
      </c>
      <c r="E3391" t="s">
        <v>29</v>
      </c>
      <c r="F3391" t="s">
        <v>41</v>
      </c>
      <c r="G3391">
        <v>0</v>
      </c>
      <c r="H3391">
        <v>0</v>
      </c>
      <c r="I3391">
        <v>0</v>
      </c>
      <c r="J3391">
        <v>0</v>
      </c>
      <c r="K3391">
        <v>0</v>
      </c>
      <c r="L3391">
        <v>0</v>
      </c>
      <c r="M3391">
        <v>0</v>
      </c>
      <c r="N3391">
        <v>0</v>
      </c>
      <c r="O3391">
        <v>0</v>
      </c>
      <c r="P3391">
        <v>0</v>
      </c>
      <c r="Q3391">
        <v>18</v>
      </c>
      <c r="R3391">
        <v>0</v>
      </c>
      <c r="S3391">
        <v>0</v>
      </c>
      <c r="T3391">
        <v>0</v>
      </c>
      <c r="U3391">
        <v>0</v>
      </c>
      <c r="V3391">
        <v>0</v>
      </c>
      <c r="W3391">
        <v>0</v>
      </c>
      <c r="X3391">
        <v>0</v>
      </c>
      <c r="Y3391" t="s">
        <v>51</v>
      </c>
      <c r="AA3391">
        <v>0</v>
      </c>
    </row>
    <row r="3392" spans="1:27" x14ac:dyDescent="0.2">
      <c r="A3392" t="s">
        <v>600</v>
      </c>
      <c r="B3392">
        <v>2020</v>
      </c>
      <c r="C3392">
        <v>3730004</v>
      </c>
      <c r="D3392" t="s">
        <v>4388</v>
      </c>
      <c r="E3392" t="s">
        <v>29</v>
      </c>
      <c r="F3392" t="s">
        <v>30</v>
      </c>
      <c r="G3392">
        <v>0</v>
      </c>
      <c r="H3392">
        <v>0</v>
      </c>
      <c r="I3392">
        <v>0</v>
      </c>
      <c r="J3392">
        <v>0</v>
      </c>
      <c r="K3392">
        <v>0</v>
      </c>
      <c r="L3392">
        <v>0</v>
      </c>
      <c r="M3392">
        <v>0</v>
      </c>
      <c r="N3392">
        <v>0</v>
      </c>
      <c r="O3392">
        <v>0</v>
      </c>
      <c r="P3392">
        <v>0</v>
      </c>
      <c r="Q3392">
        <v>5</v>
      </c>
      <c r="R3392">
        <v>0</v>
      </c>
      <c r="S3392">
        <v>0</v>
      </c>
      <c r="T3392">
        <v>0</v>
      </c>
      <c r="U3392">
        <v>0</v>
      </c>
      <c r="V3392">
        <v>0</v>
      </c>
      <c r="W3392">
        <v>0</v>
      </c>
      <c r="X3392">
        <v>0</v>
      </c>
      <c r="Y3392" t="s">
        <v>51</v>
      </c>
      <c r="AA3392">
        <v>0</v>
      </c>
    </row>
    <row r="3393" spans="1:27" x14ac:dyDescent="0.2">
      <c r="A3393" t="s">
        <v>2411</v>
      </c>
      <c r="B3393">
        <v>2021</v>
      </c>
      <c r="C3393" t="s">
        <v>4389</v>
      </c>
      <c r="D3393" t="s">
        <v>4390</v>
      </c>
      <c r="E3393" t="s">
        <v>29</v>
      </c>
      <c r="F3393" t="s">
        <v>30</v>
      </c>
      <c r="G3393">
        <v>0</v>
      </c>
      <c r="H3393">
        <v>0</v>
      </c>
      <c r="I3393">
        <v>1</v>
      </c>
      <c r="J3393">
        <v>0</v>
      </c>
      <c r="K3393">
        <v>0</v>
      </c>
      <c r="L3393">
        <v>0</v>
      </c>
      <c r="M3393">
        <v>0</v>
      </c>
      <c r="N3393">
        <v>0</v>
      </c>
      <c r="O3393">
        <v>0</v>
      </c>
      <c r="P3393">
        <v>0</v>
      </c>
      <c r="Q3393">
        <v>0</v>
      </c>
      <c r="R3393">
        <v>0</v>
      </c>
      <c r="S3393">
        <v>0</v>
      </c>
      <c r="T3393">
        <v>0</v>
      </c>
      <c r="U3393">
        <v>0</v>
      </c>
      <c r="V3393">
        <v>0</v>
      </c>
      <c r="W3393">
        <v>0</v>
      </c>
      <c r="X3393">
        <v>0</v>
      </c>
      <c r="Y3393" t="s">
        <v>51</v>
      </c>
      <c r="Z3393">
        <v>1000</v>
      </c>
      <c r="AA3393">
        <v>0</v>
      </c>
    </row>
    <row r="3394" spans="1:27" x14ac:dyDescent="0.2">
      <c r="A3394" t="s">
        <v>27</v>
      </c>
      <c r="B3394">
        <v>2023</v>
      </c>
      <c r="C3394">
        <v>7209016036</v>
      </c>
      <c r="D3394" t="s">
        <v>4391</v>
      </c>
      <c r="E3394" t="s">
        <v>29</v>
      </c>
      <c r="F3394" t="s">
        <v>30</v>
      </c>
      <c r="G3394">
        <v>0</v>
      </c>
      <c r="H3394">
        <v>0</v>
      </c>
      <c r="I3394">
        <v>51</v>
      </c>
      <c r="J3394">
        <v>0</v>
      </c>
      <c r="K3394">
        <v>0</v>
      </c>
      <c r="L3394">
        <v>0</v>
      </c>
      <c r="M3394">
        <v>0</v>
      </c>
      <c r="N3394">
        <v>0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0</v>
      </c>
      <c r="U3394">
        <v>0</v>
      </c>
      <c r="V3394">
        <v>0</v>
      </c>
      <c r="W3394">
        <v>0</v>
      </c>
      <c r="X3394">
        <v>0</v>
      </c>
      <c r="Y3394" t="s">
        <v>31</v>
      </c>
      <c r="AA3394">
        <v>90</v>
      </c>
    </row>
    <row r="3395" spans="1:27" x14ac:dyDescent="0.2">
      <c r="A3395" t="s">
        <v>600</v>
      </c>
      <c r="B3395">
        <v>2020</v>
      </c>
      <c r="C3395">
        <v>3506008</v>
      </c>
      <c r="D3395" t="s">
        <v>969</v>
      </c>
      <c r="E3395" t="s">
        <v>29</v>
      </c>
      <c r="F3395" t="s">
        <v>30</v>
      </c>
      <c r="G3395">
        <v>0</v>
      </c>
      <c r="H3395">
        <v>0</v>
      </c>
      <c r="I3395">
        <v>0</v>
      </c>
      <c r="J3395">
        <v>0</v>
      </c>
      <c r="K3395">
        <v>0</v>
      </c>
      <c r="L3395">
        <v>0</v>
      </c>
      <c r="M3395">
        <v>0</v>
      </c>
      <c r="N3395">
        <v>0</v>
      </c>
      <c r="O3395">
        <v>0</v>
      </c>
      <c r="P3395">
        <v>0</v>
      </c>
      <c r="Q3395">
        <v>0</v>
      </c>
      <c r="R3395">
        <v>0</v>
      </c>
      <c r="S3395">
        <v>110</v>
      </c>
      <c r="T3395">
        <v>0</v>
      </c>
      <c r="U3395">
        <v>0</v>
      </c>
      <c r="V3395">
        <v>0</v>
      </c>
      <c r="W3395">
        <v>0</v>
      </c>
      <c r="X3395">
        <v>0</v>
      </c>
      <c r="Y3395" t="s">
        <v>51</v>
      </c>
      <c r="AA3395">
        <v>0</v>
      </c>
    </row>
    <row r="3396" spans="1:27" x14ac:dyDescent="0.2">
      <c r="A3396" t="s">
        <v>600</v>
      </c>
      <c r="B3396">
        <v>2020</v>
      </c>
      <c r="C3396" t="s">
        <v>4392</v>
      </c>
      <c r="D3396" t="s">
        <v>4393</v>
      </c>
      <c r="E3396" t="s">
        <v>29</v>
      </c>
      <c r="F3396" t="s">
        <v>30</v>
      </c>
      <c r="G3396">
        <v>0</v>
      </c>
      <c r="H3396">
        <v>0</v>
      </c>
      <c r="I3396">
        <v>0</v>
      </c>
      <c r="J3396">
        <v>0</v>
      </c>
      <c r="K3396">
        <v>0</v>
      </c>
      <c r="L3396">
        <v>0</v>
      </c>
      <c r="M3396">
        <v>0</v>
      </c>
      <c r="N3396">
        <v>0</v>
      </c>
      <c r="O3396">
        <v>0</v>
      </c>
      <c r="P3396">
        <v>0</v>
      </c>
      <c r="Q3396">
        <v>0</v>
      </c>
      <c r="R3396">
        <v>0</v>
      </c>
      <c r="S3396">
        <v>60</v>
      </c>
      <c r="T3396">
        <v>0</v>
      </c>
      <c r="U3396">
        <v>0</v>
      </c>
      <c r="V3396">
        <v>0</v>
      </c>
      <c r="W3396">
        <v>0</v>
      </c>
      <c r="X3396">
        <v>0</v>
      </c>
      <c r="Y3396" t="s">
        <v>51</v>
      </c>
      <c r="AA3396">
        <v>0</v>
      </c>
    </row>
    <row r="3397" spans="1:27" x14ac:dyDescent="0.2">
      <c r="A3397" t="s">
        <v>600</v>
      </c>
      <c r="B3397">
        <v>2020</v>
      </c>
      <c r="C3397" s="2" t="s">
        <v>1149</v>
      </c>
      <c r="D3397" t="s">
        <v>1150</v>
      </c>
      <c r="E3397" t="s">
        <v>29</v>
      </c>
      <c r="F3397" t="s">
        <v>41</v>
      </c>
      <c r="G3397">
        <v>0</v>
      </c>
      <c r="H3397">
        <v>0</v>
      </c>
      <c r="I3397">
        <v>0</v>
      </c>
      <c r="J3397">
        <v>0</v>
      </c>
      <c r="K3397">
        <v>0</v>
      </c>
      <c r="L3397">
        <v>0</v>
      </c>
      <c r="M3397">
        <v>0</v>
      </c>
      <c r="N3397">
        <v>0</v>
      </c>
      <c r="O3397">
        <v>0</v>
      </c>
      <c r="P3397">
        <v>0</v>
      </c>
      <c r="Q3397">
        <v>0</v>
      </c>
      <c r="R3397">
        <v>0</v>
      </c>
      <c r="S3397">
        <v>0</v>
      </c>
      <c r="T3397">
        <v>0</v>
      </c>
      <c r="U3397">
        <v>0</v>
      </c>
      <c r="V3397">
        <v>0</v>
      </c>
      <c r="W3397">
        <v>6</v>
      </c>
      <c r="X3397">
        <v>0</v>
      </c>
      <c r="Y3397" t="s">
        <v>51</v>
      </c>
      <c r="AA3397">
        <v>0</v>
      </c>
    </row>
    <row r="3398" spans="1:27" x14ac:dyDescent="0.2">
      <c r="A3398" t="s">
        <v>600</v>
      </c>
      <c r="B3398">
        <v>2020</v>
      </c>
      <c r="C3398" s="2" t="s">
        <v>922</v>
      </c>
      <c r="D3398" t="s">
        <v>923</v>
      </c>
      <c r="E3398" t="s">
        <v>29</v>
      </c>
      <c r="F3398" t="s">
        <v>30</v>
      </c>
      <c r="G3398">
        <v>0</v>
      </c>
      <c r="H3398">
        <v>0</v>
      </c>
      <c r="I3398">
        <v>0</v>
      </c>
      <c r="J3398">
        <v>0</v>
      </c>
      <c r="K3398">
        <v>0</v>
      </c>
      <c r="L3398">
        <v>0</v>
      </c>
      <c r="M3398">
        <v>0</v>
      </c>
      <c r="N3398">
        <v>0</v>
      </c>
      <c r="O3398">
        <v>0</v>
      </c>
      <c r="P3398">
        <v>0</v>
      </c>
      <c r="Q3398">
        <v>0</v>
      </c>
      <c r="R3398">
        <v>0</v>
      </c>
      <c r="S3398">
        <v>0</v>
      </c>
      <c r="T3398">
        <v>0</v>
      </c>
      <c r="U3398">
        <v>0</v>
      </c>
      <c r="V3398">
        <v>0</v>
      </c>
      <c r="W3398">
        <v>0</v>
      </c>
      <c r="X3398">
        <v>0</v>
      </c>
      <c r="Y3398" t="s">
        <v>51</v>
      </c>
      <c r="AA3398">
        <v>0</v>
      </c>
    </row>
    <row r="3399" spans="1:27" x14ac:dyDescent="0.2">
      <c r="A3399" t="s">
        <v>600</v>
      </c>
      <c r="B3399">
        <v>2020</v>
      </c>
      <c r="C3399">
        <v>6568032</v>
      </c>
      <c r="D3399" t="s">
        <v>605</v>
      </c>
      <c r="E3399" t="s">
        <v>29</v>
      </c>
      <c r="F3399" t="s">
        <v>30</v>
      </c>
      <c r="G3399">
        <v>0</v>
      </c>
      <c r="H3399">
        <v>0</v>
      </c>
      <c r="I3399">
        <v>0</v>
      </c>
      <c r="J3399">
        <v>0</v>
      </c>
      <c r="K3399">
        <v>0</v>
      </c>
      <c r="L3399">
        <v>0</v>
      </c>
      <c r="M3399">
        <v>0</v>
      </c>
      <c r="N3399">
        <v>0</v>
      </c>
      <c r="O3399">
        <v>0</v>
      </c>
      <c r="P3399">
        <v>0</v>
      </c>
      <c r="Q3399">
        <v>0</v>
      </c>
      <c r="R3399">
        <v>0</v>
      </c>
      <c r="S3399">
        <v>0</v>
      </c>
      <c r="T3399">
        <v>0</v>
      </c>
      <c r="U3399">
        <v>0</v>
      </c>
      <c r="V3399">
        <v>0</v>
      </c>
      <c r="W3399">
        <v>0</v>
      </c>
      <c r="X3399">
        <v>0</v>
      </c>
      <c r="Y3399" t="s">
        <v>51</v>
      </c>
      <c r="AA3399">
        <v>0</v>
      </c>
    </row>
    <row r="3400" spans="1:27" x14ac:dyDescent="0.2">
      <c r="A3400" t="s">
        <v>600</v>
      </c>
      <c r="B3400">
        <v>2020</v>
      </c>
      <c r="C3400">
        <v>3719011</v>
      </c>
      <c r="D3400" t="s">
        <v>610</v>
      </c>
      <c r="E3400" t="s">
        <v>29</v>
      </c>
      <c r="F3400" t="s">
        <v>30</v>
      </c>
      <c r="G3400">
        <v>0</v>
      </c>
      <c r="H3400">
        <v>0</v>
      </c>
      <c r="I3400">
        <v>0</v>
      </c>
      <c r="J3400">
        <v>0</v>
      </c>
      <c r="K3400">
        <v>0</v>
      </c>
      <c r="L3400">
        <v>0</v>
      </c>
      <c r="M3400">
        <v>0</v>
      </c>
      <c r="N3400">
        <v>0</v>
      </c>
      <c r="O3400">
        <v>0</v>
      </c>
      <c r="P3400">
        <v>0</v>
      </c>
      <c r="Q3400">
        <v>0</v>
      </c>
      <c r="R3400">
        <v>0</v>
      </c>
      <c r="S3400">
        <v>0</v>
      </c>
      <c r="T3400">
        <v>0</v>
      </c>
      <c r="U3400">
        <v>0</v>
      </c>
      <c r="V3400">
        <v>0</v>
      </c>
      <c r="W3400">
        <v>0</v>
      </c>
      <c r="X3400">
        <v>0</v>
      </c>
      <c r="Y3400" t="s">
        <v>51</v>
      </c>
      <c r="AA3400">
        <v>0</v>
      </c>
    </row>
    <row r="3401" spans="1:27" x14ac:dyDescent="0.2">
      <c r="A3401" t="s">
        <v>321</v>
      </c>
      <c r="B3401">
        <v>2023</v>
      </c>
      <c r="C3401">
        <v>4276013020</v>
      </c>
      <c r="D3401" t="s">
        <v>4394</v>
      </c>
      <c r="E3401" t="s">
        <v>29</v>
      </c>
      <c r="F3401" t="s">
        <v>30</v>
      </c>
      <c r="G3401">
        <v>11</v>
      </c>
      <c r="H3401">
        <v>0</v>
      </c>
      <c r="I3401">
        <v>0</v>
      </c>
      <c r="J3401">
        <v>0</v>
      </c>
      <c r="K3401">
        <v>0</v>
      </c>
      <c r="L3401">
        <v>0</v>
      </c>
      <c r="M3401">
        <v>0</v>
      </c>
      <c r="N3401">
        <v>0</v>
      </c>
      <c r="O3401">
        <v>0</v>
      </c>
      <c r="P3401">
        <v>0</v>
      </c>
      <c r="Q3401">
        <v>0</v>
      </c>
      <c r="R3401">
        <v>0</v>
      </c>
      <c r="S3401">
        <v>0</v>
      </c>
      <c r="T3401">
        <v>0</v>
      </c>
      <c r="U3401">
        <v>0</v>
      </c>
      <c r="V3401">
        <v>0</v>
      </c>
      <c r="W3401">
        <v>0</v>
      </c>
      <c r="X3401">
        <v>0</v>
      </c>
      <c r="Y3401" t="s">
        <v>51</v>
      </c>
      <c r="Z3401">
        <v>55</v>
      </c>
      <c r="AA3401">
        <v>0</v>
      </c>
    </row>
    <row r="3402" spans="1:27" x14ac:dyDescent="0.2">
      <c r="A3402" t="s">
        <v>1769</v>
      </c>
      <c r="B3402">
        <v>2019</v>
      </c>
      <c r="C3402" t="s">
        <v>4240</v>
      </c>
      <c r="D3402" t="s">
        <v>4241</v>
      </c>
      <c r="E3402" t="s">
        <v>29</v>
      </c>
      <c r="F3402" t="s">
        <v>41</v>
      </c>
      <c r="G3402">
        <v>0</v>
      </c>
      <c r="H3402">
        <v>0</v>
      </c>
      <c r="I3402">
        <v>0</v>
      </c>
      <c r="J3402">
        <v>0</v>
      </c>
      <c r="K3402">
        <v>0</v>
      </c>
      <c r="L3402">
        <v>0</v>
      </c>
      <c r="M3402">
        <v>0</v>
      </c>
      <c r="N3402">
        <v>0</v>
      </c>
      <c r="O3402">
        <v>0</v>
      </c>
      <c r="P3402">
        <v>0</v>
      </c>
      <c r="Q3402">
        <v>0</v>
      </c>
      <c r="R3402">
        <v>0</v>
      </c>
      <c r="S3402">
        <v>0</v>
      </c>
      <c r="T3402">
        <v>0</v>
      </c>
      <c r="U3402">
        <v>0</v>
      </c>
      <c r="V3402">
        <v>0</v>
      </c>
      <c r="W3402">
        <v>0</v>
      </c>
      <c r="X3402">
        <v>0</v>
      </c>
      <c r="Y3402" t="s">
        <v>31</v>
      </c>
      <c r="AA3402">
        <v>0</v>
      </c>
    </row>
    <row r="3403" spans="1:27" x14ac:dyDescent="0.2">
      <c r="A3403" t="s">
        <v>1769</v>
      </c>
      <c r="B3403">
        <v>2019</v>
      </c>
      <c r="C3403" t="s">
        <v>4395</v>
      </c>
      <c r="D3403" t="s">
        <v>4396</v>
      </c>
      <c r="E3403" t="s">
        <v>29</v>
      </c>
      <c r="F3403" t="s">
        <v>30</v>
      </c>
      <c r="G3403">
        <v>0</v>
      </c>
      <c r="H3403">
        <v>0</v>
      </c>
      <c r="I3403">
        <v>78</v>
      </c>
      <c r="J3403">
        <v>0</v>
      </c>
      <c r="K3403">
        <v>0</v>
      </c>
      <c r="L3403">
        <v>0</v>
      </c>
      <c r="M3403">
        <v>0</v>
      </c>
      <c r="N3403">
        <v>0</v>
      </c>
      <c r="O3403">
        <v>0</v>
      </c>
      <c r="P3403">
        <v>0</v>
      </c>
      <c r="Q3403">
        <v>0</v>
      </c>
      <c r="R3403">
        <v>0</v>
      </c>
      <c r="S3403">
        <v>0</v>
      </c>
      <c r="T3403">
        <v>0</v>
      </c>
      <c r="U3403">
        <v>0</v>
      </c>
      <c r="V3403">
        <v>0</v>
      </c>
      <c r="W3403">
        <v>0</v>
      </c>
      <c r="X3403">
        <v>0</v>
      </c>
      <c r="Y3403" t="s">
        <v>31</v>
      </c>
      <c r="AA3403">
        <v>0</v>
      </c>
    </row>
    <row r="3404" spans="1:27" x14ac:dyDescent="0.2">
      <c r="A3404" t="s">
        <v>172</v>
      </c>
      <c r="B3404">
        <v>2022</v>
      </c>
      <c r="C3404" t="s">
        <v>4397</v>
      </c>
      <c r="D3404" t="s">
        <v>4398</v>
      </c>
      <c r="E3404" t="s">
        <v>29</v>
      </c>
      <c r="F3404" t="s">
        <v>30</v>
      </c>
      <c r="G3404">
        <v>0</v>
      </c>
      <c r="H3404">
        <v>0</v>
      </c>
      <c r="I3404">
        <v>423</v>
      </c>
      <c r="J3404">
        <v>0</v>
      </c>
      <c r="K3404">
        <v>106</v>
      </c>
      <c r="L3404">
        <v>0</v>
      </c>
      <c r="M3404">
        <v>0</v>
      </c>
      <c r="N3404">
        <v>0</v>
      </c>
      <c r="O3404">
        <v>0</v>
      </c>
      <c r="P3404">
        <v>0</v>
      </c>
      <c r="Q3404">
        <v>0</v>
      </c>
      <c r="R3404">
        <v>0</v>
      </c>
      <c r="S3404">
        <v>0</v>
      </c>
      <c r="T3404">
        <v>0</v>
      </c>
      <c r="U3404">
        <v>0</v>
      </c>
      <c r="V3404">
        <v>0</v>
      </c>
      <c r="W3404">
        <v>0</v>
      </c>
      <c r="X3404">
        <v>0</v>
      </c>
      <c r="Y3404" t="s">
        <v>31</v>
      </c>
      <c r="Z3404">
        <v>55</v>
      </c>
      <c r="AA3404">
        <v>78</v>
      </c>
    </row>
    <row r="3405" spans="1:27" x14ac:dyDescent="0.2">
      <c r="A3405" t="s">
        <v>172</v>
      </c>
      <c r="B3405">
        <v>2022</v>
      </c>
      <c r="C3405" t="s">
        <v>4399</v>
      </c>
      <c r="D3405" t="s">
        <v>4400</v>
      </c>
      <c r="E3405" t="s">
        <v>29</v>
      </c>
      <c r="F3405" t="s">
        <v>30</v>
      </c>
      <c r="G3405">
        <v>0</v>
      </c>
      <c r="H3405">
        <v>0</v>
      </c>
      <c r="I3405">
        <v>208</v>
      </c>
      <c r="J3405">
        <v>0</v>
      </c>
      <c r="K3405">
        <v>0</v>
      </c>
      <c r="L3405">
        <v>0</v>
      </c>
      <c r="M3405">
        <v>0</v>
      </c>
      <c r="N3405">
        <v>0</v>
      </c>
      <c r="O3405">
        <v>0</v>
      </c>
      <c r="P3405">
        <v>0</v>
      </c>
      <c r="Q3405">
        <v>0</v>
      </c>
      <c r="R3405">
        <v>0</v>
      </c>
      <c r="S3405">
        <v>0</v>
      </c>
      <c r="T3405">
        <v>0</v>
      </c>
      <c r="U3405">
        <v>0</v>
      </c>
      <c r="V3405">
        <v>0</v>
      </c>
      <c r="W3405">
        <v>0</v>
      </c>
      <c r="X3405">
        <v>0</v>
      </c>
      <c r="Y3405" t="s">
        <v>31</v>
      </c>
      <c r="Z3405">
        <v>55</v>
      </c>
      <c r="AA3405" s="2" t="s">
        <v>4401</v>
      </c>
    </row>
    <row r="3406" spans="1:27" x14ac:dyDescent="0.2">
      <c r="A3406" t="s">
        <v>172</v>
      </c>
      <c r="B3406">
        <v>2022</v>
      </c>
      <c r="C3406" t="s">
        <v>4402</v>
      </c>
      <c r="D3406" t="s">
        <v>4403</v>
      </c>
      <c r="E3406" t="s">
        <v>29</v>
      </c>
      <c r="F3406" t="s">
        <v>30</v>
      </c>
      <c r="G3406">
        <v>43</v>
      </c>
      <c r="H3406">
        <v>0</v>
      </c>
      <c r="I3406">
        <v>14</v>
      </c>
      <c r="J3406">
        <v>0</v>
      </c>
      <c r="K3406">
        <v>0</v>
      </c>
      <c r="L3406">
        <v>0</v>
      </c>
      <c r="M3406">
        <v>0</v>
      </c>
      <c r="N3406">
        <v>0</v>
      </c>
      <c r="O3406">
        <v>0</v>
      </c>
      <c r="P3406">
        <v>0</v>
      </c>
      <c r="Q3406">
        <v>0</v>
      </c>
      <c r="R3406">
        <v>0</v>
      </c>
      <c r="S3406">
        <v>0</v>
      </c>
      <c r="T3406">
        <v>0</v>
      </c>
      <c r="U3406">
        <v>0</v>
      </c>
      <c r="V3406">
        <v>0</v>
      </c>
      <c r="W3406">
        <v>0</v>
      </c>
      <c r="X3406">
        <v>0</v>
      </c>
      <c r="Y3406" t="s">
        <v>31</v>
      </c>
      <c r="Z3406">
        <v>55</v>
      </c>
      <c r="AA3406" s="2" t="s">
        <v>4404</v>
      </c>
    </row>
    <row r="3407" spans="1:27" x14ac:dyDescent="0.2">
      <c r="A3407" t="s">
        <v>172</v>
      </c>
      <c r="B3407">
        <v>2022</v>
      </c>
      <c r="C3407" t="s">
        <v>4405</v>
      </c>
      <c r="D3407" t="s">
        <v>4406</v>
      </c>
      <c r="E3407" t="s">
        <v>29</v>
      </c>
      <c r="F3407" t="s">
        <v>30</v>
      </c>
      <c r="G3407">
        <v>40</v>
      </c>
      <c r="H3407">
        <v>0</v>
      </c>
      <c r="I3407">
        <v>0</v>
      </c>
      <c r="J3407">
        <v>0</v>
      </c>
      <c r="K3407">
        <v>0</v>
      </c>
      <c r="L3407">
        <v>0</v>
      </c>
      <c r="M3407">
        <v>0</v>
      </c>
      <c r="N3407">
        <v>0</v>
      </c>
      <c r="O3407">
        <v>0</v>
      </c>
      <c r="P3407">
        <v>0</v>
      </c>
      <c r="Q3407">
        <v>0</v>
      </c>
      <c r="R3407">
        <v>0</v>
      </c>
      <c r="S3407">
        <v>0</v>
      </c>
      <c r="T3407">
        <v>0</v>
      </c>
      <c r="U3407">
        <v>0</v>
      </c>
      <c r="V3407">
        <v>0</v>
      </c>
      <c r="W3407">
        <v>0</v>
      </c>
      <c r="X3407">
        <v>0</v>
      </c>
      <c r="Y3407" t="s">
        <v>31</v>
      </c>
      <c r="Z3407">
        <v>55</v>
      </c>
      <c r="AA3407" s="2" t="s">
        <v>4407</v>
      </c>
    </row>
    <row r="3408" spans="1:27" x14ac:dyDescent="0.2">
      <c r="A3408" t="s">
        <v>547</v>
      </c>
      <c r="B3408">
        <v>2019</v>
      </c>
      <c r="C3408">
        <v>4246027004</v>
      </c>
      <c r="D3408" t="s">
        <v>4408</v>
      </c>
      <c r="E3408" t="s">
        <v>29</v>
      </c>
      <c r="F3408" t="s">
        <v>30</v>
      </c>
      <c r="G3408">
        <v>0</v>
      </c>
      <c r="H3408">
        <v>0</v>
      </c>
      <c r="I3408">
        <v>0</v>
      </c>
      <c r="J3408">
        <v>0</v>
      </c>
      <c r="K3408">
        <v>0</v>
      </c>
      <c r="L3408">
        <v>0</v>
      </c>
      <c r="M3408">
        <v>5</v>
      </c>
      <c r="N3408">
        <v>0</v>
      </c>
      <c r="O3408">
        <v>0</v>
      </c>
      <c r="P3408">
        <v>0</v>
      </c>
      <c r="Q3408">
        <v>0</v>
      </c>
      <c r="R3408">
        <v>0</v>
      </c>
      <c r="S3408">
        <v>0</v>
      </c>
      <c r="T3408">
        <v>0</v>
      </c>
      <c r="U3408">
        <v>0</v>
      </c>
      <c r="V3408">
        <v>0</v>
      </c>
      <c r="W3408">
        <v>0</v>
      </c>
      <c r="X3408">
        <v>0</v>
      </c>
      <c r="Y3408" t="s">
        <v>31</v>
      </c>
      <c r="Z3408">
        <v>55</v>
      </c>
      <c r="AA3408">
        <v>0</v>
      </c>
    </row>
    <row r="3409" spans="1:27" x14ac:dyDescent="0.2">
      <c r="A3409" t="s">
        <v>48</v>
      </c>
      <c r="B3409">
        <v>2018</v>
      </c>
      <c r="C3409" t="s">
        <v>311</v>
      </c>
      <c r="D3409" t="s">
        <v>312</v>
      </c>
      <c r="E3409" t="s">
        <v>29</v>
      </c>
      <c r="F3409" t="s">
        <v>30</v>
      </c>
      <c r="G3409">
        <v>0</v>
      </c>
      <c r="H3409">
        <v>0</v>
      </c>
      <c r="I3409">
        <v>0</v>
      </c>
      <c r="J3409">
        <v>0</v>
      </c>
      <c r="K3409">
        <v>0</v>
      </c>
      <c r="L3409">
        <v>0</v>
      </c>
      <c r="M3409">
        <v>4</v>
      </c>
      <c r="N3409">
        <v>0</v>
      </c>
      <c r="O3409">
        <v>0</v>
      </c>
      <c r="P3409">
        <v>0</v>
      </c>
      <c r="Q3409">
        <v>0</v>
      </c>
      <c r="R3409">
        <v>0</v>
      </c>
      <c r="S3409">
        <v>0</v>
      </c>
      <c r="T3409">
        <v>0</v>
      </c>
      <c r="U3409">
        <v>0</v>
      </c>
      <c r="V3409">
        <v>0</v>
      </c>
      <c r="W3409">
        <v>0</v>
      </c>
      <c r="X3409">
        <v>0</v>
      </c>
      <c r="Y3409" t="s">
        <v>51</v>
      </c>
      <c r="Z3409">
        <v>55</v>
      </c>
      <c r="AA3409">
        <v>0</v>
      </c>
    </row>
    <row r="3410" spans="1:27" x14ac:dyDescent="0.2">
      <c r="A3410" t="s">
        <v>600</v>
      </c>
      <c r="B3410">
        <v>2020</v>
      </c>
      <c r="C3410" s="2" t="s">
        <v>2054</v>
      </c>
      <c r="D3410" t="s">
        <v>2055</v>
      </c>
      <c r="E3410" t="s">
        <v>29</v>
      </c>
      <c r="F3410" t="s">
        <v>30</v>
      </c>
      <c r="G3410">
        <v>13</v>
      </c>
      <c r="H3410">
        <v>0</v>
      </c>
      <c r="I3410">
        <v>0</v>
      </c>
      <c r="J3410">
        <v>0</v>
      </c>
      <c r="K3410">
        <v>0</v>
      </c>
      <c r="L3410">
        <v>0</v>
      </c>
      <c r="M3410">
        <v>0</v>
      </c>
      <c r="N3410">
        <v>0</v>
      </c>
      <c r="O3410">
        <v>0</v>
      </c>
      <c r="P3410">
        <v>0</v>
      </c>
      <c r="Q3410">
        <v>0</v>
      </c>
      <c r="R3410">
        <v>0</v>
      </c>
      <c r="S3410">
        <v>0</v>
      </c>
      <c r="T3410">
        <v>0</v>
      </c>
      <c r="U3410">
        <v>0</v>
      </c>
      <c r="V3410">
        <v>0</v>
      </c>
      <c r="W3410">
        <v>0</v>
      </c>
      <c r="X3410">
        <v>0</v>
      </c>
      <c r="Y3410" t="s">
        <v>31</v>
      </c>
      <c r="AA3410">
        <v>0</v>
      </c>
    </row>
    <row r="3411" spans="1:27" x14ac:dyDescent="0.2">
      <c r="A3411" t="s">
        <v>600</v>
      </c>
      <c r="B3411">
        <v>2020</v>
      </c>
      <c r="C3411">
        <v>3749058</v>
      </c>
      <c r="D3411" t="s">
        <v>991</v>
      </c>
      <c r="E3411" t="s">
        <v>29</v>
      </c>
      <c r="F3411" t="s">
        <v>30</v>
      </c>
      <c r="G3411">
        <v>0</v>
      </c>
      <c r="H3411">
        <v>0</v>
      </c>
      <c r="I3411">
        <v>0</v>
      </c>
      <c r="J3411">
        <v>0</v>
      </c>
      <c r="K3411">
        <v>0</v>
      </c>
      <c r="L3411">
        <v>0</v>
      </c>
      <c r="M3411">
        <v>0</v>
      </c>
      <c r="N3411">
        <v>0</v>
      </c>
      <c r="O3411">
        <v>0</v>
      </c>
      <c r="P3411">
        <v>0</v>
      </c>
      <c r="Q3411">
        <v>0</v>
      </c>
      <c r="R3411">
        <v>0</v>
      </c>
      <c r="S3411">
        <v>30</v>
      </c>
      <c r="T3411">
        <v>0</v>
      </c>
      <c r="U3411">
        <v>70</v>
      </c>
      <c r="V3411">
        <v>0</v>
      </c>
      <c r="W3411">
        <v>0</v>
      </c>
      <c r="X3411">
        <v>0</v>
      </c>
      <c r="Y3411" t="s">
        <v>51</v>
      </c>
      <c r="AA3411">
        <v>0</v>
      </c>
    </row>
    <row r="3412" spans="1:27" x14ac:dyDescent="0.2">
      <c r="A3412" t="s">
        <v>600</v>
      </c>
      <c r="B3412">
        <v>2020</v>
      </c>
      <c r="C3412">
        <v>3746003</v>
      </c>
      <c r="D3412" t="s">
        <v>4409</v>
      </c>
      <c r="E3412" t="s">
        <v>29</v>
      </c>
      <c r="F3412" t="s">
        <v>30</v>
      </c>
      <c r="G3412">
        <v>0</v>
      </c>
      <c r="H3412">
        <v>0</v>
      </c>
      <c r="I3412">
        <v>0</v>
      </c>
      <c r="J3412">
        <v>0</v>
      </c>
      <c r="K3412">
        <v>0</v>
      </c>
      <c r="L3412">
        <v>0</v>
      </c>
      <c r="M3412">
        <v>0</v>
      </c>
      <c r="N3412">
        <v>0</v>
      </c>
      <c r="O3412">
        <v>0</v>
      </c>
      <c r="P3412">
        <v>0</v>
      </c>
      <c r="Q3412">
        <v>0</v>
      </c>
      <c r="R3412">
        <v>0</v>
      </c>
      <c r="S3412">
        <v>0</v>
      </c>
      <c r="T3412">
        <v>0</v>
      </c>
      <c r="U3412">
        <v>0</v>
      </c>
      <c r="V3412">
        <v>0</v>
      </c>
      <c r="W3412">
        <v>0</v>
      </c>
      <c r="X3412">
        <v>0</v>
      </c>
      <c r="Y3412" t="s">
        <v>51</v>
      </c>
      <c r="AA3412">
        <v>0</v>
      </c>
    </row>
    <row r="3413" spans="1:27" x14ac:dyDescent="0.2">
      <c r="A3413" t="s">
        <v>600</v>
      </c>
      <c r="B3413">
        <v>2020</v>
      </c>
      <c r="C3413" s="2" t="s">
        <v>3753</v>
      </c>
      <c r="D3413" t="s">
        <v>3754</v>
      </c>
      <c r="E3413" t="s">
        <v>29</v>
      </c>
      <c r="F3413" t="s">
        <v>30</v>
      </c>
      <c r="G3413">
        <v>0</v>
      </c>
      <c r="H3413">
        <v>0</v>
      </c>
      <c r="I3413">
        <v>0</v>
      </c>
      <c r="J3413">
        <v>0</v>
      </c>
      <c r="K3413">
        <v>0</v>
      </c>
      <c r="L3413">
        <v>0</v>
      </c>
      <c r="M3413">
        <v>0</v>
      </c>
      <c r="N3413">
        <v>0</v>
      </c>
      <c r="O3413">
        <v>0</v>
      </c>
      <c r="P3413">
        <v>0</v>
      </c>
      <c r="Q3413">
        <v>0</v>
      </c>
      <c r="R3413">
        <v>0</v>
      </c>
      <c r="S3413">
        <v>0</v>
      </c>
      <c r="T3413">
        <v>0</v>
      </c>
      <c r="U3413">
        <v>0</v>
      </c>
      <c r="V3413">
        <v>0</v>
      </c>
      <c r="W3413">
        <v>5</v>
      </c>
      <c r="X3413">
        <v>0</v>
      </c>
      <c r="Y3413" t="s">
        <v>51</v>
      </c>
      <c r="AA3413">
        <v>0</v>
      </c>
    </row>
    <row r="3414" spans="1:27" x14ac:dyDescent="0.2">
      <c r="A3414" t="s">
        <v>600</v>
      </c>
      <c r="B3414">
        <v>2020</v>
      </c>
      <c r="C3414" s="2" t="s">
        <v>3948</v>
      </c>
      <c r="D3414" t="s">
        <v>3949</v>
      </c>
      <c r="E3414" t="s">
        <v>29</v>
      </c>
      <c r="F3414" t="s">
        <v>30</v>
      </c>
      <c r="G3414">
        <v>0</v>
      </c>
      <c r="H3414">
        <v>0</v>
      </c>
      <c r="I3414">
        <v>0</v>
      </c>
      <c r="J3414">
        <v>0</v>
      </c>
      <c r="K3414">
        <v>0</v>
      </c>
      <c r="L3414">
        <v>0</v>
      </c>
      <c r="M3414">
        <v>0</v>
      </c>
      <c r="N3414">
        <v>0</v>
      </c>
      <c r="O3414">
        <v>0</v>
      </c>
      <c r="P3414">
        <v>0</v>
      </c>
      <c r="Q3414">
        <v>0</v>
      </c>
      <c r="R3414">
        <v>0</v>
      </c>
      <c r="S3414">
        <v>0</v>
      </c>
      <c r="T3414">
        <v>0</v>
      </c>
      <c r="U3414">
        <v>0</v>
      </c>
      <c r="V3414">
        <v>0</v>
      </c>
      <c r="W3414">
        <v>0</v>
      </c>
      <c r="X3414">
        <v>0</v>
      </c>
      <c r="Y3414" t="s">
        <v>51</v>
      </c>
      <c r="AA3414">
        <v>0</v>
      </c>
    </row>
    <row r="3415" spans="1:27" x14ac:dyDescent="0.2">
      <c r="A3415" t="s">
        <v>1500</v>
      </c>
      <c r="B3415">
        <v>2022</v>
      </c>
      <c r="C3415">
        <v>4038025005</v>
      </c>
      <c r="D3415" t="s">
        <v>4410</v>
      </c>
      <c r="E3415" t="s">
        <v>29</v>
      </c>
      <c r="F3415" t="s">
        <v>30</v>
      </c>
      <c r="G3415">
        <v>0</v>
      </c>
      <c r="H3415">
        <v>0</v>
      </c>
      <c r="I3415">
        <v>0</v>
      </c>
      <c r="J3415">
        <v>0</v>
      </c>
      <c r="K3415">
        <v>0</v>
      </c>
      <c r="L3415">
        <v>0</v>
      </c>
      <c r="M3415">
        <v>0</v>
      </c>
      <c r="N3415">
        <v>0</v>
      </c>
      <c r="O3415">
        <v>0</v>
      </c>
      <c r="P3415">
        <v>0</v>
      </c>
      <c r="Q3415">
        <v>0</v>
      </c>
      <c r="R3415">
        <v>0</v>
      </c>
      <c r="S3415">
        <v>0</v>
      </c>
      <c r="T3415">
        <v>0</v>
      </c>
      <c r="U3415">
        <v>2</v>
      </c>
      <c r="V3415">
        <v>0</v>
      </c>
      <c r="W3415">
        <v>0</v>
      </c>
      <c r="X3415">
        <v>0</v>
      </c>
      <c r="Y3415" t="s">
        <v>31</v>
      </c>
      <c r="Z3415">
        <v>55</v>
      </c>
      <c r="AA3415">
        <v>35</v>
      </c>
    </row>
    <row r="3416" spans="1:27" x14ac:dyDescent="0.2">
      <c r="A3416" t="s">
        <v>1500</v>
      </c>
      <c r="B3416">
        <v>2022</v>
      </c>
      <c r="C3416">
        <v>6028002033</v>
      </c>
      <c r="D3416" t="s">
        <v>3386</v>
      </c>
      <c r="E3416" t="s">
        <v>29</v>
      </c>
      <c r="F3416" t="s">
        <v>30</v>
      </c>
      <c r="G3416">
        <v>0</v>
      </c>
      <c r="H3416">
        <v>0</v>
      </c>
      <c r="I3416">
        <v>0</v>
      </c>
      <c r="J3416">
        <v>0</v>
      </c>
      <c r="K3416">
        <v>0</v>
      </c>
      <c r="L3416">
        <v>0</v>
      </c>
      <c r="M3416">
        <v>0</v>
      </c>
      <c r="N3416">
        <v>0</v>
      </c>
      <c r="O3416">
        <v>90</v>
      </c>
      <c r="P3416">
        <v>0</v>
      </c>
      <c r="Q3416">
        <v>0</v>
      </c>
      <c r="R3416">
        <v>0</v>
      </c>
      <c r="S3416">
        <v>0</v>
      </c>
      <c r="T3416">
        <v>0</v>
      </c>
      <c r="U3416">
        <v>0</v>
      </c>
      <c r="V3416">
        <v>0</v>
      </c>
      <c r="W3416">
        <v>0</v>
      </c>
      <c r="X3416">
        <v>0</v>
      </c>
      <c r="Y3416" t="s">
        <v>31</v>
      </c>
      <c r="Z3416">
        <v>55</v>
      </c>
      <c r="AA3416" s="2" t="s">
        <v>4411</v>
      </c>
    </row>
    <row r="3417" spans="1:27" x14ac:dyDescent="0.2">
      <c r="A3417" t="s">
        <v>547</v>
      </c>
      <c r="B3417">
        <v>2019</v>
      </c>
      <c r="C3417">
        <v>4368015003</v>
      </c>
      <c r="D3417" t="s">
        <v>4412</v>
      </c>
      <c r="E3417" t="s">
        <v>29</v>
      </c>
      <c r="F3417" t="s">
        <v>30</v>
      </c>
      <c r="G3417">
        <v>0</v>
      </c>
      <c r="H3417">
        <v>0</v>
      </c>
      <c r="I3417">
        <v>0</v>
      </c>
      <c r="J3417">
        <v>0</v>
      </c>
      <c r="K3417">
        <v>0</v>
      </c>
      <c r="L3417">
        <v>0</v>
      </c>
      <c r="M3417">
        <v>1</v>
      </c>
      <c r="N3417">
        <v>0</v>
      </c>
      <c r="O3417">
        <v>0</v>
      </c>
      <c r="P3417">
        <v>0</v>
      </c>
      <c r="Q3417">
        <v>0</v>
      </c>
      <c r="R3417">
        <v>0</v>
      </c>
      <c r="S3417">
        <v>0</v>
      </c>
      <c r="T3417">
        <v>0</v>
      </c>
      <c r="U3417">
        <v>0</v>
      </c>
      <c r="V3417">
        <v>0</v>
      </c>
      <c r="W3417">
        <v>0</v>
      </c>
      <c r="X3417">
        <v>0</v>
      </c>
      <c r="Y3417" t="s">
        <v>31</v>
      </c>
      <c r="Z3417">
        <v>55</v>
      </c>
      <c r="AA3417">
        <v>0</v>
      </c>
    </row>
    <row r="3418" spans="1:27" x14ac:dyDescent="0.2">
      <c r="A3418" t="s">
        <v>172</v>
      </c>
      <c r="B3418">
        <v>2022</v>
      </c>
      <c r="C3418" t="s">
        <v>4413</v>
      </c>
      <c r="D3418" t="s">
        <v>4414</v>
      </c>
      <c r="E3418" t="s">
        <v>29</v>
      </c>
      <c r="F3418" t="s">
        <v>30</v>
      </c>
      <c r="G3418">
        <v>0</v>
      </c>
      <c r="H3418">
        <v>0</v>
      </c>
      <c r="I3418">
        <v>99</v>
      </c>
      <c r="J3418">
        <v>0</v>
      </c>
      <c r="K3418">
        <v>0</v>
      </c>
      <c r="L3418">
        <v>0</v>
      </c>
      <c r="M3418">
        <v>0</v>
      </c>
      <c r="N3418">
        <v>0</v>
      </c>
      <c r="O3418">
        <v>0</v>
      </c>
      <c r="P3418">
        <v>0</v>
      </c>
      <c r="Q3418">
        <v>0</v>
      </c>
      <c r="R3418">
        <v>0</v>
      </c>
      <c r="S3418">
        <v>0</v>
      </c>
      <c r="T3418">
        <v>0</v>
      </c>
      <c r="U3418">
        <v>0</v>
      </c>
      <c r="V3418">
        <v>0</v>
      </c>
      <c r="W3418">
        <v>0</v>
      </c>
      <c r="X3418">
        <v>0</v>
      </c>
      <c r="Y3418" t="s">
        <v>31</v>
      </c>
      <c r="Z3418">
        <v>55</v>
      </c>
      <c r="AA3418" s="2" t="s">
        <v>4415</v>
      </c>
    </row>
    <row r="3419" spans="1:27" x14ac:dyDescent="0.2">
      <c r="A3419" t="s">
        <v>172</v>
      </c>
      <c r="B3419">
        <v>2022</v>
      </c>
      <c r="C3419" t="s">
        <v>4416</v>
      </c>
      <c r="D3419" t="s">
        <v>4417</v>
      </c>
      <c r="E3419" t="s">
        <v>29</v>
      </c>
      <c r="F3419" t="s">
        <v>30</v>
      </c>
      <c r="G3419">
        <v>0</v>
      </c>
      <c r="H3419">
        <v>0</v>
      </c>
      <c r="I3419">
        <v>0</v>
      </c>
      <c r="J3419">
        <v>0</v>
      </c>
      <c r="K3419">
        <v>0</v>
      </c>
      <c r="L3419">
        <v>0</v>
      </c>
      <c r="M3419">
        <v>0</v>
      </c>
      <c r="N3419">
        <v>0</v>
      </c>
      <c r="O3419">
        <v>0</v>
      </c>
      <c r="P3419">
        <v>0</v>
      </c>
      <c r="Q3419">
        <v>13</v>
      </c>
      <c r="R3419">
        <v>0</v>
      </c>
      <c r="S3419">
        <v>0</v>
      </c>
      <c r="T3419">
        <v>0</v>
      </c>
      <c r="U3419">
        <v>0</v>
      </c>
      <c r="V3419">
        <v>0</v>
      </c>
      <c r="W3419">
        <v>0</v>
      </c>
      <c r="X3419">
        <v>0</v>
      </c>
      <c r="Y3419" t="s">
        <v>31</v>
      </c>
      <c r="Z3419">
        <v>55</v>
      </c>
      <c r="AA3419">
        <v>0</v>
      </c>
    </row>
    <row r="3420" spans="1:27" x14ac:dyDescent="0.2">
      <c r="A3420" t="s">
        <v>172</v>
      </c>
      <c r="B3420">
        <v>2022</v>
      </c>
      <c r="C3420" t="s">
        <v>3594</v>
      </c>
      <c r="D3420" t="s">
        <v>4418</v>
      </c>
      <c r="E3420" t="s">
        <v>29</v>
      </c>
      <c r="F3420" t="s">
        <v>30</v>
      </c>
      <c r="G3420">
        <v>0</v>
      </c>
      <c r="H3420">
        <v>0</v>
      </c>
      <c r="I3420">
        <v>0</v>
      </c>
      <c r="J3420">
        <v>0</v>
      </c>
      <c r="K3420">
        <v>0</v>
      </c>
      <c r="L3420">
        <v>0</v>
      </c>
      <c r="M3420">
        <v>40</v>
      </c>
      <c r="N3420">
        <v>0</v>
      </c>
      <c r="O3420">
        <v>113</v>
      </c>
      <c r="P3420">
        <v>0</v>
      </c>
      <c r="Q3420">
        <v>38</v>
      </c>
      <c r="R3420">
        <v>0</v>
      </c>
      <c r="S3420">
        <v>0</v>
      </c>
      <c r="T3420">
        <v>0</v>
      </c>
      <c r="U3420">
        <v>0</v>
      </c>
      <c r="V3420">
        <v>0</v>
      </c>
      <c r="W3420">
        <v>0</v>
      </c>
      <c r="X3420">
        <v>0</v>
      </c>
      <c r="Y3420" t="s">
        <v>31</v>
      </c>
      <c r="Z3420">
        <v>55</v>
      </c>
      <c r="AA3420">
        <v>65</v>
      </c>
    </row>
    <row r="3421" spans="1:27" x14ac:dyDescent="0.2">
      <c r="A3421" t="s">
        <v>547</v>
      </c>
      <c r="B3421">
        <v>2019</v>
      </c>
      <c r="C3421">
        <v>2248005024</v>
      </c>
      <c r="D3421" t="s">
        <v>4419</v>
      </c>
      <c r="E3421" t="s">
        <v>29</v>
      </c>
      <c r="F3421" t="s">
        <v>30</v>
      </c>
      <c r="G3421">
        <v>0</v>
      </c>
      <c r="H3421">
        <v>0</v>
      </c>
      <c r="I3421">
        <v>0</v>
      </c>
      <c r="J3421">
        <v>0</v>
      </c>
      <c r="K3421">
        <v>0</v>
      </c>
      <c r="L3421">
        <v>0</v>
      </c>
      <c r="M3421">
        <v>1</v>
      </c>
      <c r="N3421">
        <v>0</v>
      </c>
      <c r="O3421">
        <v>1</v>
      </c>
      <c r="P3421">
        <v>0</v>
      </c>
      <c r="Q3421">
        <v>0</v>
      </c>
      <c r="R3421">
        <v>0</v>
      </c>
      <c r="S3421">
        <v>0</v>
      </c>
      <c r="T3421">
        <v>0</v>
      </c>
      <c r="U3421">
        <v>0</v>
      </c>
      <c r="V3421">
        <v>0</v>
      </c>
      <c r="W3421">
        <v>0</v>
      </c>
      <c r="X3421">
        <v>0</v>
      </c>
      <c r="Y3421" t="s">
        <v>31</v>
      </c>
      <c r="Z3421">
        <v>55</v>
      </c>
      <c r="AA3421">
        <v>0</v>
      </c>
    </row>
    <row r="3422" spans="1:27" x14ac:dyDescent="0.2">
      <c r="A3422" t="s">
        <v>172</v>
      </c>
      <c r="B3422">
        <v>2022</v>
      </c>
      <c r="C3422" t="s">
        <v>4007</v>
      </c>
      <c r="D3422" t="s">
        <v>4420</v>
      </c>
      <c r="E3422" t="s">
        <v>29</v>
      </c>
      <c r="F3422" t="s">
        <v>30</v>
      </c>
      <c r="G3422">
        <v>0</v>
      </c>
      <c r="H3422">
        <v>0</v>
      </c>
      <c r="I3422">
        <v>0</v>
      </c>
      <c r="J3422">
        <v>0</v>
      </c>
      <c r="K3422">
        <v>0</v>
      </c>
      <c r="L3422">
        <v>0</v>
      </c>
      <c r="M3422">
        <v>0</v>
      </c>
      <c r="N3422">
        <v>0</v>
      </c>
      <c r="O3422">
        <v>0</v>
      </c>
      <c r="P3422">
        <v>0</v>
      </c>
      <c r="Q3422">
        <v>0</v>
      </c>
      <c r="R3422">
        <v>0</v>
      </c>
      <c r="S3422">
        <v>43</v>
      </c>
      <c r="T3422">
        <v>0</v>
      </c>
      <c r="U3422">
        <v>0</v>
      </c>
      <c r="V3422">
        <v>0</v>
      </c>
      <c r="W3422">
        <v>0</v>
      </c>
      <c r="X3422">
        <v>0</v>
      </c>
      <c r="Y3422" t="s">
        <v>31</v>
      </c>
      <c r="Z3422">
        <v>55</v>
      </c>
      <c r="AA3422">
        <v>37.5</v>
      </c>
    </row>
    <row r="3423" spans="1:27" x14ac:dyDescent="0.2">
      <c r="A3423" t="s">
        <v>622</v>
      </c>
      <c r="B3423">
        <v>2022</v>
      </c>
      <c r="C3423" t="s">
        <v>4421</v>
      </c>
      <c r="D3423" t="s">
        <v>4422</v>
      </c>
      <c r="E3423" t="s">
        <v>29</v>
      </c>
      <c r="F3423" t="s">
        <v>30</v>
      </c>
      <c r="G3423">
        <v>53</v>
      </c>
      <c r="H3423">
        <v>0</v>
      </c>
      <c r="I3423">
        <v>62</v>
      </c>
      <c r="J3423">
        <v>0</v>
      </c>
      <c r="K3423">
        <v>0</v>
      </c>
      <c r="L3423">
        <v>0</v>
      </c>
      <c r="M3423">
        <v>0</v>
      </c>
      <c r="N3423">
        <v>0</v>
      </c>
      <c r="O3423">
        <v>0</v>
      </c>
      <c r="P3423">
        <v>0</v>
      </c>
      <c r="Q3423">
        <v>0</v>
      </c>
      <c r="R3423">
        <v>0</v>
      </c>
      <c r="S3423">
        <v>0</v>
      </c>
      <c r="T3423">
        <v>0</v>
      </c>
      <c r="U3423">
        <v>0</v>
      </c>
      <c r="V3423">
        <v>0</v>
      </c>
      <c r="W3423">
        <v>0</v>
      </c>
      <c r="X3423">
        <v>0</v>
      </c>
      <c r="Y3423" t="s">
        <v>51</v>
      </c>
      <c r="AA3423">
        <v>0</v>
      </c>
    </row>
    <row r="3424" spans="1:27" x14ac:dyDescent="0.2">
      <c r="A3424" t="s">
        <v>622</v>
      </c>
      <c r="B3424">
        <v>2022</v>
      </c>
      <c r="C3424" t="s">
        <v>4423</v>
      </c>
      <c r="D3424" t="s">
        <v>4424</v>
      </c>
      <c r="E3424" t="s">
        <v>29</v>
      </c>
      <c r="F3424" t="s">
        <v>30</v>
      </c>
      <c r="G3424">
        <v>0</v>
      </c>
      <c r="H3424">
        <v>0</v>
      </c>
      <c r="I3424">
        <v>0</v>
      </c>
      <c r="J3424">
        <v>0</v>
      </c>
      <c r="K3424">
        <v>0</v>
      </c>
      <c r="L3424">
        <v>0</v>
      </c>
      <c r="M3424">
        <v>2</v>
      </c>
      <c r="N3424">
        <v>0</v>
      </c>
      <c r="O3424">
        <v>3</v>
      </c>
      <c r="P3424">
        <v>0</v>
      </c>
      <c r="Q3424">
        <v>0</v>
      </c>
      <c r="R3424">
        <v>0</v>
      </c>
      <c r="S3424">
        <v>0</v>
      </c>
      <c r="T3424">
        <v>0</v>
      </c>
      <c r="U3424">
        <v>0</v>
      </c>
      <c r="V3424">
        <v>0</v>
      </c>
      <c r="W3424">
        <v>0</v>
      </c>
      <c r="X3424">
        <v>0</v>
      </c>
      <c r="Y3424" t="s">
        <v>51</v>
      </c>
      <c r="Z3424">
        <v>55</v>
      </c>
      <c r="AA3424">
        <v>0</v>
      </c>
    </row>
    <row r="3425" spans="1:27" x14ac:dyDescent="0.2">
      <c r="A3425" t="s">
        <v>1500</v>
      </c>
      <c r="B3425">
        <v>2022</v>
      </c>
      <c r="C3425">
        <v>7407008017</v>
      </c>
      <c r="D3425" t="s">
        <v>4425</v>
      </c>
      <c r="E3425" t="s">
        <v>29</v>
      </c>
      <c r="F3425" t="s">
        <v>30</v>
      </c>
      <c r="G3425">
        <v>0</v>
      </c>
      <c r="H3425">
        <v>0</v>
      </c>
      <c r="I3425">
        <v>0</v>
      </c>
      <c r="J3425">
        <v>0</v>
      </c>
      <c r="K3425">
        <v>0</v>
      </c>
      <c r="L3425">
        <v>0</v>
      </c>
      <c r="M3425">
        <v>0</v>
      </c>
      <c r="N3425">
        <v>0</v>
      </c>
      <c r="O3425">
        <v>110</v>
      </c>
      <c r="P3425">
        <v>0</v>
      </c>
      <c r="Q3425">
        <v>0</v>
      </c>
      <c r="R3425">
        <v>0</v>
      </c>
      <c r="S3425">
        <v>0</v>
      </c>
      <c r="T3425">
        <v>0</v>
      </c>
      <c r="U3425">
        <v>0</v>
      </c>
      <c r="V3425">
        <v>0</v>
      </c>
      <c r="W3425">
        <v>0</v>
      </c>
      <c r="X3425">
        <v>0</v>
      </c>
      <c r="Y3425" t="s">
        <v>31</v>
      </c>
      <c r="Z3425">
        <v>55</v>
      </c>
      <c r="AA3425" s="2" t="s">
        <v>4426</v>
      </c>
    </row>
    <row r="3426" spans="1:27" x14ac:dyDescent="0.2">
      <c r="A3426" t="s">
        <v>75</v>
      </c>
      <c r="B3426">
        <v>2019</v>
      </c>
      <c r="C3426">
        <v>4456421200</v>
      </c>
      <c r="D3426" t="s">
        <v>489</v>
      </c>
      <c r="E3426" t="s">
        <v>29</v>
      </c>
      <c r="F3426" t="s">
        <v>30</v>
      </c>
      <c r="G3426">
        <v>0</v>
      </c>
      <c r="H3426">
        <v>0</v>
      </c>
      <c r="I3426">
        <v>0</v>
      </c>
      <c r="J3426">
        <v>0</v>
      </c>
      <c r="K3426">
        <v>0</v>
      </c>
      <c r="L3426">
        <v>0</v>
      </c>
      <c r="M3426">
        <v>6</v>
      </c>
      <c r="N3426">
        <v>0</v>
      </c>
      <c r="O3426">
        <v>0</v>
      </c>
      <c r="P3426">
        <v>0</v>
      </c>
      <c r="Q3426">
        <v>0</v>
      </c>
      <c r="R3426">
        <v>0</v>
      </c>
      <c r="S3426">
        <v>0</v>
      </c>
      <c r="T3426">
        <v>0</v>
      </c>
      <c r="U3426">
        <v>0</v>
      </c>
      <c r="V3426">
        <v>0</v>
      </c>
      <c r="W3426">
        <v>0</v>
      </c>
      <c r="X3426">
        <v>0</v>
      </c>
      <c r="Y3426" t="s">
        <v>31</v>
      </c>
      <c r="Z3426">
        <v>55</v>
      </c>
      <c r="AA3426">
        <v>0</v>
      </c>
    </row>
    <row r="3427" spans="1:27" x14ac:dyDescent="0.2">
      <c r="A3427" t="s">
        <v>2561</v>
      </c>
      <c r="B3427">
        <v>2019</v>
      </c>
      <c r="C3427">
        <v>31747201</v>
      </c>
      <c r="D3427" t="s">
        <v>4427</v>
      </c>
      <c r="E3427" t="s">
        <v>29</v>
      </c>
      <c r="F3427" t="s">
        <v>41</v>
      </c>
      <c r="G3427">
        <v>43</v>
      </c>
      <c r="H3427">
        <v>0</v>
      </c>
      <c r="I3427">
        <v>0</v>
      </c>
      <c r="J3427">
        <v>0</v>
      </c>
      <c r="K3427">
        <v>0</v>
      </c>
      <c r="L3427">
        <v>0</v>
      </c>
      <c r="M3427">
        <v>0</v>
      </c>
      <c r="N3427">
        <v>0</v>
      </c>
      <c r="O3427">
        <v>0</v>
      </c>
      <c r="P3427">
        <v>0</v>
      </c>
      <c r="Q3427">
        <v>0</v>
      </c>
      <c r="R3427">
        <v>0</v>
      </c>
      <c r="S3427">
        <v>0</v>
      </c>
      <c r="T3427">
        <v>0</v>
      </c>
      <c r="U3427">
        <v>0</v>
      </c>
      <c r="V3427">
        <v>0</v>
      </c>
      <c r="W3427">
        <v>0</v>
      </c>
      <c r="X3427">
        <v>0</v>
      </c>
      <c r="Y3427" t="s">
        <v>31</v>
      </c>
      <c r="Z3427">
        <v>55</v>
      </c>
      <c r="AA3427">
        <v>0</v>
      </c>
    </row>
    <row r="3428" spans="1:27" x14ac:dyDescent="0.2">
      <c r="A3428" t="s">
        <v>4428</v>
      </c>
      <c r="B3428">
        <v>2020</v>
      </c>
      <c r="C3428">
        <v>913210006</v>
      </c>
      <c r="D3428" t="s">
        <v>4429</v>
      </c>
      <c r="E3428" t="s">
        <v>29</v>
      </c>
      <c r="F3428" t="s">
        <v>30</v>
      </c>
      <c r="G3428">
        <v>12</v>
      </c>
      <c r="H3428">
        <v>0</v>
      </c>
      <c r="I3428">
        <v>0</v>
      </c>
      <c r="J3428">
        <v>0</v>
      </c>
      <c r="K3428">
        <v>0</v>
      </c>
      <c r="L3428">
        <v>0</v>
      </c>
      <c r="M3428">
        <v>0</v>
      </c>
      <c r="N3428">
        <v>0</v>
      </c>
      <c r="O3428">
        <v>0</v>
      </c>
      <c r="P3428">
        <v>0</v>
      </c>
      <c r="Q3428">
        <v>0</v>
      </c>
      <c r="R3428">
        <v>0</v>
      </c>
      <c r="S3428">
        <v>0</v>
      </c>
      <c r="T3428">
        <v>0</v>
      </c>
      <c r="U3428">
        <v>0</v>
      </c>
      <c r="V3428">
        <v>0</v>
      </c>
      <c r="W3428">
        <v>0</v>
      </c>
      <c r="X3428">
        <v>0</v>
      </c>
      <c r="Y3428" t="s">
        <v>31</v>
      </c>
      <c r="Z3428">
        <v>55</v>
      </c>
      <c r="AA3428">
        <v>0</v>
      </c>
    </row>
    <row r="3429" spans="1:27" x14ac:dyDescent="0.2">
      <c r="A3429" t="s">
        <v>883</v>
      </c>
      <c r="B3429">
        <v>2019</v>
      </c>
      <c r="C3429" s="2" t="s">
        <v>4430</v>
      </c>
      <c r="D3429" t="s">
        <v>4431</v>
      </c>
      <c r="E3429" t="s">
        <v>29</v>
      </c>
      <c r="F3429" t="s">
        <v>30</v>
      </c>
      <c r="G3429">
        <v>0</v>
      </c>
      <c r="H3429">
        <v>0</v>
      </c>
      <c r="I3429">
        <v>0</v>
      </c>
      <c r="J3429">
        <v>0</v>
      </c>
      <c r="K3429">
        <v>0</v>
      </c>
      <c r="L3429">
        <v>0</v>
      </c>
      <c r="M3429">
        <v>0</v>
      </c>
      <c r="N3429">
        <v>0</v>
      </c>
      <c r="O3429">
        <v>0</v>
      </c>
      <c r="P3429">
        <v>0</v>
      </c>
      <c r="Q3429">
        <v>0</v>
      </c>
      <c r="R3429">
        <v>0</v>
      </c>
      <c r="S3429">
        <v>5</v>
      </c>
      <c r="T3429">
        <v>0</v>
      </c>
      <c r="U3429">
        <v>0</v>
      </c>
      <c r="V3429">
        <v>0</v>
      </c>
      <c r="W3429">
        <v>0</v>
      </c>
      <c r="X3429">
        <v>0</v>
      </c>
      <c r="Y3429" t="s">
        <v>31</v>
      </c>
      <c r="Z3429">
        <v>1000</v>
      </c>
      <c r="AA3429">
        <v>0</v>
      </c>
    </row>
    <row r="3430" spans="1:27" x14ac:dyDescent="0.2">
      <c r="A3430" t="s">
        <v>1500</v>
      </c>
      <c r="B3430">
        <v>2022</v>
      </c>
      <c r="C3430">
        <v>6149008053</v>
      </c>
      <c r="D3430" t="s">
        <v>4432</v>
      </c>
      <c r="E3430" t="s">
        <v>29</v>
      </c>
      <c r="F3430" t="s">
        <v>30</v>
      </c>
      <c r="G3430">
        <v>6</v>
      </c>
      <c r="H3430">
        <v>0</v>
      </c>
      <c r="I3430">
        <v>0</v>
      </c>
      <c r="J3430">
        <v>0</v>
      </c>
      <c r="K3430">
        <v>0</v>
      </c>
      <c r="L3430">
        <v>0</v>
      </c>
      <c r="M3430">
        <v>0</v>
      </c>
      <c r="N3430">
        <v>0</v>
      </c>
      <c r="O3430">
        <v>0</v>
      </c>
      <c r="P3430">
        <v>0</v>
      </c>
      <c r="Q3430">
        <v>0</v>
      </c>
      <c r="R3430">
        <v>0</v>
      </c>
      <c r="S3430">
        <v>0</v>
      </c>
      <c r="T3430">
        <v>0</v>
      </c>
      <c r="U3430">
        <v>0</v>
      </c>
      <c r="V3430">
        <v>0</v>
      </c>
      <c r="W3430">
        <v>0</v>
      </c>
      <c r="X3430">
        <v>0</v>
      </c>
      <c r="Y3430" t="s">
        <v>31</v>
      </c>
      <c r="Z3430">
        <v>55</v>
      </c>
      <c r="AA3430">
        <v>33</v>
      </c>
    </row>
    <row r="3431" spans="1:27" x14ac:dyDescent="0.2">
      <c r="A3431" t="s">
        <v>2725</v>
      </c>
      <c r="B3431">
        <v>2022</v>
      </c>
      <c r="C3431">
        <v>921050016</v>
      </c>
      <c r="D3431" t="s">
        <v>4343</v>
      </c>
      <c r="E3431" t="s">
        <v>29</v>
      </c>
      <c r="F3431" t="s">
        <v>30</v>
      </c>
      <c r="G3431">
        <v>0</v>
      </c>
      <c r="H3431">
        <v>0</v>
      </c>
      <c r="I3431">
        <v>0</v>
      </c>
      <c r="J3431">
        <v>0</v>
      </c>
      <c r="K3431">
        <v>0</v>
      </c>
      <c r="L3431">
        <v>0</v>
      </c>
      <c r="M3431">
        <v>12</v>
      </c>
      <c r="N3431">
        <v>0</v>
      </c>
      <c r="O3431">
        <v>17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  <c r="V3431">
        <v>0</v>
      </c>
      <c r="W3431">
        <v>0</v>
      </c>
      <c r="X3431">
        <v>0</v>
      </c>
      <c r="Y3431" t="s">
        <v>51</v>
      </c>
      <c r="Z3431">
        <v>55</v>
      </c>
      <c r="AA3431">
        <v>0</v>
      </c>
    </row>
    <row r="3432" spans="1:27" x14ac:dyDescent="0.2">
      <c r="A3432" t="s">
        <v>547</v>
      </c>
      <c r="B3432">
        <v>2019</v>
      </c>
      <c r="C3432">
        <v>2237006018</v>
      </c>
      <c r="D3432" t="s">
        <v>4433</v>
      </c>
      <c r="E3432" t="s">
        <v>29</v>
      </c>
      <c r="F3432" t="s">
        <v>30</v>
      </c>
      <c r="G3432">
        <v>18</v>
      </c>
      <c r="H3432">
        <v>0</v>
      </c>
      <c r="I3432">
        <v>45</v>
      </c>
      <c r="J3432">
        <v>0</v>
      </c>
      <c r="K3432">
        <v>0</v>
      </c>
      <c r="L3432">
        <v>0</v>
      </c>
      <c r="M3432">
        <v>0</v>
      </c>
      <c r="N3432">
        <v>0</v>
      </c>
      <c r="O3432">
        <v>0</v>
      </c>
      <c r="P3432">
        <v>0</v>
      </c>
      <c r="Q3432">
        <v>0</v>
      </c>
      <c r="R3432">
        <v>0</v>
      </c>
      <c r="S3432">
        <v>0</v>
      </c>
      <c r="T3432">
        <v>0</v>
      </c>
      <c r="U3432">
        <v>0</v>
      </c>
      <c r="V3432">
        <v>0</v>
      </c>
      <c r="W3432">
        <v>0</v>
      </c>
      <c r="X3432">
        <v>0</v>
      </c>
      <c r="Y3432" t="s">
        <v>31</v>
      </c>
      <c r="Z3432">
        <v>55</v>
      </c>
      <c r="AA3432">
        <v>0</v>
      </c>
    </row>
    <row r="3433" spans="1:27" x14ac:dyDescent="0.2">
      <c r="A3433" t="s">
        <v>547</v>
      </c>
      <c r="B3433">
        <v>2019</v>
      </c>
      <c r="C3433">
        <v>6046019916</v>
      </c>
      <c r="D3433" t="s">
        <v>4434</v>
      </c>
      <c r="E3433" t="s">
        <v>29</v>
      </c>
      <c r="F3433" t="s">
        <v>30</v>
      </c>
      <c r="G3433">
        <v>0</v>
      </c>
      <c r="H3433">
        <v>0</v>
      </c>
      <c r="I3433">
        <v>62</v>
      </c>
      <c r="J3433">
        <v>0</v>
      </c>
      <c r="K3433">
        <v>7</v>
      </c>
      <c r="L3433">
        <v>0</v>
      </c>
      <c r="M3433">
        <v>0</v>
      </c>
      <c r="N3433">
        <v>0</v>
      </c>
      <c r="O3433">
        <v>0</v>
      </c>
      <c r="P3433">
        <v>0</v>
      </c>
      <c r="Q3433">
        <v>0</v>
      </c>
      <c r="R3433">
        <v>0</v>
      </c>
      <c r="S3433">
        <v>0</v>
      </c>
      <c r="T3433">
        <v>0</v>
      </c>
      <c r="U3433">
        <v>0</v>
      </c>
      <c r="V3433">
        <v>0</v>
      </c>
      <c r="W3433">
        <v>0</v>
      </c>
      <c r="X3433">
        <v>0</v>
      </c>
      <c r="Y3433" t="s">
        <v>31</v>
      </c>
      <c r="Z3433">
        <v>55</v>
      </c>
      <c r="AA3433">
        <v>0</v>
      </c>
    </row>
    <row r="3434" spans="1:27" x14ac:dyDescent="0.2">
      <c r="A3434" t="s">
        <v>547</v>
      </c>
      <c r="B3434">
        <v>2019</v>
      </c>
      <c r="C3434">
        <v>5434031005</v>
      </c>
      <c r="D3434" t="s">
        <v>4435</v>
      </c>
      <c r="E3434" t="s">
        <v>29</v>
      </c>
      <c r="F3434" t="s">
        <v>30</v>
      </c>
      <c r="G3434">
        <v>4</v>
      </c>
      <c r="H3434">
        <v>0</v>
      </c>
      <c r="I3434">
        <v>0</v>
      </c>
      <c r="J3434">
        <v>0</v>
      </c>
      <c r="K3434">
        <v>0</v>
      </c>
      <c r="L3434">
        <v>0</v>
      </c>
      <c r="M3434">
        <v>0</v>
      </c>
      <c r="N3434">
        <v>0</v>
      </c>
      <c r="O3434">
        <v>0</v>
      </c>
      <c r="P3434">
        <v>0</v>
      </c>
      <c r="Q3434">
        <v>0</v>
      </c>
      <c r="R3434">
        <v>0</v>
      </c>
      <c r="S3434">
        <v>0</v>
      </c>
      <c r="T3434">
        <v>0</v>
      </c>
      <c r="U3434">
        <v>0</v>
      </c>
      <c r="V3434">
        <v>0</v>
      </c>
      <c r="W3434">
        <v>0</v>
      </c>
      <c r="X3434">
        <v>0</v>
      </c>
      <c r="Y3434" t="s">
        <v>31</v>
      </c>
      <c r="Z3434">
        <v>55</v>
      </c>
      <c r="AA3434">
        <v>0</v>
      </c>
    </row>
    <row r="3435" spans="1:27" x14ac:dyDescent="0.2">
      <c r="A3435" t="s">
        <v>547</v>
      </c>
      <c r="B3435">
        <v>2019</v>
      </c>
      <c r="C3435">
        <v>5520017030</v>
      </c>
      <c r="D3435" t="s">
        <v>4436</v>
      </c>
      <c r="E3435" t="s">
        <v>29</v>
      </c>
      <c r="F3435" t="s">
        <v>30</v>
      </c>
      <c r="G3435">
        <v>10</v>
      </c>
      <c r="H3435">
        <v>0</v>
      </c>
      <c r="I3435">
        <v>4</v>
      </c>
      <c r="J3435">
        <v>0</v>
      </c>
      <c r="K3435">
        <v>0</v>
      </c>
      <c r="L3435">
        <v>0</v>
      </c>
      <c r="M3435">
        <v>0</v>
      </c>
      <c r="N3435">
        <v>0</v>
      </c>
      <c r="O3435">
        <v>0</v>
      </c>
      <c r="P3435">
        <v>0</v>
      </c>
      <c r="Q3435">
        <v>0</v>
      </c>
      <c r="R3435">
        <v>0</v>
      </c>
      <c r="S3435">
        <v>0</v>
      </c>
      <c r="T3435">
        <v>0</v>
      </c>
      <c r="U3435">
        <v>0</v>
      </c>
      <c r="V3435">
        <v>0</v>
      </c>
      <c r="W3435">
        <v>0</v>
      </c>
      <c r="X3435">
        <v>0</v>
      </c>
      <c r="Y3435" t="s">
        <v>31</v>
      </c>
      <c r="Z3435">
        <v>55</v>
      </c>
      <c r="AA3435">
        <v>0</v>
      </c>
    </row>
    <row r="3436" spans="1:27" x14ac:dyDescent="0.2">
      <c r="A3436" t="s">
        <v>547</v>
      </c>
      <c r="B3436">
        <v>2019</v>
      </c>
      <c r="C3436">
        <v>5447014032</v>
      </c>
      <c r="D3436" t="s">
        <v>4437</v>
      </c>
      <c r="E3436" t="s">
        <v>29</v>
      </c>
      <c r="F3436" t="s">
        <v>30</v>
      </c>
      <c r="G3436">
        <v>5</v>
      </c>
      <c r="H3436">
        <v>0</v>
      </c>
      <c r="I3436">
        <v>0</v>
      </c>
      <c r="J3436">
        <v>0</v>
      </c>
      <c r="K3436">
        <v>0</v>
      </c>
      <c r="L3436">
        <v>0</v>
      </c>
      <c r="M3436">
        <v>0</v>
      </c>
      <c r="N3436">
        <v>0</v>
      </c>
      <c r="O3436">
        <v>0</v>
      </c>
      <c r="P3436">
        <v>0</v>
      </c>
      <c r="Q3436">
        <v>0</v>
      </c>
      <c r="R3436">
        <v>0</v>
      </c>
      <c r="S3436">
        <v>0</v>
      </c>
      <c r="T3436">
        <v>0</v>
      </c>
      <c r="U3436">
        <v>0</v>
      </c>
      <c r="V3436">
        <v>0</v>
      </c>
      <c r="W3436">
        <v>0</v>
      </c>
      <c r="X3436">
        <v>0</v>
      </c>
      <c r="Y3436" t="s">
        <v>31</v>
      </c>
      <c r="Z3436">
        <v>55</v>
      </c>
      <c r="AA3436">
        <v>0</v>
      </c>
    </row>
    <row r="3437" spans="1:27" x14ac:dyDescent="0.2">
      <c r="A3437" t="s">
        <v>547</v>
      </c>
      <c r="B3437">
        <v>2019</v>
      </c>
      <c r="C3437">
        <v>5174018900</v>
      </c>
      <c r="D3437" t="s">
        <v>4438</v>
      </c>
      <c r="E3437" t="s">
        <v>29</v>
      </c>
      <c r="F3437" t="s">
        <v>30</v>
      </c>
      <c r="G3437">
        <v>43</v>
      </c>
      <c r="H3437">
        <v>0</v>
      </c>
      <c r="I3437">
        <v>0</v>
      </c>
      <c r="J3437">
        <v>0</v>
      </c>
      <c r="K3437">
        <v>0</v>
      </c>
      <c r="L3437">
        <v>0</v>
      </c>
      <c r="M3437">
        <v>0</v>
      </c>
      <c r="N3437">
        <v>0</v>
      </c>
      <c r="O3437">
        <v>0</v>
      </c>
      <c r="P3437">
        <v>0</v>
      </c>
      <c r="Q3437">
        <v>0</v>
      </c>
      <c r="R3437">
        <v>0</v>
      </c>
      <c r="S3437">
        <v>0</v>
      </c>
      <c r="T3437">
        <v>0</v>
      </c>
      <c r="U3437">
        <v>0</v>
      </c>
      <c r="V3437">
        <v>0</v>
      </c>
      <c r="W3437">
        <v>0</v>
      </c>
      <c r="X3437">
        <v>0</v>
      </c>
      <c r="Y3437" t="s">
        <v>31</v>
      </c>
      <c r="Z3437">
        <v>55</v>
      </c>
      <c r="AA3437">
        <v>0</v>
      </c>
    </row>
    <row r="3438" spans="1:27" x14ac:dyDescent="0.2">
      <c r="A3438" t="s">
        <v>547</v>
      </c>
      <c r="B3438">
        <v>2019</v>
      </c>
      <c r="C3438">
        <v>5520022008</v>
      </c>
      <c r="D3438" t="s">
        <v>4439</v>
      </c>
      <c r="E3438" t="s">
        <v>29</v>
      </c>
      <c r="F3438" t="s">
        <v>30</v>
      </c>
      <c r="G3438">
        <v>2</v>
      </c>
      <c r="H3438">
        <v>0</v>
      </c>
      <c r="I3438">
        <v>1</v>
      </c>
      <c r="J3438">
        <v>0</v>
      </c>
      <c r="K3438">
        <v>0</v>
      </c>
      <c r="L3438">
        <v>0</v>
      </c>
      <c r="M3438">
        <v>0</v>
      </c>
      <c r="N3438">
        <v>0</v>
      </c>
      <c r="O3438">
        <v>0</v>
      </c>
      <c r="P3438">
        <v>0</v>
      </c>
      <c r="Q3438">
        <v>0</v>
      </c>
      <c r="R3438">
        <v>0</v>
      </c>
      <c r="S3438">
        <v>0</v>
      </c>
      <c r="T3438">
        <v>0</v>
      </c>
      <c r="U3438">
        <v>0</v>
      </c>
      <c r="V3438">
        <v>0</v>
      </c>
      <c r="W3438">
        <v>0</v>
      </c>
      <c r="X3438">
        <v>0</v>
      </c>
      <c r="Y3438" t="s">
        <v>31</v>
      </c>
      <c r="Z3438">
        <v>55</v>
      </c>
      <c r="AA3438">
        <v>0</v>
      </c>
    </row>
    <row r="3439" spans="1:27" x14ac:dyDescent="0.2">
      <c r="A3439" t="s">
        <v>547</v>
      </c>
      <c r="B3439">
        <v>2019</v>
      </c>
      <c r="C3439">
        <v>7455007902</v>
      </c>
      <c r="D3439" t="s">
        <v>4440</v>
      </c>
      <c r="E3439" t="s">
        <v>29</v>
      </c>
      <c r="F3439" t="s">
        <v>30</v>
      </c>
      <c r="G3439">
        <v>36</v>
      </c>
      <c r="H3439">
        <v>0</v>
      </c>
      <c r="I3439">
        <v>54</v>
      </c>
      <c r="J3439">
        <v>0</v>
      </c>
      <c r="K3439">
        <v>0</v>
      </c>
      <c r="L3439">
        <v>0</v>
      </c>
      <c r="M3439">
        <v>0</v>
      </c>
      <c r="N3439">
        <v>0</v>
      </c>
      <c r="O3439">
        <v>0</v>
      </c>
      <c r="P3439">
        <v>0</v>
      </c>
      <c r="Q3439">
        <v>0</v>
      </c>
      <c r="R3439">
        <v>0</v>
      </c>
      <c r="S3439">
        <v>0</v>
      </c>
      <c r="T3439">
        <v>0</v>
      </c>
      <c r="U3439">
        <v>0</v>
      </c>
      <c r="V3439">
        <v>0</v>
      </c>
      <c r="W3439">
        <v>0</v>
      </c>
      <c r="X3439">
        <v>0</v>
      </c>
      <c r="Y3439" t="s">
        <v>31</v>
      </c>
      <c r="Z3439">
        <v>55</v>
      </c>
      <c r="AA3439">
        <v>0</v>
      </c>
    </row>
    <row r="3440" spans="1:27" x14ac:dyDescent="0.2">
      <c r="A3440" t="s">
        <v>547</v>
      </c>
      <c r="B3440">
        <v>2019</v>
      </c>
      <c r="C3440">
        <v>2241017027</v>
      </c>
      <c r="D3440" t="s">
        <v>4441</v>
      </c>
      <c r="E3440" t="s">
        <v>29</v>
      </c>
      <c r="F3440" t="s">
        <v>30</v>
      </c>
      <c r="G3440">
        <v>2</v>
      </c>
      <c r="H3440">
        <v>0</v>
      </c>
      <c r="I3440">
        <v>1</v>
      </c>
      <c r="J3440">
        <v>0</v>
      </c>
      <c r="K3440">
        <v>0</v>
      </c>
      <c r="L3440">
        <v>0</v>
      </c>
      <c r="M3440">
        <v>0</v>
      </c>
      <c r="N3440">
        <v>0</v>
      </c>
      <c r="O3440">
        <v>0</v>
      </c>
      <c r="P3440">
        <v>0</v>
      </c>
      <c r="Q3440">
        <v>0</v>
      </c>
      <c r="R3440">
        <v>0</v>
      </c>
      <c r="S3440">
        <v>0</v>
      </c>
      <c r="T3440">
        <v>0</v>
      </c>
      <c r="U3440">
        <v>0</v>
      </c>
      <c r="V3440">
        <v>0</v>
      </c>
      <c r="W3440">
        <v>0</v>
      </c>
      <c r="X3440">
        <v>0</v>
      </c>
      <c r="Y3440" t="s">
        <v>31</v>
      </c>
      <c r="Z3440">
        <v>55</v>
      </c>
      <c r="AA3440">
        <v>0</v>
      </c>
    </row>
    <row r="3441" spans="1:27" x14ac:dyDescent="0.2">
      <c r="A3441" t="s">
        <v>547</v>
      </c>
      <c r="B3441">
        <v>2019</v>
      </c>
      <c r="C3441">
        <v>5143022011</v>
      </c>
      <c r="D3441" t="s">
        <v>4442</v>
      </c>
      <c r="E3441" t="s">
        <v>29</v>
      </c>
      <c r="F3441" t="s">
        <v>30</v>
      </c>
      <c r="G3441">
        <v>11</v>
      </c>
      <c r="H3441">
        <v>0</v>
      </c>
      <c r="I3441">
        <v>0</v>
      </c>
      <c r="J3441">
        <v>0</v>
      </c>
      <c r="K3441">
        <v>0</v>
      </c>
      <c r="L3441">
        <v>0</v>
      </c>
      <c r="M3441">
        <v>0</v>
      </c>
      <c r="N3441">
        <v>0</v>
      </c>
      <c r="O3441">
        <v>0</v>
      </c>
      <c r="P3441">
        <v>0</v>
      </c>
      <c r="Q3441">
        <v>0</v>
      </c>
      <c r="R3441">
        <v>0</v>
      </c>
      <c r="S3441">
        <v>0</v>
      </c>
      <c r="T3441">
        <v>0</v>
      </c>
      <c r="U3441">
        <v>0</v>
      </c>
      <c r="V3441">
        <v>0</v>
      </c>
      <c r="W3441">
        <v>0</v>
      </c>
      <c r="X3441">
        <v>0</v>
      </c>
      <c r="Y3441" t="s">
        <v>31</v>
      </c>
      <c r="Z3441">
        <v>55</v>
      </c>
      <c r="AA3441">
        <v>0</v>
      </c>
    </row>
    <row r="3442" spans="1:27" x14ac:dyDescent="0.2">
      <c r="A3442" t="s">
        <v>1500</v>
      </c>
      <c r="B3442">
        <v>2022</v>
      </c>
      <c r="C3442">
        <v>5236005003</v>
      </c>
      <c r="D3442" t="s">
        <v>4443</v>
      </c>
      <c r="E3442" t="s">
        <v>29</v>
      </c>
      <c r="F3442" t="s">
        <v>30</v>
      </c>
      <c r="G3442">
        <v>10</v>
      </c>
      <c r="H3442">
        <v>0</v>
      </c>
      <c r="I3442">
        <v>7</v>
      </c>
      <c r="J3442">
        <v>0</v>
      </c>
      <c r="K3442">
        <v>0</v>
      </c>
      <c r="L3442">
        <v>0</v>
      </c>
      <c r="M3442">
        <v>0</v>
      </c>
      <c r="N3442">
        <v>0</v>
      </c>
      <c r="O3442">
        <v>0</v>
      </c>
      <c r="P3442">
        <v>0</v>
      </c>
      <c r="Q3442">
        <v>0</v>
      </c>
      <c r="R3442">
        <v>0</v>
      </c>
      <c r="S3442">
        <v>0</v>
      </c>
      <c r="T3442">
        <v>0</v>
      </c>
      <c r="U3442">
        <v>0</v>
      </c>
      <c r="V3442">
        <v>0</v>
      </c>
      <c r="W3442">
        <v>0</v>
      </c>
      <c r="X3442">
        <v>0</v>
      </c>
      <c r="Y3442" t="s">
        <v>31</v>
      </c>
      <c r="Z3442">
        <v>1000</v>
      </c>
      <c r="AA3442">
        <v>123</v>
      </c>
    </row>
    <row r="3443" spans="1:27" x14ac:dyDescent="0.2">
      <c r="A3443" t="s">
        <v>619</v>
      </c>
      <c r="B3443">
        <v>2022</v>
      </c>
      <c r="C3443" t="s">
        <v>4444</v>
      </c>
      <c r="D3443" t="s">
        <v>4445</v>
      </c>
      <c r="E3443" t="s">
        <v>29</v>
      </c>
      <c r="F3443" t="s">
        <v>30</v>
      </c>
      <c r="G3443">
        <v>0</v>
      </c>
      <c r="H3443">
        <v>0</v>
      </c>
      <c r="I3443">
        <v>0</v>
      </c>
      <c r="J3443">
        <v>0</v>
      </c>
      <c r="K3443">
        <v>0</v>
      </c>
      <c r="L3443">
        <v>0</v>
      </c>
      <c r="M3443">
        <v>0</v>
      </c>
      <c r="N3443">
        <v>0</v>
      </c>
      <c r="O3443">
        <v>6</v>
      </c>
      <c r="P3443">
        <v>0</v>
      </c>
      <c r="Q3443">
        <v>0</v>
      </c>
      <c r="R3443">
        <v>0</v>
      </c>
      <c r="S3443">
        <v>0</v>
      </c>
      <c r="T3443">
        <v>0</v>
      </c>
      <c r="U3443">
        <v>0</v>
      </c>
      <c r="V3443">
        <v>0</v>
      </c>
      <c r="W3443">
        <v>0</v>
      </c>
      <c r="X3443">
        <v>0</v>
      </c>
      <c r="Y3443" t="s">
        <v>51</v>
      </c>
      <c r="AA3443">
        <v>0</v>
      </c>
    </row>
    <row r="3444" spans="1:27" ht="119" x14ac:dyDescent="0.2">
      <c r="A3444" t="s">
        <v>48</v>
      </c>
      <c r="B3444">
        <v>2023</v>
      </c>
      <c r="C3444" t="s">
        <v>4446</v>
      </c>
      <c r="D3444" s="1" t="s">
        <v>4447</v>
      </c>
      <c r="E3444" t="s">
        <v>29</v>
      </c>
      <c r="F3444" t="s">
        <v>30</v>
      </c>
      <c r="G3444">
        <v>0</v>
      </c>
      <c r="H3444">
        <v>0</v>
      </c>
      <c r="I3444">
        <v>0</v>
      </c>
      <c r="J3444">
        <v>0</v>
      </c>
      <c r="K3444">
        <v>0</v>
      </c>
      <c r="L3444">
        <v>0</v>
      </c>
      <c r="M3444">
        <v>20</v>
      </c>
      <c r="N3444">
        <v>0</v>
      </c>
      <c r="O3444">
        <v>0</v>
      </c>
      <c r="P3444">
        <v>0</v>
      </c>
      <c r="Q3444">
        <v>0</v>
      </c>
      <c r="R3444">
        <v>0</v>
      </c>
      <c r="S3444">
        <v>0</v>
      </c>
      <c r="T3444">
        <v>0</v>
      </c>
      <c r="U3444">
        <v>0</v>
      </c>
      <c r="V3444">
        <v>0</v>
      </c>
      <c r="W3444">
        <v>0</v>
      </c>
      <c r="X3444">
        <v>0</v>
      </c>
      <c r="Y3444" t="s">
        <v>51</v>
      </c>
      <c r="AA3444">
        <v>0</v>
      </c>
    </row>
    <row r="3445" spans="1:27" x14ac:dyDescent="0.2">
      <c r="A3445" t="s">
        <v>1441</v>
      </c>
      <c r="B3445">
        <v>2020</v>
      </c>
      <c r="C3445" t="s">
        <v>1442</v>
      </c>
      <c r="D3445" t="s">
        <v>1443</v>
      </c>
      <c r="E3445" t="s">
        <v>29</v>
      </c>
      <c r="F3445" t="s">
        <v>30</v>
      </c>
      <c r="G3445">
        <v>13</v>
      </c>
      <c r="H3445">
        <v>0</v>
      </c>
      <c r="I3445">
        <v>0</v>
      </c>
      <c r="J3445">
        <v>0</v>
      </c>
      <c r="K3445">
        <v>12</v>
      </c>
      <c r="L3445">
        <v>0</v>
      </c>
      <c r="M3445">
        <v>0</v>
      </c>
      <c r="N3445">
        <v>0</v>
      </c>
      <c r="O3445">
        <v>0</v>
      </c>
      <c r="P3445">
        <v>0</v>
      </c>
      <c r="Q3445">
        <v>0</v>
      </c>
      <c r="R3445">
        <v>0</v>
      </c>
      <c r="S3445">
        <v>0</v>
      </c>
      <c r="T3445">
        <v>0</v>
      </c>
      <c r="U3445">
        <v>0</v>
      </c>
      <c r="V3445">
        <v>0</v>
      </c>
      <c r="W3445">
        <v>0</v>
      </c>
      <c r="X3445">
        <v>0</v>
      </c>
      <c r="Y3445" t="s">
        <v>31</v>
      </c>
      <c r="Z3445">
        <v>55</v>
      </c>
      <c r="AA3445">
        <v>0</v>
      </c>
    </row>
    <row r="3446" spans="1:27" x14ac:dyDescent="0.2">
      <c r="A3446" t="s">
        <v>1959</v>
      </c>
      <c r="B3446">
        <v>2020</v>
      </c>
      <c r="C3446" t="s">
        <v>3193</v>
      </c>
      <c r="D3446" t="s">
        <v>3194</v>
      </c>
      <c r="E3446" t="s">
        <v>29</v>
      </c>
      <c r="F3446" t="s">
        <v>30</v>
      </c>
      <c r="G3446">
        <v>0</v>
      </c>
      <c r="H3446">
        <v>0</v>
      </c>
      <c r="I3446">
        <v>0</v>
      </c>
      <c r="J3446">
        <v>0</v>
      </c>
      <c r="K3446">
        <v>0</v>
      </c>
      <c r="L3446">
        <v>0</v>
      </c>
      <c r="M3446">
        <v>0</v>
      </c>
      <c r="N3446">
        <v>0</v>
      </c>
      <c r="O3446">
        <v>0</v>
      </c>
      <c r="P3446">
        <v>0</v>
      </c>
      <c r="Q3446">
        <v>0</v>
      </c>
      <c r="R3446">
        <v>0</v>
      </c>
      <c r="S3446">
        <v>0</v>
      </c>
      <c r="T3446">
        <v>0</v>
      </c>
      <c r="U3446">
        <v>0</v>
      </c>
      <c r="V3446">
        <v>0</v>
      </c>
      <c r="W3446">
        <v>0</v>
      </c>
      <c r="X3446">
        <v>160</v>
      </c>
      <c r="Y3446" t="s">
        <v>51</v>
      </c>
      <c r="Z3446">
        <v>1000</v>
      </c>
      <c r="AA3446">
        <v>0</v>
      </c>
    </row>
    <row r="3447" spans="1:27" x14ac:dyDescent="0.2">
      <c r="A3447" t="s">
        <v>1206</v>
      </c>
      <c r="B3447">
        <v>2023</v>
      </c>
      <c r="C3447">
        <v>6700192109</v>
      </c>
      <c r="D3447" t="s">
        <v>4448</v>
      </c>
      <c r="E3447" t="s">
        <v>29</v>
      </c>
      <c r="F3447" t="s">
        <v>30</v>
      </c>
      <c r="G3447">
        <v>3</v>
      </c>
      <c r="H3447">
        <v>0</v>
      </c>
      <c r="I3447">
        <v>0</v>
      </c>
      <c r="J3447">
        <v>0</v>
      </c>
      <c r="K3447">
        <v>0</v>
      </c>
      <c r="L3447">
        <v>0</v>
      </c>
      <c r="M3447">
        <v>0</v>
      </c>
      <c r="N3447">
        <v>0</v>
      </c>
      <c r="O3447">
        <v>0</v>
      </c>
      <c r="P3447">
        <v>0</v>
      </c>
      <c r="Q3447">
        <v>0</v>
      </c>
      <c r="R3447">
        <v>0</v>
      </c>
      <c r="S3447">
        <v>0</v>
      </c>
      <c r="T3447">
        <v>0</v>
      </c>
      <c r="U3447">
        <v>0</v>
      </c>
      <c r="V3447">
        <v>0</v>
      </c>
      <c r="W3447">
        <v>0</v>
      </c>
      <c r="X3447">
        <v>0</v>
      </c>
      <c r="Y3447" t="s">
        <v>31</v>
      </c>
      <c r="Z3447">
        <v>55</v>
      </c>
      <c r="AA3447">
        <v>50</v>
      </c>
    </row>
    <row r="3448" spans="1:27" x14ac:dyDescent="0.2">
      <c r="A3448" t="s">
        <v>172</v>
      </c>
      <c r="B3448">
        <v>2020</v>
      </c>
      <c r="C3448" t="s">
        <v>4449</v>
      </c>
      <c r="D3448" t="s">
        <v>4450</v>
      </c>
      <c r="E3448" t="s">
        <v>29</v>
      </c>
      <c r="F3448" t="s">
        <v>30</v>
      </c>
      <c r="G3448">
        <v>96</v>
      </c>
      <c r="H3448">
        <v>0</v>
      </c>
      <c r="I3448">
        <v>0</v>
      </c>
      <c r="J3448">
        <v>0</v>
      </c>
      <c r="K3448">
        <v>0</v>
      </c>
      <c r="L3448">
        <v>0</v>
      </c>
      <c r="M3448">
        <v>0</v>
      </c>
      <c r="N3448">
        <v>0</v>
      </c>
      <c r="O3448">
        <v>0</v>
      </c>
      <c r="P3448">
        <v>0</v>
      </c>
      <c r="Q3448">
        <v>0</v>
      </c>
      <c r="R3448">
        <v>0</v>
      </c>
      <c r="S3448">
        <v>0</v>
      </c>
      <c r="T3448">
        <v>0</v>
      </c>
      <c r="U3448">
        <v>0</v>
      </c>
      <c r="V3448">
        <v>0</v>
      </c>
      <c r="W3448">
        <v>0</v>
      </c>
      <c r="X3448">
        <v>0</v>
      </c>
      <c r="Y3448" t="s">
        <v>31</v>
      </c>
      <c r="Z3448">
        <v>55</v>
      </c>
      <c r="AA3448">
        <v>0</v>
      </c>
    </row>
    <row r="3449" spans="1:27" x14ac:dyDescent="0.2">
      <c r="A3449" t="s">
        <v>172</v>
      </c>
      <c r="B3449">
        <v>2020</v>
      </c>
      <c r="C3449" t="s">
        <v>3805</v>
      </c>
      <c r="D3449" t="s">
        <v>4257</v>
      </c>
      <c r="E3449" t="s">
        <v>29</v>
      </c>
      <c r="F3449" t="s">
        <v>30</v>
      </c>
      <c r="G3449">
        <v>0</v>
      </c>
      <c r="H3449">
        <v>0</v>
      </c>
      <c r="I3449">
        <v>1</v>
      </c>
      <c r="J3449">
        <v>0</v>
      </c>
      <c r="K3449">
        <v>0</v>
      </c>
      <c r="L3449">
        <v>0</v>
      </c>
      <c r="M3449">
        <v>0</v>
      </c>
      <c r="N3449">
        <v>0</v>
      </c>
      <c r="O3449">
        <v>0</v>
      </c>
      <c r="P3449">
        <v>0</v>
      </c>
      <c r="Q3449">
        <v>0</v>
      </c>
      <c r="R3449">
        <v>0</v>
      </c>
      <c r="S3449">
        <v>0</v>
      </c>
      <c r="T3449">
        <v>0</v>
      </c>
      <c r="U3449">
        <v>0</v>
      </c>
      <c r="V3449">
        <v>0</v>
      </c>
      <c r="W3449">
        <v>0</v>
      </c>
      <c r="X3449">
        <v>0</v>
      </c>
      <c r="Y3449" t="s">
        <v>31</v>
      </c>
      <c r="Z3449">
        <v>55</v>
      </c>
      <c r="AA3449">
        <v>0</v>
      </c>
    </row>
    <row r="3450" spans="1:27" x14ac:dyDescent="0.2">
      <c r="A3450" t="s">
        <v>172</v>
      </c>
      <c r="B3450">
        <v>2020</v>
      </c>
      <c r="C3450" t="s">
        <v>4451</v>
      </c>
      <c r="D3450" t="s">
        <v>4452</v>
      </c>
      <c r="E3450" t="s">
        <v>29</v>
      </c>
      <c r="F3450" t="s">
        <v>30</v>
      </c>
      <c r="G3450">
        <v>0</v>
      </c>
      <c r="H3450">
        <v>0</v>
      </c>
      <c r="I3450">
        <v>1</v>
      </c>
      <c r="J3450">
        <v>0</v>
      </c>
      <c r="K3450">
        <v>0</v>
      </c>
      <c r="L3450">
        <v>0</v>
      </c>
      <c r="M3450">
        <v>0</v>
      </c>
      <c r="N3450">
        <v>0</v>
      </c>
      <c r="O3450">
        <v>0</v>
      </c>
      <c r="P3450">
        <v>0</v>
      </c>
      <c r="Q3450">
        <v>0</v>
      </c>
      <c r="R3450">
        <v>0</v>
      </c>
      <c r="S3450">
        <v>0</v>
      </c>
      <c r="T3450">
        <v>0</v>
      </c>
      <c r="U3450">
        <v>0</v>
      </c>
      <c r="V3450">
        <v>0</v>
      </c>
      <c r="W3450">
        <v>0</v>
      </c>
      <c r="X3450">
        <v>0</v>
      </c>
      <c r="Y3450" t="s">
        <v>31</v>
      </c>
      <c r="Z3450">
        <v>55</v>
      </c>
      <c r="AA3450">
        <v>0</v>
      </c>
    </row>
    <row r="3451" spans="1:27" x14ac:dyDescent="0.2">
      <c r="A3451" t="s">
        <v>353</v>
      </c>
      <c r="B3451">
        <v>2023</v>
      </c>
      <c r="C3451">
        <v>2033204800</v>
      </c>
      <c r="D3451" t="s">
        <v>4453</v>
      </c>
      <c r="E3451" t="s">
        <v>29</v>
      </c>
      <c r="F3451" t="s">
        <v>30</v>
      </c>
      <c r="G3451">
        <v>20</v>
      </c>
      <c r="H3451">
        <v>0</v>
      </c>
      <c r="I3451">
        <v>0</v>
      </c>
      <c r="J3451">
        <v>0</v>
      </c>
      <c r="K3451">
        <v>0</v>
      </c>
      <c r="L3451">
        <v>0</v>
      </c>
      <c r="M3451">
        <v>0</v>
      </c>
      <c r="N3451">
        <v>0</v>
      </c>
      <c r="O3451">
        <v>0</v>
      </c>
      <c r="P3451">
        <v>0</v>
      </c>
      <c r="Q3451">
        <v>0</v>
      </c>
      <c r="R3451">
        <v>0</v>
      </c>
      <c r="S3451">
        <v>0</v>
      </c>
      <c r="T3451">
        <v>0</v>
      </c>
      <c r="U3451">
        <v>0</v>
      </c>
      <c r="V3451">
        <v>0</v>
      </c>
      <c r="W3451">
        <v>0</v>
      </c>
      <c r="X3451">
        <v>0</v>
      </c>
      <c r="Y3451" t="s">
        <v>31</v>
      </c>
      <c r="Z3451">
        <v>55</v>
      </c>
      <c r="AA3451">
        <v>50</v>
      </c>
    </row>
    <row r="3452" spans="1:27" ht="85" x14ac:dyDescent="0.2">
      <c r="A3452" t="s">
        <v>353</v>
      </c>
      <c r="B3452">
        <v>2023</v>
      </c>
      <c r="C3452">
        <v>2141711100</v>
      </c>
      <c r="D3452" s="1" t="s">
        <v>4454</v>
      </c>
      <c r="E3452" t="s">
        <v>29</v>
      </c>
      <c r="F3452" t="s">
        <v>30</v>
      </c>
      <c r="G3452">
        <v>0</v>
      </c>
      <c r="H3452">
        <v>0</v>
      </c>
      <c r="I3452">
        <v>13</v>
      </c>
      <c r="J3452">
        <v>0</v>
      </c>
      <c r="K3452">
        <v>0</v>
      </c>
      <c r="L3452">
        <v>0</v>
      </c>
      <c r="M3452">
        <v>0</v>
      </c>
      <c r="N3452">
        <v>0</v>
      </c>
      <c r="O3452">
        <v>0</v>
      </c>
      <c r="P3452">
        <v>0</v>
      </c>
      <c r="Q3452">
        <v>0</v>
      </c>
      <c r="R3452">
        <v>0</v>
      </c>
      <c r="S3452">
        <v>0</v>
      </c>
      <c r="T3452">
        <v>0</v>
      </c>
      <c r="U3452">
        <v>0</v>
      </c>
      <c r="V3452">
        <v>0</v>
      </c>
      <c r="W3452">
        <v>0</v>
      </c>
      <c r="X3452">
        <v>0</v>
      </c>
      <c r="Y3452" t="s">
        <v>31</v>
      </c>
      <c r="Z3452">
        <v>55</v>
      </c>
      <c r="AA3452" s="2" t="s">
        <v>4455</v>
      </c>
    </row>
    <row r="3453" spans="1:27" ht="102" x14ac:dyDescent="0.2">
      <c r="A3453" t="s">
        <v>353</v>
      </c>
      <c r="B3453">
        <v>2023</v>
      </c>
      <c r="C3453">
        <v>2071013500</v>
      </c>
      <c r="D3453" s="1" t="s">
        <v>4456</v>
      </c>
      <c r="E3453" t="s">
        <v>29</v>
      </c>
      <c r="F3453" t="s">
        <v>30</v>
      </c>
      <c r="G3453">
        <v>0</v>
      </c>
      <c r="H3453">
        <v>0</v>
      </c>
      <c r="I3453">
        <v>0</v>
      </c>
      <c r="J3453">
        <v>0</v>
      </c>
      <c r="K3453">
        <v>0</v>
      </c>
      <c r="L3453">
        <v>0</v>
      </c>
      <c r="M3453">
        <v>37</v>
      </c>
      <c r="N3453">
        <v>0</v>
      </c>
      <c r="O3453">
        <v>9</v>
      </c>
      <c r="P3453">
        <v>0</v>
      </c>
      <c r="Q3453">
        <v>0</v>
      </c>
      <c r="R3453">
        <v>0</v>
      </c>
      <c r="S3453">
        <v>0</v>
      </c>
      <c r="T3453">
        <v>0</v>
      </c>
      <c r="U3453">
        <v>0</v>
      </c>
      <c r="V3453">
        <v>0</v>
      </c>
      <c r="W3453">
        <v>0</v>
      </c>
      <c r="X3453">
        <v>0</v>
      </c>
      <c r="Y3453" t="s">
        <v>31</v>
      </c>
      <c r="Z3453">
        <v>55</v>
      </c>
      <c r="AA3453" s="2" t="s">
        <v>4457</v>
      </c>
    </row>
    <row r="3454" spans="1:27" ht="85" x14ac:dyDescent="0.2">
      <c r="A3454" t="s">
        <v>353</v>
      </c>
      <c r="B3454">
        <v>2023</v>
      </c>
      <c r="C3454">
        <v>2120405600</v>
      </c>
      <c r="D3454" s="1" t="s">
        <v>4458</v>
      </c>
      <c r="E3454" t="s">
        <v>29</v>
      </c>
      <c r="F3454" t="s">
        <v>30</v>
      </c>
      <c r="G3454">
        <v>0</v>
      </c>
      <c r="H3454">
        <v>0</v>
      </c>
      <c r="I3454">
        <v>0</v>
      </c>
      <c r="J3454">
        <v>0</v>
      </c>
      <c r="K3454">
        <v>0</v>
      </c>
      <c r="L3454">
        <v>0</v>
      </c>
      <c r="M3454">
        <v>7</v>
      </c>
      <c r="N3454">
        <v>0</v>
      </c>
      <c r="O3454">
        <v>62</v>
      </c>
      <c r="P3454">
        <v>0</v>
      </c>
      <c r="Q3454">
        <v>0</v>
      </c>
      <c r="R3454">
        <v>0</v>
      </c>
      <c r="S3454">
        <v>0</v>
      </c>
      <c r="T3454">
        <v>0</v>
      </c>
      <c r="U3454">
        <v>0</v>
      </c>
      <c r="V3454">
        <v>0</v>
      </c>
      <c r="W3454">
        <v>0</v>
      </c>
      <c r="X3454">
        <v>0</v>
      </c>
      <c r="Y3454" t="s">
        <v>51</v>
      </c>
      <c r="Z3454">
        <v>55</v>
      </c>
      <c r="AA3454">
        <v>0</v>
      </c>
    </row>
    <row r="3455" spans="1:27" ht="102" x14ac:dyDescent="0.2">
      <c r="A3455" t="s">
        <v>353</v>
      </c>
      <c r="B3455">
        <v>2023</v>
      </c>
      <c r="C3455">
        <v>2042920100</v>
      </c>
      <c r="D3455" s="1" t="s">
        <v>4459</v>
      </c>
      <c r="E3455" t="s">
        <v>29</v>
      </c>
      <c r="F3455" t="s">
        <v>30</v>
      </c>
      <c r="G3455">
        <v>0</v>
      </c>
      <c r="H3455">
        <v>0</v>
      </c>
      <c r="I3455">
        <v>0</v>
      </c>
      <c r="J3455">
        <v>0</v>
      </c>
      <c r="K3455">
        <v>0</v>
      </c>
      <c r="L3455">
        <v>0</v>
      </c>
      <c r="M3455">
        <v>0</v>
      </c>
      <c r="N3455">
        <v>0</v>
      </c>
      <c r="O3455">
        <v>24</v>
      </c>
      <c r="P3455">
        <v>0</v>
      </c>
      <c r="Q3455">
        <v>0</v>
      </c>
      <c r="R3455">
        <v>0</v>
      </c>
      <c r="S3455">
        <v>0</v>
      </c>
      <c r="T3455">
        <v>0</v>
      </c>
      <c r="U3455">
        <v>0</v>
      </c>
      <c r="V3455">
        <v>0</v>
      </c>
      <c r="W3455">
        <v>0</v>
      </c>
      <c r="X3455">
        <v>0</v>
      </c>
      <c r="Y3455" t="s">
        <v>51</v>
      </c>
      <c r="Z3455">
        <v>55</v>
      </c>
      <c r="AA3455">
        <v>0</v>
      </c>
    </row>
    <row r="3456" spans="1:27" ht="102" x14ac:dyDescent="0.2">
      <c r="A3456" t="s">
        <v>353</v>
      </c>
      <c r="B3456">
        <v>2023</v>
      </c>
      <c r="C3456">
        <v>2042920100</v>
      </c>
      <c r="D3456" s="1" t="s">
        <v>4460</v>
      </c>
      <c r="E3456" t="s">
        <v>29</v>
      </c>
      <c r="F3456" t="s">
        <v>30</v>
      </c>
      <c r="G3456">
        <v>0</v>
      </c>
      <c r="H3456">
        <v>0</v>
      </c>
      <c r="I3456">
        <v>0</v>
      </c>
      <c r="J3456">
        <v>0</v>
      </c>
      <c r="K3456">
        <v>0</v>
      </c>
      <c r="L3456">
        <v>0</v>
      </c>
      <c r="M3456">
        <v>0</v>
      </c>
      <c r="N3456">
        <v>0</v>
      </c>
      <c r="O3456">
        <v>23</v>
      </c>
      <c r="P3456">
        <v>0</v>
      </c>
      <c r="Q3456">
        <v>0</v>
      </c>
      <c r="R3456">
        <v>0</v>
      </c>
      <c r="S3456">
        <v>0</v>
      </c>
      <c r="T3456">
        <v>0</v>
      </c>
      <c r="U3456">
        <v>0</v>
      </c>
      <c r="V3456">
        <v>0</v>
      </c>
      <c r="W3456">
        <v>0</v>
      </c>
      <c r="X3456">
        <v>0</v>
      </c>
      <c r="Y3456" t="s">
        <v>51</v>
      </c>
      <c r="Z3456">
        <v>55</v>
      </c>
      <c r="AA3456">
        <v>0</v>
      </c>
    </row>
    <row r="3457" spans="1:27" ht="102" x14ac:dyDescent="0.2">
      <c r="A3457" t="s">
        <v>353</v>
      </c>
      <c r="B3457">
        <v>2023</v>
      </c>
      <c r="C3457">
        <v>2120405600</v>
      </c>
      <c r="D3457" s="1" t="s">
        <v>4461</v>
      </c>
      <c r="E3457" t="s">
        <v>29</v>
      </c>
      <c r="F3457" t="s">
        <v>30</v>
      </c>
      <c r="G3457">
        <v>0</v>
      </c>
      <c r="H3457">
        <v>0</v>
      </c>
      <c r="I3457">
        <v>0</v>
      </c>
      <c r="J3457">
        <v>0</v>
      </c>
      <c r="K3457">
        <v>0</v>
      </c>
      <c r="L3457">
        <v>0</v>
      </c>
      <c r="M3457">
        <v>0</v>
      </c>
      <c r="N3457">
        <v>0</v>
      </c>
      <c r="O3457">
        <v>0</v>
      </c>
      <c r="P3457">
        <v>0</v>
      </c>
      <c r="Q3457">
        <v>12</v>
      </c>
      <c r="R3457">
        <v>0</v>
      </c>
      <c r="S3457">
        <v>0</v>
      </c>
      <c r="T3457">
        <v>0</v>
      </c>
      <c r="U3457">
        <v>0</v>
      </c>
      <c r="V3457">
        <v>0</v>
      </c>
      <c r="W3457">
        <v>0</v>
      </c>
      <c r="X3457">
        <v>0</v>
      </c>
      <c r="Y3457" t="s">
        <v>51</v>
      </c>
      <c r="Z3457">
        <v>55</v>
      </c>
      <c r="AA3457">
        <v>0</v>
      </c>
    </row>
    <row r="3458" spans="1:27" x14ac:dyDescent="0.2">
      <c r="A3458" t="s">
        <v>600</v>
      </c>
      <c r="B3458">
        <v>2020</v>
      </c>
      <c r="C3458">
        <v>1797007</v>
      </c>
      <c r="D3458" t="s">
        <v>4462</v>
      </c>
      <c r="E3458" t="s">
        <v>29</v>
      </c>
      <c r="F3458" t="s">
        <v>30</v>
      </c>
      <c r="G3458">
        <v>20</v>
      </c>
      <c r="H3458">
        <v>0</v>
      </c>
      <c r="I3458">
        <v>47</v>
      </c>
      <c r="J3458">
        <v>0</v>
      </c>
      <c r="K3458">
        <v>67</v>
      </c>
      <c r="L3458">
        <v>0</v>
      </c>
      <c r="M3458">
        <v>0</v>
      </c>
      <c r="N3458">
        <v>0</v>
      </c>
      <c r="O3458">
        <v>0</v>
      </c>
      <c r="P3458">
        <v>0</v>
      </c>
      <c r="Q3458">
        <v>0</v>
      </c>
      <c r="R3458">
        <v>0</v>
      </c>
      <c r="S3458">
        <v>0</v>
      </c>
      <c r="T3458">
        <v>0</v>
      </c>
      <c r="U3458">
        <v>0</v>
      </c>
      <c r="V3458">
        <v>0</v>
      </c>
      <c r="W3458">
        <v>0</v>
      </c>
      <c r="X3458">
        <v>0</v>
      </c>
      <c r="Y3458" t="s">
        <v>31</v>
      </c>
      <c r="AA3458">
        <v>0</v>
      </c>
    </row>
    <row r="3459" spans="1:27" x14ac:dyDescent="0.2">
      <c r="A3459" t="s">
        <v>600</v>
      </c>
      <c r="B3459">
        <v>2020</v>
      </c>
      <c r="C3459" s="2" t="s">
        <v>4463</v>
      </c>
      <c r="D3459" t="s">
        <v>4464</v>
      </c>
      <c r="E3459" t="s">
        <v>29</v>
      </c>
      <c r="F3459" t="s">
        <v>30</v>
      </c>
      <c r="G3459">
        <v>5</v>
      </c>
      <c r="H3459">
        <v>0</v>
      </c>
      <c r="I3459">
        <v>4</v>
      </c>
      <c r="J3459">
        <v>0</v>
      </c>
      <c r="K3459">
        <v>2</v>
      </c>
      <c r="L3459">
        <v>0</v>
      </c>
      <c r="M3459">
        <v>0</v>
      </c>
      <c r="N3459">
        <v>0</v>
      </c>
      <c r="O3459">
        <v>0</v>
      </c>
      <c r="P3459">
        <v>0</v>
      </c>
      <c r="Q3459">
        <v>0</v>
      </c>
      <c r="R3459">
        <v>0</v>
      </c>
      <c r="S3459">
        <v>0</v>
      </c>
      <c r="T3459">
        <v>0</v>
      </c>
      <c r="U3459">
        <v>0</v>
      </c>
      <c r="V3459">
        <v>0</v>
      </c>
      <c r="W3459">
        <v>0</v>
      </c>
      <c r="X3459">
        <v>0</v>
      </c>
      <c r="Y3459" t="s">
        <v>31</v>
      </c>
      <c r="AA3459">
        <v>0</v>
      </c>
    </row>
    <row r="3460" spans="1:27" x14ac:dyDescent="0.2">
      <c r="A3460" t="s">
        <v>600</v>
      </c>
      <c r="B3460">
        <v>2020</v>
      </c>
      <c r="C3460" s="2" t="s">
        <v>4465</v>
      </c>
      <c r="D3460" t="s">
        <v>4466</v>
      </c>
      <c r="E3460" t="s">
        <v>29</v>
      </c>
      <c r="F3460" t="s">
        <v>30</v>
      </c>
      <c r="G3460">
        <v>36</v>
      </c>
      <c r="H3460">
        <v>0</v>
      </c>
      <c r="I3460">
        <v>27</v>
      </c>
      <c r="J3460">
        <v>0</v>
      </c>
      <c r="K3460">
        <v>0</v>
      </c>
      <c r="L3460">
        <v>0</v>
      </c>
      <c r="M3460">
        <v>0</v>
      </c>
      <c r="N3460">
        <v>0</v>
      </c>
      <c r="O3460">
        <v>0</v>
      </c>
      <c r="P3460">
        <v>0</v>
      </c>
      <c r="Q3460">
        <v>0</v>
      </c>
      <c r="R3460">
        <v>0</v>
      </c>
      <c r="S3460">
        <v>0</v>
      </c>
      <c r="T3460">
        <v>0</v>
      </c>
      <c r="U3460">
        <v>0</v>
      </c>
      <c r="V3460">
        <v>0</v>
      </c>
      <c r="W3460">
        <v>0</v>
      </c>
      <c r="X3460">
        <v>0</v>
      </c>
      <c r="Y3460" t="s">
        <v>31</v>
      </c>
      <c r="AA3460">
        <v>0</v>
      </c>
    </row>
    <row r="3461" spans="1:27" x14ac:dyDescent="0.2">
      <c r="A3461" t="s">
        <v>600</v>
      </c>
      <c r="B3461">
        <v>2020</v>
      </c>
      <c r="C3461">
        <v>3703040</v>
      </c>
      <c r="D3461" t="s">
        <v>1140</v>
      </c>
      <c r="E3461" t="s">
        <v>29</v>
      </c>
      <c r="F3461" t="s">
        <v>30</v>
      </c>
      <c r="G3461">
        <v>0</v>
      </c>
      <c r="H3461">
        <v>0</v>
      </c>
      <c r="I3461">
        <v>0</v>
      </c>
      <c r="J3461">
        <v>0</v>
      </c>
      <c r="K3461">
        <v>0</v>
      </c>
      <c r="L3461">
        <v>0</v>
      </c>
      <c r="M3461">
        <v>256</v>
      </c>
      <c r="N3461">
        <v>0</v>
      </c>
      <c r="O3461">
        <v>0</v>
      </c>
      <c r="P3461">
        <v>0</v>
      </c>
      <c r="Q3461">
        <v>0</v>
      </c>
      <c r="R3461">
        <v>0</v>
      </c>
      <c r="S3461">
        <v>0</v>
      </c>
      <c r="T3461">
        <v>0</v>
      </c>
      <c r="U3461">
        <v>0</v>
      </c>
      <c r="V3461">
        <v>0</v>
      </c>
      <c r="W3461">
        <v>0</v>
      </c>
      <c r="X3461">
        <v>0</v>
      </c>
      <c r="Y3461" t="s">
        <v>31</v>
      </c>
      <c r="AA3461">
        <v>0</v>
      </c>
    </row>
    <row r="3462" spans="1:27" x14ac:dyDescent="0.2">
      <c r="A3462" t="s">
        <v>600</v>
      </c>
      <c r="B3462">
        <v>2020</v>
      </c>
      <c r="C3462">
        <v>3505027</v>
      </c>
      <c r="D3462" t="s">
        <v>1824</v>
      </c>
      <c r="E3462" t="s">
        <v>29</v>
      </c>
      <c r="F3462" t="s">
        <v>30</v>
      </c>
      <c r="G3462">
        <v>0</v>
      </c>
      <c r="H3462">
        <v>0</v>
      </c>
      <c r="I3462">
        <v>0</v>
      </c>
      <c r="J3462">
        <v>0</v>
      </c>
      <c r="K3462">
        <v>0</v>
      </c>
      <c r="L3462">
        <v>0</v>
      </c>
      <c r="M3462">
        <v>0</v>
      </c>
      <c r="N3462">
        <v>0</v>
      </c>
      <c r="O3462">
        <v>96</v>
      </c>
      <c r="P3462">
        <v>0</v>
      </c>
      <c r="Q3462">
        <v>0</v>
      </c>
      <c r="R3462">
        <v>0</v>
      </c>
      <c r="S3462">
        <v>0</v>
      </c>
      <c r="T3462">
        <v>0</v>
      </c>
      <c r="U3462">
        <v>0</v>
      </c>
      <c r="V3462">
        <v>0</v>
      </c>
      <c r="W3462">
        <v>0</v>
      </c>
      <c r="X3462">
        <v>0</v>
      </c>
      <c r="Y3462" t="s">
        <v>51</v>
      </c>
      <c r="AA3462">
        <v>0</v>
      </c>
    </row>
    <row r="3463" spans="1:27" x14ac:dyDescent="0.2">
      <c r="A3463" t="s">
        <v>600</v>
      </c>
      <c r="B3463">
        <v>2020</v>
      </c>
      <c r="C3463" t="s">
        <v>2354</v>
      </c>
      <c r="D3463" t="s">
        <v>2355</v>
      </c>
      <c r="E3463" t="s">
        <v>29</v>
      </c>
      <c r="F3463" t="s">
        <v>41</v>
      </c>
      <c r="G3463">
        <v>0</v>
      </c>
      <c r="H3463">
        <v>0</v>
      </c>
      <c r="I3463">
        <v>0</v>
      </c>
      <c r="J3463">
        <v>0</v>
      </c>
      <c r="K3463">
        <v>0</v>
      </c>
      <c r="L3463">
        <v>0</v>
      </c>
      <c r="M3463">
        <v>0</v>
      </c>
      <c r="N3463">
        <v>0</v>
      </c>
      <c r="O3463">
        <v>9</v>
      </c>
      <c r="P3463">
        <v>0</v>
      </c>
      <c r="Q3463">
        <v>0</v>
      </c>
      <c r="R3463">
        <v>0</v>
      </c>
      <c r="S3463">
        <v>0</v>
      </c>
      <c r="T3463">
        <v>0</v>
      </c>
      <c r="U3463">
        <v>0</v>
      </c>
      <c r="V3463">
        <v>0</v>
      </c>
      <c r="W3463">
        <v>0</v>
      </c>
      <c r="X3463">
        <v>0</v>
      </c>
      <c r="Y3463" t="s">
        <v>51</v>
      </c>
      <c r="AA3463">
        <v>0</v>
      </c>
    </row>
    <row r="3464" spans="1:27" x14ac:dyDescent="0.2">
      <c r="A3464" t="s">
        <v>600</v>
      </c>
      <c r="B3464">
        <v>2020</v>
      </c>
      <c r="C3464">
        <v>3746003</v>
      </c>
      <c r="D3464" t="s">
        <v>4467</v>
      </c>
      <c r="E3464" t="s">
        <v>29</v>
      </c>
      <c r="F3464" t="s">
        <v>30</v>
      </c>
      <c r="G3464">
        <v>0</v>
      </c>
      <c r="H3464">
        <v>0</v>
      </c>
      <c r="I3464">
        <v>0</v>
      </c>
      <c r="J3464">
        <v>0</v>
      </c>
      <c r="K3464">
        <v>0</v>
      </c>
      <c r="L3464">
        <v>0</v>
      </c>
      <c r="M3464">
        <v>0</v>
      </c>
      <c r="N3464">
        <v>0</v>
      </c>
      <c r="O3464">
        <v>0</v>
      </c>
      <c r="P3464">
        <v>0</v>
      </c>
      <c r="Q3464">
        <v>0</v>
      </c>
      <c r="R3464">
        <v>0</v>
      </c>
      <c r="S3464">
        <v>0</v>
      </c>
      <c r="T3464">
        <v>0</v>
      </c>
      <c r="U3464">
        <v>0</v>
      </c>
      <c r="V3464">
        <v>0</v>
      </c>
      <c r="W3464">
        <v>0</v>
      </c>
      <c r="X3464">
        <v>0</v>
      </c>
      <c r="Y3464" t="s">
        <v>51</v>
      </c>
      <c r="AA3464">
        <v>0</v>
      </c>
    </row>
    <row r="3465" spans="1:27" x14ac:dyDescent="0.2">
      <c r="A3465" t="s">
        <v>600</v>
      </c>
      <c r="B3465">
        <v>2020</v>
      </c>
      <c r="C3465">
        <v>3736120</v>
      </c>
      <c r="D3465" t="s">
        <v>3947</v>
      </c>
      <c r="E3465" t="s">
        <v>29</v>
      </c>
      <c r="F3465" t="s">
        <v>30</v>
      </c>
      <c r="G3465">
        <v>0</v>
      </c>
      <c r="H3465">
        <v>0</v>
      </c>
      <c r="I3465">
        <v>0</v>
      </c>
      <c r="J3465">
        <v>0</v>
      </c>
      <c r="K3465">
        <v>0</v>
      </c>
      <c r="L3465">
        <v>0</v>
      </c>
      <c r="M3465">
        <v>0</v>
      </c>
      <c r="N3465">
        <v>0</v>
      </c>
      <c r="O3465">
        <v>0</v>
      </c>
      <c r="P3465">
        <v>0</v>
      </c>
      <c r="Q3465">
        <v>0</v>
      </c>
      <c r="R3465">
        <v>0</v>
      </c>
      <c r="S3465">
        <v>0</v>
      </c>
      <c r="T3465">
        <v>0</v>
      </c>
      <c r="U3465">
        <v>0</v>
      </c>
      <c r="V3465">
        <v>0</v>
      </c>
      <c r="W3465">
        <v>0</v>
      </c>
      <c r="X3465">
        <v>0</v>
      </c>
      <c r="Y3465" t="s">
        <v>51</v>
      </c>
      <c r="AA3465">
        <v>0</v>
      </c>
    </row>
    <row r="3466" spans="1:27" x14ac:dyDescent="0.2">
      <c r="A3466" t="s">
        <v>600</v>
      </c>
      <c r="B3466">
        <v>2020</v>
      </c>
      <c r="C3466">
        <v>3706093</v>
      </c>
      <c r="D3466" t="s">
        <v>4468</v>
      </c>
      <c r="E3466" t="s">
        <v>29</v>
      </c>
      <c r="F3466" t="s">
        <v>30</v>
      </c>
      <c r="G3466">
        <v>0</v>
      </c>
      <c r="H3466">
        <v>0</v>
      </c>
      <c r="I3466">
        <v>0</v>
      </c>
      <c r="J3466">
        <v>0</v>
      </c>
      <c r="K3466">
        <v>0</v>
      </c>
      <c r="L3466">
        <v>0</v>
      </c>
      <c r="M3466">
        <v>0</v>
      </c>
      <c r="N3466">
        <v>0</v>
      </c>
      <c r="O3466">
        <v>0</v>
      </c>
      <c r="P3466">
        <v>0</v>
      </c>
      <c r="Q3466">
        <v>0</v>
      </c>
      <c r="R3466">
        <v>0</v>
      </c>
      <c r="S3466">
        <v>0</v>
      </c>
      <c r="T3466">
        <v>0</v>
      </c>
      <c r="U3466">
        <v>0</v>
      </c>
      <c r="V3466">
        <v>0</v>
      </c>
      <c r="W3466">
        <v>0</v>
      </c>
      <c r="X3466">
        <v>0</v>
      </c>
      <c r="Y3466" t="s">
        <v>51</v>
      </c>
      <c r="AA3466">
        <v>0</v>
      </c>
    </row>
    <row r="3467" spans="1:27" x14ac:dyDescent="0.2">
      <c r="A3467" t="s">
        <v>600</v>
      </c>
      <c r="B3467">
        <v>2020</v>
      </c>
      <c r="C3467" t="s">
        <v>920</v>
      </c>
      <c r="D3467" t="s">
        <v>921</v>
      </c>
      <c r="E3467" t="s">
        <v>29</v>
      </c>
      <c r="F3467" t="s">
        <v>30</v>
      </c>
      <c r="G3467">
        <v>0</v>
      </c>
      <c r="H3467">
        <v>0</v>
      </c>
      <c r="I3467">
        <v>0</v>
      </c>
      <c r="J3467">
        <v>0</v>
      </c>
      <c r="K3467">
        <v>0</v>
      </c>
      <c r="L3467">
        <v>0</v>
      </c>
      <c r="M3467">
        <v>0</v>
      </c>
      <c r="N3467">
        <v>0</v>
      </c>
      <c r="O3467">
        <v>0</v>
      </c>
      <c r="P3467">
        <v>0</v>
      </c>
      <c r="Q3467">
        <v>0</v>
      </c>
      <c r="R3467">
        <v>0</v>
      </c>
      <c r="S3467">
        <v>0</v>
      </c>
      <c r="T3467">
        <v>0</v>
      </c>
      <c r="U3467">
        <v>0</v>
      </c>
      <c r="V3467">
        <v>0</v>
      </c>
      <c r="W3467">
        <v>0</v>
      </c>
      <c r="X3467">
        <v>0</v>
      </c>
      <c r="Y3467" t="s">
        <v>51</v>
      </c>
      <c r="AA3467">
        <v>0</v>
      </c>
    </row>
    <row r="3468" spans="1:27" x14ac:dyDescent="0.2">
      <c r="A3468" t="s">
        <v>600</v>
      </c>
      <c r="B3468">
        <v>2020</v>
      </c>
      <c r="C3468" s="2" t="s">
        <v>3923</v>
      </c>
      <c r="D3468" t="s">
        <v>3924</v>
      </c>
      <c r="E3468" t="s">
        <v>29</v>
      </c>
      <c r="F3468" t="s">
        <v>30</v>
      </c>
      <c r="G3468">
        <v>0</v>
      </c>
      <c r="H3468">
        <v>0</v>
      </c>
      <c r="I3468">
        <v>0</v>
      </c>
      <c r="J3468">
        <v>0</v>
      </c>
      <c r="K3468">
        <v>0</v>
      </c>
      <c r="L3468">
        <v>0</v>
      </c>
      <c r="M3468">
        <v>0</v>
      </c>
      <c r="N3468">
        <v>0</v>
      </c>
      <c r="O3468">
        <v>0</v>
      </c>
      <c r="P3468">
        <v>0</v>
      </c>
      <c r="Q3468">
        <v>0</v>
      </c>
      <c r="R3468">
        <v>0</v>
      </c>
      <c r="S3468">
        <v>0</v>
      </c>
      <c r="T3468">
        <v>0</v>
      </c>
      <c r="U3468">
        <v>4</v>
      </c>
      <c r="V3468">
        <v>0</v>
      </c>
      <c r="W3468">
        <v>0</v>
      </c>
      <c r="X3468">
        <v>0</v>
      </c>
      <c r="Y3468" t="s">
        <v>51</v>
      </c>
      <c r="AA3468">
        <v>0</v>
      </c>
    </row>
    <row r="3469" spans="1:27" x14ac:dyDescent="0.2">
      <c r="A3469" t="s">
        <v>600</v>
      </c>
      <c r="B3469">
        <v>2020</v>
      </c>
      <c r="C3469">
        <v>1410021</v>
      </c>
      <c r="D3469" t="s">
        <v>867</v>
      </c>
      <c r="E3469" t="s">
        <v>29</v>
      </c>
      <c r="F3469" t="s">
        <v>30</v>
      </c>
      <c r="G3469">
        <v>0</v>
      </c>
      <c r="H3469">
        <v>0</v>
      </c>
      <c r="I3469">
        <v>0</v>
      </c>
      <c r="J3469">
        <v>0</v>
      </c>
      <c r="K3469">
        <v>0</v>
      </c>
      <c r="L3469">
        <v>0</v>
      </c>
      <c r="M3469">
        <v>0</v>
      </c>
      <c r="N3469">
        <v>0</v>
      </c>
      <c r="O3469">
        <v>0</v>
      </c>
      <c r="P3469">
        <v>0</v>
      </c>
      <c r="Q3469">
        <v>0</v>
      </c>
      <c r="R3469">
        <v>0</v>
      </c>
      <c r="S3469">
        <v>0</v>
      </c>
      <c r="T3469">
        <v>0</v>
      </c>
      <c r="U3469">
        <v>0</v>
      </c>
      <c r="V3469">
        <v>0</v>
      </c>
      <c r="W3469">
        <v>0</v>
      </c>
      <c r="X3469">
        <v>0</v>
      </c>
      <c r="Y3469" t="s">
        <v>51</v>
      </c>
      <c r="AA3469">
        <v>0</v>
      </c>
    </row>
    <row r="3470" spans="1:27" x14ac:dyDescent="0.2">
      <c r="A3470" t="s">
        <v>547</v>
      </c>
      <c r="B3470">
        <v>2019</v>
      </c>
      <c r="C3470">
        <v>2347019010</v>
      </c>
      <c r="D3470" t="s">
        <v>4469</v>
      </c>
      <c r="E3470" t="s">
        <v>29</v>
      </c>
      <c r="F3470" t="s">
        <v>30</v>
      </c>
      <c r="G3470">
        <v>0</v>
      </c>
      <c r="H3470">
        <v>0</v>
      </c>
      <c r="I3470">
        <v>0</v>
      </c>
      <c r="J3470">
        <v>0</v>
      </c>
      <c r="K3470">
        <v>0</v>
      </c>
      <c r="L3470">
        <v>0</v>
      </c>
      <c r="M3470">
        <v>4</v>
      </c>
      <c r="N3470">
        <v>0</v>
      </c>
      <c r="O3470">
        <v>0</v>
      </c>
      <c r="P3470">
        <v>0</v>
      </c>
      <c r="Q3470">
        <v>0</v>
      </c>
      <c r="R3470">
        <v>0</v>
      </c>
      <c r="S3470">
        <v>0</v>
      </c>
      <c r="T3470">
        <v>0</v>
      </c>
      <c r="U3470">
        <v>0</v>
      </c>
      <c r="V3470">
        <v>0</v>
      </c>
      <c r="W3470">
        <v>0</v>
      </c>
      <c r="X3470">
        <v>0</v>
      </c>
      <c r="Y3470" t="s">
        <v>31</v>
      </c>
      <c r="Z3470">
        <v>55</v>
      </c>
      <c r="AA3470">
        <v>0</v>
      </c>
    </row>
    <row r="3471" spans="1:27" x14ac:dyDescent="0.2">
      <c r="A3471" t="s">
        <v>547</v>
      </c>
      <c r="B3471">
        <v>2019</v>
      </c>
      <c r="C3471">
        <v>2219022018</v>
      </c>
      <c r="D3471" t="s">
        <v>4470</v>
      </c>
      <c r="E3471" t="s">
        <v>29</v>
      </c>
      <c r="F3471" t="s">
        <v>30</v>
      </c>
      <c r="G3471">
        <v>0</v>
      </c>
      <c r="H3471">
        <v>0</v>
      </c>
      <c r="I3471">
        <v>0</v>
      </c>
      <c r="J3471">
        <v>0</v>
      </c>
      <c r="K3471">
        <v>0</v>
      </c>
      <c r="L3471">
        <v>0</v>
      </c>
      <c r="M3471">
        <v>1</v>
      </c>
      <c r="N3471">
        <v>0</v>
      </c>
      <c r="O3471">
        <v>0</v>
      </c>
      <c r="P3471">
        <v>0</v>
      </c>
      <c r="Q3471">
        <v>0</v>
      </c>
      <c r="R3471">
        <v>0</v>
      </c>
      <c r="S3471">
        <v>0</v>
      </c>
      <c r="T3471">
        <v>0</v>
      </c>
      <c r="U3471">
        <v>0</v>
      </c>
      <c r="V3471">
        <v>0</v>
      </c>
      <c r="W3471">
        <v>0</v>
      </c>
      <c r="X3471">
        <v>0</v>
      </c>
      <c r="Y3471" t="s">
        <v>31</v>
      </c>
      <c r="Z3471">
        <v>55</v>
      </c>
      <c r="AA3471">
        <v>0</v>
      </c>
    </row>
    <row r="3472" spans="1:27" x14ac:dyDescent="0.2">
      <c r="A3472" t="s">
        <v>547</v>
      </c>
      <c r="B3472">
        <v>2019</v>
      </c>
      <c r="C3472">
        <v>5214001002</v>
      </c>
      <c r="D3472" t="s">
        <v>4471</v>
      </c>
      <c r="E3472" t="s">
        <v>29</v>
      </c>
      <c r="F3472" t="s">
        <v>30</v>
      </c>
      <c r="G3472">
        <v>0</v>
      </c>
      <c r="H3472">
        <v>0</v>
      </c>
      <c r="I3472">
        <v>0</v>
      </c>
      <c r="J3472">
        <v>0</v>
      </c>
      <c r="K3472">
        <v>0</v>
      </c>
      <c r="L3472">
        <v>0</v>
      </c>
      <c r="M3472">
        <v>78</v>
      </c>
      <c r="N3472">
        <v>0</v>
      </c>
      <c r="O3472">
        <v>5</v>
      </c>
      <c r="P3472">
        <v>0</v>
      </c>
      <c r="Q3472">
        <v>0</v>
      </c>
      <c r="R3472">
        <v>0</v>
      </c>
      <c r="S3472">
        <v>0</v>
      </c>
      <c r="T3472">
        <v>0</v>
      </c>
      <c r="U3472">
        <v>0</v>
      </c>
      <c r="V3472">
        <v>0</v>
      </c>
      <c r="W3472">
        <v>0</v>
      </c>
      <c r="X3472">
        <v>0</v>
      </c>
      <c r="Y3472" t="s">
        <v>31</v>
      </c>
      <c r="Z3472">
        <v>55</v>
      </c>
      <c r="AA3472">
        <v>0</v>
      </c>
    </row>
    <row r="3473" spans="1:27" x14ac:dyDescent="0.2">
      <c r="A3473" t="s">
        <v>547</v>
      </c>
      <c r="B3473">
        <v>2019</v>
      </c>
      <c r="C3473">
        <v>5540009010</v>
      </c>
      <c r="D3473" t="s">
        <v>730</v>
      </c>
      <c r="E3473" t="s">
        <v>29</v>
      </c>
      <c r="F3473" t="s">
        <v>30</v>
      </c>
      <c r="G3473">
        <v>0</v>
      </c>
      <c r="H3473">
        <v>0</v>
      </c>
      <c r="I3473">
        <v>0</v>
      </c>
      <c r="J3473">
        <v>0</v>
      </c>
      <c r="K3473">
        <v>0</v>
      </c>
      <c r="L3473">
        <v>0</v>
      </c>
      <c r="M3473">
        <v>4</v>
      </c>
      <c r="N3473">
        <v>0</v>
      </c>
      <c r="O3473">
        <v>0</v>
      </c>
      <c r="P3473">
        <v>0</v>
      </c>
      <c r="Q3473">
        <v>0</v>
      </c>
      <c r="R3473">
        <v>0</v>
      </c>
      <c r="S3473">
        <v>0</v>
      </c>
      <c r="T3473">
        <v>0</v>
      </c>
      <c r="U3473">
        <v>0</v>
      </c>
      <c r="V3473">
        <v>0</v>
      </c>
      <c r="W3473">
        <v>0</v>
      </c>
      <c r="X3473">
        <v>0</v>
      </c>
      <c r="Y3473" t="s">
        <v>31</v>
      </c>
      <c r="Z3473">
        <v>55</v>
      </c>
      <c r="AA3473">
        <v>0</v>
      </c>
    </row>
    <row r="3474" spans="1:27" x14ac:dyDescent="0.2">
      <c r="A3474" t="s">
        <v>547</v>
      </c>
      <c r="B3474">
        <v>2019</v>
      </c>
      <c r="C3474">
        <v>2219022019</v>
      </c>
      <c r="D3474" t="s">
        <v>4472</v>
      </c>
      <c r="E3474" t="s">
        <v>29</v>
      </c>
      <c r="F3474" t="s">
        <v>30</v>
      </c>
      <c r="G3474">
        <v>0</v>
      </c>
      <c r="H3474">
        <v>0</v>
      </c>
      <c r="I3474">
        <v>0</v>
      </c>
      <c r="J3474">
        <v>0</v>
      </c>
      <c r="K3474">
        <v>0</v>
      </c>
      <c r="L3474">
        <v>0</v>
      </c>
      <c r="M3474">
        <v>1</v>
      </c>
      <c r="N3474">
        <v>0</v>
      </c>
      <c r="O3474">
        <v>0</v>
      </c>
      <c r="P3474">
        <v>0</v>
      </c>
      <c r="Q3474">
        <v>0</v>
      </c>
      <c r="R3474">
        <v>0</v>
      </c>
      <c r="S3474">
        <v>0</v>
      </c>
      <c r="T3474">
        <v>0</v>
      </c>
      <c r="U3474">
        <v>0</v>
      </c>
      <c r="V3474">
        <v>0</v>
      </c>
      <c r="W3474">
        <v>0</v>
      </c>
      <c r="X3474">
        <v>0</v>
      </c>
      <c r="Y3474" t="s">
        <v>31</v>
      </c>
      <c r="Z3474">
        <v>55</v>
      </c>
      <c r="AA3474">
        <v>0</v>
      </c>
    </row>
    <row r="3475" spans="1:27" x14ac:dyDescent="0.2">
      <c r="A3475" t="s">
        <v>547</v>
      </c>
      <c r="B3475">
        <v>2019</v>
      </c>
      <c r="C3475">
        <v>5046015030</v>
      </c>
      <c r="D3475" t="s">
        <v>4473</v>
      </c>
      <c r="E3475" t="s">
        <v>29</v>
      </c>
      <c r="F3475" t="s">
        <v>30</v>
      </c>
      <c r="G3475">
        <v>0</v>
      </c>
      <c r="H3475">
        <v>0</v>
      </c>
      <c r="I3475">
        <v>0</v>
      </c>
      <c r="J3475">
        <v>0</v>
      </c>
      <c r="K3475">
        <v>0</v>
      </c>
      <c r="L3475">
        <v>0</v>
      </c>
      <c r="M3475">
        <v>2</v>
      </c>
      <c r="N3475">
        <v>0</v>
      </c>
      <c r="O3475">
        <v>1</v>
      </c>
      <c r="P3475">
        <v>0</v>
      </c>
      <c r="Q3475">
        <v>0</v>
      </c>
      <c r="R3475">
        <v>0</v>
      </c>
      <c r="S3475">
        <v>0</v>
      </c>
      <c r="T3475">
        <v>0</v>
      </c>
      <c r="U3475">
        <v>0</v>
      </c>
      <c r="V3475">
        <v>0</v>
      </c>
      <c r="W3475">
        <v>0</v>
      </c>
      <c r="X3475">
        <v>0</v>
      </c>
      <c r="Y3475" t="s">
        <v>31</v>
      </c>
      <c r="Z3475">
        <v>55</v>
      </c>
      <c r="AA3475">
        <v>0</v>
      </c>
    </row>
    <row r="3476" spans="1:27" x14ac:dyDescent="0.2">
      <c r="A3476" t="s">
        <v>547</v>
      </c>
      <c r="B3476">
        <v>2019</v>
      </c>
      <c r="C3476">
        <v>4263032033</v>
      </c>
      <c r="D3476" t="s">
        <v>4474</v>
      </c>
      <c r="E3476" t="s">
        <v>29</v>
      </c>
      <c r="F3476" t="s">
        <v>30</v>
      </c>
      <c r="G3476">
        <v>5</v>
      </c>
      <c r="H3476">
        <v>0</v>
      </c>
      <c r="I3476">
        <v>0</v>
      </c>
      <c r="J3476">
        <v>0</v>
      </c>
      <c r="K3476">
        <v>0</v>
      </c>
      <c r="L3476">
        <v>0</v>
      </c>
      <c r="M3476">
        <v>0</v>
      </c>
      <c r="N3476">
        <v>0</v>
      </c>
      <c r="O3476">
        <v>0</v>
      </c>
      <c r="P3476">
        <v>0</v>
      </c>
      <c r="Q3476">
        <v>0</v>
      </c>
      <c r="R3476">
        <v>0</v>
      </c>
      <c r="S3476">
        <v>0</v>
      </c>
      <c r="T3476">
        <v>0</v>
      </c>
      <c r="U3476">
        <v>0</v>
      </c>
      <c r="V3476">
        <v>0</v>
      </c>
      <c r="W3476">
        <v>0</v>
      </c>
      <c r="X3476">
        <v>0</v>
      </c>
      <c r="Y3476" t="s">
        <v>31</v>
      </c>
      <c r="Z3476">
        <v>55</v>
      </c>
      <c r="AA3476">
        <v>0</v>
      </c>
    </row>
    <row r="3477" spans="1:27" x14ac:dyDescent="0.2">
      <c r="A3477" t="s">
        <v>547</v>
      </c>
      <c r="B3477">
        <v>2019</v>
      </c>
      <c r="C3477">
        <v>5404005003</v>
      </c>
      <c r="D3477" t="s">
        <v>4475</v>
      </c>
      <c r="E3477" t="s">
        <v>29</v>
      </c>
      <c r="F3477" t="s">
        <v>30</v>
      </c>
      <c r="G3477">
        <v>1</v>
      </c>
      <c r="H3477">
        <v>0</v>
      </c>
      <c r="I3477">
        <v>0</v>
      </c>
      <c r="J3477">
        <v>0</v>
      </c>
      <c r="K3477">
        <v>0</v>
      </c>
      <c r="L3477">
        <v>0</v>
      </c>
      <c r="M3477">
        <v>0</v>
      </c>
      <c r="N3477">
        <v>0</v>
      </c>
      <c r="O3477">
        <v>0</v>
      </c>
      <c r="P3477">
        <v>0</v>
      </c>
      <c r="Q3477">
        <v>0</v>
      </c>
      <c r="R3477">
        <v>0</v>
      </c>
      <c r="S3477">
        <v>0</v>
      </c>
      <c r="T3477">
        <v>0</v>
      </c>
      <c r="U3477">
        <v>0</v>
      </c>
      <c r="V3477">
        <v>0</v>
      </c>
      <c r="W3477">
        <v>0</v>
      </c>
      <c r="X3477">
        <v>0</v>
      </c>
      <c r="Y3477" t="s">
        <v>31</v>
      </c>
      <c r="Z3477">
        <v>55</v>
      </c>
      <c r="AA3477">
        <v>0</v>
      </c>
    </row>
    <row r="3478" spans="1:27" x14ac:dyDescent="0.2">
      <c r="A3478" t="s">
        <v>547</v>
      </c>
      <c r="B3478">
        <v>2019</v>
      </c>
      <c r="C3478">
        <v>5544030010</v>
      </c>
      <c r="D3478" t="s">
        <v>4476</v>
      </c>
      <c r="E3478" t="s">
        <v>29</v>
      </c>
      <c r="F3478" t="s">
        <v>30</v>
      </c>
      <c r="G3478">
        <v>0</v>
      </c>
      <c r="H3478">
        <v>0</v>
      </c>
      <c r="I3478">
        <v>59</v>
      </c>
      <c r="J3478">
        <v>0</v>
      </c>
      <c r="K3478">
        <v>0</v>
      </c>
      <c r="L3478">
        <v>0</v>
      </c>
      <c r="M3478">
        <v>0</v>
      </c>
      <c r="N3478">
        <v>0</v>
      </c>
      <c r="O3478">
        <v>0</v>
      </c>
      <c r="P3478">
        <v>0</v>
      </c>
      <c r="Q3478">
        <v>0</v>
      </c>
      <c r="R3478">
        <v>0</v>
      </c>
      <c r="S3478">
        <v>0</v>
      </c>
      <c r="T3478">
        <v>0</v>
      </c>
      <c r="U3478">
        <v>0</v>
      </c>
      <c r="V3478">
        <v>0</v>
      </c>
      <c r="W3478">
        <v>0</v>
      </c>
      <c r="X3478">
        <v>0</v>
      </c>
      <c r="Y3478" t="s">
        <v>31</v>
      </c>
      <c r="Z3478">
        <v>55</v>
      </c>
      <c r="AA3478">
        <v>0</v>
      </c>
    </row>
    <row r="3479" spans="1:27" x14ac:dyDescent="0.2">
      <c r="A3479" t="s">
        <v>547</v>
      </c>
      <c r="B3479">
        <v>2019</v>
      </c>
      <c r="C3479">
        <v>4257006033</v>
      </c>
      <c r="D3479" t="s">
        <v>4477</v>
      </c>
      <c r="E3479" t="s">
        <v>29</v>
      </c>
      <c r="F3479" t="s">
        <v>30</v>
      </c>
      <c r="G3479">
        <v>6</v>
      </c>
      <c r="H3479">
        <v>0</v>
      </c>
      <c r="I3479">
        <v>0</v>
      </c>
      <c r="J3479">
        <v>0</v>
      </c>
      <c r="K3479">
        <v>1</v>
      </c>
      <c r="L3479">
        <v>0</v>
      </c>
      <c r="M3479">
        <v>0</v>
      </c>
      <c r="N3479">
        <v>0</v>
      </c>
      <c r="O3479">
        <v>0</v>
      </c>
      <c r="P3479">
        <v>0</v>
      </c>
      <c r="Q3479">
        <v>0</v>
      </c>
      <c r="R3479">
        <v>0</v>
      </c>
      <c r="S3479">
        <v>0</v>
      </c>
      <c r="T3479">
        <v>0</v>
      </c>
      <c r="U3479">
        <v>0</v>
      </c>
      <c r="V3479">
        <v>0</v>
      </c>
      <c r="W3479">
        <v>0</v>
      </c>
      <c r="X3479">
        <v>0</v>
      </c>
      <c r="Y3479" t="s">
        <v>31</v>
      </c>
      <c r="Z3479">
        <v>55</v>
      </c>
      <c r="AA3479">
        <v>0</v>
      </c>
    </row>
    <row r="3480" spans="1:27" x14ac:dyDescent="0.2">
      <c r="A3480" t="s">
        <v>547</v>
      </c>
      <c r="B3480">
        <v>2019</v>
      </c>
      <c r="C3480">
        <v>2423019026</v>
      </c>
      <c r="D3480" t="s">
        <v>4478</v>
      </c>
      <c r="E3480" t="s">
        <v>29</v>
      </c>
      <c r="F3480" t="s">
        <v>30</v>
      </c>
      <c r="G3480">
        <v>0</v>
      </c>
      <c r="H3480">
        <v>0</v>
      </c>
      <c r="I3480">
        <v>6</v>
      </c>
      <c r="J3480">
        <v>0</v>
      </c>
      <c r="K3480">
        <v>0</v>
      </c>
      <c r="L3480">
        <v>0</v>
      </c>
      <c r="M3480">
        <v>0</v>
      </c>
      <c r="N3480">
        <v>0</v>
      </c>
      <c r="O3480">
        <v>0</v>
      </c>
      <c r="P3480">
        <v>0</v>
      </c>
      <c r="Q3480">
        <v>0</v>
      </c>
      <c r="R3480">
        <v>0</v>
      </c>
      <c r="S3480">
        <v>0</v>
      </c>
      <c r="T3480">
        <v>0</v>
      </c>
      <c r="U3480">
        <v>0</v>
      </c>
      <c r="V3480">
        <v>0</v>
      </c>
      <c r="W3480">
        <v>0</v>
      </c>
      <c r="X3480">
        <v>0</v>
      </c>
      <c r="Y3480" t="s">
        <v>31</v>
      </c>
      <c r="Z3480">
        <v>55</v>
      </c>
      <c r="AA3480">
        <v>0</v>
      </c>
    </row>
    <row r="3481" spans="1:27" x14ac:dyDescent="0.2">
      <c r="A3481" t="s">
        <v>547</v>
      </c>
      <c r="B3481">
        <v>2019</v>
      </c>
      <c r="C3481">
        <v>5414013014</v>
      </c>
      <c r="D3481" t="s">
        <v>4479</v>
      </c>
      <c r="E3481" t="s">
        <v>29</v>
      </c>
      <c r="F3481" t="s">
        <v>30</v>
      </c>
      <c r="G3481">
        <v>9</v>
      </c>
      <c r="H3481">
        <v>0</v>
      </c>
      <c r="I3481">
        <v>0</v>
      </c>
      <c r="J3481">
        <v>0</v>
      </c>
      <c r="K3481">
        <v>0</v>
      </c>
      <c r="L3481">
        <v>0</v>
      </c>
      <c r="M3481">
        <v>0</v>
      </c>
      <c r="N3481">
        <v>0</v>
      </c>
      <c r="O3481">
        <v>0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0</v>
      </c>
      <c r="V3481">
        <v>0</v>
      </c>
      <c r="W3481">
        <v>0</v>
      </c>
      <c r="X3481">
        <v>0</v>
      </c>
      <c r="Y3481" t="s">
        <v>31</v>
      </c>
      <c r="Z3481">
        <v>55</v>
      </c>
      <c r="AA3481">
        <v>0</v>
      </c>
    </row>
    <row r="3482" spans="1:27" x14ac:dyDescent="0.2">
      <c r="A3482" t="s">
        <v>547</v>
      </c>
      <c r="B3482">
        <v>2019</v>
      </c>
      <c r="C3482">
        <v>2412019021</v>
      </c>
      <c r="D3482" t="s">
        <v>4480</v>
      </c>
      <c r="E3482" t="s">
        <v>29</v>
      </c>
      <c r="F3482" t="s">
        <v>30</v>
      </c>
      <c r="G3482">
        <v>14</v>
      </c>
      <c r="H3482">
        <v>0</v>
      </c>
      <c r="I3482">
        <v>87</v>
      </c>
      <c r="J3482">
        <v>0</v>
      </c>
      <c r="K3482">
        <v>0</v>
      </c>
      <c r="L3482">
        <v>0</v>
      </c>
      <c r="M3482">
        <v>0</v>
      </c>
      <c r="N3482">
        <v>0</v>
      </c>
      <c r="O3482">
        <v>0</v>
      </c>
      <c r="P3482">
        <v>0</v>
      </c>
      <c r="Q3482">
        <v>0</v>
      </c>
      <c r="R3482">
        <v>0</v>
      </c>
      <c r="S3482">
        <v>0</v>
      </c>
      <c r="T3482">
        <v>0</v>
      </c>
      <c r="U3482">
        <v>0</v>
      </c>
      <c r="V3482">
        <v>0</v>
      </c>
      <c r="W3482">
        <v>0</v>
      </c>
      <c r="X3482">
        <v>0</v>
      </c>
      <c r="Y3482" t="s">
        <v>31</v>
      </c>
      <c r="Z3482">
        <v>55</v>
      </c>
      <c r="AA3482">
        <v>0</v>
      </c>
    </row>
    <row r="3483" spans="1:27" x14ac:dyDescent="0.2">
      <c r="A3483" t="s">
        <v>547</v>
      </c>
      <c r="B3483">
        <v>2019</v>
      </c>
      <c r="C3483">
        <v>5153003011</v>
      </c>
      <c r="D3483" t="s">
        <v>4481</v>
      </c>
      <c r="E3483" t="s">
        <v>29</v>
      </c>
      <c r="F3483" t="s">
        <v>30</v>
      </c>
      <c r="G3483">
        <v>4</v>
      </c>
      <c r="H3483">
        <v>0</v>
      </c>
      <c r="I3483">
        <v>0</v>
      </c>
      <c r="J3483">
        <v>0</v>
      </c>
      <c r="K3483">
        <v>0</v>
      </c>
      <c r="L3483">
        <v>0</v>
      </c>
      <c r="M3483">
        <v>0</v>
      </c>
      <c r="N3483">
        <v>0</v>
      </c>
      <c r="O3483">
        <v>0</v>
      </c>
      <c r="P3483">
        <v>0</v>
      </c>
      <c r="Q3483">
        <v>0</v>
      </c>
      <c r="R3483">
        <v>0</v>
      </c>
      <c r="S3483">
        <v>0</v>
      </c>
      <c r="T3483">
        <v>0</v>
      </c>
      <c r="U3483">
        <v>0</v>
      </c>
      <c r="V3483">
        <v>0</v>
      </c>
      <c r="W3483">
        <v>0</v>
      </c>
      <c r="X3483">
        <v>0</v>
      </c>
      <c r="Y3483" t="s">
        <v>31</v>
      </c>
      <c r="Z3483">
        <v>55</v>
      </c>
      <c r="AA3483">
        <v>0</v>
      </c>
    </row>
    <row r="3484" spans="1:27" x14ac:dyDescent="0.2">
      <c r="A3484" t="s">
        <v>547</v>
      </c>
      <c r="B3484">
        <v>2019</v>
      </c>
      <c r="C3484">
        <v>2350001096</v>
      </c>
      <c r="D3484" t="s">
        <v>4482</v>
      </c>
      <c r="E3484" t="s">
        <v>29</v>
      </c>
      <c r="F3484" t="s">
        <v>30</v>
      </c>
      <c r="G3484">
        <v>2</v>
      </c>
      <c r="H3484">
        <v>0</v>
      </c>
      <c r="I3484">
        <v>0</v>
      </c>
      <c r="J3484">
        <v>0</v>
      </c>
      <c r="K3484">
        <v>0</v>
      </c>
      <c r="L3484">
        <v>0</v>
      </c>
      <c r="M3484">
        <v>0</v>
      </c>
      <c r="N3484">
        <v>0</v>
      </c>
      <c r="O3484">
        <v>0</v>
      </c>
      <c r="P3484">
        <v>0</v>
      </c>
      <c r="Q3484">
        <v>0</v>
      </c>
      <c r="R3484">
        <v>0</v>
      </c>
      <c r="S3484">
        <v>0</v>
      </c>
      <c r="T3484">
        <v>0</v>
      </c>
      <c r="U3484">
        <v>0</v>
      </c>
      <c r="V3484">
        <v>0</v>
      </c>
      <c r="W3484">
        <v>0</v>
      </c>
      <c r="X3484">
        <v>0</v>
      </c>
      <c r="Y3484" t="s">
        <v>31</v>
      </c>
      <c r="Z3484">
        <v>55</v>
      </c>
      <c r="AA3484">
        <v>0</v>
      </c>
    </row>
    <row r="3485" spans="1:27" x14ac:dyDescent="0.2">
      <c r="A3485" t="s">
        <v>547</v>
      </c>
      <c r="B3485">
        <v>2019</v>
      </c>
      <c r="C3485">
        <v>5546014058</v>
      </c>
      <c r="D3485" t="s">
        <v>4483</v>
      </c>
      <c r="E3485" t="s">
        <v>29</v>
      </c>
      <c r="F3485" t="s">
        <v>30</v>
      </c>
      <c r="G3485">
        <v>10</v>
      </c>
      <c r="H3485">
        <v>0</v>
      </c>
      <c r="I3485">
        <v>0</v>
      </c>
      <c r="J3485">
        <v>0</v>
      </c>
      <c r="K3485">
        <v>0</v>
      </c>
      <c r="L3485">
        <v>0</v>
      </c>
      <c r="M3485">
        <v>0</v>
      </c>
      <c r="N3485">
        <v>0</v>
      </c>
      <c r="O3485">
        <v>0</v>
      </c>
      <c r="P3485">
        <v>0</v>
      </c>
      <c r="Q3485">
        <v>0</v>
      </c>
      <c r="R3485">
        <v>0</v>
      </c>
      <c r="S3485">
        <v>0</v>
      </c>
      <c r="T3485">
        <v>0</v>
      </c>
      <c r="U3485">
        <v>0</v>
      </c>
      <c r="V3485">
        <v>0</v>
      </c>
      <c r="W3485">
        <v>0</v>
      </c>
      <c r="X3485">
        <v>0</v>
      </c>
      <c r="Y3485" t="s">
        <v>31</v>
      </c>
      <c r="Z3485">
        <v>55</v>
      </c>
      <c r="AA3485">
        <v>0</v>
      </c>
    </row>
    <row r="3486" spans="1:27" x14ac:dyDescent="0.2">
      <c r="A3486" t="s">
        <v>547</v>
      </c>
      <c r="B3486">
        <v>2019</v>
      </c>
      <c r="C3486">
        <v>5037027937</v>
      </c>
      <c r="D3486" t="s">
        <v>4484</v>
      </c>
      <c r="E3486" t="s">
        <v>29</v>
      </c>
      <c r="F3486" t="s">
        <v>30</v>
      </c>
      <c r="G3486">
        <v>8</v>
      </c>
      <c r="H3486">
        <v>0</v>
      </c>
      <c r="I3486">
        <v>0</v>
      </c>
      <c r="J3486">
        <v>0</v>
      </c>
      <c r="K3486">
        <v>0</v>
      </c>
      <c r="L3486">
        <v>0</v>
      </c>
      <c r="M3486">
        <v>0</v>
      </c>
      <c r="N3486">
        <v>0</v>
      </c>
      <c r="O3486">
        <v>0</v>
      </c>
      <c r="P3486">
        <v>0</v>
      </c>
      <c r="Q3486">
        <v>0</v>
      </c>
      <c r="R3486">
        <v>0</v>
      </c>
      <c r="S3486">
        <v>0</v>
      </c>
      <c r="T3486">
        <v>0</v>
      </c>
      <c r="U3486">
        <v>0</v>
      </c>
      <c r="V3486">
        <v>0</v>
      </c>
      <c r="W3486">
        <v>0</v>
      </c>
      <c r="X3486">
        <v>0</v>
      </c>
      <c r="Y3486" t="s">
        <v>31</v>
      </c>
      <c r="Z3486">
        <v>55</v>
      </c>
      <c r="AA3486">
        <v>0</v>
      </c>
    </row>
    <row r="3487" spans="1:27" x14ac:dyDescent="0.2">
      <c r="A3487" t="s">
        <v>600</v>
      </c>
      <c r="B3487">
        <v>2020</v>
      </c>
      <c r="C3487" s="2" t="s">
        <v>4485</v>
      </c>
      <c r="D3487" t="s">
        <v>4486</v>
      </c>
      <c r="E3487" t="s">
        <v>29</v>
      </c>
      <c r="F3487" t="s">
        <v>30</v>
      </c>
      <c r="G3487">
        <v>69</v>
      </c>
      <c r="H3487">
        <v>0</v>
      </c>
      <c r="I3487">
        <v>0</v>
      </c>
      <c r="J3487">
        <v>0</v>
      </c>
      <c r="K3487">
        <v>0</v>
      </c>
      <c r="L3487">
        <v>0</v>
      </c>
      <c r="M3487">
        <v>0</v>
      </c>
      <c r="N3487">
        <v>0</v>
      </c>
      <c r="O3487">
        <v>0</v>
      </c>
      <c r="P3487">
        <v>0</v>
      </c>
      <c r="Q3487">
        <v>0</v>
      </c>
      <c r="R3487">
        <v>0</v>
      </c>
      <c r="S3487">
        <v>0</v>
      </c>
      <c r="T3487">
        <v>0</v>
      </c>
      <c r="U3487">
        <v>0</v>
      </c>
      <c r="V3487">
        <v>0</v>
      </c>
      <c r="W3487">
        <v>0</v>
      </c>
      <c r="X3487">
        <v>0</v>
      </c>
      <c r="Y3487" t="s">
        <v>51</v>
      </c>
      <c r="AA3487">
        <v>0</v>
      </c>
    </row>
    <row r="3488" spans="1:27" x14ac:dyDescent="0.2">
      <c r="A3488" t="s">
        <v>600</v>
      </c>
      <c r="B3488">
        <v>2020</v>
      </c>
      <c r="C3488">
        <v>1015001</v>
      </c>
      <c r="D3488" t="s">
        <v>4487</v>
      </c>
      <c r="E3488" t="s">
        <v>29</v>
      </c>
      <c r="F3488" t="s">
        <v>41</v>
      </c>
      <c r="G3488">
        <v>0</v>
      </c>
      <c r="H3488">
        <v>0</v>
      </c>
      <c r="I3488">
        <v>0</v>
      </c>
      <c r="J3488">
        <v>0</v>
      </c>
      <c r="K3488">
        <v>0</v>
      </c>
      <c r="L3488">
        <v>0</v>
      </c>
      <c r="M3488">
        <v>0</v>
      </c>
      <c r="N3488">
        <v>0</v>
      </c>
      <c r="O3488">
        <v>0</v>
      </c>
      <c r="P3488">
        <v>0</v>
      </c>
      <c r="Q3488">
        <v>0</v>
      </c>
      <c r="R3488">
        <v>0</v>
      </c>
      <c r="S3488">
        <v>0</v>
      </c>
      <c r="T3488">
        <v>0</v>
      </c>
      <c r="U3488">
        <v>0</v>
      </c>
      <c r="V3488">
        <v>0</v>
      </c>
      <c r="W3488">
        <v>0</v>
      </c>
      <c r="X3488">
        <v>0</v>
      </c>
      <c r="Y3488" t="s">
        <v>51</v>
      </c>
      <c r="AA3488">
        <v>0</v>
      </c>
    </row>
    <row r="3489" spans="1:27" x14ac:dyDescent="0.2">
      <c r="A3489" t="s">
        <v>547</v>
      </c>
      <c r="B3489">
        <v>2019</v>
      </c>
      <c r="C3489">
        <v>2654015017</v>
      </c>
      <c r="D3489" t="s">
        <v>4488</v>
      </c>
      <c r="E3489" t="s">
        <v>29</v>
      </c>
      <c r="F3489" t="s">
        <v>30</v>
      </c>
      <c r="G3489">
        <v>0</v>
      </c>
      <c r="H3489">
        <v>0</v>
      </c>
      <c r="I3489">
        <v>0</v>
      </c>
      <c r="J3489">
        <v>0</v>
      </c>
      <c r="K3489">
        <v>0</v>
      </c>
      <c r="L3489">
        <v>0</v>
      </c>
      <c r="M3489">
        <v>4</v>
      </c>
      <c r="N3489">
        <v>0</v>
      </c>
      <c r="O3489">
        <v>0</v>
      </c>
      <c r="P3489">
        <v>0</v>
      </c>
      <c r="Q3489">
        <v>0</v>
      </c>
      <c r="R3489">
        <v>0</v>
      </c>
      <c r="S3489">
        <v>0</v>
      </c>
      <c r="T3489">
        <v>0</v>
      </c>
      <c r="U3489">
        <v>0</v>
      </c>
      <c r="V3489">
        <v>0</v>
      </c>
      <c r="W3489">
        <v>0</v>
      </c>
      <c r="X3489">
        <v>0</v>
      </c>
      <c r="Y3489" t="s">
        <v>31</v>
      </c>
      <c r="Z3489">
        <v>55</v>
      </c>
      <c r="AA3489">
        <v>0</v>
      </c>
    </row>
    <row r="3490" spans="1:27" x14ac:dyDescent="0.2">
      <c r="A3490" t="s">
        <v>600</v>
      </c>
      <c r="B3490">
        <v>2020</v>
      </c>
      <c r="C3490" s="2" t="s">
        <v>1860</v>
      </c>
      <c r="D3490" t="s">
        <v>1861</v>
      </c>
      <c r="E3490" t="s">
        <v>29</v>
      </c>
      <c r="F3490" t="s">
        <v>30</v>
      </c>
      <c r="G3490">
        <v>0</v>
      </c>
      <c r="H3490">
        <v>0</v>
      </c>
      <c r="I3490">
        <v>0</v>
      </c>
      <c r="J3490">
        <v>0</v>
      </c>
      <c r="K3490">
        <v>0</v>
      </c>
      <c r="L3490">
        <v>0</v>
      </c>
      <c r="M3490">
        <v>0</v>
      </c>
      <c r="N3490">
        <v>0</v>
      </c>
      <c r="O3490">
        <v>0</v>
      </c>
      <c r="P3490">
        <v>0</v>
      </c>
      <c r="Q3490">
        <v>0</v>
      </c>
      <c r="R3490">
        <v>0</v>
      </c>
      <c r="S3490">
        <v>0</v>
      </c>
      <c r="T3490">
        <v>0</v>
      </c>
      <c r="U3490">
        <v>0</v>
      </c>
      <c r="V3490">
        <v>0</v>
      </c>
      <c r="W3490">
        <v>0</v>
      </c>
      <c r="X3490">
        <v>0</v>
      </c>
      <c r="Y3490" t="s">
        <v>51</v>
      </c>
      <c r="AA3490">
        <v>0</v>
      </c>
    </row>
    <row r="3491" spans="1:27" x14ac:dyDescent="0.2">
      <c r="A3491" t="s">
        <v>600</v>
      </c>
      <c r="B3491">
        <v>2020</v>
      </c>
      <c r="C3491">
        <v>3779133</v>
      </c>
      <c r="D3491" t="s">
        <v>4489</v>
      </c>
      <c r="E3491" t="s">
        <v>29</v>
      </c>
      <c r="F3491" t="s">
        <v>30</v>
      </c>
      <c r="G3491">
        <v>0</v>
      </c>
      <c r="H3491">
        <v>0</v>
      </c>
      <c r="I3491">
        <v>0</v>
      </c>
      <c r="J3491">
        <v>0</v>
      </c>
      <c r="K3491">
        <v>0</v>
      </c>
      <c r="L3491">
        <v>0</v>
      </c>
      <c r="M3491">
        <v>145</v>
      </c>
      <c r="N3491">
        <v>0</v>
      </c>
      <c r="O3491">
        <v>0</v>
      </c>
      <c r="P3491">
        <v>0</v>
      </c>
      <c r="Q3491">
        <v>0</v>
      </c>
      <c r="R3491">
        <v>0</v>
      </c>
      <c r="S3491">
        <v>0</v>
      </c>
      <c r="T3491">
        <v>0</v>
      </c>
      <c r="U3491">
        <v>0</v>
      </c>
      <c r="V3491">
        <v>0</v>
      </c>
      <c r="W3491">
        <v>0</v>
      </c>
      <c r="X3491">
        <v>0</v>
      </c>
      <c r="Y3491" t="s">
        <v>31</v>
      </c>
      <c r="AA3491">
        <v>0</v>
      </c>
    </row>
    <row r="3492" spans="1:27" x14ac:dyDescent="0.2">
      <c r="A3492" t="s">
        <v>600</v>
      </c>
      <c r="B3492">
        <v>2020</v>
      </c>
      <c r="C3492">
        <v>3746003</v>
      </c>
      <c r="D3492" t="s">
        <v>4490</v>
      </c>
      <c r="E3492" t="s">
        <v>29</v>
      </c>
      <c r="F3492" t="s">
        <v>30</v>
      </c>
      <c r="G3492">
        <v>0</v>
      </c>
      <c r="H3492">
        <v>0</v>
      </c>
      <c r="I3492">
        <v>0</v>
      </c>
      <c r="J3492">
        <v>0</v>
      </c>
      <c r="K3492">
        <v>0</v>
      </c>
      <c r="L3492">
        <v>0</v>
      </c>
      <c r="M3492">
        <v>0</v>
      </c>
      <c r="N3492">
        <v>0</v>
      </c>
      <c r="O3492">
        <v>0</v>
      </c>
      <c r="P3492">
        <v>0</v>
      </c>
      <c r="Q3492">
        <v>0</v>
      </c>
      <c r="R3492">
        <v>0</v>
      </c>
      <c r="S3492">
        <v>0</v>
      </c>
      <c r="T3492">
        <v>0</v>
      </c>
      <c r="U3492">
        <v>0</v>
      </c>
      <c r="V3492">
        <v>0</v>
      </c>
      <c r="W3492">
        <v>0</v>
      </c>
      <c r="X3492">
        <v>0</v>
      </c>
      <c r="Y3492" t="s">
        <v>51</v>
      </c>
      <c r="AA3492">
        <v>0</v>
      </c>
    </row>
    <row r="3493" spans="1:27" x14ac:dyDescent="0.2">
      <c r="A3493" t="s">
        <v>600</v>
      </c>
      <c r="B3493">
        <v>2020</v>
      </c>
      <c r="C3493" s="2" t="s">
        <v>962</v>
      </c>
      <c r="D3493" t="s">
        <v>1085</v>
      </c>
      <c r="E3493" t="s">
        <v>29</v>
      </c>
      <c r="F3493" t="s">
        <v>30</v>
      </c>
      <c r="G3493">
        <v>0</v>
      </c>
      <c r="H3493">
        <v>0</v>
      </c>
      <c r="I3493">
        <v>0</v>
      </c>
      <c r="J3493">
        <v>0</v>
      </c>
      <c r="K3493">
        <v>0</v>
      </c>
      <c r="L3493">
        <v>0</v>
      </c>
      <c r="M3493">
        <v>0</v>
      </c>
      <c r="N3493">
        <v>0</v>
      </c>
      <c r="O3493">
        <v>0</v>
      </c>
      <c r="P3493">
        <v>0</v>
      </c>
      <c r="Q3493">
        <v>0</v>
      </c>
      <c r="R3493">
        <v>0</v>
      </c>
      <c r="S3493">
        <v>0</v>
      </c>
      <c r="T3493">
        <v>0</v>
      </c>
      <c r="U3493">
        <v>0</v>
      </c>
      <c r="V3493">
        <v>0</v>
      </c>
      <c r="W3493">
        <v>0</v>
      </c>
      <c r="X3493">
        <v>0</v>
      </c>
      <c r="Y3493" t="s">
        <v>51</v>
      </c>
      <c r="AA3493">
        <v>0</v>
      </c>
    </row>
    <row r="3494" spans="1:27" x14ac:dyDescent="0.2">
      <c r="A3494" t="s">
        <v>600</v>
      </c>
      <c r="B3494">
        <v>2020</v>
      </c>
      <c r="C3494">
        <v>3753079</v>
      </c>
      <c r="D3494" t="s">
        <v>1087</v>
      </c>
      <c r="E3494" t="s">
        <v>29</v>
      </c>
      <c r="F3494" t="s">
        <v>30</v>
      </c>
      <c r="G3494">
        <v>0</v>
      </c>
      <c r="H3494">
        <v>0</v>
      </c>
      <c r="I3494">
        <v>0</v>
      </c>
      <c r="J3494">
        <v>0</v>
      </c>
      <c r="K3494">
        <v>0</v>
      </c>
      <c r="L3494">
        <v>0</v>
      </c>
      <c r="M3494">
        <v>0</v>
      </c>
      <c r="N3494">
        <v>0</v>
      </c>
      <c r="O3494">
        <v>0</v>
      </c>
      <c r="P3494">
        <v>0</v>
      </c>
      <c r="Q3494">
        <v>0</v>
      </c>
      <c r="R3494">
        <v>0</v>
      </c>
      <c r="S3494">
        <v>0</v>
      </c>
      <c r="T3494">
        <v>0</v>
      </c>
      <c r="U3494">
        <v>12</v>
      </c>
      <c r="V3494">
        <v>0</v>
      </c>
      <c r="W3494">
        <v>0</v>
      </c>
      <c r="X3494">
        <v>0</v>
      </c>
      <c r="Y3494" t="s">
        <v>51</v>
      </c>
      <c r="AA3494">
        <v>0</v>
      </c>
    </row>
    <row r="3495" spans="1:27" x14ac:dyDescent="0.2">
      <c r="A3495" t="s">
        <v>600</v>
      </c>
      <c r="B3495">
        <v>2020</v>
      </c>
      <c r="C3495">
        <v>4059009</v>
      </c>
      <c r="D3495" t="s">
        <v>604</v>
      </c>
      <c r="E3495" t="s">
        <v>29</v>
      </c>
      <c r="F3495" t="s">
        <v>41</v>
      </c>
      <c r="G3495">
        <v>0</v>
      </c>
      <c r="H3495">
        <v>0</v>
      </c>
      <c r="I3495">
        <v>0</v>
      </c>
      <c r="J3495">
        <v>0</v>
      </c>
      <c r="K3495">
        <v>0</v>
      </c>
      <c r="L3495">
        <v>0</v>
      </c>
      <c r="M3495">
        <v>0</v>
      </c>
      <c r="N3495">
        <v>0</v>
      </c>
      <c r="O3495">
        <v>0</v>
      </c>
      <c r="P3495">
        <v>0</v>
      </c>
      <c r="Q3495">
        <v>0</v>
      </c>
      <c r="R3495">
        <v>0</v>
      </c>
      <c r="S3495">
        <v>0</v>
      </c>
      <c r="T3495">
        <v>0</v>
      </c>
      <c r="U3495">
        <v>0</v>
      </c>
      <c r="V3495">
        <v>0</v>
      </c>
      <c r="W3495">
        <v>0</v>
      </c>
      <c r="X3495">
        <v>0</v>
      </c>
      <c r="Y3495" t="s">
        <v>51</v>
      </c>
      <c r="AA3495">
        <v>0</v>
      </c>
    </row>
    <row r="3496" spans="1:27" x14ac:dyDescent="0.2">
      <c r="A3496" t="s">
        <v>600</v>
      </c>
      <c r="B3496">
        <v>2020</v>
      </c>
      <c r="C3496">
        <v>2515001</v>
      </c>
      <c r="D3496" t="s">
        <v>1488</v>
      </c>
      <c r="E3496" t="s">
        <v>29</v>
      </c>
      <c r="F3496" t="s">
        <v>41</v>
      </c>
      <c r="G3496">
        <v>0</v>
      </c>
      <c r="H3496">
        <v>0</v>
      </c>
      <c r="I3496">
        <v>0</v>
      </c>
      <c r="J3496">
        <v>0</v>
      </c>
      <c r="K3496">
        <v>0</v>
      </c>
      <c r="L3496">
        <v>0</v>
      </c>
      <c r="M3496">
        <v>0</v>
      </c>
      <c r="N3496">
        <v>0</v>
      </c>
      <c r="O3496">
        <v>0</v>
      </c>
      <c r="P3496">
        <v>0</v>
      </c>
      <c r="Q3496">
        <v>0</v>
      </c>
      <c r="R3496">
        <v>0</v>
      </c>
      <c r="S3496">
        <v>0</v>
      </c>
      <c r="T3496">
        <v>0</v>
      </c>
      <c r="U3496">
        <v>0</v>
      </c>
      <c r="V3496">
        <v>0</v>
      </c>
      <c r="W3496">
        <v>7</v>
      </c>
      <c r="X3496">
        <v>0</v>
      </c>
      <c r="Y3496" t="s">
        <v>51</v>
      </c>
      <c r="AA3496">
        <v>0</v>
      </c>
    </row>
    <row r="3497" spans="1:27" x14ac:dyDescent="0.2">
      <c r="A3497" t="s">
        <v>600</v>
      </c>
      <c r="B3497">
        <v>2020</v>
      </c>
      <c r="C3497">
        <v>4006006</v>
      </c>
      <c r="D3497" t="s">
        <v>3505</v>
      </c>
      <c r="E3497" t="s">
        <v>29</v>
      </c>
      <c r="F3497" t="s">
        <v>30</v>
      </c>
      <c r="G3497">
        <v>0</v>
      </c>
      <c r="H3497">
        <v>0</v>
      </c>
      <c r="I3497">
        <v>0</v>
      </c>
      <c r="J3497">
        <v>0</v>
      </c>
      <c r="K3497">
        <v>0</v>
      </c>
      <c r="L3497">
        <v>0</v>
      </c>
      <c r="M3497">
        <v>0</v>
      </c>
      <c r="N3497">
        <v>0</v>
      </c>
      <c r="O3497">
        <v>0</v>
      </c>
      <c r="P3497">
        <v>0</v>
      </c>
      <c r="Q3497">
        <v>0</v>
      </c>
      <c r="R3497">
        <v>0</v>
      </c>
      <c r="S3497">
        <v>0</v>
      </c>
      <c r="T3497">
        <v>0</v>
      </c>
      <c r="U3497">
        <v>0</v>
      </c>
      <c r="V3497">
        <v>0</v>
      </c>
      <c r="W3497">
        <v>0</v>
      </c>
      <c r="X3497">
        <v>0</v>
      </c>
      <c r="Y3497" t="s">
        <v>51</v>
      </c>
      <c r="AA3497">
        <v>0</v>
      </c>
    </row>
    <row r="3498" spans="1:27" x14ac:dyDescent="0.2">
      <c r="A3498" t="s">
        <v>547</v>
      </c>
      <c r="B3498">
        <v>2019</v>
      </c>
      <c r="C3498">
        <v>2239006030</v>
      </c>
      <c r="D3498" t="s">
        <v>2350</v>
      </c>
      <c r="E3498" t="s">
        <v>29</v>
      </c>
      <c r="F3498" t="s">
        <v>30</v>
      </c>
      <c r="G3498">
        <v>0</v>
      </c>
      <c r="H3498">
        <v>0</v>
      </c>
      <c r="I3498">
        <v>0</v>
      </c>
      <c r="J3498">
        <v>0</v>
      </c>
      <c r="K3498">
        <v>0</v>
      </c>
      <c r="L3498">
        <v>0</v>
      </c>
      <c r="M3498">
        <v>4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>
        <v>0</v>
      </c>
      <c r="U3498">
        <v>0</v>
      </c>
      <c r="V3498">
        <v>0</v>
      </c>
      <c r="W3498">
        <v>0</v>
      </c>
      <c r="X3498">
        <v>0</v>
      </c>
      <c r="Y3498" t="s">
        <v>31</v>
      </c>
      <c r="Z3498">
        <v>55</v>
      </c>
      <c r="AA3498">
        <v>0</v>
      </c>
    </row>
    <row r="3499" spans="1:27" x14ac:dyDescent="0.2">
      <c r="A3499" t="s">
        <v>547</v>
      </c>
      <c r="B3499">
        <v>2019</v>
      </c>
      <c r="C3499">
        <v>5442010027</v>
      </c>
      <c r="D3499" t="s">
        <v>1027</v>
      </c>
      <c r="E3499" t="s">
        <v>29</v>
      </c>
      <c r="F3499" t="s">
        <v>30</v>
      </c>
      <c r="G3499">
        <v>0</v>
      </c>
      <c r="H3499">
        <v>0</v>
      </c>
      <c r="I3499">
        <v>0</v>
      </c>
      <c r="J3499">
        <v>0</v>
      </c>
      <c r="K3499">
        <v>0</v>
      </c>
      <c r="L3499">
        <v>0</v>
      </c>
      <c r="M3499">
        <v>5</v>
      </c>
      <c r="N3499">
        <v>0</v>
      </c>
      <c r="O3499">
        <v>0</v>
      </c>
      <c r="P3499">
        <v>0</v>
      </c>
      <c r="Q3499">
        <v>0</v>
      </c>
      <c r="R3499">
        <v>0</v>
      </c>
      <c r="S3499">
        <v>0</v>
      </c>
      <c r="T3499">
        <v>0</v>
      </c>
      <c r="U3499">
        <v>0</v>
      </c>
      <c r="V3499">
        <v>0</v>
      </c>
      <c r="W3499">
        <v>0</v>
      </c>
      <c r="X3499">
        <v>0</v>
      </c>
      <c r="Y3499" t="s">
        <v>31</v>
      </c>
      <c r="Z3499">
        <v>55</v>
      </c>
      <c r="AA3499">
        <v>0</v>
      </c>
    </row>
    <row r="3500" spans="1:27" x14ac:dyDescent="0.2">
      <c r="A3500" t="s">
        <v>547</v>
      </c>
      <c r="B3500">
        <v>2019</v>
      </c>
      <c r="C3500">
        <v>4265016030</v>
      </c>
      <c r="D3500" t="s">
        <v>4491</v>
      </c>
      <c r="E3500" t="s">
        <v>29</v>
      </c>
      <c r="F3500" t="s">
        <v>30</v>
      </c>
      <c r="G3500">
        <v>0</v>
      </c>
      <c r="H3500">
        <v>0</v>
      </c>
      <c r="I3500">
        <v>0</v>
      </c>
      <c r="J3500">
        <v>0</v>
      </c>
      <c r="K3500">
        <v>0</v>
      </c>
      <c r="L3500">
        <v>0</v>
      </c>
      <c r="M3500">
        <v>2</v>
      </c>
      <c r="N3500">
        <v>0</v>
      </c>
      <c r="O3500">
        <v>0</v>
      </c>
      <c r="P3500">
        <v>0</v>
      </c>
      <c r="Q3500">
        <v>0</v>
      </c>
      <c r="R3500">
        <v>0</v>
      </c>
      <c r="S3500">
        <v>0</v>
      </c>
      <c r="T3500">
        <v>0</v>
      </c>
      <c r="U3500">
        <v>0</v>
      </c>
      <c r="V3500">
        <v>0</v>
      </c>
      <c r="W3500">
        <v>0</v>
      </c>
      <c r="X3500">
        <v>0</v>
      </c>
      <c r="Y3500" t="s">
        <v>31</v>
      </c>
      <c r="Z3500">
        <v>55</v>
      </c>
      <c r="AA3500">
        <v>0</v>
      </c>
    </row>
    <row r="3501" spans="1:27" x14ac:dyDescent="0.2">
      <c r="A3501" t="s">
        <v>172</v>
      </c>
      <c r="B3501">
        <v>2022</v>
      </c>
      <c r="C3501" t="s">
        <v>4492</v>
      </c>
      <c r="D3501" t="s">
        <v>4493</v>
      </c>
      <c r="E3501" t="s">
        <v>29</v>
      </c>
      <c r="F3501" t="s">
        <v>30</v>
      </c>
      <c r="G3501">
        <v>16</v>
      </c>
      <c r="H3501">
        <v>0</v>
      </c>
      <c r="I3501">
        <v>0</v>
      </c>
      <c r="J3501">
        <v>0</v>
      </c>
      <c r="K3501">
        <v>0</v>
      </c>
      <c r="L3501">
        <v>0</v>
      </c>
      <c r="M3501">
        <v>0</v>
      </c>
      <c r="N3501">
        <v>0</v>
      </c>
      <c r="O3501">
        <v>0</v>
      </c>
      <c r="P3501">
        <v>0</v>
      </c>
      <c r="Q3501">
        <v>0</v>
      </c>
      <c r="R3501">
        <v>0</v>
      </c>
      <c r="S3501">
        <v>0</v>
      </c>
      <c r="T3501">
        <v>0</v>
      </c>
      <c r="U3501">
        <v>0</v>
      </c>
      <c r="V3501">
        <v>0</v>
      </c>
      <c r="W3501">
        <v>0</v>
      </c>
      <c r="X3501">
        <v>0</v>
      </c>
      <c r="Y3501" t="s">
        <v>31</v>
      </c>
      <c r="Z3501">
        <v>55</v>
      </c>
      <c r="AA3501">
        <v>25</v>
      </c>
    </row>
    <row r="3502" spans="1:27" x14ac:dyDescent="0.2">
      <c r="A3502" t="s">
        <v>172</v>
      </c>
      <c r="B3502">
        <v>2022</v>
      </c>
      <c r="C3502" t="s">
        <v>470</v>
      </c>
      <c r="D3502" t="s">
        <v>471</v>
      </c>
      <c r="E3502" t="s">
        <v>29</v>
      </c>
      <c r="F3502" t="s">
        <v>30</v>
      </c>
      <c r="G3502">
        <v>0</v>
      </c>
      <c r="H3502">
        <v>0</v>
      </c>
      <c r="I3502">
        <v>0</v>
      </c>
      <c r="J3502">
        <v>0</v>
      </c>
      <c r="K3502">
        <v>14</v>
      </c>
      <c r="L3502">
        <v>0</v>
      </c>
      <c r="M3502">
        <v>0</v>
      </c>
      <c r="N3502">
        <v>0</v>
      </c>
      <c r="O3502">
        <v>0</v>
      </c>
      <c r="P3502">
        <v>0</v>
      </c>
      <c r="Q3502">
        <v>0</v>
      </c>
      <c r="R3502">
        <v>0</v>
      </c>
      <c r="S3502">
        <v>0</v>
      </c>
      <c r="T3502">
        <v>0</v>
      </c>
      <c r="U3502">
        <v>0</v>
      </c>
      <c r="V3502">
        <v>0</v>
      </c>
      <c r="W3502">
        <v>0</v>
      </c>
      <c r="X3502">
        <v>0</v>
      </c>
      <c r="Y3502" t="s">
        <v>31</v>
      </c>
      <c r="Z3502">
        <v>55</v>
      </c>
      <c r="AA3502">
        <v>16</v>
      </c>
    </row>
    <row r="3503" spans="1:27" x14ac:dyDescent="0.2">
      <c r="A3503" t="s">
        <v>172</v>
      </c>
      <c r="B3503">
        <v>2022</v>
      </c>
      <c r="C3503" t="s">
        <v>4494</v>
      </c>
      <c r="D3503" t="s">
        <v>4495</v>
      </c>
      <c r="E3503" t="s">
        <v>29</v>
      </c>
      <c r="F3503" t="s">
        <v>30</v>
      </c>
      <c r="G3503">
        <v>3</v>
      </c>
      <c r="H3503">
        <v>0</v>
      </c>
      <c r="I3503">
        <v>0</v>
      </c>
      <c r="J3503">
        <v>0</v>
      </c>
      <c r="K3503">
        <v>0</v>
      </c>
      <c r="L3503">
        <v>0</v>
      </c>
      <c r="M3503">
        <v>0</v>
      </c>
      <c r="N3503">
        <v>0</v>
      </c>
      <c r="O3503">
        <v>0</v>
      </c>
      <c r="P3503">
        <v>0</v>
      </c>
      <c r="Q3503">
        <v>0</v>
      </c>
      <c r="R3503">
        <v>0</v>
      </c>
      <c r="S3503">
        <v>0</v>
      </c>
      <c r="T3503">
        <v>0</v>
      </c>
      <c r="U3503">
        <v>0</v>
      </c>
      <c r="V3503">
        <v>0</v>
      </c>
      <c r="W3503">
        <v>0</v>
      </c>
      <c r="X3503">
        <v>0</v>
      </c>
      <c r="Y3503" t="s">
        <v>31</v>
      </c>
      <c r="Z3503">
        <v>55</v>
      </c>
      <c r="AA3503" s="2" t="s">
        <v>4496</v>
      </c>
    </row>
    <row r="3504" spans="1:27" x14ac:dyDescent="0.2">
      <c r="A3504" t="s">
        <v>172</v>
      </c>
      <c r="B3504">
        <v>2022</v>
      </c>
      <c r="C3504" t="s">
        <v>4416</v>
      </c>
      <c r="D3504" t="s">
        <v>4417</v>
      </c>
      <c r="E3504" t="s">
        <v>29</v>
      </c>
      <c r="F3504" t="s">
        <v>30</v>
      </c>
      <c r="G3504">
        <v>0</v>
      </c>
      <c r="H3504">
        <v>0</v>
      </c>
      <c r="I3504">
        <v>0</v>
      </c>
      <c r="J3504">
        <v>0</v>
      </c>
      <c r="K3504">
        <v>13</v>
      </c>
      <c r="L3504">
        <v>0</v>
      </c>
      <c r="M3504">
        <v>0</v>
      </c>
      <c r="N3504">
        <v>0</v>
      </c>
      <c r="O3504">
        <v>0</v>
      </c>
      <c r="P3504">
        <v>0</v>
      </c>
      <c r="Q3504">
        <v>0</v>
      </c>
      <c r="R3504">
        <v>0</v>
      </c>
      <c r="S3504">
        <v>0</v>
      </c>
      <c r="T3504">
        <v>0</v>
      </c>
      <c r="U3504">
        <v>0</v>
      </c>
      <c r="V3504">
        <v>0</v>
      </c>
      <c r="W3504">
        <v>0</v>
      </c>
      <c r="X3504">
        <v>0</v>
      </c>
      <c r="Y3504" t="s">
        <v>31</v>
      </c>
      <c r="Z3504">
        <v>55</v>
      </c>
      <c r="AA3504">
        <v>0</v>
      </c>
    </row>
    <row r="3505" spans="1:27" x14ac:dyDescent="0.2">
      <c r="A3505" t="s">
        <v>172</v>
      </c>
      <c r="B3505">
        <v>2022</v>
      </c>
      <c r="C3505" t="s">
        <v>4497</v>
      </c>
      <c r="D3505" t="s">
        <v>4498</v>
      </c>
      <c r="E3505" t="s">
        <v>29</v>
      </c>
      <c r="F3505" t="s">
        <v>30</v>
      </c>
      <c r="G3505">
        <v>0</v>
      </c>
      <c r="H3505">
        <v>0</v>
      </c>
      <c r="I3505">
        <v>67</v>
      </c>
      <c r="J3505">
        <v>0</v>
      </c>
      <c r="K3505">
        <v>0</v>
      </c>
      <c r="L3505">
        <v>0</v>
      </c>
      <c r="M3505">
        <v>0</v>
      </c>
      <c r="N3505">
        <v>0</v>
      </c>
      <c r="O3505">
        <v>0</v>
      </c>
      <c r="P3505">
        <v>0</v>
      </c>
      <c r="Q3505">
        <v>0</v>
      </c>
      <c r="R3505">
        <v>0</v>
      </c>
      <c r="S3505">
        <v>0</v>
      </c>
      <c r="T3505">
        <v>0</v>
      </c>
      <c r="U3505">
        <v>0</v>
      </c>
      <c r="V3505">
        <v>0</v>
      </c>
      <c r="W3505">
        <v>0</v>
      </c>
      <c r="X3505">
        <v>0</v>
      </c>
      <c r="Y3505" t="s">
        <v>31</v>
      </c>
      <c r="Z3505">
        <v>55</v>
      </c>
      <c r="AA3505" s="2" t="s">
        <v>4499</v>
      </c>
    </row>
    <row r="3506" spans="1:27" x14ac:dyDescent="0.2">
      <c r="A3506" t="s">
        <v>2867</v>
      </c>
      <c r="B3506">
        <v>2018</v>
      </c>
      <c r="C3506" t="s">
        <v>4164</v>
      </c>
      <c r="D3506" t="s">
        <v>4500</v>
      </c>
      <c r="E3506" t="s">
        <v>29</v>
      </c>
      <c r="F3506" t="s">
        <v>30</v>
      </c>
      <c r="G3506">
        <v>0</v>
      </c>
      <c r="H3506">
        <v>0</v>
      </c>
      <c r="I3506">
        <v>0</v>
      </c>
      <c r="J3506">
        <v>0</v>
      </c>
      <c r="K3506">
        <v>0</v>
      </c>
      <c r="L3506">
        <v>0</v>
      </c>
      <c r="M3506">
        <v>0</v>
      </c>
      <c r="N3506">
        <v>0</v>
      </c>
      <c r="O3506">
        <v>0</v>
      </c>
      <c r="P3506">
        <v>0</v>
      </c>
      <c r="Q3506">
        <v>0</v>
      </c>
      <c r="R3506">
        <v>0</v>
      </c>
      <c r="S3506">
        <v>1</v>
      </c>
      <c r="T3506">
        <v>0</v>
      </c>
      <c r="U3506">
        <v>1</v>
      </c>
      <c r="V3506">
        <v>0</v>
      </c>
      <c r="W3506">
        <v>0</v>
      </c>
      <c r="X3506">
        <v>0</v>
      </c>
      <c r="Y3506" t="s">
        <v>31</v>
      </c>
      <c r="Z3506">
        <v>55</v>
      </c>
      <c r="AA3506">
        <v>0</v>
      </c>
    </row>
    <row r="3507" spans="1:27" x14ac:dyDescent="0.2">
      <c r="A3507" t="s">
        <v>2867</v>
      </c>
      <c r="B3507">
        <v>2018</v>
      </c>
      <c r="C3507" t="s">
        <v>4164</v>
      </c>
      <c r="D3507" t="s">
        <v>4501</v>
      </c>
      <c r="E3507" t="s">
        <v>29</v>
      </c>
      <c r="F3507" t="s">
        <v>30</v>
      </c>
      <c r="G3507">
        <v>0</v>
      </c>
      <c r="H3507">
        <v>0</v>
      </c>
      <c r="I3507">
        <v>0</v>
      </c>
      <c r="J3507">
        <v>0</v>
      </c>
      <c r="K3507">
        <v>0</v>
      </c>
      <c r="L3507">
        <v>0</v>
      </c>
      <c r="M3507">
        <v>0</v>
      </c>
      <c r="N3507">
        <v>0</v>
      </c>
      <c r="O3507">
        <v>0</v>
      </c>
      <c r="P3507">
        <v>0</v>
      </c>
      <c r="Q3507">
        <v>0</v>
      </c>
      <c r="R3507">
        <v>0</v>
      </c>
      <c r="S3507">
        <v>1</v>
      </c>
      <c r="T3507">
        <v>0</v>
      </c>
      <c r="U3507">
        <v>1</v>
      </c>
      <c r="V3507">
        <v>0</v>
      </c>
      <c r="W3507">
        <v>0</v>
      </c>
      <c r="X3507">
        <v>0</v>
      </c>
      <c r="Y3507" t="s">
        <v>31</v>
      </c>
      <c r="Z3507">
        <v>55</v>
      </c>
      <c r="AA3507">
        <v>0</v>
      </c>
    </row>
    <row r="3508" spans="1:27" x14ac:dyDescent="0.2">
      <c r="A3508" t="s">
        <v>172</v>
      </c>
      <c r="B3508">
        <v>2019</v>
      </c>
      <c r="C3508" t="s">
        <v>4502</v>
      </c>
      <c r="D3508" t="s">
        <v>4354</v>
      </c>
      <c r="E3508" t="s">
        <v>29</v>
      </c>
      <c r="F3508" t="s">
        <v>30</v>
      </c>
      <c r="G3508">
        <v>0</v>
      </c>
      <c r="H3508">
        <v>0</v>
      </c>
      <c r="I3508">
        <v>0</v>
      </c>
      <c r="J3508">
        <v>0</v>
      </c>
      <c r="K3508">
        <v>0</v>
      </c>
      <c r="L3508">
        <v>0</v>
      </c>
      <c r="M3508">
        <v>0</v>
      </c>
      <c r="N3508">
        <v>0</v>
      </c>
      <c r="O3508">
        <v>0</v>
      </c>
      <c r="P3508">
        <v>0</v>
      </c>
      <c r="Q3508">
        <v>9</v>
      </c>
      <c r="R3508">
        <v>0</v>
      </c>
      <c r="S3508">
        <v>0</v>
      </c>
      <c r="T3508">
        <v>0</v>
      </c>
      <c r="U3508">
        <v>0</v>
      </c>
      <c r="V3508">
        <v>0</v>
      </c>
      <c r="W3508">
        <v>0</v>
      </c>
      <c r="X3508">
        <v>0</v>
      </c>
      <c r="Y3508" t="s">
        <v>31</v>
      </c>
      <c r="Z3508">
        <v>55</v>
      </c>
      <c r="AA3508">
        <v>0</v>
      </c>
    </row>
    <row r="3509" spans="1:27" x14ac:dyDescent="0.2">
      <c r="A3509" t="s">
        <v>172</v>
      </c>
      <c r="B3509">
        <v>2022</v>
      </c>
      <c r="C3509" t="s">
        <v>4503</v>
      </c>
      <c r="D3509" t="s">
        <v>4504</v>
      </c>
      <c r="E3509" t="s">
        <v>29</v>
      </c>
      <c r="F3509" t="s">
        <v>30</v>
      </c>
      <c r="G3509">
        <v>0</v>
      </c>
      <c r="H3509">
        <v>0</v>
      </c>
      <c r="I3509">
        <v>0</v>
      </c>
      <c r="J3509">
        <v>0</v>
      </c>
      <c r="K3509">
        <v>0</v>
      </c>
      <c r="L3509">
        <v>0</v>
      </c>
      <c r="M3509">
        <v>7</v>
      </c>
      <c r="N3509">
        <v>0</v>
      </c>
      <c r="O3509">
        <v>0</v>
      </c>
      <c r="P3509">
        <v>0</v>
      </c>
      <c r="Q3509">
        <v>0</v>
      </c>
      <c r="R3509">
        <v>0</v>
      </c>
      <c r="S3509">
        <v>0</v>
      </c>
      <c r="T3509">
        <v>0</v>
      </c>
      <c r="U3509">
        <v>0</v>
      </c>
      <c r="V3509">
        <v>0</v>
      </c>
      <c r="W3509">
        <v>0</v>
      </c>
      <c r="X3509">
        <v>0</v>
      </c>
      <c r="Y3509" t="s">
        <v>31</v>
      </c>
      <c r="Z3509">
        <v>55</v>
      </c>
      <c r="AA3509" s="2" t="s">
        <v>4505</v>
      </c>
    </row>
    <row r="3510" spans="1:27" x14ac:dyDescent="0.2">
      <c r="A3510" t="s">
        <v>172</v>
      </c>
      <c r="B3510">
        <v>2022</v>
      </c>
      <c r="C3510" t="s">
        <v>4506</v>
      </c>
      <c r="D3510" t="s">
        <v>4507</v>
      </c>
      <c r="E3510" t="s">
        <v>29</v>
      </c>
      <c r="F3510" t="s">
        <v>30</v>
      </c>
      <c r="G3510">
        <v>0</v>
      </c>
      <c r="H3510">
        <v>0</v>
      </c>
      <c r="I3510">
        <v>0</v>
      </c>
      <c r="J3510">
        <v>0</v>
      </c>
      <c r="K3510">
        <v>0</v>
      </c>
      <c r="L3510">
        <v>0</v>
      </c>
      <c r="M3510">
        <v>0</v>
      </c>
      <c r="N3510">
        <v>0</v>
      </c>
      <c r="O3510">
        <v>0</v>
      </c>
      <c r="P3510">
        <v>0</v>
      </c>
      <c r="Q3510">
        <v>0</v>
      </c>
      <c r="R3510">
        <v>0</v>
      </c>
      <c r="S3510">
        <v>17</v>
      </c>
      <c r="T3510">
        <v>0</v>
      </c>
      <c r="U3510">
        <v>0</v>
      </c>
      <c r="V3510">
        <v>0</v>
      </c>
      <c r="W3510">
        <v>0</v>
      </c>
      <c r="X3510">
        <v>0</v>
      </c>
      <c r="Y3510" t="s">
        <v>31</v>
      </c>
      <c r="Z3510">
        <v>55</v>
      </c>
      <c r="AA3510">
        <v>32</v>
      </c>
    </row>
    <row r="3511" spans="1:27" x14ac:dyDescent="0.2">
      <c r="A3511" t="s">
        <v>1500</v>
      </c>
      <c r="B3511">
        <v>2022</v>
      </c>
      <c r="C3511">
        <v>5236016049</v>
      </c>
      <c r="D3511" t="s">
        <v>4508</v>
      </c>
      <c r="E3511" t="s">
        <v>29</v>
      </c>
      <c r="F3511" t="s">
        <v>30</v>
      </c>
      <c r="G3511">
        <v>0</v>
      </c>
      <c r="H3511">
        <v>0</v>
      </c>
      <c r="I3511">
        <v>13</v>
      </c>
      <c r="J3511">
        <v>0</v>
      </c>
      <c r="K3511">
        <v>0</v>
      </c>
      <c r="L3511">
        <v>0</v>
      </c>
      <c r="M3511">
        <v>0</v>
      </c>
      <c r="N3511">
        <v>0</v>
      </c>
      <c r="O3511">
        <v>13</v>
      </c>
      <c r="P3511">
        <v>0</v>
      </c>
      <c r="Q3511">
        <v>0</v>
      </c>
      <c r="R3511">
        <v>0</v>
      </c>
      <c r="S3511">
        <v>0</v>
      </c>
      <c r="T3511">
        <v>0</v>
      </c>
      <c r="U3511">
        <v>0</v>
      </c>
      <c r="V3511">
        <v>0</v>
      </c>
      <c r="W3511">
        <v>0</v>
      </c>
      <c r="X3511">
        <v>0</v>
      </c>
      <c r="Y3511" t="s">
        <v>31</v>
      </c>
      <c r="Z3511">
        <v>55</v>
      </c>
      <c r="AA3511">
        <v>345</v>
      </c>
    </row>
    <row r="3512" spans="1:27" x14ac:dyDescent="0.2">
      <c r="A3512" t="s">
        <v>1500</v>
      </c>
      <c r="B3512">
        <v>2022</v>
      </c>
      <c r="C3512">
        <v>5845010020</v>
      </c>
      <c r="D3512" t="s">
        <v>4509</v>
      </c>
      <c r="E3512" t="s">
        <v>29</v>
      </c>
      <c r="F3512" t="s">
        <v>30</v>
      </c>
      <c r="G3512">
        <v>0</v>
      </c>
      <c r="H3512">
        <v>0</v>
      </c>
      <c r="I3512">
        <v>57</v>
      </c>
      <c r="J3512">
        <v>0</v>
      </c>
      <c r="K3512">
        <v>0</v>
      </c>
      <c r="L3512">
        <v>0</v>
      </c>
      <c r="M3512">
        <v>0</v>
      </c>
      <c r="N3512">
        <v>0</v>
      </c>
      <c r="O3512">
        <v>0</v>
      </c>
      <c r="P3512">
        <v>0</v>
      </c>
      <c r="Q3512">
        <v>0</v>
      </c>
      <c r="R3512">
        <v>0</v>
      </c>
      <c r="S3512">
        <v>0</v>
      </c>
      <c r="T3512">
        <v>0</v>
      </c>
      <c r="U3512">
        <v>0</v>
      </c>
      <c r="V3512">
        <v>0</v>
      </c>
      <c r="W3512">
        <v>0</v>
      </c>
      <c r="X3512">
        <v>0</v>
      </c>
      <c r="Y3512" t="s">
        <v>31</v>
      </c>
      <c r="Z3512">
        <v>55</v>
      </c>
      <c r="AA3512">
        <v>100</v>
      </c>
    </row>
    <row r="3513" spans="1:27" x14ac:dyDescent="0.2">
      <c r="A3513" t="s">
        <v>387</v>
      </c>
      <c r="B3513">
        <v>2021</v>
      </c>
      <c r="C3513" t="s">
        <v>4510</v>
      </c>
      <c r="D3513" t="s">
        <v>4511</v>
      </c>
      <c r="E3513" t="s">
        <v>29</v>
      </c>
      <c r="F3513" t="s">
        <v>30</v>
      </c>
      <c r="G3513">
        <v>0</v>
      </c>
      <c r="H3513">
        <v>0</v>
      </c>
      <c r="I3513">
        <v>55</v>
      </c>
      <c r="J3513">
        <v>0</v>
      </c>
      <c r="K3513">
        <v>0</v>
      </c>
      <c r="L3513">
        <v>0</v>
      </c>
      <c r="M3513">
        <v>0</v>
      </c>
      <c r="N3513">
        <v>0</v>
      </c>
      <c r="O3513">
        <v>0</v>
      </c>
      <c r="P3513">
        <v>0</v>
      </c>
      <c r="Q3513">
        <v>0</v>
      </c>
      <c r="R3513">
        <v>0</v>
      </c>
      <c r="S3513">
        <v>0</v>
      </c>
      <c r="T3513">
        <v>0</v>
      </c>
      <c r="U3513">
        <v>0</v>
      </c>
      <c r="V3513">
        <v>0</v>
      </c>
      <c r="W3513">
        <v>0</v>
      </c>
      <c r="X3513">
        <v>0</v>
      </c>
      <c r="Y3513" t="s">
        <v>31</v>
      </c>
      <c r="AA3513">
        <v>50</v>
      </c>
    </row>
    <row r="3514" spans="1:27" x14ac:dyDescent="0.2">
      <c r="A3514" t="s">
        <v>353</v>
      </c>
      <c r="B3514">
        <v>2019</v>
      </c>
      <c r="C3514">
        <v>1683601600</v>
      </c>
      <c r="D3514" t="s">
        <v>2469</v>
      </c>
      <c r="E3514" t="s">
        <v>29</v>
      </c>
      <c r="F3514" t="s">
        <v>30</v>
      </c>
      <c r="G3514">
        <v>0</v>
      </c>
      <c r="H3514">
        <v>0</v>
      </c>
      <c r="I3514">
        <v>0</v>
      </c>
      <c r="J3514">
        <v>0</v>
      </c>
      <c r="K3514">
        <v>0</v>
      </c>
      <c r="L3514">
        <v>0</v>
      </c>
      <c r="M3514">
        <v>0</v>
      </c>
      <c r="N3514">
        <v>0</v>
      </c>
      <c r="O3514">
        <v>20</v>
      </c>
      <c r="P3514">
        <v>0</v>
      </c>
      <c r="Q3514">
        <v>0</v>
      </c>
      <c r="R3514">
        <v>35</v>
      </c>
      <c r="S3514">
        <v>0</v>
      </c>
      <c r="T3514">
        <v>0</v>
      </c>
      <c r="U3514">
        <v>0</v>
      </c>
      <c r="V3514">
        <v>0</v>
      </c>
      <c r="W3514">
        <v>0</v>
      </c>
      <c r="X3514">
        <v>0</v>
      </c>
      <c r="Y3514" t="s">
        <v>51</v>
      </c>
      <c r="AA3514">
        <v>0</v>
      </c>
    </row>
    <row r="3515" spans="1:27" x14ac:dyDescent="0.2">
      <c r="A3515" t="s">
        <v>172</v>
      </c>
      <c r="B3515">
        <v>2018</v>
      </c>
      <c r="C3515" t="s">
        <v>4512</v>
      </c>
      <c r="D3515" t="s">
        <v>4513</v>
      </c>
      <c r="E3515" t="s">
        <v>29</v>
      </c>
      <c r="F3515" t="s">
        <v>30</v>
      </c>
      <c r="G3515">
        <v>0</v>
      </c>
      <c r="H3515">
        <v>0</v>
      </c>
      <c r="I3515">
        <v>0</v>
      </c>
      <c r="J3515">
        <v>0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45</v>
      </c>
      <c r="R3515">
        <v>0</v>
      </c>
      <c r="S3515">
        <v>0</v>
      </c>
      <c r="T3515">
        <v>0</v>
      </c>
      <c r="U3515">
        <v>0</v>
      </c>
      <c r="V3515">
        <v>0</v>
      </c>
      <c r="W3515">
        <v>0</v>
      </c>
      <c r="X3515">
        <v>0</v>
      </c>
      <c r="Y3515" t="s">
        <v>31</v>
      </c>
      <c r="Z3515">
        <v>55</v>
      </c>
      <c r="AA3515">
        <v>0</v>
      </c>
    </row>
    <row r="3516" spans="1:27" x14ac:dyDescent="0.2">
      <c r="A3516" t="s">
        <v>547</v>
      </c>
      <c r="B3516">
        <v>2019</v>
      </c>
      <c r="C3516">
        <v>2248004018</v>
      </c>
      <c r="D3516" t="s">
        <v>4514</v>
      </c>
      <c r="E3516" t="s">
        <v>29</v>
      </c>
      <c r="F3516" t="s">
        <v>30</v>
      </c>
      <c r="G3516">
        <v>0</v>
      </c>
      <c r="H3516">
        <v>0</v>
      </c>
      <c r="I3516">
        <v>0</v>
      </c>
      <c r="J3516">
        <v>0</v>
      </c>
      <c r="K3516">
        <v>0</v>
      </c>
      <c r="L3516">
        <v>0</v>
      </c>
      <c r="M3516">
        <v>1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>
        <v>0</v>
      </c>
      <c r="U3516">
        <v>0</v>
      </c>
      <c r="V3516">
        <v>0</v>
      </c>
      <c r="W3516">
        <v>0</v>
      </c>
      <c r="X3516">
        <v>0</v>
      </c>
      <c r="Y3516" t="s">
        <v>31</v>
      </c>
      <c r="Z3516">
        <v>55</v>
      </c>
      <c r="AA3516">
        <v>0</v>
      </c>
    </row>
    <row r="3517" spans="1:27" x14ac:dyDescent="0.2">
      <c r="A3517" t="s">
        <v>318</v>
      </c>
      <c r="B3517">
        <v>2020</v>
      </c>
      <c r="C3517" t="s">
        <v>4515</v>
      </c>
      <c r="D3517" t="s">
        <v>4516</v>
      </c>
      <c r="E3517" t="s">
        <v>29</v>
      </c>
      <c r="F3517" t="s">
        <v>41</v>
      </c>
      <c r="G3517">
        <v>0</v>
      </c>
      <c r="H3517">
        <v>0</v>
      </c>
      <c r="I3517">
        <v>0</v>
      </c>
      <c r="J3517">
        <v>0</v>
      </c>
      <c r="K3517">
        <v>3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>
        <v>0</v>
      </c>
      <c r="U3517">
        <v>0</v>
      </c>
      <c r="V3517">
        <v>0</v>
      </c>
      <c r="W3517">
        <v>0</v>
      </c>
      <c r="X3517">
        <v>0</v>
      </c>
      <c r="Y3517" t="s">
        <v>51</v>
      </c>
      <c r="Z3517">
        <v>30</v>
      </c>
      <c r="AA3517">
        <v>0</v>
      </c>
    </row>
    <row r="3518" spans="1:27" x14ac:dyDescent="0.2">
      <c r="A3518" t="s">
        <v>547</v>
      </c>
      <c r="B3518">
        <v>2019</v>
      </c>
      <c r="C3518">
        <v>4229002901</v>
      </c>
      <c r="D3518" t="s">
        <v>4517</v>
      </c>
      <c r="E3518" t="s">
        <v>29</v>
      </c>
      <c r="F3518" t="s">
        <v>30</v>
      </c>
      <c r="G3518">
        <v>10</v>
      </c>
      <c r="H3518">
        <v>0</v>
      </c>
      <c r="I3518">
        <v>0</v>
      </c>
      <c r="J3518">
        <v>0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  <c r="V3518">
        <v>0</v>
      </c>
      <c r="W3518">
        <v>0</v>
      </c>
      <c r="X3518">
        <v>0</v>
      </c>
      <c r="Y3518" t="s">
        <v>31</v>
      </c>
      <c r="Z3518">
        <v>55</v>
      </c>
      <c r="AA3518">
        <v>0</v>
      </c>
    </row>
    <row r="3519" spans="1:27" x14ac:dyDescent="0.2">
      <c r="A3519" t="s">
        <v>547</v>
      </c>
      <c r="B3519">
        <v>2019</v>
      </c>
      <c r="C3519">
        <v>2558024022</v>
      </c>
      <c r="D3519" t="s">
        <v>4518</v>
      </c>
      <c r="E3519" t="s">
        <v>29</v>
      </c>
      <c r="F3519" t="s">
        <v>30</v>
      </c>
      <c r="G3519">
        <v>1</v>
      </c>
      <c r="H3519">
        <v>0</v>
      </c>
      <c r="I3519">
        <v>0</v>
      </c>
      <c r="J3519">
        <v>0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>
        <v>0</v>
      </c>
      <c r="U3519">
        <v>0</v>
      </c>
      <c r="V3519">
        <v>0</v>
      </c>
      <c r="W3519">
        <v>0</v>
      </c>
      <c r="X3519">
        <v>0</v>
      </c>
      <c r="Y3519" t="s">
        <v>31</v>
      </c>
      <c r="Z3519">
        <v>55</v>
      </c>
      <c r="AA3519">
        <v>0</v>
      </c>
    </row>
    <row r="3520" spans="1:27" x14ac:dyDescent="0.2">
      <c r="A3520" t="s">
        <v>547</v>
      </c>
      <c r="B3520">
        <v>2019</v>
      </c>
      <c r="C3520">
        <v>2163002003</v>
      </c>
      <c r="D3520" t="s">
        <v>4519</v>
      </c>
      <c r="E3520" t="s">
        <v>29</v>
      </c>
      <c r="F3520" t="s">
        <v>30</v>
      </c>
      <c r="G3520">
        <v>7</v>
      </c>
      <c r="H3520">
        <v>0</v>
      </c>
      <c r="I3520">
        <v>0</v>
      </c>
      <c r="J3520">
        <v>0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>
        <v>0</v>
      </c>
      <c r="U3520">
        <v>0</v>
      </c>
      <c r="V3520">
        <v>0</v>
      </c>
      <c r="W3520">
        <v>0</v>
      </c>
      <c r="X3520">
        <v>0</v>
      </c>
      <c r="Y3520" t="s">
        <v>31</v>
      </c>
      <c r="Z3520">
        <v>55</v>
      </c>
      <c r="AA3520">
        <v>0</v>
      </c>
    </row>
    <row r="3521" spans="1:27" x14ac:dyDescent="0.2">
      <c r="A3521" t="s">
        <v>547</v>
      </c>
      <c r="B3521">
        <v>2019</v>
      </c>
      <c r="C3521">
        <v>5547003024</v>
      </c>
      <c r="D3521" t="s">
        <v>4520</v>
      </c>
      <c r="E3521" t="s">
        <v>29</v>
      </c>
      <c r="F3521" t="s">
        <v>30</v>
      </c>
      <c r="G3521">
        <v>67</v>
      </c>
      <c r="H3521">
        <v>0</v>
      </c>
      <c r="I3521">
        <v>0</v>
      </c>
      <c r="J3521">
        <v>0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>
        <v>0</v>
      </c>
      <c r="U3521">
        <v>0</v>
      </c>
      <c r="V3521">
        <v>0</v>
      </c>
      <c r="W3521">
        <v>0</v>
      </c>
      <c r="X3521">
        <v>0</v>
      </c>
      <c r="Y3521" t="s">
        <v>31</v>
      </c>
      <c r="Z3521">
        <v>55</v>
      </c>
      <c r="AA3521">
        <v>0</v>
      </c>
    </row>
    <row r="3522" spans="1:27" x14ac:dyDescent="0.2">
      <c r="A3522" t="s">
        <v>547</v>
      </c>
      <c r="B3522">
        <v>2019</v>
      </c>
      <c r="C3522">
        <v>5123003022</v>
      </c>
      <c r="D3522" t="s">
        <v>4521</v>
      </c>
      <c r="E3522" t="s">
        <v>29</v>
      </c>
      <c r="F3522" t="s">
        <v>30</v>
      </c>
      <c r="G3522">
        <v>5</v>
      </c>
      <c r="H3522">
        <v>0</v>
      </c>
      <c r="I3522">
        <v>0</v>
      </c>
      <c r="J3522">
        <v>0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>
        <v>0</v>
      </c>
      <c r="U3522">
        <v>0</v>
      </c>
      <c r="V3522">
        <v>0</v>
      </c>
      <c r="W3522">
        <v>0</v>
      </c>
      <c r="X3522">
        <v>0</v>
      </c>
      <c r="Y3522" t="s">
        <v>31</v>
      </c>
      <c r="Z3522">
        <v>55</v>
      </c>
      <c r="AA3522">
        <v>0</v>
      </c>
    </row>
    <row r="3523" spans="1:27" x14ac:dyDescent="0.2">
      <c r="A3523" t="s">
        <v>547</v>
      </c>
      <c r="B3523">
        <v>2019</v>
      </c>
      <c r="C3523">
        <v>5003017029</v>
      </c>
      <c r="D3523" t="s">
        <v>4522</v>
      </c>
      <c r="E3523" t="s">
        <v>29</v>
      </c>
      <c r="F3523" t="s">
        <v>30</v>
      </c>
      <c r="G3523">
        <v>2</v>
      </c>
      <c r="H3523">
        <v>0</v>
      </c>
      <c r="I3523">
        <v>0</v>
      </c>
      <c r="J3523">
        <v>0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>
        <v>0</v>
      </c>
      <c r="U3523">
        <v>0</v>
      </c>
      <c r="V3523">
        <v>0</v>
      </c>
      <c r="W3523">
        <v>0</v>
      </c>
      <c r="X3523">
        <v>0</v>
      </c>
      <c r="Y3523" t="s">
        <v>31</v>
      </c>
      <c r="Z3523">
        <v>55</v>
      </c>
      <c r="AA3523">
        <v>0</v>
      </c>
    </row>
    <row r="3524" spans="1:27" x14ac:dyDescent="0.2">
      <c r="A3524" t="s">
        <v>547</v>
      </c>
      <c r="B3524">
        <v>2019</v>
      </c>
      <c r="C3524">
        <v>2733019025</v>
      </c>
      <c r="D3524" t="s">
        <v>4523</v>
      </c>
      <c r="E3524" t="s">
        <v>29</v>
      </c>
      <c r="F3524" t="s">
        <v>30</v>
      </c>
      <c r="G3524">
        <v>3</v>
      </c>
      <c r="H3524">
        <v>0</v>
      </c>
      <c r="I3524">
        <v>0</v>
      </c>
      <c r="J3524">
        <v>0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>
        <v>0</v>
      </c>
      <c r="U3524">
        <v>0</v>
      </c>
      <c r="V3524">
        <v>0</v>
      </c>
      <c r="W3524">
        <v>0</v>
      </c>
      <c r="X3524">
        <v>0</v>
      </c>
      <c r="Y3524" t="s">
        <v>31</v>
      </c>
      <c r="Z3524">
        <v>55</v>
      </c>
      <c r="AA3524">
        <v>0</v>
      </c>
    </row>
    <row r="3525" spans="1:27" x14ac:dyDescent="0.2">
      <c r="A3525" t="s">
        <v>1959</v>
      </c>
      <c r="B3525">
        <v>2020</v>
      </c>
      <c r="C3525" t="s">
        <v>4524</v>
      </c>
      <c r="D3525" t="s">
        <v>4525</v>
      </c>
      <c r="E3525" t="s">
        <v>29</v>
      </c>
      <c r="F3525" t="s">
        <v>30</v>
      </c>
      <c r="G3525">
        <v>18</v>
      </c>
      <c r="H3525">
        <v>0</v>
      </c>
      <c r="I3525">
        <v>0</v>
      </c>
      <c r="J3525">
        <v>0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>
        <v>0</v>
      </c>
      <c r="U3525">
        <v>0</v>
      </c>
      <c r="V3525">
        <v>0</v>
      </c>
      <c r="W3525">
        <v>0</v>
      </c>
      <c r="X3525">
        <v>0</v>
      </c>
      <c r="Y3525" t="s">
        <v>51</v>
      </c>
      <c r="Z3525">
        <v>1000</v>
      </c>
      <c r="AA3525">
        <v>0</v>
      </c>
    </row>
    <row r="3526" spans="1:27" x14ac:dyDescent="0.2">
      <c r="A3526" t="s">
        <v>172</v>
      </c>
      <c r="B3526">
        <v>2020</v>
      </c>
      <c r="C3526" t="s">
        <v>4526</v>
      </c>
      <c r="D3526" t="s">
        <v>4527</v>
      </c>
      <c r="E3526" t="s">
        <v>29</v>
      </c>
      <c r="F3526" t="s">
        <v>41</v>
      </c>
      <c r="G3526">
        <v>15</v>
      </c>
      <c r="H3526">
        <v>0</v>
      </c>
      <c r="I3526">
        <v>0</v>
      </c>
      <c r="J3526">
        <v>0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>
        <v>0</v>
      </c>
      <c r="U3526">
        <v>0</v>
      </c>
      <c r="V3526">
        <v>0</v>
      </c>
      <c r="W3526">
        <v>0</v>
      </c>
      <c r="X3526">
        <v>0</v>
      </c>
      <c r="Y3526" t="s">
        <v>31</v>
      </c>
      <c r="AA3526">
        <v>0</v>
      </c>
    </row>
    <row r="3527" spans="1:27" x14ac:dyDescent="0.2">
      <c r="A3527" t="s">
        <v>547</v>
      </c>
      <c r="B3527">
        <v>2019</v>
      </c>
      <c r="C3527">
        <v>2654014031</v>
      </c>
      <c r="D3527" t="s">
        <v>4528</v>
      </c>
      <c r="E3527" t="s">
        <v>29</v>
      </c>
      <c r="F3527" t="s">
        <v>30</v>
      </c>
      <c r="G3527">
        <v>0</v>
      </c>
      <c r="H3527">
        <v>0</v>
      </c>
      <c r="I3527">
        <v>0</v>
      </c>
      <c r="J3527">
        <v>0</v>
      </c>
      <c r="K3527">
        <v>0</v>
      </c>
      <c r="L3527">
        <v>0</v>
      </c>
      <c r="M3527">
        <v>1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>
        <v>0</v>
      </c>
      <c r="U3527">
        <v>0</v>
      </c>
      <c r="V3527">
        <v>0</v>
      </c>
      <c r="W3527">
        <v>0</v>
      </c>
      <c r="X3527">
        <v>0</v>
      </c>
      <c r="Y3527" t="s">
        <v>31</v>
      </c>
      <c r="Z3527">
        <v>55</v>
      </c>
      <c r="AA3527">
        <v>0</v>
      </c>
    </row>
    <row r="3528" spans="1:27" x14ac:dyDescent="0.2">
      <c r="A3528" t="s">
        <v>547</v>
      </c>
      <c r="B3528">
        <v>2019</v>
      </c>
      <c r="C3528">
        <v>5153010011</v>
      </c>
      <c r="D3528" t="s">
        <v>4529</v>
      </c>
      <c r="E3528" t="s">
        <v>29</v>
      </c>
      <c r="F3528" t="s">
        <v>30</v>
      </c>
      <c r="G3528">
        <v>0</v>
      </c>
      <c r="H3528">
        <v>0</v>
      </c>
      <c r="I3528">
        <v>0</v>
      </c>
      <c r="J3528">
        <v>0</v>
      </c>
      <c r="K3528">
        <v>0</v>
      </c>
      <c r="L3528">
        <v>0</v>
      </c>
      <c r="M3528">
        <v>1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>
        <v>0</v>
      </c>
      <c r="U3528">
        <v>0</v>
      </c>
      <c r="V3528">
        <v>0</v>
      </c>
      <c r="W3528">
        <v>0</v>
      </c>
      <c r="X3528">
        <v>0</v>
      </c>
      <c r="Y3528" t="s">
        <v>31</v>
      </c>
      <c r="Z3528">
        <v>55</v>
      </c>
      <c r="AA3528">
        <v>0</v>
      </c>
    </row>
    <row r="3529" spans="1:27" x14ac:dyDescent="0.2">
      <c r="A3529" t="s">
        <v>547</v>
      </c>
      <c r="B3529">
        <v>2019</v>
      </c>
      <c r="C3529">
        <v>5545009035</v>
      </c>
      <c r="D3529" t="s">
        <v>4530</v>
      </c>
      <c r="E3529" t="s">
        <v>29</v>
      </c>
      <c r="F3529" t="s">
        <v>30</v>
      </c>
      <c r="G3529">
        <v>0</v>
      </c>
      <c r="H3529">
        <v>0</v>
      </c>
      <c r="I3529">
        <v>0</v>
      </c>
      <c r="J3529">
        <v>0</v>
      </c>
      <c r="K3529">
        <v>0</v>
      </c>
      <c r="L3529">
        <v>0</v>
      </c>
      <c r="M3529">
        <v>15</v>
      </c>
      <c r="N3529">
        <v>0</v>
      </c>
      <c r="O3529">
        <v>0</v>
      </c>
      <c r="P3529">
        <v>0</v>
      </c>
      <c r="Q3529">
        <v>15</v>
      </c>
      <c r="R3529">
        <v>0</v>
      </c>
      <c r="S3529">
        <v>0</v>
      </c>
      <c r="T3529">
        <v>0</v>
      </c>
      <c r="U3529">
        <v>0</v>
      </c>
      <c r="V3529">
        <v>0</v>
      </c>
      <c r="W3529">
        <v>0</v>
      </c>
      <c r="X3529">
        <v>0</v>
      </c>
      <c r="Y3529" t="s">
        <v>31</v>
      </c>
      <c r="Z3529">
        <v>55</v>
      </c>
      <c r="AA3529">
        <v>0</v>
      </c>
    </row>
    <row r="3530" spans="1:27" x14ac:dyDescent="0.2">
      <c r="A3530" t="s">
        <v>1500</v>
      </c>
      <c r="B3530">
        <v>2022</v>
      </c>
      <c r="C3530">
        <v>5226012009</v>
      </c>
      <c r="D3530" t="s">
        <v>4531</v>
      </c>
      <c r="E3530" t="s">
        <v>29</v>
      </c>
      <c r="F3530" t="s">
        <v>30</v>
      </c>
      <c r="G3530">
        <v>18</v>
      </c>
      <c r="H3530">
        <v>0</v>
      </c>
      <c r="I3530">
        <v>0</v>
      </c>
      <c r="J3530">
        <v>0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>
        <v>0</v>
      </c>
      <c r="U3530">
        <v>0</v>
      </c>
      <c r="V3530">
        <v>0</v>
      </c>
      <c r="W3530">
        <v>0</v>
      </c>
      <c r="X3530">
        <v>0</v>
      </c>
      <c r="Y3530" t="s">
        <v>31</v>
      </c>
      <c r="Z3530">
        <v>1000</v>
      </c>
      <c r="AA3530">
        <v>120</v>
      </c>
    </row>
    <row r="3531" spans="1:27" x14ac:dyDescent="0.2">
      <c r="A3531" t="s">
        <v>3790</v>
      </c>
      <c r="B3531">
        <v>2019</v>
      </c>
      <c r="C3531" t="s">
        <v>3791</v>
      </c>
      <c r="D3531" t="s">
        <v>3792</v>
      </c>
      <c r="E3531" t="s">
        <v>29</v>
      </c>
      <c r="F3531" t="s">
        <v>30</v>
      </c>
      <c r="G3531">
        <v>0</v>
      </c>
      <c r="H3531">
        <v>0</v>
      </c>
      <c r="I3531">
        <v>0</v>
      </c>
      <c r="J3531">
        <v>0</v>
      </c>
      <c r="K3531">
        <v>0</v>
      </c>
      <c r="L3531">
        <v>0</v>
      </c>
      <c r="M3531">
        <v>31</v>
      </c>
      <c r="N3531">
        <v>0</v>
      </c>
      <c r="O3531">
        <v>34</v>
      </c>
      <c r="P3531">
        <v>0</v>
      </c>
      <c r="Q3531">
        <v>0</v>
      </c>
      <c r="R3531">
        <v>0</v>
      </c>
      <c r="S3531">
        <v>31</v>
      </c>
      <c r="T3531">
        <v>0</v>
      </c>
      <c r="U3531">
        <v>34</v>
      </c>
      <c r="V3531">
        <v>0</v>
      </c>
      <c r="W3531">
        <v>0</v>
      </c>
      <c r="X3531">
        <v>0</v>
      </c>
      <c r="Y3531" t="s">
        <v>51</v>
      </c>
      <c r="Z3531">
        <v>55</v>
      </c>
      <c r="AA3531">
        <v>0</v>
      </c>
    </row>
    <row r="3532" spans="1:27" x14ac:dyDescent="0.2">
      <c r="A3532" t="s">
        <v>2152</v>
      </c>
      <c r="B3532">
        <v>2020</v>
      </c>
      <c r="C3532">
        <v>178411017</v>
      </c>
      <c r="D3532" t="s">
        <v>2153</v>
      </c>
      <c r="E3532" t="s">
        <v>29</v>
      </c>
      <c r="F3532" t="s">
        <v>30</v>
      </c>
      <c r="G3532">
        <v>0</v>
      </c>
      <c r="H3532">
        <v>0</v>
      </c>
      <c r="I3532">
        <v>0</v>
      </c>
      <c r="J3532">
        <v>0</v>
      </c>
      <c r="K3532">
        <v>0</v>
      </c>
      <c r="L3532">
        <v>0</v>
      </c>
      <c r="M3532">
        <v>11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>
        <v>0</v>
      </c>
      <c r="U3532">
        <v>0</v>
      </c>
      <c r="V3532">
        <v>0</v>
      </c>
      <c r="W3532">
        <v>0</v>
      </c>
      <c r="X3532">
        <v>0</v>
      </c>
      <c r="Y3532" t="s">
        <v>31</v>
      </c>
      <c r="Z3532">
        <v>55</v>
      </c>
      <c r="AA3532">
        <v>0</v>
      </c>
    </row>
    <row r="3533" spans="1:27" x14ac:dyDescent="0.2">
      <c r="A3533" t="s">
        <v>547</v>
      </c>
      <c r="B3533">
        <v>2019</v>
      </c>
      <c r="C3533">
        <v>6032006021</v>
      </c>
      <c r="D3533" t="s">
        <v>4532</v>
      </c>
      <c r="E3533" t="s">
        <v>29</v>
      </c>
      <c r="F3533" t="s">
        <v>30</v>
      </c>
      <c r="G3533">
        <v>16</v>
      </c>
      <c r="H3533">
        <v>0</v>
      </c>
      <c r="I3533">
        <v>0</v>
      </c>
      <c r="J3533">
        <v>0</v>
      </c>
      <c r="K3533">
        <v>0</v>
      </c>
      <c r="L3533">
        <v>0</v>
      </c>
      <c r="M3533">
        <v>16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>
        <v>0</v>
      </c>
      <c r="U3533">
        <v>0</v>
      </c>
      <c r="V3533">
        <v>0</v>
      </c>
      <c r="W3533">
        <v>0</v>
      </c>
      <c r="X3533">
        <v>0</v>
      </c>
      <c r="Y3533" t="s">
        <v>31</v>
      </c>
      <c r="Z3533">
        <v>55</v>
      </c>
      <c r="AA3533">
        <v>0</v>
      </c>
    </row>
    <row r="3534" spans="1:27" x14ac:dyDescent="0.2">
      <c r="A3534" t="s">
        <v>547</v>
      </c>
      <c r="B3534">
        <v>2019</v>
      </c>
      <c r="C3534">
        <v>4233020016</v>
      </c>
      <c r="D3534" t="s">
        <v>4533</v>
      </c>
      <c r="E3534" t="s">
        <v>29</v>
      </c>
      <c r="F3534" t="s">
        <v>30</v>
      </c>
      <c r="G3534">
        <v>3</v>
      </c>
      <c r="H3534">
        <v>0</v>
      </c>
      <c r="I3534">
        <v>0</v>
      </c>
      <c r="J3534">
        <v>0</v>
      </c>
      <c r="K3534">
        <v>0</v>
      </c>
      <c r="L3534">
        <v>0</v>
      </c>
      <c r="M3534">
        <v>3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>
        <v>0</v>
      </c>
      <c r="U3534">
        <v>0</v>
      </c>
      <c r="V3534">
        <v>0</v>
      </c>
      <c r="W3534">
        <v>0</v>
      </c>
      <c r="X3534">
        <v>0</v>
      </c>
      <c r="Y3534" t="s">
        <v>31</v>
      </c>
      <c r="Z3534">
        <v>55</v>
      </c>
      <c r="AA3534">
        <v>0</v>
      </c>
    </row>
    <row r="3535" spans="1:27" x14ac:dyDescent="0.2">
      <c r="A3535" t="s">
        <v>547</v>
      </c>
      <c r="B3535">
        <v>2019</v>
      </c>
      <c r="C3535">
        <v>5305011900</v>
      </c>
      <c r="D3535" t="s">
        <v>4534</v>
      </c>
      <c r="E3535" t="s">
        <v>29</v>
      </c>
      <c r="F3535" t="s">
        <v>30</v>
      </c>
      <c r="G3535">
        <v>0</v>
      </c>
      <c r="H3535">
        <v>0</v>
      </c>
      <c r="I3535">
        <v>172</v>
      </c>
      <c r="J3535">
        <v>0</v>
      </c>
      <c r="K3535">
        <v>7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>
        <v>0</v>
      </c>
      <c r="U3535">
        <v>0</v>
      </c>
      <c r="V3535">
        <v>0</v>
      </c>
      <c r="W3535">
        <v>0</v>
      </c>
      <c r="X3535">
        <v>0</v>
      </c>
      <c r="Y3535" t="s">
        <v>31</v>
      </c>
      <c r="Z3535">
        <v>55</v>
      </c>
      <c r="AA3535">
        <v>0</v>
      </c>
    </row>
    <row r="3536" spans="1:27" x14ac:dyDescent="0.2">
      <c r="A3536" t="s">
        <v>547</v>
      </c>
      <c r="B3536">
        <v>2019</v>
      </c>
      <c r="C3536">
        <v>5457004007</v>
      </c>
      <c r="D3536" t="s">
        <v>4535</v>
      </c>
      <c r="E3536" t="s">
        <v>29</v>
      </c>
      <c r="F3536" t="s">
        <v>30</v>
      </c>
      <c r="G3536">
        <v>0</v>
      </c>
      <c r="H3536">
        <v>0</v>
      </c>
      <c r="I3536">
        <v>31</v>
      </c>
      <c r="J3536">
        <v>0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>
        <v>0</v>
      </c>
      <c r="U3536">
        <v>0</v>
      </c>
      <c r="V3536">
        <v>0</v>
      </c>
      <c r="W3536">
        <v>0</v>
      </c>
      <c r="X3536">
        <v>0</v>
      </c>
      <c r="Y3536" t="s">
        <v>31</v>
      </c>
      <c r="Z3536">
        <v>55</v>
      </c>
      <c r="AA3536">
        <v>0</v>
      </c>
    </row>
    <row r="3537" spans="1:27" x14ac:dyDescent="0.2">
      <c r="A3537" t="s">
        <v>547</v>
      </c>
      <c r="B3537">
        <v>2019</v>
      </c>
      <c r="C3537">
        <v>2249001004</v>
      </c>
      <c r="D3537" t="s">
        <v>4536</v>
      </c>
      <c r="E3537" t="s">
        <v>29</v>
      </c>
      <c r="F3537" t="s">
        <v>30</v>
      </c>
      <c r="G3537">
        <v>17</v>
      </c>
      <c r="H3537">
        <v>0</v>
      </c>
      <c r="I3537">
        <v>37</v>
      </c>
      <c r="J3537">
        <v>0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0</v>
      </c>
      <c r="U3537">
        <v>0</v>
      </c>
      <c r="V3537">
        <v>0</v>
      </c>
      <c r="W3537">
        <v>0</v>
      </c>
      <c r="X3537">
        <v>0</v>
      </c>
      <c r="Y3537" t="s">
        <v>31</v>
      </c>
      <c r="Z3537">
        <v>55</v>
      </c>
      <c r="AA3537">
        <v>0</v>
      </c>
    </row>
    <row r="3538" spans="1:27" x14ac:dyDescent="0.2">
      <c r="A3538" t="s">
        <v>547</v>
      </c>
      <c r="B3538">
        <v>2019</v>
      </c>
      <c r="C3538">
        <v>5082023002</v>
      </c>
      <c r="D3538" t="s">
        <v>4537</v>
      </c>
      <c r="E3538" t="s">
        <v>29</v>
      </c>
      <c r="F3538" t="s">
        <v>30</v>
      </c>
      <c r="G3538">
        <v>7</v>
      </c>
      <c r="H3538">
        <v>0</v>
      </c>
      <c r="I3538">
        <v>46</v>
      </c>
      <c r="J3538">
        <v>0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>
        <v>0</v>
      </c>
      <c r="U3538">
        <v>0</v>
      </c>
      <c r="V3538">
        <v>0</v>
      </c>
      <c r="W3538">
        <v>0</v>
      </c>
      <c r="X3538">
        <v>0</v>
      </c>
      <c r="Y3538" t="s">
        <v>31</v>
      </c>
      <c r="Z3538">
        <v>55</v>
      </c>
      <c r="AA3538">
        <v>0</v>
      </c>
    </row>
    <row r="3539" spans="1:27" x14ac:dyDescent="0.2">
      <c r="A3539" t="s">
        <v>547</v>
      </c>
      <c r="B3539">
        <v>2019</v>
      </c>
      <c r="C3539">
        <v>5124034005</v>
      </c>
      <c r="D3539" t="s">
        <v>4538</v>
      </c>
      <c r="E3539" t="s">
        <v>29</v>
      </c>
      <c r="F3539" t="s">
        <v>30</v>
      </c>
      <c r="G3539">
        <v>121</v>
      </c>
      <c r="H3539">
        <v>0</v>
      </c>
      <c r="I3539">
        <v>0</v>
      </c>
      <c r="J3539">
        <v>0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0</v>
      </c>
      <c r="U3539">
        <v>0</v>
      </c>
      <c r="V3539">
        <v>0</v>
      </c>
      <c r="W3539">
        <v>0</v>
      </c>
      <c r="X3539">
        <v>0</v>
      </c>
      <c r="Y3539" t="s">
        <v>31</v>
      </c>
      <c r="Z3539">
        <v>55</v>
      </c>
      <c r="AA3539">
        <v>0</v>
      </c>
    </row>
    <row r="3540" spans="1:27" x14ac:dyDescent="0.2">
      <c r="A3540" t="s">
        <v>1071</v>
      </c>
      <c r="B3540">
        <v>2020</v>
      </c>
      <c r="C3540">
        <v>81712020</v>
      </c>
      <c r="D3540" t="s">
        <v>4539</v>
      </c>
      <c r="E3540" t="s">
        <v>29</v>
      </c>
      <c r="F3540" t="s">
        <v>30</v>
      </c>
      <c r="G3540">
        <v>0</v>
      </c>
      <c r="H3540">
        <v>0</v>
      </c>
      <c r="I3540">
        <v>0</v>
      </c>
      <c r="J3540">
        <v>0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1</v>
      </c>
      <c r="T3540">
        <v>0</v>
      </c>
      <c r="U3540">
        <v>1</v>
      </c>
      <c r="V3540">
        <v>0</v>
      </c>
      <c r="W3540">
        <v>0</v>
      </c>
      <c r="X3540">
        <v>12</v>
      </c>
      <c r="Y3540" t="s">
        <v>51</v>
      </c>
      <c r="AA3540">
        <v>0</v>
      </c>
    </row>
    <row r="3541" spans="1:27" x14ac:dyDescent="0.2">
      <c r="A3541" t="s">
        <v>1071</v>
      </c>
      <c r="B3541">
        <v>2020</v>
      </c>
      <c r="C3541">
        <v>81712020</v>
      </c>
      <c r="D3541" t="s">
        <v>4540</v>
      </c>
      <c r="E3541" t="s">
        <v>29</v>
      </c>
      <c r="F3541" t="s">
        <v>30</v>
      </c>
      <c r="G3541">
        <v>0</v>
      </c>
      <c r="H3541">
        <v>0</v>
      </c>
      <c r="I3541">
        <v>0</v>
      </c>
      <c r="J3541">
        <v>0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1</v>
      </c>
      <c r="T3541">
        <v>0</v>
      </c>
      <c r="U3541">
        <v>1</v>
      </c>
      <c r="V3541">
        <v>0</v>
      </c>
      <c r="W3541">
        <v>0</v>
      </c>
      <c r="X3541">
        <v>12</v>
      </c>
      <c r="Y3541" t="s">
        <v>51</v>
      </c>
      <c r="AA3541">
        <v>0</v>
      </c>
    </row>
    <row r="3542" spans="1:27" x14ac:dyDescent="0.2">
      <c r="A3542" t="s">
        <v>1071</v>
      </c>
      <c r="B3542">
        <v>2020</v>
      </c>
      <c r="C3542">
        <v>81712020</v>
      </c>
      <c r="D3542" t="s">
        <v>4541</v>
      </c>
      <c r="E3542" t="s">
        <v>29</v>
      </c>
      <c r="F3542" t="s">
        <v>30</v>
      </c>
      <c r="G3542">
        <v>0</v>
      </c>
      <c r="H3542">
        <v>0</v>
      </c>
      <c r="I3542">
        <v>0</v>
      </c>
      <c r="J3542">
        <v>0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1</v>
      </c>
      <c r="T3542">
        <v>0</v>
      </c>
      <c r="U3542">
        <v>1</v>
      </c>
      <c r="V3542">
        <v>0</v>
      </c>
      <c r="W3542">
        <v>0</v>
      </c>
      <c r="X3542">
        <v>12</v>
      </c>
      <c r="Y3542" t="s">
        <v>51</v>
      </c>
      <c r="AA3542">
        <v>0</v>
      </c>
    </row>
    <row r="3543" spans="1:27" x14ac:dyDescent="0.2">
      <c r="A3543" t="s">
        <v>547</v>
      </c>
      <c r="B3543">
        <v>2019</v>
      </c>
      <c r="C3543">
        <v>5511028025</v>
      </c>
      <c r="D3543" t="s">
        <v>4542</v>
      </c>
      <c r="E3543" t="s">
        <v>29</v>
      </c>
      <c r="F3543" t="s">
        <v>30</v>
      </c>
      <c r="G3543">
        <v>5</v>
      </c>
      <c r="H3543">
        <v>0</v>
      </c>
      <c r="I3543">
        <v>0</v>
      </c>
      <c r="J3543">
        <v>0</v>
      </c>
      <c r="K3543">
        <v>2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>
        <v>0</v>
      </c>
      <c r="U3543">
        <v>0</v>
      </c>
      <c r="V3543">
        <v>0</v>
      </c>
      <c r="W3543">
        <v>0</v>
      </c>
      <c r="X3543">
        <v>0</v>
      </c>
      <c r="Y3543" t="s">
        <v>31</v>
      </c>
      <c r="Z3543">
        <v>55</v>
      </c>
      <c r="AA3543">
        <v>0</v>
      </c>
    </row>
    <row r="3544" spans="1:27" x14ac:dyDescent="0.2">
      <c r="A3544" t="s">
        <v>547</v>
      </c>
      <c r="B3544">
        <v>2019</v>
      </c>
      <c r="C3544">
        <v>5080017010</v>
      </c>
      <c r="D3544" t="s">
        <v>4543</v>
      </c>
      <c r="E3544" t="s">
        <v>29</v>
      </c>
      <c r="F3544" t="s">
        <v>30</v>
      </c>
      <c r="G3544">
        <v>46</v>
      </c>
      <c r="H3544">
        <v>0</v>
      </c>
      <c r="I3544">
        <v>0</v>
      </c>
      <c r="J3544">
        <v>0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0</v>
      </c>
      <c r="U3544">
        <v>0</v>
      </c>
      <c r="V3544">
        <v>0</v>
      </c>
      <c r="W3544">
        <v>0</v>
      </c>
      <c r="X3544">
        <v>0</v>
      </c>
      <c r="Y3544" t="s">
        <v>31</v>
      </c>
      <c r="Z3544">
        <v>55</v>
      </c>
      <c r="AA3544">
        <v>0</v>
      </c>
    </row>
    <row r="3545" spans="1:27" x14ac:dyDescent="0.2">
      <c r="A3545" t="s">
        <v>547</v>
      </c>
      <c r="B3545">
        <v>2019</v>
      </c>
      <c r="C3545">
        <v>2513006900</v>
      </c>
      <c r="D3545" t="s">
        <v>4544</v>
      </c>
      <c r="E3545" t="s">
        <v>29</v>
      </c>
      <c r="F3545" t="s">
        <v>30</v>
      </c>
      <c r="G3545">
        <v>0</v>
      </c>
      <c r="H3545">
        <v>0</v>
      </c>
      <c r="I3545">
        <v>0</v>
      </c>
      <c r="J3545">
        <v>0</v>
      </c>
      <c r="K3545">
        <v>0</v>
      </c>
      <c r="L3545">
        <v>0</v>
      </c>
      <c r="M3545">
        <v>0</v>
      </c>
      <c r="N3545">
        <v>0</v>
      </c>
      <c r="O3545">
        <v>7</v>
      </c>
      <c r="P3545">
        <v>0</v>
      </c>
      <c r="Q3545">
        <v>40</v>
      </c>
      <c r="R3545">
        <v>0</v>
      </c>
      <c r="S3545">
        <v>0</v>
      </c>
      <c r="T3545">
        <v>0</v>
      </c>
      <c r="U3545">
        <v>0</v>
      </c>
      <c r="V3545">
        <v>0</v>
      </c>
      <c r="W3545">
        <v>0</v>
      </c>
      <c r="X3545">
        <v>0</v>
      </c>
      <c r="Y3545" t="s">
        <v>31</v>
      </c>
      <c r="Z3545">
        <v>55</v>
      </c>
      <c r="AA3545">
        <v>0</v>
      </c>
    </row>
    <row r="3546" spans="1:27" x14ac:dyDescent="0.2">
      <c r="A3546" t="s">
        <v>547</v>
      </c>
      <c r="B3546">
        <v>2019</v>
      </c>
      <c r="C3546">
        <v>6031019015</v>
      </c>
      <c r="D3546" t="s">
        <v>4545</v>
      </c>
      <c r="E3546" t="s">
        <v>29</v>
      </c>
      <c r="F3546" t="s">
        <v>30</v>
      </c>
      <c r="G3546">
        <v>0</v>
      </c>
      <c r="H3546">
        <v>0</v>
      </c>
      <c r="I3546">
        <v>0</v>
      </c>
      <c r="J3546">
        <v>0</v>
      </c>
      <c r="K3546">
        <v>0</v>
      </c>
      <c r="L3546">
        <v>0</v>
      </c>
      <c r="M3546">
        <v>4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>
        <v>0</v>
      </c>
      <c r="U3546">
        <v>0</v>
      </c>
      <c r="V3546">
        <v>0</v>
      </c>
      <c r="W3546">
        <v>0</v>
      </c>
      <c r="X3546">
        <v>0</v>
      </c>
      <c r="Y3546" t="s">
        <v>31</v>
      </c>
      <c r="Z3546">
        <v>55</v>
      </c>
      <c r="AA3546">
        <v>0</v>
      </c>
    </row>
    <row r="3547" spans="1:27" x14ac:dyDescent="0.2">
      <c r="A3547" t="s">
        <v>547</v>
      </c>
      <c r="B3547">
        <v>2019</v>
      </c>
      <c r="C3547">
        <v>5459009017</v>
      </c>
      <c r="D3547" t="s">
        <v>557</v>
      </c>
      <c r="E3547" t="s">
        <v>29</v>
      </c>
      <c r="F3547" t="s">
        <v>41</v>
      </c>
      <c r="G3547">
        <v>0</v>
      </c>
      <c r="H3547">
        <v>0</v>
      </c>
      <c r="I3547">
        <v>0</v>
      </c>
      <c r="J3547">
        <v>0</v>
      </c>
      <c r="K3547">
        <v>0</v>
      </c>
      <c r="L3547">
        <v>0</v>
      </c>
      <c r="M3547">
        <v>1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>
        <v>0</v>
      </c>
      <c r="U3547">
        <v>0</v>
      </c>
      <c r="V3547">
        <v>0</v>
      </c>
      <c r="W3547">
        <v>0</v>
      </c>
      <c r="X3547">
        <v>0</v>
      </c>
      <c r="Y3547" t="s">
        <v>31</v>
      </c>
      <c r="Z3547">
        <v>55</v>
      </c>
      <c r="AA3547">
        <v>0</v>
      </c>
    </row>
    <row r="3548" spans="1:27" x14ac:dyDescent="0.2">
      <c r="A3548" t="s">
        <v>547</v>
      </c>
      <c r="B3548">
        <v>2019</v>
      </c>
      <c r="C3548">
        <v>4221023033</v>
      </c>
      <c r="D3548" t="s">
        <v>4546</v>
      </c>
      <c r="E3548" t="s">
        <v>29</v>
      </c>
      <c r="F3548" t="s">
        <v>30</v>
      </c>
      <c r="G3548">
        <v>0</v>
      </c>
      <c r="H3548">
        <v>0</v>
      </c>
      <c r="I3548">
        <v>0</v>
      </c>
      <c r="J3548">
        <v>0</v>
      </c>
      <c r="K3548">
        <v>0</v>
      </c>
      <c r="L3548">
        <v>0</v>
      </c>
      <c r="M3548">
        <v>2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>
        <v>0</v>
      </c>
      <c r="U3548">
        <v>0</v>
      </c>
      <c r="V3548">
        <v>0</v>
      </c>
      <c r="W3548">
        <v>0</v>
      </c>
      <c r="X3548">
        <v>0</v>
      </c>
      <c r="Y3548" t="s">
        <v>31</v>
      </c>
      <c r="Z3548">
        <v>55</v>
      </c>
      <c r="AA3548">
        <v>0</v>
      </c>
    </row>
    <row r="3549" spans="1:27" x14ac:dyDescent="0.2">
      <c r="A3549" t="s">
        <v>547</v>
      </c>
      <c r="B3549">
        <v>2019</v>
      </c>
      <c r="C3549">
        <v>5407007001</v>
      </c>
      <c r="D3549" t="s">
        <v>4547</v>
      </c>
      <c r="E3549" t="s">
        <v>29</v>
      </c>
      <c r="F3549" t="s">
        <v>30</v>
      </c>
      <c r="G3549">
        <v>0</v>
      </c>
      <c r="H3549">
        <v>0</v>
      </c>
      <c r="I3549">
        <v>0</v>
      </c>
      <c r="J3549">
        <v>0</v>
      </c>
      <c r="K3549">
        <v>0</v>
      </c>
      <c r="L3549">
        <v>0</v>
      </c>
      <c r="M3549">
        <v>3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>
        <v>0</v>
      </c>
      <c r="U3549">
        <v>0</v>
      </c>
      <c r="V3549">
        <v>0</v>
      </c>
      <c r="W3549">
        <v>0</v>
      </c>
      <c r="X3549">
        <v>0</v>
      </c>
      <c r="Y3549" t="s">
        <v>31</v>
      </c>
      <c r="Z3549">
        <v>55</v>
      </c>
      <c r="AA3549">
        <v>0</v>
      </c>
    </row>
    <row r="3550" spans="1:27" x14ac:dyDescent="0.2">
      <c r="A3550" t="s">
        <v>547</v>
      </c>
      <c r="B3550">
        <v>2019</v>
      </c>
      <c r="C3550">
        <v>2328012003</v>
      </c>
      <c r="D3550" t="s">
        <v>4548</v>
      </c>
      <c r="E3550" t="s">
        <v>29</v>
      </c>
      <c r="F3550" t="s">
        <v>30</v>
      </c>
      <c r="G3550">
        <v>0</v>
      </c>
      <c r="H3550">
        <v>0</v>
      </c>
      <c r="I3550">
        <v>0</v>
      </c>
      <c r="J3550">
        <v>0</v>
      </c>
      <c r="K3550">
        <v>0</v>
      </c>
      <c r="L3550">
        <v>0</v>
      </c>
      <c r="M3550">
        <v>2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>
        <v>0</v>
      </c>
      <c r="U3550">
        <v>0</v>
      </c>
      <c r="V3550">
        <v>0</v>
      </c>
      <c r="W3550">
        <v>0</v>
      </c>
      <c r="X3550">
        <v>0</v>
      </c>
      <c r="Y3550" t="s">
        <v>31</v>
      </c>
      <c r="Z3550">
        <v>55</v>
      </c>
      <c r="AA3550">
        <v>0</v>
      </c>
    </row>
    <row r="3551" spans="1:27" x14ac:dyDescent="0.2">
      <c r="A3551" t="s">
        <v>547</v>
      </c>
      <c r="B3551">
        <v>2019</v>
      </c>
      <c r="C3551">
        <v>2240013007</v>
      </c>
      <c r="D3551" t="s">
        <v>552</v>
      </c>
      <c r="E3551" t="s">
        <v>29</v>
      </c>
      <c r="F3551" t="s">
        <v>30</v>
      </c>
      <c r="G3551">
        <v>0</v>
      </c>
      <c r="H3551">
        <v>0</v>
      </c>
      <c r="I3551">
        <v>0</v>
      </c>
      <c r="J3551">
        <v>0</v>
      </c>
      <c r="K3551">
        <v>0</v>
      </c>
      <c r="L3551">
        <v>0</v>
      </c>
      <c r="M3551">
        <v>2</v>
      </c>
      <c r="N3551">
        <v>0</v>
      </c>
      <c r="O3551">
        <v>1</v>
      </c>
      <c r="P3551">
        <v>0</v>
      </c>
      <c r="Q3551">
        <v>0</v>
      </c>
      <c r="R3551">
        <v>0</v>
      </c>
      <c r="S3551">
        <v>0</v>
      </c>
      <c r="T3551">
        <v>0</v>
      </c>
      <c r="U3551">
        <v>0</v>
      </c>
      <c r="V3551">
        <v>0</v>
      </c>
      <c r="W3551">
        <v>0</v>
      </c>
      <c r="X3551">
        <v>0</v>
      </c>
      <c r="Y3551" t="s">
        <v>31</v>
      </c>
      <c r="Z3551">
        <v>55</v>
      </c>
      <c r="AA3551">
        <v>0</v>
      </c>
    </row>
    <row r="3552" spans="1:27" x14ac:dyDescent="0.2">
      <c r="A3552" t="s">
        <v>1165</v>
      </c>
      <c r="B3552">
        <v>2020</v>
      </c>
      <c r="C3552" t="s">
        <v>1180</v>
      </c>
      <c r="D3552" t="s">
        <v>1181</v>
      </c>
      <c r="E3552" t="s">
        <v>29</v>
      </c>
      <c r="F3552" t="s">
        <v>41</v>
      </c>
      <c r="G3552">
        <v>0</v>
      </c>
      <c r="H3552">
        <v>0</v>
      </c>
      <c r="I3552">
        <v>1</v>
      </c>
      <c r="J3552">
        <v>0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>
        <v>0</v>
      </c>
      <c r="U3552">
        <v>0</v>
      </c>
      <c r="V3552">
        <v>0</v>
      </c>
      <c r="W3552">
        <v>0</v>
      </c>
      <c r="X3552">
        <v>0</v>
      </c>
      <c r="Y3552" t="s">
        <v>51</v>
      </c>
      <c r="Z3552">
        <v>99</v>
      </c>
      <c r="AA3552">
        <v>0</v>
      </c>
    </row>
    <row r="3553" spans="1:27" x14ac:dyDescent="0.2">
      <c r="A3553" t="s">
        <v>547</v>
      </c>
      <c r="B3553">
        <v>2019</v>
      </c>
      <c r="C3553">
        <v>4314007017</v>
      </c>
      <c r="D3553" t="s">
        <v>4549</v>
      </c>
      <c r="E3553" t="s">
        <v>29</v>
      </c>
      <c r="F3553" t="s">
        <v>30</v>
      </c>
      <c r="G3553">
        <v>0</v>
      </c>
      <c r="H3553">
        <v>0</v>
      </c>
      <c r="I3553">
        <v>0</v>
      </c>
      <c r="J3553">
        <v>0</v>
      </c>
      <c r="K3553">
        <v>0</v>
      </c>
      <c r="L3553">
        <v>0</v>
      </c>
      <c r="M3553">
        <v>4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>
        <v>0</v>
      </c>
      <c r="U3553">
        <v>0</v>
      </c>
      <c r="V3553">
        <v>0</v>
      </c>
      <c r="W3553">
        <v>0</v>
      </c>
      <c r="X3553">
        <v>0</v>
      </c>
      <c r="Y3553" t="s">
        <v>31</v>
      </c>
      <c r="Z3553">
        <v>55</v>
      </c>
      <c r="AA3553">
        <v>0</v>
      </c>
    </row>
    <row r="3554" spans="1:27" x14ac:dyDescent="0.2">
      <c r="A3554" t="s">
        <v>547</v>
      </c>
      <c r="B3554">
        <v>2019</v>
      </c>
      <c r="C3554">
        <v>4260034024</v>
      </c>
      <c r="D3554" t="s">
        <v>4550</v>
      </c>
      <c r="E3554" t="s">
        <v>29</v>
      </c>
      <c r="F3554" t="s">
        <v>30</v>
      </c>
      <c r="G3554">
        <v>0</v>
      </c>
      <c r="H3554">
        <v>0</v>
      </c>
      <c r="I3554">
        <v>0</v>
      </c>
      <c r="J3554">
        <v>0</v>
      </c>
      <c r="K3554">
        <v>0</v>
      </c>
      <c r="L3554">
        <v>0</v>
      </c>
      <c r="M3554">
        <v>2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>
        <v>0</v>
      </c>
      <c r="U3554">
        <v>0</v>
      </c>
      <c r="V3554">
        <v>0</v>
      </c>
      <c r="W3554">
        <v>0</v>
      </c>
      <c r="X3554">
        <v>0</v>
      </c>
      <c r="Y3554" t="s">
        <v>31</v>
      </c>
      <c r="Z3554">
        <v>55</v>
      </c>
      <c r="AA3554">
        <v>0</v>
      </c>
    </row>
    <row r="3555" spans="1:27" x14ac:dyDescent="0.2">
      <c r="A3555" t="s">
        <v>547</v>
      </c>
      <c r="B3555">
        <v>2019</v>
      </c>
      <c r="C3555">
        <v>4235002015</v>
      </c>
      <c r="D3555" t="s">
        <v>4551</v>
      </c>
      <c r="E3555" t="s">
        <v>29</v>
      </c>
      <c r="F3555" t="s">
        <v>30</v>
      </c>
      <c r="G3555">
        <v>0</v>
      </c>
      <c r="H3555">
        <v>0</v>
      </c>
      <c r="I3555">
        <v>0</v>
      </c>
      <c r="J3555">
        <v>0</v>
      </c>
      <c r="K3555">
        <v>0</v>
      </c>
      <c r="L3555">
        <v>0</v>
      </c>
      <c r="M3555">
        <v>2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>
        <v>0</v>
      </c>
      <c r="U3555">
        <v>0</v>
      </c>
      <c r="V3555">
        <v>0</v>
      </c>
      <c r="W3555">
        <v>0</v>
      </c>
      <c r="X3555">
        <v>0</v>
      </c>
      <c r="Y3555" t="s">
        <v>31</v>
      </c>
      <c r="Z3555">
        <v>55</v>
      </c>
      <c r="AA3555">
        <v>0</v>
      </c>
    </row>
    <row r="3556" spans="1:27" x14ac:dyDescent="0.2">
      <c r="A3556" t="s">
        <v>547</v>
      </c>
      <c r="B3556">
        <v>2019</v>
      </c>
      <c r="C3556">
        <v>5123020011</v>
      </c>
      <c r="D3556" t="s">
        <v>554</v>
      </c>
      <c r="E3556" t="s">
        <v>29</v>
      </c>
      <c r="F3556" t="s">
        <v>30</v>
      </c>
      <c r="G3556">
        <v>0</v>
      </c>
      <c r="H3556">
        <v>0</v>
      </c>
      <c r="I3556">
        <v>0</v>
      </c>
      <c r="J3556">
        <v>0</v>
      </c>
      <c r="K3556">
        <v>0</v>
      </c>
      <c r="L3556">
        <v>0</v>
      </c>
      <c r="M3556">
        <v>0</v>
      </c>
      <c r="N3556">
        <v>0</v>
      </c>
      <c r="O3556">
        <v>6</v>
      </c>
      <c r="P3556">
        <v>0</v>
      </c>
      <c r="Q3556">
        <v>2</v>
      </c>
      <c r="R3556">
        <v>0</v>
      </c>
      <c r="S3556">
        <v>0</v>
      </c>
      <c r="T3556">
        <v>0</v>
      </c>
      <c r="U3556">
        <v>0</v>
      </c>
      <c r="V3556">
        <v>0</v>
      </c>
      <c r="W3556">
        <v>0</v>
      </c>
      <c r="X3556">
        <v>0</v>
      </c>
      <c r="Y3556" t="s">
        <v>31</v>
      </c>
      <c r="Z3556">
        <v>55</v>
      </c>
      <c r="AA3556">
        <v>0</v>
      </c>
    </row>
    <row r="3557" spans="1:27" x14ac:dyDescent="0.2">
      <c r="A3557" t="s">
        <v>547</v>
      </c>
      <c r="B3557">
        <v>2019</v>
      </c>
      <c r="C3557">
        <v>4218001042</v>
      </c>
      <c r="D3557" t="s">
        <v>4552</v>
      </c>
      <c r="E3557" t="s">
        <v>29</v>
      </c>
      <c r="F3557" t="s">
        <v>30</v>
      </c>
      <c r="G3557">
        <v>0</v>
      </c>
      <c r="H3557">
        <v>0</v>
      </c>
      <c r="I3557">
        <v>0</v>
      </c>
      <c r="J3557">
        <v>0</v>
      </c>
      <c r="K3557">
        <v>0</v>
      </c>
      <c r="L3557">
        <v>0</v>
      </c>
      <c r="M3557">
        <v>2</v>
      </c>
      <c r="N3557">
        <v>0</v>
      </c>
      <c r="O3557">
        <v>0</v>
      </c>
      <c r="P3557">
        <v>0</v>
      </c>
      <c r="Q3557">
        <v>0</v>
      </c>
      <c r="R3557">
        <v>0</v>
      </c>
      <c r="S3557">
        <v>2</v>
      </c>
      <c r="T3557">
        <v>0</v>
      </c>
      <c r="U3557">
        <v>0</v>
      </c>
      <c r="V3557">
        <v>0</v>
      </c>
      <c r="W3557">
        <v>0</v>
      </c>
      <c r="X3557">
        <v>0</v>
      </c>
      <c r="Y3557" t="s">
        <v>31</v>
      </c>
      <c r="Z3557">
        <v>55</v>
      </c>
      <c r="AA3557">
        <v>0</v>
      </c>
    </row>
    <row r="3558" spans="1:27" x14ac:dyDescent="0.2">
      <c r="A3558" t="s">
        <v>600</v>
      </c>
      <c r="B3558">
        <v>2020</v>
      </c>
      <c r="C3558">
        <v>3763001</v>
      </c>
      <c r="D3558" t="s">
        <v>4553</v>
      </c>
      <c r="E3558" t="s">
        <v>29</v>
      </c>
      <c r="F3558" t="s">
        <v>30</v>
      </c>
      <c r="G3558">
        <v>0</v>
      </c>
      <c r="H3558">
        <v>0</v>
      </c>
      <c r="I3558">
        <v>0</v>
      </c>
      <c r="J3558">
        <v>0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>
        <v>0</v>
      </c>
      <c r="U3558">
        <v>0</v>
      </c>
      <c r="V3558">
        <v>0</v>
      </c>
      <c r="W3558">
        <v>0</v>
      </c>
      <c r="X3558">
        <v>0</v>
      </c>
      <c r="Y3558" t="s">
        <v>51</v>
      </c>
      <c r="AA3558">
        <v>0</v>
      </c>
    </row>
    <row r="3559" spans="1:27" x14ac:dyDescent="0.2">
      <c r="A3559" t="s">
        <v>600</v>
      </c>
      <c r="B3559">
        <v>2020</v>
      </c>
      <c r="C3559" s="2" t="s">
        <v>4554</v>
      </c>
      <c r="D3559" t="s">
        <v>4555</v>
      </c>
      <c r="E3559" t="s">
        <v>29</v>
      </c>
      <c r="F3559" t="s">
        <v>30</v>
      </c>
      <c r="G3559">
        <v>0</v>
      </c>
      <c r="H3559">
        <v>0</v>
      </c>
      <c r="I3559">
        <v>13</v>
      </c>
      <c r="J3559">
        <v>0</v>
      </c>
      <c r="K3559">
        <v>0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>
        <v>0</v>
      </c>
      <c r="U3559">
        <v>0</v>
      </c>
      <c r="V3559">
        <v>0</v>
      </c>
      <c r="W3559">
        <v>0</v>
      </c>
      <c r="X3559">
        <v>0</v>
      </c>
      <c r="Y3559" t="s">
        <v>51</v>
      </c>
      <c r="AA3559">
        <v>0</v>
      </c>
    </row>
    <row r="3560" spans="1:27" x14ac:dyDescent="0.2">
      <c r="A3560" t="s">
        <v>600</v>
      </c>
      <c r="B3560">
        <v>2020</v>
      </c>
      <c r="C3560">
        <v>3505032</v>
      </c>
      <c r="D3560" t="s">
        <v>1338</v>
      </c>
      <c r="E3560" t="s">
        <v>29</v>
      </c>
      <c r="F3560" t="s">
        <v>30</v>
      </c>
      <c r="G3560">
        <v>0</v>
      </c>
      <c r="H3560">
        <v>0</v>
      </c>
      <c r="I3560">
        <v>0</v>
      </c>
      <c r="J3560">
        <v>0</v>
      </c>
      <c r="K3560">
        <v>0</v>
      </c>
      <c r="L3560">
        <v>0</v>
      </c>
      <c r="M3560">
        <v>0</v>
      </c>
      <c r="N3560">
        <v>0</v>
      </c>
      <c r="O3560">
        <v>58</v>
      </c>
      <c r="P3560">
        <v>0</v>
      </c>
      <c r="Q3560">
        <v>0</v>
      </c>
      <c r="R3560">
        <v>0</v>
      </c>
      <c r="S3560">
        <v>0</v>
      </c>
      <c r="T3560">
        <v>0</v>
      </c>
      <c r="U3560">
        <v>0</v>
      </c>
      <c r="V3560">
        <v>0</v>
      </c>
      <c r="W3560">
        <v>0</v>
      </c>
      <c r="X3560">
        <v>0</v>
      </c>
      <c r="Y3560" t="s">
        <v>51</v>
      </c>
      <c r="AA3560">
        <v>0</v>
      </c>
    </row>
    <row r="3561" spans="1:27" x14ac:dyDescent="0.2">
      <c r="A3561" t="s">
        <v>547</v>
      </c>
      <c r="B3561">
        <v>2019</v>
      </c>
      <c r="C3561">
        <v>4006022018</v>
      </c>
      <c r="D3561" t="s">
        <v>4556</v>
      </c>
      <c r="E3561" t="s">
        <v>29</v>
      </c>
      <c r="F3561" t="s">
        <v>30</v>
      </c>
      <c r="G3561">
        <v>0</v>
      </c>
      <c r="H3561">
        <v>0</v>
      </c>
      <c r="I3561">
        <v>0</v>
      </c>
      <c r="J3561">
        <v>0</v>
      </c>
      <c r="K3561">
        <v>0</v>
      </c>
      <c r="L3561">
        <v>0</v>
      </c>
      <c r="M3561">
        <v>2</v>
      </c>
      <c r="N3561">
        <v>0</v>
      </c>
      <c r="O3561">
        <v>0</v>
      </c>
      <c r="P3561">
        <v>0</v>
      </c>
      <c r="Q3561">
        <v>0</v>
      </c>
      <c r="R3561">
        <v>0</v>
      </c>
      <c r="S3561">
        <v>2</v>
      </c>
      <c r="T3561">
        <v>0</v>
      </c>
      <c r="U3561">
        <v>0</v>
      </c>
      <c r="V3561">
        <v>0</v>
      </c>
      <c r="W3561">
        <v>0</v>
      </c>
      <c r="X3561">
        <v>0</v>
      </c>
      <c r="Y3561" t="s">
        <v>31</v>
      </c>
      <c r="Z3561">
        <v>55</v>
      </c>
      <c r="AA3561">
        <v>0</v>
      </c>
    </row>
    <row r="3562" spans="1:27" x14ac:dyDescent="0.2">
      <c r="A3562" t="s">
        <v>600</v>
      </c>
      <c r="B3562">
        <v>2020</v>
      </c>
      <c r="C3562" s="2" t="s">
        <v>4557</v>
      </c>
      <c r="D3562" t="s">
        <v>4558</v>
      </c>
      <c r="E3562" t="s">
        <v>29</v>
      </c>
      <c r="F3562" t="s">
        <v>30</v>
      </c>
      <c r="G3562">
        <v>0</v>
      </c>
      <c r="H3562">
        <v>0</v>
      </c>
      <c r="I3562">
        <v>0</v>
      </c>
      <c r="J3562">
        <v>0</v>
      </c>
      <c r="K3562">
        <v>0</v>
      </c>
      <c r="L3562">
        <v>0</v>
      </c>
      <c r="M3562">
        <v>0</v>
      </c>
      <c r="N3562">
        <v>0</v>
      </c>
      <c r="O3562">
        <v>3</v>
      </c>
      <c r="P3562">
        <v>0</v>
      </c>
      <c r="Q3562">
        <v>0</v>
      </c>
      <c r="R3562">
        <v>0</v>
      </c>
      <c r="S3562">
        <v>0</v>
      </c>
      <c r="T3562">
        <v>0</v>
      </c>
      <c r="U3562">
        <v>0</v>
      </c>
      <c r="V3562">
        <v>0</v>
      </c>
      <c r="W3562">
        <v>0</v>
      </c>
      <c r="X3562">
        <v>0</v>
      </c>
      <c r="Y3562" t="s">
        <v>51</v>
      </c>
      <c r="AA3562">
        <v>0</v>
      </c>
    </row>
    <row r="3563" spans="1:27" x14ac:dyDescent="0.2">
      <c r="A3563" t="s">
        <v>600</v>
      </c>
      <c r="B3563">
        <v>2020</v>
      </c>
      <c r="C3563">
        <v>3740030</v>
      </c>
      <c r="D3563" t="s">
        <v>4559</v>
      </c>
      <c r="E3563" t="s">
        <v>29</v>
      </c>
      <c r="F3563" t="s">
        <v>41</v>
      </c>
      <c r="G3563">
        <v>0</v>
      </c>
      <c r="H3563">
        <v>0</v>
      </c>
      <c r="I3563">
        <v>0</v>
      </c>
      <c r="J3563">
        <v>0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>
        <v>0</v>
      </c>
      <c r="U3563">
        <v>0</v>
      </c>
      <c r="V3563">
        <v>0</v>
      </c>
      <c r="W3563">
        <v>156</v>
      </c>
      <c r="X3563">
        <v>0</v>
      </c>
      <c r="Y3563" t="s">
        <v>51</v>
      </c>
      <c r="AA3563">
        <v>0</v>
      </c>
    </row>
    <row r="3564" spans="1:27" x14ac:dyDescent="0.2">
      <c r="A3564" t="s">
        <v>600</v>
      </c>
      <c r="B3564">
        <v>2020</v>
      </c>
      <c r="C3564">
        <v>3954016</v>
      </c>
      <c r="D3564" t="s">
        <v>4560</v>
      </c>
      <c r="E3564" t="s">
        <v>29</v>
      </c>
      <c r="F3564" t="s">
        <v>30</v>
      </c>
      <c r="G3564">
        <v>0</v>
      </c>
      <c r="H3564">
        <v>0</v>
      </c>
      <c r="I3564">
        <v>0</v>
      </c>
      <c r="J3564">
        <v>0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>
        <v>0</v>
      </c>
      <c r="U3564">
        <v>29</v>
      </c>
      <c r="V3564">
        <v>0</v>
      </c>
      <c r="W3564">
        <v>0</v>
      </c>
      <c r="X3564">
        <v>0</v>
      </c>
      <c r="Y3564" t="s">
        <v>51</v>
      </c>
      <c r="AA3564">
        <v>0</v>
      </c>
    </row>
    <row r="3565" spans="1:27" x14ac:dyDescent="0.2">
      <c r="A3565" t="s">
        <v>600</v>
      </c>
      <c r="B3565">
        <v>2020</v>
      </c>
      <c r="C3565">
        <v>4045003</v>
      </c>
      <c r="D3565" t="s">
        <v>4561</v>
      </c>
      <c r="E3565" t="s">
        <v>29</v>
      </c>
      <c r="F3565" t="s">
        <v>41</v>
      </c>
      <c r="G3565">
        <v>0</v>
      </c>
      <c r="H3565">
        <v>0</v>
      </c>
      <c r="I3565">
        <v>0</v>
      </c>
      <c r="J3565">
        <v>0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>
        <v>0</v>
      </c>
      <c r="U3565">
        <v>0</v>
      </c>
      <c r="V3565">
        <v>0</v>
      </c>
      <c r="W3565">
        <v>8</v>
      </c>
      <c r="X3565">
        <v>0</v>
      </c>
      <c r="Y3565" t="s">
        <v>51</v>
      </c>
      <c r="AA3565">
        <v>0</v>
      </c>
    </row>
    <row r="3566" spans="1:27" x14ac:dyDescent="0.2">
      <c r="A3566" t="s">
        <v>1500</v>
      </c>
      <c r="B3566">
        <v>2022</v>
      </c>
      <c r="C3566">
        <v>7344002009</v>
      </c>
      <c r="D3566" t="s">
        <v>2068</v>
      </c>
      <c r="E3566" t="s">
        <v>29</v>
      </c>
      <c r="F3566" t="s">
        <v>30</v>
      </c>
      <c r="G3566">
        <v>30</v>
      </c>
      <c r="H3566">
        <v>0</v>
      </c>
      <c r="I3566">
        <v>0</v>
      </c>
      <c r="J3566">
        <v>0</v>
      </c>
      <c r="K3566">
        <v>0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>
        <v>0</v>
      </c>
      <c r="U3566">
        <v>0</v>
      </c>
      <c r="V3566">
        <v>0</v>
      </c>
      <c r="W3566">
        <v>0</v>
      </c>
      <c r="X3566">
        <v>0</v>
      </c>
      <c r="Y3566" t="s">
        <v>31</v>
      </c>
      <c r="Z3566">
        <v>55</v>
      </c>
      <c r="AA3566">
        <v>0</v>
      </c>
    </row>
    <row r="3567" spans="1:27" x14ac:dyDescent="0.2">
      <c r="A3567" t="s">
        <v>547</v>
      </c>
      <c r="B3567">
        <v>2019</v>
      </c>
      <c r="C3567">
        <v>5093025005</v>
      </c>
      <c r="D3567" t="s">
        <v>4562</v>
      </c>
      <c r="E3567" t="s">
        <v>29</v>
      </c>
      <c r="F3567" t="s">
        <v>30</v>
      </c>
      <c r="G3567">
        <v>0</v>
      </c>
      <c r="H3567">
        <v>0</v>
      </c>
      <c r="I3567">
        <v>0</v>
      </c>
      <c r="J3567">
        <v>0</v>
      </c>
      <c r="K3567">
        <v>0</v>
      </c>
      <c r="L3567">
        <v>0</v>
      </c>
      <c r="M3567">
        <v>6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  <c r="U3567">
        <v>0</v>
      </c>
      <c r="V3567">
        <v>0</v>
      </c>
      <c r="W3567">
        <v>0</v>
      </c>
      <c r="X3567">
        <v>0</v>
      </c>
      <c r="Y3567" t="s">
        <v>31</v>
      </c>
      <c r="Z3567">
        <v>55</v>
      </c>
      <c r="AA3567">
        <v>0</v>
      </c>
    </row>
    <row r="3568" spans="1:27" x14ac:dyDescent="0.2">
      <c r="A3568" t="s">
        <v>547</v>
      </c>
      <c r="B3568">
        <v>2019</v>
      </c>
      <c r="C3568">
        <v>5160025001</v>
      </c>
      <c r="D3568" t="s">
        <v>4563</v>
      </c>
      <c r="E3568" t="s">
        <v>29</v>
      </c>
      <c r="F3568" t="s">
        <v>30</v>
      </c>
      <c r="G3568">
        <v>0</v>
      </c>
      <c r="H3568">
        <v>0</v>
      </c>
      <c r="I3568">
        <v>0</v>
      </c>
      <c r="J3568">
        <v>0</v>
      </c>
      <c r="K3568">
        <v>0</v>
      </c>
      <c r="L3568">
        <v>0</v>
      </c>
      <c r="M3568">
        <v>5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>
        <v>0</v>
      </c>
      <c r="U3568">
        <v>0</v>
      </c>
      <c r="V3568">
        <v>0</v>
      </c>
      <c r="W3568">
        <v>0</v>
      </c>
      <c r="X3568">
        <v>0</v>
      </c>
      <c r="Y3568" t="s">
        <v>31</v>
      </c>
      <c r="Z3568">
        <v>55</v>
      </c>
      <c r="AA3568">
        <v>0</v>
      </c>
    </row>
    <row r="3569" spans="1:27" x14ac:dyDescent="0.2">
      <c r="A3569" t="s">
        <v>1500</v>
      </c>
      <c r="B3569">
        <v>2022</v>
      </c>
      <c r="C3569">
        <v>5828027022</v>
      </c>
      <c r="D3569" t="s">
        <v>2264</v>
      </c>
      <c r="E3569" t="s">
        <v>29</v>
      </c>
      <c r="F3569" t="s">
        <v>30</v>
      </c>
      <c r="G3569">
        <v>66</v>
      </c>
      <c r="H3569">
        <v>0</v>
      </c>
      <c r="I3569">
        <v>4</v>
      </c>
      <c r="J3569">
        <v>0</v>
      </c>
      <c r="K3569">
        <v>0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>
        <v>0</v>
      </c>
      <c r="U3569">
        <v>0</v>
      </c>
      <c r="V3569">
        <v>0</v>
      </c>
      <c r="W3569">
        <v>0</v>
      </c>
      <c r="X3569">
        <v>0</v>
      </c>
      <c r="Y3569" t="s">
        <v>31</v>
      </c>
      <c r="Z3569">
        <v>55</v>
      </c>
      <c r="AA3569">
        <v>238</v>
      </c>
    </row>
    <row r="3570" spans="1:27" x14ac:dyDescent="0.2">
      <c r="A3570" t="s">
        <v>1658</v>
      </c>
      <c r="B3570">
        <v>2020</v>
      </c>
      <c r="C3570" t="s">
        <v>3061</v>
      </c>
      <c r="D3570" t="s">
        <v>4564</v>
      </c>
      <c r="E3570" t="s">
        <v>29</v>
      </c>
      <c r="F3570" t="s">
        <v>41</v>
      </c>
      <c r="G3570">
        <v>0</v>
      </c>
      <c r="H3570">
        <v>0</v>
      </c>
      <c r="I3570">
        <v>0</v>
      </c>
      <c r="J3570">
        <v>0</v>
      </c>
      <c r="K3570">
        <v>7</v>
      </c>
      <c r="L3570">
        <v>0</v>
      </c>
      <c r="M3570">
        <v>0</v>
      </c>
      <c r="N3570">
        <v>0</v>
      </c>
      <c r="O3570">
        <v>0</v>
      </c>
      <c r="P3570">
        <v>0</v>
      </c>
      <c r="Q3570">
        <v>0</v>
      </c>
      <c r="R3570">
        <v>0</v>
      </c>
      <c r="S3570">
        <v>0</v>
      </c>
      <c r="T3570">
        <v>0</v>
      </c>
      <c r="U3570">
        <v>0</v>
      </c>
      <c r="V3570">
        <v>0</v>
      </c>
      <c r="W3570">
        <v>0</v>
      </c>
      <c r="X3570">
        <v>0</v>
      </c>
      <c r="Y3570" t="s">
        <v>51</v>
      </c>
      <c r="Z3570">
        <v>99</v>
      </c>
      <c r="AA3570">
        <v>0</v>
      </c>
    </row>
    <row r="3571" spans="1:27" x14ac:dyDescent="0.2">
      <c r="A3571" t="s">
        <v>547</v>
      </c>
      <c r="B3571">
        <v>2019</v>
      </c>
      <c r="C3571">
        <v>4265008042</v>
      </c>
      <c r="D3571" t="s">
        <v>4565</v>
      </c>
      <c r="E3571" t="s">
        <v>29</v>
      </c>
      <c r="F3571" t="s">
        <v>30</v>
      </c>
      <c r="G3571">
        <v>0</v>
      </c>
      <c r="H3571">
        <v>0</v>
      </c>
      <c r="I3571">
        <v>0</v>
      </c>
      <c r="J3571">
        <v>0</v>
      </c>
      <c r="K3571">
        <v>0</v>
      </c>
      <c r="L3571">
        <v>0</v>
      </c>
      <c r="M3571">
        <v>1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>
        <v>0</v>
      </c>
      <c r="U3571">
        <v>0</v>
      </c>
      <c r="V3571">
        <v>0</v>
      </c>
      <c r="W3571">
        <v>0</v>
      </c>
      <c r="X3571">
        <v>0</v>
      </c>
      <c r="Y3571" t="s">
        <v>31</v>
      </c>
      <c r="Z3571">
        <v>55</v>
      </c>
      <c r="AA3571">
        <v>0</v>
      </c>
    </row>
    <row r="3572" spans="1:27" x14ac:dyDescent="0.2">
      <c r="A3572" t="s">
        <v>547</v>
      </c>
      <c r="B3572">
        <v>2019</v>
      </c>
      <c r="C3572">
        <v>4315014028</v>
      </c>
      <c r="D3572" t="s">
        <v>4566</v>
      </c>
      <c r="E3572" t="s">
        <v>29</v>
      </c>
      <c r="F3572" t="s">
        <v>30</v>
      </c>
      <c r="G3572">
        <v>0</v>
      </c>
      <c r="H3572">
        <v>0</v>
      </c>
      <c r="I3572">
        <v>0</v>
      </c>
      <c r="J3572">
        <v>0</v>
      </c>
      <c r="K3572">
        <v>0</v>
      </c>
      <c r="L3572">
        <v>0</v>
      </c>
      <c r="M3572">
        <v>2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>
        <v>0</v>
      </c>
      <c r="U3572">
        <v>0</v>
      </c>
      <c r="V3572">
        <v>0</v>
      </c>
      <c r="W3572">
        <v>0</v>
      </c>
      <c r="X3572">
        <v>0</v>
      </c>
      <c r="Y3572" t="s">
        <v>31</v>
      </c>
      <c r="Z3572">
        <v>55</v>
      </c>
      <c r="AA3572">
        <v>0</v>
      </c>
    </row>
    <row r="3573" spans="1:27" x14ac:dyDescent="0.2">
      <c r="A3573" t="s">
        <v>547</v>
      </c>
      <c r="B3573">
        <v>2019</v>
      </c>
      <c r="C3573">
        <v>2240012014</v>
      </c>
      <c r="D3573" t="s">
        <v>4567</v>
      </c>
      <c r="E3573" t="s">
        <v>29</v>
      </c>
      <c r="F3573" t="s">
        <v>30</v>
      </c>
      <c r="G3573">
        <v>0</v>
      </c>
      <c r="H3573">
        <v>0</v>
      </c>
      <c r="I3573">
        <v>0</v>
      </c>
      <c r="J3573">
        <v>0</v>
      </c>
      <c r="K3573">
        <v>0</v>
      </c>
      <c r="L3573">
        <v>0</v>
      </c>
      <c r="M3573">
        <v>4</v>
      </c>
      <c r="N3573">
        <v>0</v>
      </c>
      <c r="O3573">
        <v>2</v>
      </c>
      <c r="P3573">
        <v>0</v>
      </c>
      <c r="Q3573">
        <v>0</v>
      </c>
      <c r="R3573">
        <v>0</v>
      </c>
      <c r="S3573">
        <v>0</v>
      </c>
      <c r="T3573">
        <v>0</v>
      </c>
      <c r="U3573">
        <v>0</v>
      </c>
      <c r="V3573">
        <v>0</v>
      </c>
      <c r="W3573">
        <v>0</v>
      </c>
      <c r="X3573">
        <v>0</v>
      </c>
      <c r="Y3573" t="s">
        <v>31</v>
      </c>
      <c r="Z3573">
        <v>55</v>
      </c>
      <c r="AA3573">
        <v>0</v>
      </c>
    </row>
    <row r="3574" spans="1:27" x14ac:dyDescent="0.2">
      <c r="A3574" t="s">
        <v>2862</v>
      </c>
      <c r="B3574">
        <v>2023</v>
      </c>
      <c r="C3574">
        <v>23149112</v>
      </c>
      <c r="D3574" t="s">
        <v>4568</v>
      </c>
      <c r="E3574" t="s">
        <v>29</v>
      </c>
      <c r="F3574" t="s">
        <v>30</v>
      </c>
      <c r="G3574">
        <v>5</v>
      </c>
      <c r="H3574">
        <v>0</v>
      </c>
      <c r="I3574">
        <v>1</v>
      </c>
      <c r="J3574">
        <v>0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>
        <v>0</v>
      </c>
      <c r="U3574">
        <v>0</v>
      </c>
      <c r="V3574">
        <v>0</v>
      </c>
      <c r="W3574">
        <v>0</v>
      </c>
      <c r="X3574">
        <v>0</v>
      </c>
      <c r="Y3574" t="s">
        <v>31</v>
      </c>
      <c r="Z3574">
        <v>55</v>
      </c>
      <c r="AA3574">
        <v>32.5</v>
      </c>
    </row>
    <row r="3575" spans="1:27" x14ac:dyDescent="0.2">
      <c r="A3575" t="s">
        <v>1500</v>
      </c>
      <c r="B3575">
        <v>2022</v>
      </c>
      <c r="C3575">
        <v>4036001024</v>
      </c>
      <c r="D3575" t="s">
        <v>4569</v>
      </c>
      <c r="E3575" t="s">
        <v>29</v>
      </c>
      <c r="F3575" t="s">
        <v>30</v>
      </c>
      <c r="G3575">
        <v>2</v>
      </c>
      <c r="H3575">
        <v>0</v>
      </c>
      <c r="I3575">
        <v>1</v>
      </c>
      <c r="J3575">
        <v>0</v>
      </c>
      <c r="K3575">
        <v>0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>
        <v>0</v>
      </c>
      <c r="U3575">
        <v>0</v>
      </c>
      <c r="V3575">
        <v>0</v>
      </c>
      <c r="W3575">
        <v>0</v>
      </c>
      <c r="X3575">
        <v>0</v>
      </c>
      <c r="Y3575" t="s">
        <v>31</v>
      </c>
      <c r="Z3575">
        <v>1000</v>
      </c>
      <c r="AA3575">
        <v>25</v>
      </c>
    </row>
    <row r="3576" spans="1:27" x14ac:dyDescent="0.2">
      <c r="A3576" t="s">
        <v>2384</v>
      </c>
      <c r="B3576">
        <v>2019</v>
      </c>
      <c r="C3576" t="s">
        <v>3410</v>
      </c>
      <c r="D3576" t="s">
        <v>4570</v>
      </c>
      <c r="E3576" t="s">
        <v>29</v>
      </c>
      <c r="F3576" t="s">
        <v>30</v>
      </c>
      <c r="G3576">
        <v>0</v>
      </c>
      <c r="H3576">
        <v>0</v>
      </c>
      <c r="I3576">
        <v>0</v>
      </c>
      <c r="J3576">
        <v>0</v>
      </c>
      <c r="K3576">
        <v>0</v>
      </c>
      <c r="L3576">
        <v>0</v>
      </c>
      <c r="M3576">
        <v>49</v>
      </c>
      <c r="N3576">
        <v>0</v>
      </c>
      <c r="O3576">
        <v>0</v>
      </c>
      <c r="P3576">
        <v>0</v>
      </c>
      <c r="Q3576">
        <v>0</v>
      </c>
      <c r="R3576">
        <v>1</v>
      </c>
      <c r="S3576">
        <v>0</v>
      </c>
      <c r="T3576">
        <v>0</v>
      </c>
      <c r="U3576">
        <v>0</v>
      </c>
      <c r="V3576">
        <v>0</v>
      </c>
      <c r="W3576">
        <v>0</v>
      </c>
      <c r="X3576">
        <v>0</v>
      </c>
      <c r="Y3576" t="s">
        <v>31</v>
      </c>
      <c r="AA3576">
        <v>0</v>
      </c>
    </row>
    <row r="3577" spans="1:27" x14ac:dyDescent="0.2">
      <c r="A3577" t="s">
        <v>1959</v>
      </c>
      <c r="B3577">
        <v>2020</v>
      </c>
      <c r="C3577" t="s">
        <v>4314</v>
      </c>
      <c r="D3577" t="s">
        <v>4571</v>
      </c>
      <c r="E3577" t="s">
        <v>29</v>
      </c>
      <c r="F3577" t="s">
        <v>30</v>
      </c>
      <c r="G3577">
        <v>0</v>
      </c>
      <c r="H3577">
        <v>0</v>
      </c>
      <c r="I3577">
        <v>0</v>
      </c>
      <c r="J3577">
        <v>0</v>
      </c>
      <c r="K3577">
        <v>0</v>
      </c>
      <c r="L3577">
        <v>0</v>
      </c>
      <c r="M3577">
        <v>0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89</v>
      </c>
      <c r="T3577">
        <v>0</v>
      </c>
      <c r="U3577">
        <v>0</v>
      </c>
      <c r="V3577">
        <v>0</v>
      </c>
      <c r="W3577">
        <v>0</v>
      </c>
      <c r="X3577">
        <v>0</v>
      </c>
      <c r="Y3577" t="s">
        <v>51</v>
      </c>
      <c r="Z3577">
        <v>1000</v>
      </c>
      <c r="AA3577">
        <v>0</v>
      </c>
    </row>
    <row r="3578" spans="1:27" x14ac:dyDescent="0.2">
      <c r="A3578" t="s">
        <v>1206</v>
      </c>
      <c r="B3578">
        <v>2023</v>
      </c>
      <c r="C3578">
        <v>6690202260</v>
      </c>
      <c r="D3578" t="s">
        <v>4572</v>
      </c>
      <c r="E3578" t="s">
        <v>29</v>
      </c>
      <c r="F3578" t="s">
        <v>30</v>
      </c>
      <c r="G3578">
        <v>6</v>
      </c>
      <c r="H3578">
        <v>0</v>
      </c>
      <c r="I3578">
        <v>0</v>
      </c>
      <c r="J3578">
        <v>0</v>
      </c>
      <c r="K3578">
        <v>2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>
        <v>0</v>
      </c>
      <c r="U3578">
        <v>0</v>
      </c>
      <c r="V3578">
        <v>0</v>
      </c>
      <c r="W3578">
        <v>0</v>
      </c>
      <c r="X3578">
        <v>0</v>
      </c>
      <c r="Y3578" t="s">
        <v>31</v>
      </c>
      <c r="Z3578">
        <v>70</v>
      </c>
      <c r="AA3578">
        <v>35</v>
      </c>
    </row>
    <row r="3579" spans="1:27" x14ac:dyDescent="0.2">
      <c r="A3579" t="s">
        <v>387</v>
      </c>
      <c r="B3579">
        <v>2021</v>
      </c>
      <c r="C3579" t="s">
        <v>4573</v>
      </c>
      <c r="D3579" t="s">
        <v>4574</v>
      </c>
      <c r="E3579" t="s">
        <v>29</v>
      </c>
      <c r="F3579" t="s">
        <v>30</v>
      </c>
      <c r="G3579">
        <v>56</v>
      </c>
      <c r="H3579">
        <v>0</v>
      </c>
      <c r="I3579">
        <v>37</v>
      </c>
      <c r="J3579">
        <v>0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>
        <v>0</v>
      </c>
      <c r="U3579">
        <v>0</v>
      </c>
      <c r="V3579">
        <v>0</v>
      </c>
      <c r="W3579">
        <v>0</v>
      </c>
      <c r="X3579">
        <v>0</v>
      </c>
      <c r="Y3579" t="s">
        <v>31</v>
      </c>
      <c r="Z3579">
        <v>1000</v>
      </c>
      <c r="AA3579">
        <v>0</v>
      </c>
    </row>
    <row r="3580" spans="1:27" x14ac:dyDescent="0.2">
      <c r="A3580" t="s">
        <v>172</v>
      </c>
      <c r="B3580">
        <v>2020</v>
      </c>
      <c r="C3580" s="2" t="s">
        <v>4575</v>
      </c>
      <c r="D3580" t="s">
        <v>4576</v>
      </c>
      <c r="E3580" t="s">
        <v>29</v>
      </c>
      <c r="F3580" t="s">
        <v>30</v>
      </c>
      <c r="G3580">
        <v>3</v>
      </c>
      <c r="H3580">
        <v>0</v>
      </c>
      <c r="I3580">
        <v>0</v>
      </c>
      <c r="J3580">
        <v>0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>
        <v>0</v>
      </c>
      <c r="U3580">
        <v>0</v>
      </c>
      <c r="V3580">
        <v>0</v>
      </c>
      <c r="W3580">
        <v>0</v>
      </c>
      <c r="X3580">
        <v>0</v>
      </c>
      <c r="Y3580" t="s">
        <v>31</v>
      </c>
      <c r="Z3580">
        <v>55</v>
      </c>
      <c r="AA3580">
        <v>0</v>
      </c>
    </row>
    <row r="3581" spans="1:27" x14ac:dyDescent="0.2">
      <c r="A3581" t="s">
        <v>172</v>
      </c>
      <c r="B3581">
        <v>2020</v>
      </c>
      <c r="C3581" s="2" t="s">
        <v>4577</v>
      </c>
      <c r="D3581" t="s">
        <v>4578</v>
      </c>
      <c r="E3581" t="s">
        <v>29</v>
      </c>
      <c r="F3581" t="s">
        <v>30</v>
      </c>
      <c r="G3581">
        <v>0</v>
      </c>
      <c r="H3581">
        <v>0</v>
      </c>
      <c r="I3581">
        <v>1</v>
      </c>
      <c r="J3581">
        <v>0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>
        <v>0</v>
      </c>
      <c r="U3581">
        <v>0</v>
      </c>
      <c r="V3581">
        <v>0</v>
      </c>
      <c r="W3581">
        <v>0</v>
      </c>
      <c r="X3581">
        <v>0</v>
      </c>
      <c r="Y3581" t="s">
        <v>31</v>
      </c>
      <c r="Z3581">
        <v>55</v>
      </c>
      <c r="AA3581">
        <v>0</v>
      </c>
    </row>
    <row r="3582" spans="1:27" ht="85" x14ac:dyDescent="0.2">
      <c r="A3582" t="s">
        <v>48</v>
      </c>
      <c r="B3582">
        <v>2023</v>
      </c>
      <c r="C3582" t="s">
        <v>4579</v>
      </c>
      <c r="D3582" s="1" t="s">
        <v>4580</v>
      </c>
      <c r="E3582" t="s">
        <v>29</v>
      </c>
      <c r="F3582" t="s">
        <v>41</v>
      </c>
      <c r="G3582">
        <v>0</v>
      </c>
      <c r="H3582">
        <v>0</v>
      </c>
      <c r="I3582">
        <v>0</v>
      </c>
      <c r="J3582">
        <v>0</v>
      </c>
      <c r="K3582">
        <v>0</v>
      </c>
      <c r="L3582">
        <v>0</v>
      </c>
      <c r="M3582">
        <v>0</v>
      </c>
      <c r="N3582">
        <v>0</v>
      </c>
      <c r="O3582">
        <v>5</v>
      </c>
      <c r="P3582">
        <v>0</v>
      </c>
      <c r="Q3582">
        <v>0</v>
      </c>
      <c r="R3582">
        <v>0</v>
      </c>
      <c r="S3582">
        <v>0</v>
      </c>
      <c r="T3582">
        <v>0</v>
      </c>
      <c r="U3582">
        <v>0</v>
      </c>
      <c r="V3582">
        <v>0</v>
      </c>
      <c r="W3582">
        <v>0</v>
      </c>
      <c r="X3582">
        <v>0</v>
      </c>
      <c r="Y3582" t="s">
        <v>31</v>
      </c>
      <c r="AA3582">
        <v>20</v>
      </c>
    </row>
    <row r="3583" spans="1:27" x14ac:dyDescent="0.2">
      <c r="A3583" t="s">
        <v>1441</v>
      </c>
      <c r="B3583">
        <v>2020</v>
      </c>
      <c r="C3583" t="s">
        <v>1687</v>
      </c>
      <c r="D3583" t="s">
        <v>1688</v>
      </c>
      <c r="E3583" t="s">
        <v>29</v>
      </c>
      <c r="F3583" t="s">
        <v>30</v>
      </c>
      <c r="G3583">
        <v>0</v>
      </c>
      <c r="H3583">
        <v>0</v>
      </c>
      <c r="I3583">
        <v>0</v>
      </c>
      <c r="J3583">
        <v>0</v>
      </c>
      <c r="K3583">
        <v>0</v>
      </c>
      <c r="L3583">
        <v>0</v>
      </c>
      <c r="M3583">
        <v>13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>
        <v>0</v>
      </c>
      <c r="U3583">
        <v>0</v>
      </c>
      <c r="V3583">
        <v>0</v>
      </c>
      <c r="W3583">
        <v>0</v>
      </c>
      <c r="X3583">
        <v>0</v>
      </c>
      <c r="Y3583" t="s">
        <v>31</v>
      </c>
      <c r="Z3583">
        <v>55</v>
      </c>
      <c r="AA3583">
        <v>0</v>
      </c>
    </row>
    <row r="3584" spans="1:27" x14ac:dyDescent="0.2">
      <c r="A3584" t="s">
        <v>1206</v>
      </c>
      <c r="B3584">
        <v>2023</v>
      </c>
      <c r="C3584">
        <v>6700250230</v>
      </c>
      <c r="D3584" t="s">
        <v>4581</v>
      </c>
      <c r="E3584" t="s">
        <v>29</v>
      </c>
      <c r="F3584" t="s">
        <v>30</v>
      </c>
      <c r="G3584">
        <v>0</v>
      </c>
      <c r="H3584">
        <v>0</v>
      </c>
      <c r="I3584">
        <v>5</v>
      </c>
      <c r="J3584">
        <v>0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>
        <v>0</v>
      </c>
      <c r="U3584">
        <v>0</v>
      </c>
      <c r="V3584">
        <v>0</v>
      </c>
      <c r="W3584">
        <v>0</v>
      </c>
      <c r="X3584">
        <v>0</v>
      </c>
      <c r="Y3584" t="s">
        <v>31</v>
      </c>
      <c r="Z3584">
        <v>55</v>
      </c>
      <c r="AA3584">
        <v>35</v>
      </c>
    </row>
    <row r="3585" spans="1:27" x14ac:dyDescent="0.2">
      <c r="A3585" t="s">
        <v>1165</v>
      </c>
      <c r="B3585">
        <v>2019</v>
      </c>
      <c r="C3585" t="s">
        <v>4582</v>
      </c>
      <c r="D3585" t="s">
        <v>4583</v>
      </c>
      <c r="E3585" t="s">
        <v>29</v>
      </c>
      <c r="F3585" t="s">
        <v>41</v>
      </c>
      <c r="G3585">
        <v>0</v>
      </c>
      <c r="H3585">
        <v>0</v>
      </c>
      <c r="I3585">
        <v>2</v>
      </c>
      <c r="J3585">
        <v>0</v>
      </c>
      <c r="K3585">
        <v>0</v>
      </c>
      <c r="L3585">
        <v>0</v>
      </c>
      <c r="M3585">
        <v>0</v>
      </c>
      <c r="N3585">
        <v>0</v>
      </c>
      <c r="O3585">
        <v>2</v>
      </c>
      <c r="P3585">
        <v>0</v>
      </c>
      <c r="Q3585">
        <v>0</v>
      </c>
      <c r="R3585">
        <v>0</v>
      </c>
      <c r="S3585">
        <v>0</v>
      </c>
      <c r="T3585">
        <v>0</v>
      </c>
      <c r="U3585">
        <v>0</v>
      </c>
      <c r="V3585">
        <v>0</v>
      </c>
      <c r="W3585">
        <v>0</v>
      </c>
      <c r="X3585">
        <v>0</v>
      </c>
      <c r="Y3585" t="s">
        <v>51</v>
      </c>
      <c r="Z3585">
        <v>1000</v>
      </c>
      <c r="AA3585">
        <v>0</v>
      </c>
    </row>
    <row r="3586" spans="1:27" x14ac:dyDescent="0.2">
      <c r="A3586" t="s">
        <v>353</v>
      </c>
      <c r="B3586">
        <v>2019</v>
      </c>
      <c r="C3586">
        <v>2081951100</v>
      </c>
      <c r="D3586" t="s">
        <v>4584</v>
      </c>
      <c r="E3586" t="s">
        <v>29</v>
      </c>
      <c r="F3586" t="s">
        <v>30</v>
      </c>
      <c r="G3586">
        <v>0</v>
      </c>
      <c r="H3586">
        <v>0</v>
      </c>
      <c r="I3586">
        <v>0</v>
      </c>
      <c r="J3586">
        <v>0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0</v>
      </c>
      <c r="T3586">
        <v>0</v>
      </c>
      <c r="U3586">
        <v>101</v>
      </c>
      <c r="V3586">
        <v>0</v>
      </c>
      <c r="W3586">
        <v>0</v>
      </c>
      <c r="X3586">
        <v>0</v>
      </c>
      <c r="Y3586" t="s">
        <v>51</v>
      </c>
      <c r="AA3586">
        <v>0</v>
      </c>
    </row>
    <row r="3587" spans="1:27" x14ac:dyDescent="0.2">
      <c r="A3587" t="s">
        <v>172</v>
      </c>
      <c r="B3587">
        <v>2020</v>
      </c>
      <c r="C3587" t="s">
        <v>3994</v>
      </c>
      <c r="D3587" t="s">
        <v>4585</v>
      </c>
      <c r="E3587" t="s">
        <v>29</v>
      </c>
      <c r="F3587" t="s">
        <v>30</v>
      </c>
      <c r="G3587">
        <v>34</v>
      </c>
      <c r="H3587">
        <v>0</v>
      </c>
      <c r="I3587">
        <v>61</v>
      </c>
      <c r="J3587">
        <v>0</v>
      </c>
      <c r="K3587">
        <v>0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>
        <v>0</v>
      </c>
      <c r="U3587">
        <v>0</v>
      </c>
      <c r="V3587">
        <v>0</v>
      </c>
      <c r="W3587">
        <v>0</v>
      </c>
      <c r="X3587">
        <v>0</v>
      </c>
      <c r="Y3587" t="s">
        <v>31</v>
      </c>
      <c r="AA3587">
        <v>0</v>
      </c>
    </row>
    <row r="3588" spans="1:27" ht="102" x14ac:dyDescent="0.2">
      <c r="A3588" t="s">
        <v>353</v>
      </c>
      <c r="B3588">
        <v>2023</v>
      </c>
      <c r="C3588">
        <v>2042920100</v>
      </c>
      <c r="D3588" s="1" t="s">
        <v>4586</v>
      </c>
      <c r="E3588" t="s">
        <v>29</v>
      </c>
      <c r="F3588" t="s">
        <v>30</v>
      </c>
      <c r="G3588">
        <v>0</v>
      </c>
      <c r="H3588">
        <v>0</v>
      </c>
      <c r="I3588">
        <v>0</v>
      </c>
      <c r="J3588">
        <v>0</v>
      </c>
      <c r="K3588">
        <v>0</v>
      </c>
      <c r="L3588">
        <v>0</v>
      </c>
      <c r="M3588">
        <v>0</v>
      </c>
      <c r="N3588">
        <v>0</v>
      </c>
      <c r="O3588">
        <v>16</v>
      </c>
      <c r="P3588">
        <v>0</v>
      </c>
      <c r="Q3588">
        <v>0</v>
      </c>
      <c r="R3588">
        <v>0</v>
      </c>
      <c r="S3588">
        <v>0</v>
      </c>
      <c r="T3588">
        <v>0</v>
      </c>
      <c r="U3588">
        <v>0</v>
      </c>
      <c r="V3588">
        <v>0</v>
      </c>
      <c r="W3588">
        <v>0</v>
      </c>
      <c r="X3588">
        <v>0</v>
      </c>
      <c r="Y3588" t="s">
        <v>51</v>
      </c>
      <c r="Z3588">
        <v>55</v>
      </c>
      <c r="AA3588">
        <v>0</v>
      </c>
    </row>
    <row r="3589" spans="1:27" x14ac:dyDescent="0.2">
      <c r="A3589" t="s">
        <v>4135</v>
      </c>
      <c r="B3589">
        <v>2020</v>
      </c>
      <c r="C3589" t="s">
        <v>4136</v>
      </c>
      <c r="D3589" t="s">
        <v>4137</v>
      </c>
      <c r="E3589" t="s">
        <v>29</v>
      </c>
      <c r="F3589" t="s">
        <v>30</v>
      </c>
      <c r="G3589">
        <v>40</v>
      </c>
      <c r="H3589">
        <v>0</v>
      </c>
      <c r="I3589">
        <v>15</v>
      </c>
      <c r="J3589">
        <v>0</v>
      </c>
      <c r="K3589">
        <v>0</v>
      </c>
      <c r="L3589">
        <v>0</v>
      </c>
      <c r="M3589">
        <v>0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>
        <v>0</v>
      </c>
      <c r="U3589">
        <v>0</v>
      </c>
      <c r="V3589">
        <v>0</v>
      </c>
      <c r="W3589">
        <v>0</v>
      </c>
      <c r="X3589">
        <v>0</v>
      </c>
      <c r="Y3589" t="s">
        <v>31</v>
      </c>
      <c r="AA3589">
        <v>0</v>
      </c>
    </row>
    <row r="3590" spans="1:27" x14ac:dyDescent="0.2">
      <c r="A3590" t="s">
        <v>547</v>
      </c>
      <c r="B3590">
        <v>2019</v>
      </c>
      <c r="C3590">
        <v>5149015036</v>
      </c>
      <c r="D3590" t="s">
        <v>4587</v>
      </c>
      <c r="E3590" t="s">
        <v>29</v>
      </c>
      <c r="F3590" t="s">
        <v>30</v>
      </c>
      <c r="G3590">
        <v>22</v>
      </c>
      <c r="H3590">
        <v>0</v>
      </c>
      <c r="I3590">
        <v>43</v>
      </c>
      <c r="J3590">
        <v>0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>
        <v>0</v>
      </c>
      <c r="U3590">
        <v>0</v>
      </c>
      <c r="V3590">
        <v>0</v>
      </c>
      <c r="W3590">
        <v>0</v>
      </c>
      <c r="X3590">
        <v>0</v>
      </c>
      <c r="Y3590" t="s">
        <v>31</v>
      </c>
      <c r="Z3590">
        <v>55</v>
      </c>
      <c r="AA3590">
        <v>0</v>
      </c>
    </row>
    <row r="3591" spans="1:27" x14ac:dyDescent="0.2">
      <c r="A3591" t="s">
        <v>547</v>
      </c>
      <c r="B3591">
        <v>2019</v>
      </c>
      <c r="C3591">
        <v>2353013013</v>
      </c>
      <c r="D3591" t="s">
        <v>4588</v>
      </c>
      <c r="E3591" t="s">
        <v>29</v>
      </c>
      <c r="F3591" t="s">
        <v>30</v>
      </c>
      <c r="G3591">
        <v>32</v>
      </c>
      <c r="H3591">
        <v>0</v>
      </c>
      <c r="I3591">
        <v>7</v>
      </c>
      <c r="J3591">
        <v>0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>
        <v>0</v>
      </c>
      <c r="U3591">
        <v>0</v>
      </c>
      <c r="V3591">
        <v>0</v>
      </c>
      <c r="W3591">
        <v>0</v>
      </c>
      <c r="X3591">
        <v>0</v>
      </c>
      <c r="Y3591" t="s">
        <v>31</v>
      </c>
      <c r="Z3591">
        <v>55</v>
      </c>
      <c r="AA3591">
        <v>0</v>
      </c>
    </row>
    <row r="3592" spans="1:27" x14ac:dyDescent="0.2">
      <c r="A3592" t="s">
        <v>547</v>
      </c>
      <c r="B3592">
        <v>2019</v>
      </c>
      <c r="C3592">
        <v>5576004044</v>
      </c>
      <c r="D3592" t="s">
        <v>4589</v>
      </c>
      <c r="E3592" t="s">
        <v>29</v>
      </c>
      <c r="F3592" t="s">
        <v>30</v>
      </c>
      <c r="G3592">
        <v>3</v>
      </c>
      <c r="H3592">
        <v>0</v>
      </c>
      <c r="I3592">
        <v>2</v>
      </c>
      <c r="J3592">
        <v>0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>
        <v>0</v>
      </c>
      <c r="U3592">
        <v>0</v>
      </c>
      <c r="V3592">
        <v>0</v>
      </c>
      <c r="W3592">
        <v>0</v>
      </c>
      <c r="X3592">
        <v>0</v>
      </c>
      <c r="Y3592" t="s">
        <v>31</v>
      </c>
      <c r="Z3592">
        <v>55</v>
      </c>
      <c r="AA3592">
        <v>0</v>
      </c>
    </row>
    <row r="3593" spans="1:27" x14ac:dyDescent="0.2">
      <c r="A3593" t="s">
        <v>547</v>
      </c>
      <c r="B3593">
        <v>2019</v>
      </c>
      <c r="C3593">
        <v>5142012024</v>
      </c>
      <c r="D3593" t="s">
        <v>4590</v>
      </c>
      <c r="E3593" t="s">
        <v>29</v>
      </c>
      <c r="F3593" t="s">
        <v>30</v>
      </c>
      <c r="G3593">
        <v>0</v>
      </c>
      <c r="H3593">
        <v>0</v>
      </c>
      <c r="I3593">
        <v>8</v>
      </c>
      <c r="J3593">
        <v>0</v>
      </c>
      <c r="K3593">
        <v>0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>
        <v>0</v>
      </c>
      <c r="U3593">
        <v>0</v>
      </c>
      <c r="V3593">
        <v>0</v>
      </c>
      <c r="W3593">
        <v>0</v>
      </c>
      <c r="X3593">
        <v>0</v>
      </c>
      <c r="Y3593" t="s">
        <v>31</v>
      </c>
      <c r="Z3593">
        <v>55</v>
      </c>
      <c r="AA3593">
        <v>0</v>
      </c>
    </row>
    <row r="3594" spans="1:27" x14ac:dyDescent="0.2">
      <c r="A3594" t="s">
        <v>547</v>
      </c>
      <c r="B3594">
        <v>2019</v>
      </c>
      <c r="C3594">
        <v>4262008018</v>
      </c>
      <c r="D3594" t="s">
        <v>4591</v>
      </c>
      <c r="E3594" t="s">
        <v>29</v>
      </c>
      <c r="F3594" t="s">
        <v>30</v>
      </c>
      <c r="G3594">
        <v>20</v>
      </c>
      <c r="H3594">
        <v>0</v>
      </c>
      <c r="I3594">
        <v>0</v>
      </c>
      <c r="J3594">
        <v>0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0</v>
      </c>
      <c r="U3594">
        <v>0</v>
      </c>
      <c r="V3594">
        <v>0</v>
      </c>
      <c r="W3594">
        <v>0</v>
      </c>
      <c r="X3594">
        <v>0</v>
      </c>
      <c r="Y3594" t="s">
        <v>31</v>
      </c>
      <c r="Z3594">
        <v>55</v>
      </c>
      <c r="AA3594">
        <v>0</v>
      </c>
    </row>
    <row r="3595" spans="1:27" x14ac:dyDescent="0.2">
      <c r="A3595" t="s">
        <v>547</v>
      </c>
      <c r="B3595">
        <v>2019</v>
      </c>
      <c r="C3595">
        <v>5016020005</v>
      </c>
      <c r="D3595" t="s">
        <v>4592</v>
      </c>
      <c r="E3595" t="s">
        <v>29</v>
      </c>
      <c r="F3595" t="s">
        <v>30</v>
      </c>
      <c r="G3595">
        <v>5</v>
      </c>
      <c r="H3595">
        <v>0</v>
      </c>
      <c r="I3595">
        <v>37</v>
      </c>
      <c r="J3595">
        <v>0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>
        <v>0</v>
      </c>
      <c r="U3595">
        <v>0</v>
      </c>
      <c r="V3595">
        <v>0</v>
      </c>
      <c r="W3595">
        <v>0</v>
      </c>
      <c r="X3595">
        <v>0</v>
      </c>
      <c r="Y3595" t="s">
        <v>31</v>
      </c>
      <c r="Z3595">
        <v>55</v>
      </c>
      <c r="AA3595">
        <v>0</v>
      </c>
    </row>
    <row r="3596" spans="1:27" x14ac:dyDescent="0.2">
      <c r="A3596" t="s">
        <v>547</v>
      </c>
      <c r="B3596">
        <v>2019</v>
      </c>
      <c r="C3596">
        <v>2160007023</v>
      </c>
      <c r="D3596" t="s">
        <v>4593</v>
      </c>
      <c r="E3596" t="s">
        <v>29</v>
      </c>
      <c r="F3596" t="s">
        <v>30</v>
      </c>
      <c r="G3596">
        <v>5</v>
      </c>
      <c r="H3596">
        <v>0</v>
      </c>
      <c r="I3596">
        <v>0</v>
      </c>
      <c r="J3596">
        <v>0</v>
      </c>
      <c r="K3596">
        <v>0</v>
      </c>
      <c r="L3596">
        <v>0</v>
      </c>
      <c r="M3596">
        <v>0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0</v>
      </c>
      <c r="U3596">
        <v>0</v>
      </c>
      <c r="V3596">
        <v>0</v>
      </c>
      <c r="W3596">
        <v>0</v>
      </c>
      <c r="X3596">
        <v>0</v>
      </c>
      <c r="Y3596" t="s">
        <v>31</v>
      </c>
      <c r="Z3596">
        <v>55</v>
      </c>
      <c r="AA3596">
        <v>0</v>
      </c>
    </row>
    <row r="3597" spans="1:27" x14ac:dyDescent="0.2">
      <c r="A3597" t="s">
        <v>547</v>
      </c>
      <c r="B3597">
        <v>2019</v>
      </c>
      <c r="C3597">
        <v>7346003025</v>
      </c>
      <c r="D3597" t="s">
        <v>4594</v>
      </c>
      <c r="E3597" t="s">
        <v>29</v>
      </c>
      <c r="F3597" t="s">
        <v>30</v>
      </c>
      <c r="G3597">
        <v>2</v>
      </c>
      <c r="H3597">
        <v>0</v>
      </c>
      <c r="I3597">
        <v>0</v>
      </c>
      <c r="J3597">
        <v>0</v>
      </c>
      <c r="K3597">
        <v>0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>
        <v>0</v>
      </c>
      <c r="U3597">
        <v>0</v>
      </c>
      <c r="V3597">
        <v>0</v>
      </c>
      <c r="W3597">
        <v>0</v>
      </c>
      <c r="X3597">
        <v>0</v>
      </c>
      <c r="Y3597" t="s">
        <v>31</v>
      </c>
      <c r="Z3597">
        <v>55</v>
      </c>
      <c r="AA3597">
        <v>0</v>
      </c>
    </row>
    <row r="3598" spans="1:27" x14ac:dyDescent="0.2">
      <c r="A3598" t="s">
        <v>172</v>
      </c>
      <c r="B3598">
        <v>2018</v>
      </c>
      <c r="C3598" t="s">
        <v>396</v>
      </c>
      <c r="D3598" t="s">
        <v>4595</v>
      </c>
      <c r="E3598" t="s">
        <v>29</v>
      </c>
      <c r="F3598" t="s">
        <v>30</v>
      </c>
      <c r="G3598">
        <v>0</v>
      </c>
      <c r="H3598">
        <v>0</v>
      </c>
      <c r="I3598">
        <v>0</v>
      </c>
      <c r="J3598">
        <v>0</v>
      </c>
      <c r="K3598">
        <v>0</v>
      </c>
      <c r="L3598">
        <v>0</v>
      </c>
      <c r="M3598">
        <v>27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>
        <v>0</v>
      </c>
      <c r="U3598">
        <v>0</v>
      </c>
      <c r="V3598">
        <v>0</v>
      </c>
      <c r="W3598">
        <v>0</v>
      </c>
      <c r="X3598">
        <v>0</v>
      </c>
      <c r="Y3598" t="s">
        <v>31</v>
      </c>
      <c r="Z3598">
        <v>30</v>
      </c>
      <c r="AA3598">
        <v>0</v>
      </c>
    </row>
    <row r="3599" spans="1:27" ht="102" x14ac:dyDescent="0.2">
      <c r="A3599" t="s">
        <v>353</v>
      </c>
      <c r="B3599">
        <v>2023</v>
      </c>
      <c r="C3599">
        <v>2042920100</v>
      </c>
      <c r="D3599" s="1" t="s">
        <v>4596</v>
      </c>
      <c r="E3599" t="s">
        <v>29</v>
      </c>
      <c r="F3599" t="s">
        <v>30</v>
      </c>
      <c r="G3599">
        <v>0</v>
      </c>
      <c r="H3599">
        <v>0</v>
      </c>
      <c r="I3599">
        <v>0</v>
      </c>
      <c r="J3599">
        <v>0</v>
      </c>
      <c r="K3599">
        <v>0</v>
      </c>
      <c r="L3599">
        <v>0</v>
      </c>
      <c r="M3599">
        <v>0</v>
      </c>
      <c r="N3599">
        <v>0</v>
      </c>
      <c r="O3599">
        <v>12</v>
      </c>
      <c r="P3599">
        <v>0</v>
      </c>
      <c r="Q3599">
        <v>0</v>
      </c>
      <c r="R3599">
        <v>0</v>
      </c>
      <c r="S3599">
        <v>0</v>
      </c>
      <c r="T3599">
        <v>0</v>
      </c>
      <c r="U3599">
        <v>0</v>
      </c>
      <c r="V3599">
        <v>0</v>
      </c>
      <c r="W3599">
        <v>0</v>
      </c>
      <c r="X3599">
        <v>0</v>
      </c>
      <c r="Y3599" t="s">
        <v>51</v>
      </c>
      <c r="Z3599">
        <v>55</v>
      </c>
      <c r="AA3599">
        <v>0</v>
      </c>
    </row>
    <row r="3600" spans="1:27" x14ac:dyDescent="0.2">
      <c r="A3600" t="s">
        <v>547</v>
      </c>
      <c r="B3600">
        <v>2018</v>
      </c>
      <c r="C3600">
        <v>4262006030</v>
      </c>
      <c r="D3600" t="s">
        <v>4597</v>
      </c>
      <c r="E3600" t="s">
        <v>29</v>
      </c>
      <c r="F3600" t="s">
        <v>30</v>
      </c>
      <c r="G3600">
        <v>0</v>
      </c>
      <c r="H3600">
        <v>0</v>
      </c>
      <c r="I3600">
        <v>0</v>
      </c>
      <c r="J3600">
        <v>0</v>
      </c>
      <c r="K3600">
        <v>0</v>
      </c>
      <c r="L3600">
        <v>0</v>
      </c>
      <c r="M3600">
        <v>16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>
        <v>0</v>
      </c>
      <c r="U3600">
        <v>0</v>
      </c>
      <c r="V3600">
        <v>0</v>
      </c>
      <c r="W3600">
        <v>0</v>
      </c>
      <c r="X3600">
        <v>0</v>
      </c>
      <c r="Y3600" t="s">
        <v>31</v>
      </c>
      <c r="Z3600">
        <v>55</v>
      </c>
      <c r="AA3600">
        <v>0</v>
      </c>
    </row>
    <row r="3601" spans="1:27" x14ac:dyDescent="0.2">
      <c r="A3601" t="s">
        <v>547</v>
      </c>
      <c r="B3601">
        <v>2018</v>
      </c>
      <c r="C3601">
        <v>5540011009</v>
      </c>
      <c r="D3601" t="s">
        <v>4598</v>
      </c>
      <c r="E3601" t="s">
        <v>29</v>
      </c>
      <c r="F3601" t="s">
        <v>30</v>
      </c>
      <c r="G3601">
        <v>0</v>
      </c>
      <c r="H3601">
        <v>0</v>
      </c>
      <c r="I3601">
        <v>0</v>
      </c>
      <c r="J3601">
        <v>0</v>
      </c>
      <c r="K3601">
        <v>0</v>
      </c>
      <c r="L3601">
        <v>0</v>
      </c>
      <c r="M3601">
        <v>1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>
        <v>0</v>
      </c>
      <c r="U3601">
        <v>0</v>
      </c>
      <c r="V3601">
        <v>0</v>
      </c>
      <c r="W3601">
        <v>0</v>
      </c>
      <c r="X3601">
        <v>0</v>
      </c>
      <c r="Y3601" t="s">
        <v>31</v>
      </c>
      <c r="Z3601">
        <v>55</v>
      </c>
      <c r="AA3601">
        <v>0</v>
      </c>
    </row>
    <row r="3602" spans="1:27" x14ac:dyDescent="0.2">
      <c r="A3602" t="s">
        <v>547</v>
      </c>
      <c r="B3602">
        <v>2018</v>
      </c>
      <c r="C3602">
        <v>5406014035</v>
      </c>
      <c r="D3602" t="s">
        <v>4599</v>
      </c>
      <c r="E3602" t="s">
        <v>29</v>
      </c>
      <c r="F3602" t="s">
        <v>30</v>
      </c>
      <c r="G3602">
        <v>0</v>
      </c>
      <c r="H3602">
        <v>0</v>
      </c>
      <c r="I3602">
        <v>0</v>
      </c>
      <c r="J3602">
        <v>0</v>
      </c>
      <c r="K3602">
        <v>0</v>
      </c>
      <c r="L3602">
        <v>0</v>
      </c>
      <c r="M3602">
        <v>4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>
        <v>0</v>
      </c>
      <c r="U3602">
        <v>0</v>
      </c>
      <c r="V3602">
        <v>0</v>
      </c>
      <c r="W3602">
        <v>0</v>
      </c>
      <c r="X3602">
        <v>0</v>
      </c>
      <c r="Y3602" t="s">
        <v>31</v>
      </c>
      <c r="Z3602">
        <v>55</v>
      </c>
      <c r="AA3602">
        <v>0</v>
      </c>
    </row>
    <row r="3603" spans="1:27" x14ac:dyDescent="0.2">
      <c r="A3603" t="s">
        <v>547</v>
      </c>
      <c r="B3603">
        <v>2018</v>
      </c>
      <c r="C3603">
        <v>4323006027</v>
      </c>
      <c r="D3603" t="s">
        <v>4600</v>
      </c>
      <c r="E3603" t="s">
        <v>29</v>
      </c>
      <c r="F3603" t="s">
        <v>30</v>
      </c>
      <c r="G3603">
        <v>0</v>
      </c>
      <c r="H3603">
        <v>0</v>
      </c>
      <c r="I3603">
        <v>0</v>
      </c>
      <c r="J3603">
        <v>0</v>
      </c>
      <c r="K3603">
        <v>0</v>
      </c>
      <c r="L3603">
        <v>0</v>
      </c>
      <c r="M3603">
        <v>2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>
        <v>0</v>
      </c>
      <c r="U3603">
        <v>0</v>
      </c>
      <c r="V3603">
        <v>0</v>
      </c>
      <c r="W3603">
        <v>0</v>
      </c>
      <c r="X3603">
        <v>0</v>
      </c>
      <c r="Y3603" t="s">
        <v>31</v>
      </c>
      <c r="Z3603">
        <v>55</v>
      </c>
      <c r="AA3603">
        <v>0</v>
      </c>
    </row>
    <row r="3604" spans="1:27" x14ac:dyDescent="0.2">
      <c r="A3604" t="s">
        <v>547</v>
      </c>
      <c r="B3604">
        <v>2018</v>
      </c>
      <c r="C3604">
        <v>4321003035</v>
      </c>
      <c r="D3604" t="s">
        <v>4601</v>
      </c>
      <c r="E3604" t="s">
        <v>29</v>
      </c>
      <c r="F3604" t="s">
        <v>30</v>
      </c>
      <c r="G3604">
        <v>3</v>
      </c>
      <c r="H3604">
        <v>0</v>
      </c>
      <c r="I3604">
        <v>0</v>
      </c>
      <c r="J3604">
        <v>0</v>
      </c>
      <c r="K3604">
        <v>0</v>
      </c>
      <c r="L3604">
        <v>0</v>
      </c>
      <c r="M3604">
        <v>3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>
        <v>0</v>
      </c>
      <c r="U3604">
        <v>0</v>
      </c>
      <c r="V3604">
        <v>0</v>
      </c>
      <c r="W3604">
        <v>0</v>
      </c>
      <c r="X3604">
        <v>0</v>
      </c>
      <c r="Y3604" t="s">
        <v>31</v>
      </c>
      <c r="Z3604">
        <v>55</v>
      </c>
      <c r="AA3604">
        <v>0</v>
      </c>
    </row>
    <row r="3605" spans="1:27" x14ac:dyDescent="0.2">
      <c r="A3605" t="s">
        <v>547</v>
      </c>
      <c r="B3605">
        <v>2018</v>
      </c>
      <c r="C3605">
        <v>2356023012</v>
      </c>
      <c r="D3605" t="s">
        <v>4602</v>
      </c>
      <c r="E3605" t="s">
        <v>29</v>
      </c>
      <c r="F3605" t="s">
        <v>41</v>
      </c>
      <c r="G3605">
        <v>0</v>
      </c>
      <c r="H3605">
        <v>0</v>
      </c>
      <c r="I3605">
        <v>1</v>
      </c>
      <c r="J3605">
        <v>0</v>
      </c>
      <c r="K3605">
        <v>0</v>
      </c>
      <c r="L3605">
        <v>0</v>
      </c>
      <c r="M3605">
        <v>0</v>
      </c>
      <c r="N3605">
        <v>0</v>
      </c>
      <c r="O3605">
        <v>1</v>
      </c>
      <c r="P3605">
        <v>0</v>
      </c>
      <c r="Q3605">
        <v>0</v>
      </c>
      <c r="R3605">
        <v>0</v>
      </c>
      <c r="S3605">
        <v>0</v>
      </c>
      <c r="T3605">
        <v>0</v>
      </c>
      <c r="U3605">
        <v>0</v>
      </c>
      <c r="V3605">
        <v>0</v>
      </c>
      <c r="W3605">
        <v>0</v>
      </c>
      <c r="X3605">
        <v>0</v>
      </c>
      <c r="Y3605" t="s">
        <v>31</v>
      </c>
      <c r="Z3605">
        <v>55</v>
      </c>
      <c r="AA3605">
        <v>0</v>
      </c>
    </row>
    <row r="3606" spans="1:27" x14ac:dyDescent="0.2">
      <c r="A3606" t="s">
        <v>547</v>
      </c>
      <c r="B3606">
        <v>2018</v>
      </c>
      <c r="C3606">
        <v>5049014026</v>
      </c>
      <c r="D3606" t="s">
        <v>4603</v>
      </c>
      <c r="E3606" t="s">
        <v>29</v>
      </c>
      <c r="F3606" t="s">
        <v>30</v>
      </c>
      <c r="G3606">
        <v>0</v>
      </c>
      <c r="H3606">
        <v>0</v>
      </c>
      <c r="I3606">
        <v>0</v>
      </c>
      <c r="J3606">
        <v>0</v>
      </c>
      <c r="K3606">
        <v>0</v>
      </c>
      <c r="L3606">
        <v>0</v>
      </c>
      <c r="M3606">
        <v>0</v>
      </c>
      <c r="N3606">
        <v>0</v>
      </c>
      <c r="O3606">
        <v>0</v>
      </c>
      <c r="P3606">
        <v>0</v>
      </c>
      <c r="Q3606">
        <v>0</v>
      </c>
      <c r="R3606">
        <v>0</v>
      </c>
      <c r="S3606">
        <v>0</v>
      </c>
      <c r="T3606">
        <v>0</v>
      </c>
      <c r="U3606">
        <v>0</v>
      </c>
      <c r="V3606">
        <v>0</v>
      </c>
      <c r="W3606">
        <v>0</v>
      </c>
      <c r="X3606">
        <v>0</v>
      </c>
      <c r="Y3606" t="s">
        <v>31</v>
      </c>
      <c r="Z3606">
        <v>55</v>
      </c>
      <c r="AA3606">
        <v>0</v>
      </c>
    </row>
    <row r="3607" spans="1:27" x14ac:dyDescent="0.2">
      <c r="A3607" t="s">
        <v>547</v>
      </c>
      <c r="B3607">
        <v>2018</v>
      </c>
      <c r="C3607">
        <v>5157020132</v>
      </c>
      <c r="D3607" t="s">
        <v>4604</v>
      </c>
      <c r="E3607" t="s">
        <v>29</v>
      </c>
      <c r="F3607" t="s">
        <v>30</v>
      </c>
      <c r="G3607">
        <v>5</v>
      </c>
      <c r="H3607">
        <v>0</v>
      </c>
      <c r="I3607">
        <v>0</v>
      </c>
      <c r="J3607">
        <v>0</v>
      </c>
      <c r="K3607">
        <v>0</v>
      </c>
      <c r="L3607">
        <v>0</v>
      </c>
      <c r="M3607">
        <v>5</v>
      </c>
      <c r="N3607">
        <v>0</v>
      </c>
      <c r="O3607">
        <v>0</v>
      </c>
      <c r="P3607">
        <v>0</v>
      </c>
      <c r="Q3607">
        <v>0</v>
      </c>
      <c r="R3607">
        <v>0</v>
      </c>
      <c r="S3607">
        <v>0</v>
      </c>
      <c r="T3607">
        <v>0</v>
      </c>
      <c r="U3607">
        <v>0</v>
      </c>
      <c r="V3607">
        <v>0</v>
      </c>
      <c r="W3607">
        <v>0</v>
      </c>
      <c r="X3607">
        <v>0</v>
      </c>
      <c r="Y3607" t="s">
        <v>31</v>
      </c>
      <c r="Z3607">
        <v>55</v>
      </c>
      <c r="AA3607">
        <v>0</v>
      </c>
    </row>
    <row r="3608" spans="1:27" x14ac:dyDescent="0.2">
      <c r="A3608" t="s">
        <v>547</v>
      </c>
      <c r="B3608">
        <v>2018</v>
      </c>
      <c r="C3608">
        <v>5420022023</v>
      </c>
      <c r="D3608" t="s">
        <v>4605</v>
      </c>
      <c r="E3608" t="s">
        <v>29</v>
      </c>
      <c r="F3608" t="s">
        <v>30</v>
      </c>
      <c r="G3608">
        <v>0</v>
      </c>
      <c r="H3608">
        <v>0</v>
      </c>
      <c r="I3608">
        <v>0</v>
      </c>
      <c r="J3608">
        <v>0</v>
      </c>
      <c r="K3608">
        <v>0</v>
      </c>
      <c r="L3608">
        <v>0</v>
      </c>
      <c r="M3608">
        <v>1</v>
      </c>
      <c r="N3608">
        <v>0</v>
      </c>
      <c r="O3608">
        <v>0</v>
      </c>
      <c r="P3608">
        <v>0</v>
      </c>
      <c r="Q3608">
        <v>0</v>
      </c>
      <c r="R3608">
        <v>0</v>
      </c>
      <c r="S3608">
        <v>0</v>
      </c>
      <c r="T3608">
        <v>0</v>
      </c>
      <c r="U3608">
        <v>0</v>
      </c>
      <c r="V3608">
        <v>0</v>
      </c>
      <c r="W3608">
        <v>0</v>
      </c>
      <c r="X3608">
        <v>0</v>
      </c>
      <c r="Y3608" t="s">
        <v>31</v>
      </c>
      <c r="Z3608">
        <v>55</v>
      </c>
      <c r="AA3608">
        <v>0</v>
      </c>
    </row>
    <row r="3609" spans="1:27" x14ac:dyDescent="0.2">
      <c r="A3609" t="s">
        <v>547</v>
      </c>
      <c r="B3609">
        <v>2018</v>
      </c>
      <c r="C3609">
        <v>5065012045</v>
      </c>
      <c r="D3609" t="s">
        <v>4606</v>
      </c>
      <c r="E3609" t="s">
        <v>29</v>
      </c>
      <c r="F3609" t="s">
        <v>30</v>
      </c>
      <c r="G3609">
        <v>0</v>
      </c>
      <c r="H3609">
        <v>0</v>
      </c>
      <c r="I3609">
        <v>0</v>
      </c>
      <c r="J3609">
        <v>0</v>
      </c>
      <c r="K3609">
        <v>1</v>
      </c>
      <c r="L3609">
        <v>0</v>
      </c>
      <c r="M3609">
        <v>0</v>
      </c>
      <c r="N3609">
        <v>0</v>
      </c>
      <c r="O3609">
        <v>0</v>
      </c>
      <c r="P3609">
        <v>0</v>
      </c>
      <c r="Q3609">
        <v>0</v>
      </c>
      <c r="R3609">
        <v>0</v>
      </c>
      <c r="S3609">
        <v>0</v>
      </c>
      <c r="T3609">
        <v>0</v>
      </c>
      <c r="U3609">
        <v>0</v>
      </c>
      <c r="V3609">
        <v>0</v>
      </c>
      <c r="W3609">
        <v>0</v>
      </c>
      <c r="X3609">
        <v>0</v>
      </c>
      <c r="Y3609" t="s">
        <v>31</v>
      </c>
      <c r="Z3609">
        <v>55</v>
      </c>
      <c r="AA3609">
        <v>0</v>
      </c>
    </row>
    <row r="3610" spans="1:27" x14ac:dyDescent="0.2">
      <c r="A3610" t="s">
        <v>547</v>
      </c>
      <c r="B3610">
        <v>2018</v>
      </c>
      <c r="C3610">
        <v>5504019023</v>
      </c>
      <c r="D3610" t="s">
        <v>4607</v>
      </c>
      <c r="E3610" t="s">
        <v>29</v>
      </c>
      <c r="F3610" t="s">
        <v>30</v>
      </c>
      <c r="G3610">
        <v>0</v>
      </c>
      <c r="H3610">
        <v>0</v>
      </c>
      <c r="I3610">
        <v>0</v>
      </c>
      <c r="J3610">
        <v>0</v>
      </c>
      <c r="K3610">
        <v>0</v>
      </c>
      <c r="L3610">
        <v>0</v>
      </c>
      <c r="M3610">
        <v>1</v>
      </c>
      <c r="N3610">
        <v>0</v>
      </c>
      <c r="O3610">
        <v>0</v>
      </c>
      <c r="P3610">
        <v>0</v>
      </c>
      <c r="Q3610">
        <v>0</v>
      </c>
      <c r="R3610">
        <v>0</v>
      </c>
      <c r="S3610">
        <v>0</v>
      </c>
      <c r="T3610">
        <v>0</v>
      </c>
      <c r="U3610">
        <v>0</v>
      </c>
      <c r="V3610">
        <v>0</v>
      </c>
      <c r="W3610">
        <v>0</v>
      </c>
      <c r="X3610">
        <v>0</v>
      </c>
      <c r="Y3610" t="s">
        <v>31</v>
      </c>
      <c r="Z3610">
        <v>55</v>
      </c>
      <c r="AA3610">
        <v>0</v>
      </c>
    </row>
    <row r="3611" spans="1:27" x14ac:dyDescent="0.2">
      <c r="A3611" t="s">
        <v>547</v>
      </c>
      <c r="B3611">
        <v>2018</v>
      </c>
      <c r="C3611">
        <v>5086026017</v>
      </c>
      <c r="D3611" t="s">
        <v>4608</v>
      </c>
      <c r="E3611" t="s">
        <v>29</v>
      </c>
      <c r="F3611" t="s">
        <v>30</v>
      </c>
      <c r="G3611">
        <v>0</v>
      </c>
      <c r="H3611">
        <v>0</v>
      </c>
      <c r="I3611">
        <v>0</v>
      </c>
      <c r="J3611">
        <v>0</v>
      </c>
      <c r="K3611">
        <v>0</v>
      </c>
      <c r="L3611">
        <v>0</v>
      </c>
      <c r="M3611">
        <v>1</v>
      </c>
      <c r="N3611">
        <v>0</v>
      </c>
      <c r="O3611">
        <v>0</v>
      </c>
      <c r="P3611">
        <v>0</v>
      </c>
      <c r="Q3611">
        <v>0</v>
      </c>
      <c r="R3611">
        <v>0</v>
      </c>
      <c r="S3611">
        <v>0</v>
      </c>
      <c r="T3611">
        <v>0</v>
      </c>
      <c r="U3611">
        <v>0</v>
      </c>
      <c r="V3611">
        <v>0</v>
      </c>
      <c r="W3611">
        <v>0</v>
      </c>
      <c r="X3611">
        <v>0</v>
      </c>
      <c r="Y3611" t="s">
        <v>31</v>
      </c>
      <c r="Z3611">
        <v>55</v>
      </c>
      <c r="AA3611">
        <v>0</v>
      </c>
    </row>
    <row r="3612" spans="1:27" x14ac:dyDescent="0.2">
      <c r="A3612" t="s">
        <v>547</v>
      </c>
      <c r="B3612">
        <v>2018</v>
      </c>
      <c r="C3612">
        <v>5407007007</v>
      </c>
      <c r="D3612" t="s">
        <v>4609</v>
      </c>
      <c r="E3612" t="s">
        <v>29</v>
      </c>
      <c r="F3612" t="s">
        <v>30</v>
      </c>
      <c r="G3612">
        <v>0</v>
      </c>
      <c r="H3612">
        <v>0</v>
      </c>
      <c r="I3612">
        <v>0</v>
      </c>
      <c r="J3612">
        <v>0</v>
      </c>
      <c r="K3612">
        <v>0</v>
      </c>
      <c r="L3612">
        <v>0</v>
      </c>
      <c r="M3612">
        <v>2</v>
      </c>
      <c r="N3612">
        <v>0</v>
      </c>
      <c r="O3612">
        <v>0</v>
      </c>
      <c r="P3612">
        <v>0</v>
      </c>
      <c r="Q3612">
        <v>0</v>
      </c>
      <c r="R3612">
        <v>0</v>
      </c>
      <c r="S3612">
        <v>0</v>
      </c>
      <c r="T3612">
        <v>0</v>
      </c>
      <c r="U3612">
        <v>0</v>
      </c>
      <c r="V3612">
        <v>0</v>
      </c>
      <c r="W3612">
        <v>0</v>
      </c>
      <c r="X3612">
        <v>0</v>
      </c>
      <c r="Y3612" t="s">
        <v>31</v>
      </c>
      <c r="Z3612">
        <v>55</v>
      </c>
      <c r="AA3612">
        <v>0</v>
      </c>
    </row>
    <row r="3613" spans="1:27" x14ac:dyDescent="0.2">
      <c r="A3613" t="s">
        <v>547</v>
      </c>
      <c r="B3613">
        <v>2018</v>
      </c>
      <c r="C3613">
        <v>5537003004</v>
      </c>
      <c r="D3613" t="s">
        <v>4610</v>
      </c>
      <c r="E3613" t="s">
        <v>29</v>
      </c>
      <c r="F3613" t="s">
        <v>30</v>
      </c>
      <c r="G3613">
        <v>0</v>
      </c>
      <c r="H3613">
        <v>0</v>
      </c>
      <c r="I3613">
        <v>0</v>
      </c>
      <c r="J3613">
        <v>0</v>
      </c>
      <c r="K3613">
        <v>0</v>
      </c>
      <c r="L3613">
        <v>0</v>
      </c>
      <c r="M3613">
        <v>1</v>
      </c>
      <c r="N3613">
        <v>0</v>
      </c>
      <c r="O3613">
        <v>0</v>
      </c>
      <c r="P3613">
        <v>0</v>
      </c>
      <c r="Q3613">
        <v>0</v>
      </c>
      <c r="R3613">
        <v>0</v>
      </c>
      <c r="S3613">
        <v>0</v>
      </c>
      <c r="T3613">
        <v>0</v>
      </c>
      <c r="U3613">
        <v>0</v>
      </c>
      <c r="V3613">
        <v>0</v>
      </c>
      <c r="W3613">
        <v>0</v>
      </c>
      <c r="X3613">
        <v>0</v>
      </c>
      <c r="Y3613" t="s">
        <v>31</v>
      </c>
      <c r="Z3613">
        <v>55</v>
      </c>
      <c r="AA3613">
        <v>0</v>
      </c>
    </row>
    <row r="3614" spans="1:27" x14ac:dyDescent="0.2">
      <c r="A3614" t="s">
        <v>547</v>
      </c>
      <c r="B3614">
        <v>2018</v>
      </c>
      <c r="C3614">
        <v>5537009014</v>
      </c>
      <c r="D3614" t="s">
        <v>4611</v>
      </c>
      <c r="E3614" t="s">
        <v>29</v>
      </c>
      <c r="F3614" t="s">
        <v>30</v>
      </c>
      <c r="G3614">
        <v>0</v>
      </c>
      <c r="H3614">
        <v>0</v>
      </c>
      <c r="I3614">
        <v>0</v>
      </c>
      <c r="J3614">
        <v>0</v>
      </c>
      <c r="K3614">
        <v>0</v>
      </c>
      <c r="L3614">
        <v>0</v>
      </c>
      <c r="M3614">
        <v>0</v>
      </c>
      <c r="N3614">
        <v>0</v>
      </c>
      <c r="O3614">
        <v>2</v>
      </c>
      <c r="P3614">
        <v>0</v>
      </c>
      <c r="Q3614">
        <v>0</v>
      </c>
      <c r="R3614">
        <v>0</v>
      </c>
      <c r="S3614">
        <v>0</v>
      </c>
      <c r="T3614">
        <v>0</v>
      </c>
      <c r="U3614">
        <v>0</v>
      </c>
      <c r="V3614">
        <v>0</v>
      </c>
      <c r="W3614">
        <v>0</v>
      </c>
      <c r="X3614">
        <v>0</v>
      </c>
      <c r="Y3614" t="s">
        <v>31</v>
      </c>
      <c r="Z3614">
        <v>55</v>
      </c>
      <c r="AA3614">
        <v>0</v>
      </c>
    </row>
    <row r="3615" spans="1:27" x14ac:dyDescent="0.2">
      <c r="A3615" t="s">
        <v>547</v>
      </c>
      <c r="B3615">
        <v>2018</v>
      </c>
      <c r="C3615">
        <v>4217018032</v>
      </c>
      <c r="D3615" t="s">
        <v>4612</v>
      </c>
      <c r="E3615" t="s">
        <v>29</v>
      </c>
      <c r="F3615" t="s">
        <v>30</v>
      </c>
      <c r="G3615">
        <v>0</v>
      </c>
      <c r="H3615">
        <v>0</v>
      </c>
      <c r="I3615">
        <v>0</v>
      </c>
      <c r="J3615">
        <v>0</v>
      </c>
      <c r="K3615">
        <v>0</v>
      </c>
      <c r="L3615">
        <v>0</v>
      </c>
      <c r="M3615">
        <v>4</v>
      </c>
      <c r="N3615">
        <v>0</v>
      </c>
      <c r="O3615">
        <v>0</v>
      </c>
      <c r="P3615">
        <v>0</v>
      </c>
      <c r="Q3615">
        <v>0</v>
      </c>
      <c r="R3615">
        <v>0</v>
      </c>
      <c r="S3615">
        <v>0</v>
      </c>
      <c r="T3615">
        <v>0</v>
      </c>
      <c r="U3615">
        <v>0</v>
      </c>
      <c r="V3615">
        <v>0</v>
      </c>
      <c r="W3615">
        <v>0</v>
      </c>
      <c r="X3615">
        <v>0</v>
      </c>
      <c r="Y3615" t="s">
        <v>31</v>
      </c>
      <c r="Z3615">
        <v>55</v>
      </c>
      <c r="AA3615">
        <v>0</v>
      </c>
    </row>
    <row r="3616" spans="1:27" x14ac:dyDescent="0.2">
      <c r="A3616" t="s">
        <v>547</v>
      </c>
      <c r="B3616">
        <v>2018</v>
      </c>
      <c r="C3616">
        <v>2335032017</v>
      </c>
      <c r="D3616" t="s">
        <v>4613</v>
      </c>
      <c r="E3616" t="s">
        <v>29</v>
      </c>
      <c r="F3616" t="s">
        <v>30</v>
      </c>
      <c r="G3616">
        <v>0</v>
      </c>
      <c r="H3616">
        <v>0</v>
      </c>
      <c r="I3616">
        <v>0</v>
      </c>
      <c r="J3616">
        <v>0</v>
      </c>
      <c r="K3616">
        <v>0</v>
      </c>
      <c r="L3616">
        <v>0</v>
      </c>
      <c r="M3616">
        <v>1</v>
      </c>
      <c r="N3616">
        <v>0</v>
      </c>
      <c r="O3616">
        <v>0</v>
      </c>
      <c r="P3616">
        <v>0</v>
      </c>
      <c r="Q3616">
        <v>0</v>
      </c>
      <c r="R3616">
        <v>0</v>
      </c>
      <c r="S3616">
        <v>0</v>
      </c>
      <c r="T3616">
        <v>0</v>
      </c>
      <c r="U3616">
        <v>0</v>
      </c>
      <c r="V3616">
        <v>0</v>
      </c>
      <c r="W3616">
        <v>0</v>
      </c>
      <c r="X3616">
        <v>0</v>
      </c>
      <c r="Y3616" t="s">
        <v>31</v>
      </c>
      <c r="Z3616">
        <v>55</v>
      </c>
      <c r="AA3616">
        <v>0</v>
      </c>
    </row>
    <row r="3617" spans="1:27" x14ac:dyDescent="0.2">
      <c r="A3617" t="s">
        <v>547</v>
      </c>
      <c r="B3617">
        <v>2018</v>
      </c>
      <c r="C3617">
        <v>5179019900</v>
      </c>
      <c r="D3617" t="s">
        <v>4614</v>
      </c>
      <c r="E3617" t="s">
        <v>29</v>
      </c>
      <c r="F3617" t="s">
        <v>30</v>
      </c>
      <c r="G3617">
        <v>6</v>
      </c>
      <c r="H3617">
        <v>0</v>
      </c>
      <c r="I3617">
        <v>0</v>
      </c>
      <c r="J3617">
        <v>0</v>
      </c>
      <c r="K3617">
        <v>0</v>
      </c>
      <c r="L3617">
        <v>0</v>
      </c>
      <c r="M3617">
        <v>0</v>
      </c>
      <c r="N3617">
        <v>0</v>
      </c>
      <c r="O3617">
        <v>0</v>
      </c>
      <c r="P3617">
        <v>0</v>
      </c>
      <c r="Q3617">
        <v>0</v>
      </c>
      <c r="R3617">
        <v>0</v>
      </c>
      <c r="S3617">
        <v>0</v>
      </c>
      <c r="T3617">
        <v>0</v>
      </c>
      <c r="U3617">
        <v>0</v>
      </c>
      <c r="V3617">
        <v>0</v>
      </c>
      <c r="W3617">
        <v>0</v>
      </c>
      <c r="X3617">
        <v>0</v>
      </c>
      <c r="Y3617" t="s">
        <v>31</v>
      </c>
      <c r="Z3617">
        <v>55</v>
      </c>
      <c r="AA3617">
        <v>0</v>
      </c>
    </row>
    <row r="3618" spans="1:27" x14ac:dyDescent="0.2">
      <c r="A3618" t="s">
        <v>547</v>
      </c>
      <c r="B3618">
        <v>2018</v>
      </c>
      <c r="C3618">
        <v>5503015024</v>
      </c>
      <c r="D3618" t="s">
        <v>4615</v>
      </c>
      <c r="E3618" t="s">
        <v>29</v>
      </c>
      <c r="F3618" t="s">
        <v>30</v>
      </c>
      <c r="G3618">
        <v>0</v>
      </c>
      <c r="H3618">
        <v>0</v>
      </c>
      <c r="I3618">
        <v>12</v>
      </c>
      <c r="J3618">
        <v>0</v>
      </c>
      <c r="K3618">
        <v>0</v>
      </c>
      <c r="L3618">
        <v>0</v>
      </c>
      <c r="M3618">
        <v>0</v>
      </c>
      <c r="N3618">
        <v>0</v>
      </c>
      <c r="O3618">
        <v>0</v>
      </c>
      <c r="P3618">
        <v>0</v>
      </c>
      <c r="Q3618">
        <v>0</v>
      </c>
      <c r="R3618">
        <v>0</v>
      </c>
      <c r="S3618">
        <v>0</v>
      </c>
      <c r="T3618">
        <v>0</v>
      </c>
      <c r="U3618">
        <v>0</v>
      </c>
      <c r="V3618">
        <v>0</v>
      </c>
      <c r="W3618">
        <v>0</v>
      </c>
      <c r="X3618">
        <v>0</v>
      </c>
      <c r="Y3618" t="s">
        <v>31</v>
      </c>
      <c r="Z3618">
        <v>55</v>
      </c>
      <c r="AA3618">
        <v>0</v>
      </c>
    </row>
    <row r="3619" spans="1:27" x14ac:dyDescent="0.2">
      <c r="A3619" t="s">
        <v>547</v>
      </c>
      <c r="B3619">
        <v>2018</v>
      </c>
      <c r="C3619">
        <v>5214001002</v>
      </c>
      <c r="D3619" t="s">
        <v>4616</v>
      </c>
      <c r="E3619" t="s">
        <v>29</v>
      </c>
      <c r="F3619" t="s">
        <v>30</v>
      </c>
      <c r="G3619">
        <v>78</v>
      </c>
      <c r="H3619">
        <v>0</v>
      </c>
      <c r="I3619">
        <v>5</v>
      </c>
      <c r="J3619">
        <v>0</v>
      </c>
      <c r="K3619">
        <v>0</v>
      </c>
      <c r="L3619">
        <v>0</v>
      </c>
      <c r="M3619">
        <v>0</v>
      </c>
      <c r="N3619">
        <v>0</v>
      </c>
      <c r="O3619">
        <v>0</v>
      </c>
      <c r="P3619">
        <v>0</v>
      </c>
      <c r="Q3619">
        <v>0</v>
      </c>
      <c r="R3619">
        <v>0</v>
      </c>
      <c r="S3619">
        <v>0</v>
      </c>
      <c r="T3619">
        <v>0</v>
      </c>
      <c r="U3619">
        <v>0</v>
      </c>
      <c r="V3619">
        <v>0</v>
      </c>
      <c r="W3619">
        <v>0</v>
      </c>
      <c r="X3619">
        <v>0</v>
      </c>
      <c r="Y3619" t="s">
        <v>31</v>
      </c>
      <c r="Z3619">
        <v>55</v>
      </c>
      <c r="AA3619">
        <v>0</v>
      </c>
    </row>
    <row r="3620" spans="1:27" x14ac:dyDescent="0.2">
      <c r="A3620" t="s">
        <v>547</v>
      </c>
      <c r="B3620">
        <v>2018</v>
      </c>
      <c r="C3620">
        <v>4337009016</v>
      </c>
      <c r="D3620" t="s">
        <v>4617</v>
      </c>
      <c r="E3620" t="s">
        <v>29</v>
      </c>
      <c r="F3620" t="s">
        <v>30</v>
      </c>
      <c r="G3620">
        <v>8</v>
      </c>
      <c r="H3620">
        <v>0</v>
      </c>
      <c r="I3620">
        <v>0</v>
      </c>
      <c r="J3620">
        <v>0</v>
      </c>
      <c r="K3620">
        <v>0</v>
      </c>
      <c r="L3620">
        <v>0</v>
      </c>
      <c r="M3620">
        <v>0</v>
      </c>
      <c r="N3620">
        <v>0</v>
      </c>
      <c r="O3620">
        <v>0</v>
      </c>
      <c r="P3620">
        <v>0</v>
      </c>
      <c r="Q3620">
        <v>0</v>
      </c>
      <c r="R3620">
        <v>0</v>
      </c>
      <c r="S3620">
        <v>0</v>
      </c>
      <c r="T3620">
        <v>0</v>
      </c>
      <c r="U3620">
        <v>0</v>
      </c>
      <c r="V3620">
        <v>0</v>
      </c>
      <c r="W3620">
        <v>0</v>
      </c>
      <c r="X3620">
        <v>0</v>
      </c>
      <c r="Y3620" t="s">
        <v>31</v>
      </c>
      <c r="Z3620">
        <v>55</v>
      </c>
      <c r="AA3620">
        <v>0</v>
      </c>
    </row>
    <row r="3621" spans="1:27" x14ac:dyDescent="0.2">
      <c r="A3621" t="s">
        <v>547</v>
      </c>
      <c r="B3621">
        <v>2018</v>
      </c>
      <c r="C3621">
        <v>5164023020</v>
      </c>
      <c r="D3621" t="s">
        <v>4618</v>
      </c>
      <c r="E3621" t="s">
        <v>29</v>
      </c>
      <c r="F3621" t="s">
        <v>30</v>
      </c>
      <c r="G3621">
        <v>24</v>
      </c>
      <c r="H3621">
        <v>0</v>
      </c>
      <c r="I3621">
        <v>0</v>
      </c>
      <c r="J3621">
        <v>0</v>
      </c>
      <c r="K3621">
        <v>29</v>
      </c>
      <c r="L3621">
        <v>0</v>
      </c>
      <c r="M3621">
        <v>0</v>
      </c>
      <c r="N3621">
        <v>0</v>
      </c>
      <c r="O3621">
        <v>0</v>
      </c>
      <c r="P3621">
        <v>0</v>
      </c>
      <c r="Q3621">
        <v>0</v>
      </c>
      <c r="R3621">
        <v>0</v>
      </c>
      <c r="S3621">
        <v>0</v>
      </c>
      <c r="T3621">
        <v>0</v>
      </c>
      <c r="U3621">
        <v>0</v>
      </c>
      <c r="V3621">
        <v>0</v>
      </c>
      <c r="W3621">
        <v>0</v>
      </c>
      <c r="X3621">
        <v>0</v>
      </c>
      <c r="Y3621" t="s">
        <v>31</v>
      </c>
      <c r="Z3621">
        <v>55</v>
      </c>
      <c r="AA3621">
        <v>0</v>
      </c>
    </row>
    <row r="3622" spans="1:27" x14ac:dyDescent="0.2">
      <c r="A3622" t="s">
        <v>547</v>
      </c>
      <c r="B3622">
        <v>2018</v>
      </c>
      <c r="C3622">
        <v>5183021019</v>
      </c>
      <c r="D3622" t="s">
        <v>4619</v>
      </c>
      <c r="E3622" t="s">
        <v>29</v>
      </c>
      <c r="F3622" t="s">
        <v>30</v>
      </c>
      <c r="G3622">
        <v>0</v>
      </c>
      <c r="H3622">
        <v>0</v>
      </c>
      <c r="I3622">
        <v>1</v>
      </c>
      <c r="J3622">
        <v>0</v>
      </c>
      <c r="K3622">
        <v>0</v>
      </c>
      <c r="L3622">
        <v>0</v>
      </c>
      <c r="M3622">
        <v>0</v>
      </c>
      <c r="N3622">
        <v>0</v>
      </c>
      <c r="O3622">
        <v>0</v>
      </c>
      <c r="P3622">
        <v>0</v>
      </c>
      <c r="Q3622">
        <v>0</v>
      </c>
      <c r="R3622">
        <v>0</v>
      </c>
      <c r="S3622">
        <v>0</v>
      </c>
      <c r="T3622">
        <v>0</v>
      </c>
      <c r="U3622">
        <v>0</v>
      </c>
      <c r="V3622">
        <v>0</v>
      </c>
      <c r="W3622">
        <v>0</v>
      </c>
      <c r="X3622">
        <v>0</v>
      </c>
      <c r="Y3622" t="s">
        <v>31</v>
      </c>
      <c r="Z3622">
        <v>55</v>
      </c>
      <c r="AA3622">
        <v>0</v>
      </c>
    </row>
    <row r="3623" spans="1:27" x14ac:dyDescent="0.2">
      <c r="A3623" t="s">
        <v>547</v>
      </c>
      <c r="B3623">
        <v>2018</v>
      </c>
      <c r="C3623">
        <v>2316001046</v>
      </c>
      <c r="D3623" t="s">
        <v>4620</v>
      </c>
      <c r="E3623" t="s">
        <v>29</v>
      </c>
      <c r="F3623" t="s">
        <v>30</v>
      </c>
      <c r="G3623">
        <v>4</v>
      </c>
      <c r="H3623">
        <v>0</v>
      </c>
      <c r="I3623">
        <v>0</v>
      </c>
      <c r="J3623">
        <v>0</v>
      </c>
      <c r="K3623">
        <v>0</v>
      </c>
      <c r="L3623">
        <v>0</v>
      </c>
      <c r="M3623">
        <v>0</v>
      </c>
      <c r="N3623">
        <v>0</v>
      </c>
      <c r="O3623">
        <v>0</v>
      </c>
      <c r="P3623">
        <v>0</v>
      </c>
      <c r="Q3623">
        <v>0</v>
      </c>
      <c r="R3623">
        <v>0</v>
      </c>
      <c r="S3623">
        <v>0</v>
      </c>
      <c r="T3623">
        <v>0</v>
      </c>
      <c r="U3623">
        <v>0</v>
      </c>
      <c r="V3623">
        <v>0</v>
      </c>
      <c r="W3623">
        <v>0</v>
      </c>
      <c r="X3623">
        <v>0</v>
      </c>
      <c r="Y3623" t="s">
        <v>31</v>
      </c>
      <c r="Z3623">
        <v>55</v>
      </c>
      <c r="AA3623">
        <v>0</v>
      </c>
    </row>
    <row r="3624" spans="1:27" x14ac:dyDescent="0.2">
      <c r="A3624" t="s">
        <v>547</v>
      </c>
      <c r="B3624">
        <v>2018</v>
      </c>
      <c r="C3624">
        <v>4327005019</v>
      </c>
      <c r="D3624" t="s">
        <v>4621</v>
      </c>
      <c r="E3624" t="s">
        <v>29</v>
      </c>
      <c r="F3624" t="s">
        <v>30</v>
      </c>
      <c r="G3624">
        <v>34</v>
      </c>
      <c r="H3624">
        <v>0</v>
      </c>
      <c r="I3624">
        <v>0</v>
      </c>
      <c r="J3624">
        <v>0</v>
      </c>
      <c r="K3624">
        <v>0</v>
      </c>
      <c r="L3624">
        <v>0</v>
      </c>
      <c r="M3624">
        <v>0</v>
      </c>
      <c r="N3624">
        <v>0</v>
      </c>
      <c r="O3624">
        <v>0</v>
      </c>
      <c r="P3624">
        <v>0</v>
      </c>
      <c r="Q3624">
        <v>0</v>
      </c>
      <c r="R3624">
        <v>0</v>
      </c>
      <c r="S3624">
        <v>0</v>
      </c>
      <c r="T3624">
        <v>0</v>
      </c>
      <c r="U3624">
        <v>0</v>
      </c>
      <c r="V3624">
        <v>0</v>
      </c>
      <c r="W3624">
        <v>0</v>
      </c>
      <c r="X3624">
        <v>0</v>
      </c>
      <c r="Y3624" t="s">
        <v>31</v>
      </c>
      <c r="Z3624">
        <v>55</v>
      </c>
      <c r="AA3624">
        <v>0</v>
      </c>
    </row>
    <row r="3625" spans="1:27" x14ac:dyDescent="0.2">
      <c r="A3625" t="s">
        <v>547</v>
      </c>
      <c r="B3625">
        <v>2019</v>
      </c>
      <c r="C3625">
        <v>5003017029</v>
      </c>
      <c r="D3625" t="s">
        <v>4622</v>
      </c>
      <c r="E3625" t="s">
        <v>29</v>
      </c>
      <c r="F3625" t="s">
        <v>30</v>
      </c>
      <c r="G3625">
        <v>0</v>
      </c>
      <c r="H3625">
        <v>0</v>
      </c>
      <c r="I3625">
        <v>0</v>
      </c>
      <c r="J3625">
        <v>0</v>
      </c>
      <c r="K3625">
        <v>0</v>
      </c>
      <c r="L3625">
        <v>0</v>
      </c>
      <c r="M3625">
        <v>2</v>
      </c>
      <c r="N3625">
        <v>0</v>
      </c>
      <c r="O3625">
        <v>0</v>
      </c>
      <c r="P3625">
        <v>0</v>
      </c>
      <c r="Q3625">
        <v>0</v>
      </c>
      <c r="R3625">
        <v>0</v>
      </c>
      <c r="S3625">
        <v>0</v>
      </c>
      <c r="T3625">
        <v>0</v>
      </c>
      <c r="U3625">
        <v>0</v>
      </c>
      <c r="V3625">
        <v>0</v>
      </c>
      <c r="W3625">
        <v>0</v>
      </c>
      <c r="X3625">
        <v>0</v>
      </c>
      <c r="Y3625" t="s">
        <v>31</v>
      </c>
      <c r="Z3625">
        <v>55</v>
      </c>
      <c r="AA3625">
        <v>0</v>
      </c>
    </row>
    <row r="3626" spans="1:27" x14ac:dyDescent="0.2">
      <c r="A3626" t="s">
        <v>547</v>
      </c>
      <c r="B3626">
        <v>2019</v>
      </c>
      <c r="C3626">
        <v>5078003004</v>
      </c>
      <c r="D3626" t="s">
        <v>4623</v>
      </c>
      <c r="E3626" t="s">
        <v>29</v>
      </c>
      <c r="F3626" t="s">
        <v>30</v>
      </c>
      <c r="G3626">
        <v>0</v>
      </c>
      <c r="H3626">
        <v>0</v>
      </c>
      <c r="I3626">
        <v>0</v>
      </c>
      <c r="J3626">
        <v>0</v>
      </c>
      <c r="K3626">
        <v>0</v>
      </c>
      <c r="L3626">
        <v>0</v>
      </c>
      <c r="M3626">
        <v>5</v>
      </c>
      <c r="N3626">
        <v>0</v>
      </c>
      <c r="O3626">
        <v>1</v>
      </c>
      <c r="P3626">
        <v>0</v>
      </c>
      <c r="Q3626">
        <v>0</v>
      </c>
      <c r="R3626">
        <v>0</v>
      </c>
      <c r="S3626">
        <v>0</v>
      </c>
      <c r="T3626">
        <v>0</v>
      </c>
      <c r="U3626">
        <v>0</v>
      </c>
      <c r="V3626">
        <v>0</v>
      </c>
      <c r="W3626">
        <v>0</v>
      </c>
      <c r="X3626">
        <v>0</v>
      </c>
      <c r="Y3626" t="s">
        <v>31</v>
      </c>
      <c r="Z3626">
        <v>55</v>
      </c>
      <c r="AA3626">
        <v>0</v>
      </c>
    </row>
    <row r="3627" spans="1:27" x14ac:dyDescent="0.2">
      <c r="A3627" t="s">
        <v>547</v>
      </c>
      <c r="B3627">
        <v>2019</v>
      </c>
      <c r="C3627">
        <v>5518027002</v>
      </c>
      <c r="D3627" t="s">
        <v>4624</v>
      </c>
      <c r="E3627" t="s">
        <v>29</v>
      </c>
      <c r="F3627" t="s">
        <v>30</v>
      </c>
      <c r="G3627">
        <v>0</v>
      </c>
      <c r="H3627">
        <v>0</v>
      </c>
      <c r="I3627">
        <v>0</v>
      </c>
      <c r="J3627">
        <v>0</v>
      </c>
      <c r="K3627">
        <v>0</v>
      </c>
      <c r="L3627">
        <v>0</v>
      </c>
      <c r="M3627">
        <v>2</v>
      </c>
      <c r="N3627">
        <v>0</v>
      </c>
      <c r="O3627">
        <v>0</v>
      </c>
      <c r="P3627">
        <v>0</v>
      </c>
      <c r="Q3627">
        <v>0</v>
      </c>
      <c r="R3627">
        <v>0</v>
      </c>
      <c r="S3627">
        <v>2</v>
      </c>
      <c r="T3627">
        <v>0</v>
      </c>
      <c r="U3627">
        <v>0</v>
      </c>
      <c r="V3627">
        <v>0</v>
      </c>
      <c r="W3627">
        <v>0</v>
      </c>
      <c r="X3627">
        <v>0</v>
      </c>
      <c r="Y3627" t="s">
        <v>31</v>
      </c>
      <c r="Z3627">
        <v>55</v>
      </c>
      <c r="AA3627">
        <v>0</v>
      </c>
    </row>
    <row r="3628" spans="1:27" x14ac:dyDescent="0.2">
      <c r="A3628" t="s">
        <v>1441</v>
      </c>
      <c r="B3628">
        <v>2020</v>
      </c>
      <c r="C3628" t="s">
        <v>4625</v>
      </c>
      <c r="D3628" t="s">
        <v>4626</v>
      </c>
      <c r="E3628" t="s">
        <v>29</v>
      </c>
      <c r="F3628" t="s">
        <v>30</v>
      </c>
      <c r="G3628">
        <v>15</v>
      </c>
      <c r="H3628">
        <v>0</v>
      </c>
      <c r="I3628">
        <v>0</v>
      </c>
      <c r="J3628">
        <v>0</v>
      </c>
      <c r="K3628">
        <v>0</v>
      </c>
      <c r="L3628">
        <v>0</v>
      </c>
      <c r="M3628">
        <v>0</v>
      </c>
      <c r="N3628">
        <v>0</v>
      </c>
      <c r="O3628">
        <v>0</v>
      </c>
      <c r="P3628">
        <v>0</v>
      </c>
      <c r="Q3628">
        <v>0</v>
      </c>
      <c r="R3628">
        <v>0</v>
      </c>
      <c r="S3628">
        <v>0</v>
      </c>
      <c r="T3628">
        <v>0</v>
      </c>
      <c r="U3628">
        <v>0</v>
      </c>
      <c r="V3628">
        <v>0</v>
      </c>
      <c r="W3628">
        <v>0</v>
      </c>
      <c r="X3628">
        <v>0</v>
      </c>
      <c r="Y3628" t="s">
        <v>31</v>
      </c>
      <c r="Z3628">
        <v>55</v>
      </c>
      <c r="AA3628">
        <v>0</v>
      </c>
    </row>
    <row r="3629" spans="1:27" x14ac:dyDescent="0.2">
      <c r="A3629" t="s">
        <v>547</v>
      </c>
      <c r="B3629">
        <v>2019</v>
      </c>
      <c r="C3629">
        <v>5532017020</v>
      </c>
      <c r="D3629" t="s">
        <v>4627</v>
      </c>
      <c r="E3629" t="s">
        <v>29</v>
      </c>
      <c r="F3629" t="s">
        <v>30</v>
      </c>
      <c r="G3629">
        <v>0</v>
      </c>
      <c r="H3629">
        <v>0</v>
      </c>
      <c r="I3629">
        <v>0</v>
      </c>
      <c r="J3629">
        <v>0</v>
      </c>
      <c r="K3629">
        <v>0</v>
      </c>
      <c r="L3629">
        <v>0</v>
      </c>
      <c r="M3629">
        <v>13</v>
      </c>
      <c r="N3629">
        <v>0</v>
      </c>
      <c r="O3629">
        <v>0</v>
      </c>
      <c r="P3629">
        <v>0</v>
      </c>
      <c r="Q3629">
        <v>0</v>
      </c>
      <c r="R3629">
        <v>0</v>
      </c>
      <c r="S3629">
        <v>0</v>
      </c>
      <c r="T3629">
        <v>0</v>
      </c>
      <c r="U3629">
        <v>0</v>
      </c>
      <c r="V3629">
        <v>0</v>
      </c>
      <c r="W3629">
        <v>0</v>
      </c>
      <c r="X3629">
        <v>0</v>
      </c>
      <c r="Y3629" t="s">
        <v>31</v>
      </c>
      <c r="Z3629">
        <v>55</v>
      </c>
      <c r="AA3629">
        <v>0</v>
      </c>
    </row>
    <row r="3630" spans="1:27" x14ac:dyDescent="0.2">
      <c r="A3630" t="s">
        <v>1165</v>
      </c>
      <c r="B3630">
        <v>2020</v>
      </c>
      <c r="C3630" t="s">
        <v>4582</v>
      </c>
      <c r="D3630" t="s">
        <v>4583</v>
      </c>
      <c r="E3630" t="s">
        <v>29</v>
      </c>
      <c r="F3630" t="s">
        <v>41</v>
      </c>
      <c r="G3630">
        <v>0</v>
      </c>
      <c r="H3630">
        <v>0</v>
      </c>
      <c r="I3630">
        <v>2</v>
      </c>
      <c r="J3630">
        <v>0</v>
      </c>
      <c r="K3630">
        <v>0</v>
      </c>
      <c r="L3630">
        <v>0</v>
      </c>
      <c r="M3630">
        <v>0</v>
      </c>
      <c r="N3630">
        <v>0</v>
      </c>
      <c r="O3630">
        <v>2</v>
      </c>
      <c r="P3630">
        <v>0</v>
      </c>
      <c r="Q3630">
        <v>0</v>
      </c>
      <c r="R3630">
        <v>0</v>
      </c>
      <c r="S3630">
        <v>0</v>
      </c>
      <c r="T3630">
        <v>0</v>
      </c>
      <c r="U3630">
        <v>0</v>
      </c>
      <c r="V3630">
        <v>0</v>
      </c>
      <c r="W3630">
        <v>0</v>
      </c>
      <c r="X3630">
        <v>0</v>
      </c>
      <c r="Y3630" t="s">
        <v>51</v>
      </c>
      <c r="Z3630">
        <v>99</v>
      </c>
      <c r="AA3630">
        <v>0</v>
      </c>
    </row>
    <row r="3631" spans="1:27" x14ac:dyDescent="0.2">
      <c r="A3631" t="s">
        <v>2867</v>
      </c>
      <c r="B3631">
        <v>2018</v>
      </c>
      <c r="C3631" t="s">
        <v>4164</v>
      </c>
      <c r="D3631" t="s">
        <v>4628</v>
      </c>
      <c r="E3631" t="s">
        <v>29</v>
      </c>
      <c r="F3631" t="s">
        <v>30</v>
      </c>
      <c r="G3631">
        <v>0</v>
      </c>
      <c r="H3631">
        <v>0</v>
      </c>
      <c r="I3631">
        <v>0</v>
      </c>
      <c r="J3631">
        <v>0</v>
      </c>
      <c r="K3631">
        <v>0</v>
      </c>
      <c r="L3631">
        <v>0</v>
      </c>
      <c r="M3631">
        <v>0</v>
      </c>
      <c r="N3631">
        <v>0</v>
      </c>
      <c r="O3631">
        <v>0</v>
      </c>
      <c r="P3631">
        <v>0</v>
      </c>
      <c r="Q3631">
        <v>0</v>
      </c>
      <c r="R3631">
        <v>0</v>
      </c>
      <c r="S3631">
        <v>1</v>
      </c>
      <c r="T3631">
        <v>0</v>
      </c>
      <c r="U3631">
        <v>1</v>
      </c>
      <c r="V3631">
        <v>0</v>
      </c>
      <c r="W3631">
        <v>0</v>
      </c>
      <c r="X3631">
        <v>0</v>
      </c>
      <c r="Y3631" t="s">
        <v>31</v>
      </c>
      <c r="Z3631">
        <v>55</v>
      </c>
      <c r="AA3631">
        <v>0</v>
      </c>
    </row>
    <row r="3632" spans="1:27" x14ac:dyDescent="0.2">
      <c r="A3632" t="s">
        <v>172</v>
      </c>
      <c r="B3632">
        <v>2019</v>
      </c>
      <c r="C3632" t="s">
        <v>4629</v>
      </c>
      <c r="D3632" t="s">
        <v>4630</v>
      </c>
      <c r="E3632" t="s">
        <v>29</v>
      </c>
      <c r="F3632" t="s">
        <v>30</v>
      </c>
      <c r="G3632">
        <v>85</v>
      </c>
      <c r="H3632">
        <v>0</v>
      </c>
      <c r="I3632">
        <v>0</v>
      </c>
      <c r="J3632">
        <v>0</v>
      </c>
      <c r="K3632">
        <v>0</v>
      </c>
      <c r="L3632">
        <v>0</v>
      </c>
      <c r="M3632">
        <v>0</v>
      </c>
      <c r="N3632">
        <v>0</v>
      </c>
      <c r="O3632">
        <v>0</v>
      </c>
      <c r="P3632">
        <v>0</v>
      </c>
      <c r="Q3632">
        <v>0</v>
      </c>
      <c r="R3632">
        <v>0</v>
      </c>
      <c r="S3632">
        <v>0</v>
      </c>
      <c r="T3632">
        <v>0</v>
      </c>
      <c r="U3632">
        <v>0</v>
      </c>
      <c r="V3632">
        <v>0</v>
      </c>
      <c r="W3632">
        <v>0</v>
      </c>
      <c r="X3632">
        <v>0</v>
      </c>
      <c r="Y3632" t="s">
        <v>31</v>
      </c>
      <c r="Z3632">
        <v>55</v>
      </c>
      <c r="AA3632">
        <v>0</v>
      </c>
    </row>
    <row r="3633" spans="1:27" x14ac:dyDescent="0.2">
      <c r="A3633" t="s">
        <v>172</v>
      </c>
      <c r="B3633">
        <v>2019</v>
      </c>
      <c r="C3633" t="s">
        <v>4631</v>
      </c>
      <c r="D3633" t="s">
        <v>4632</v>
      </c>
      <c r="E3633" t="s">
        <v>29</v>
      </c>
      <c r="F3633" t="s">
        <v>30</v>
      </c>
      <c r="G3633">
        <v>6</v>
      </c>
      <c r="H3633">
        <v>0</v>
      </c>
      <c r="I3633">
        <v>0</v>
      </c>
      <c r="J3633">
        <v>0</v>
      </c>
      <c r="K3633">
        <v>0</v>
      </c>
      <c r="L3633">
        <v>0</v>
      </c>
      <c r="M3633">
        <v>0</v>
      </c>
      <c r="N3633">
        <v>0</v>
      </c>
      <c r="O3633">
        <v>0</v>
      </c>
      <c r="P3633">
        <v>0</v>
      </c>
      <c r="Q3633">
        <v>0</v>
      </c>
      <c r="R3633">
        <v>0</v>
      </c>
      <c r="S3633">
        <v>0</v>
      </c>
      <c r="T3633">
        <v>0</v>
      </c>
      <c r="U3633">
        <v>0</v>
      </c>
      <c r="V3633">
        <v>0</v>
      </c>
      <c r="W3633">
        <v>0</v>
      </c>
      <c r="X3633">
        <v>0</v>
      </c>
      <c r="Y3633" t="s">
        <v>31</v>
      </c>
      <c r="Z3633">
        <v>55</v>
      </c>
      <c r="AA3633">
        <v>0</v>
      </c>
    </row>
    <row r="3634" spans="1:27" x14ac:dyDescent="0.2">
      <c r="A3634" t="s">
        <v>172</v>
      </c>
      <c r="B3634">
        <v>2019</v>
      </c>
      <c r="C3634" t="s">
        <v>4633</v>
      </c>
      <c r="D3634" t="s">
        <v>4634</v>
      </c>
      <c r="E3634" t="s">
        <v>29</v>
      </c>
      <c r="F3634" t="s">
        <v>30</v>
      </c>
      <c r="G3634">
        <v>0</v>
      </c>
      <c r="H3634">
        <v>0</v>
      </c>
      <c r="I3634">
        <v>4</v>
      </c>
      <c r="J3634">
        <v>0</v>
      </c>
      <c r="K3634">
        <v>0</v>
      </c>
      <c r="L3634">
        <v>0</v>
      </c>
      <c r="M3634">
        <v>0</v>
      </c>
      <c r="N3634">
        <v>0</v>
      </c>
      <c r="O3634">
        <v>0</v>
      </c>
      <c r="P3634">
        <v>0</v>
      </c>
      <c r="Q3634">
        <v>0</v>
      </c>
      <c r="R3634">
        <v>0</v>
      </c>
      <c r="S3634">
        <v>0</v>
      </c>
      <c r="T3634">
        <v>0</v>
      </c>
      <c r="U3634">
        <v>0</v>
      </c>
      <c r="V3634">
        <v>0</v>
      </c>
      <c r="W3634">
        <v>0</v>
      </c>
      <c r="X3634">
        <v>0</v>
      </c>
      <c r="Y3634" t="s">
        <v>31</v>
      </c>
      <c r="Z3634">
        <v>55</v>
      </c>
      <c r="AA3634">
        <v>0</v>
      </c>
    </row>
    <row r="3635" spans="1:27" x14ac:dyDescent="0.2">
      <c r="A3635" t="s">
        <v>1071</v>
      </c>
      <c r="B3635">
        <v>2020</v>
      </c>
      <c r="C3635">
        <v>81712020</v>
      </c>
      <c r="D3635" t="s">
        <v>4635</v>
      </c>
      <c r="E3635" t="s">
        <v>29</v>
      </c>
      <c r="F3635" t="s">
        <v>30</v>
      </c>
      <c r="G3635">
        <v>0</v>
      </c>
      <c r="H3635">
        <v>0</v>
      </c>
      <c r="I3635">
        <v>0</v>
      </c>
      <c r="J3635">
        <v>0</v>
      </c>
      <c r="K3635">
        <v>0</v>
      </c>
      <c r="L3635">
        <v>0</v>
      </c>
      <c r="M3635">
        <v>0</v>
      </c>
      <c r="N3635">
        <v>0</v>
      </c>
      <c r="O3635">
        <v>0</v>
      </c>
      <c r="P3635">
        <v>0</v>
      </c>
      <c r="Q3635">
        <v>0</v>
      </c>
      <c r="R3635">
        <v>0</v>
      </c>
      <c r="S3635">
        <v>2</v>
      </c>
      <c r="T3635">
        <v>0</v>
      </c>
      <c r="U3635">
        <v>1</v>
      </c>
      <c r="V3635">
        <v>0</v>
      </c>
      <c r="W3635">
        <v>0</v>
      </c>
      <c r="X3635">
        <v>11</v>
      </c>
      <c r="Y3635" t="s">
        <v>51</v>
      </c>
      <c r="AA3635">
        <v>0</v>
      </c>
    </row>
    <row r="3636" spans="1:27" x14ac:dyDescent="0.2">
      <c r="A3636" t="s">
        <v>1071</v>
      </c>
      <c r="B3636">
        <v>2020</v>
      </c>
      <c r="C3636">
        <v>81712020</v>
      </c>
      <c r="D3636" t="s">
        <v>4636</v>
      </c>
      <c r="E3636" t="s">
        <v>29</v>
      </c>
      <c r="F3636" t="s">
        <v>30</v>
      </c>
      <c r="G3636">
        <v>0</v>
      </c>
      <c r="H3636">
        <v>0</v>
      </c>
      <c r="I3636">
        <v>0</v>
      </c>
      <c r="J3636">
        <v>0</v>
      </c>
      <c r="K3636">
        <v>0</v>
      </c>
      <c r="L3636">
        <v>0</v>
      </c>
      <c r="M3636">
        <v>0</v>
      </c>
      <c r="N3636">
        <v>0</v>
      </c>
      <c r="O3636">
        <v>0</v>
      </c>
      <c r="P3636">
        <v>0</v>
      </c>
      <c r="Q3636">
        <v>0</v>
      </c>
      <c r="R3636">
        <v>0</v>
      </c>
      <c r="S3636">
        <v>1</v>
      </c>
      <c r="T3636">
        <v>0</v>
      </c>
      <c r="U3636">
        <v>1</v>
      </c>
      <c r="V3636">
        <v>0</v>
      </c>
      <c r="W3636">
        <v>0</v>
      </c>
      <c r="X3636">
        <v>12</v>
      </c>
      <c r="Y3636" t="s">
        <v>51</v>
      </c>
      <c r="AA3636">
        <v>0</v>
      </c>
    </row>
    <row r="3637" spans="1:27" x14ac:dyDescent="0.2">
      <c r="A3637" t="s">
        <v>1071</v>
      </c>
      <c r="B3637">
        <v>2020</v>
      </c>
      <c r="C3637">
        <v>72625061</v>
      </c>
      <c r="D3637" t="s">
        <v>4637</v>
      </c>
      <c r="E3637" t="s">
        <v>29</v>
      </c>
      <c r="F3637" t="s">
        <v>30</v>
      </c>
      <c r="G3637">
        <v>78</v>
      </c>
      <c r="H3637">
        <v>0</v>
      </c>
      <c r="I3637">
        <v>0</v>
      </c>
      <c r="J3637">
        <v>0</v>
      </c>
      <c r="K3637">
        <v>0</v>
      </c>
      <c r="L3637">
        <v>0</v>
      </c>
      <c r="M3637">
        <v>0</v>
      </c>
      <c r="N3637">
        <v>0</v>
      </c>
      <c r="O3637">
        <v>0</v>
      </c>
      <c r="P3637">
        <v>0</v>
      </c>
      <c r="Q3637">
        <v>0</v>
      </c>
      <c r="R3637">
        <v>0</v>
      </c>
      <c r="S3637">
        <v>0</v>
      </c>
      <c r="T3637">
        <v>0</v>
      </c>
      <c r="U3637">
        <v>0</v>
      </c>
      <c r="V3637">
        <v>0</v>
      </c>
      <c r="W3637">
        <v>0</v>
      </c>
      <c r="X3637">
        <v>0</v>
      </c>
      <c r="Y3637" t="s">
        <v>31</v>
      </c>
      <c r="Z3637">
        <v>55</v>
      </c>
      <c r="AA3637">
        <v>0</v>
      </c>
    </row>
    <row r="3638" spans="1:27" x14ac:dyDescent="0.2">
      <c r="A3638" t="s">
        <v>1500</v>
      </c>
      <c r="B3638">
        <v>2019</v>
      </c>
      <c r="C3638">
        <v>6147016036</v>
      </c>
      <c r="D3638" t="s">
        <v>4638</v>
      </c>
      <c r="E3638" t="s">
        <v>29</v>
      </c>
      <c r="F3638" t="s">
        <v>30</v>
      </c>
      <c r="G3638">
        <v>0</v>
      </c>
      <c r="H3638">
        <v>0</v>
      </c>
      <c r="I3638">
        <v>6</v>
      </c>
      <c r="J3638">
        <v>0</v>
      </c>
      <c r="K3638">
        <v>0</v>
      </c>
      <c r="L3638">
        <v>0</v>
      </c>
      <c r="M3638">
        <v>0</v>
      </c>
      <c r="N3638">
        <v>0</v>
      </c>
      <c r="O3638">
        <v>0</v>
      </c>
      <c r="P3638">
        <v>0</v>
      </c>
      <c r="Q3638">
        <v>0</v>
      </c>
      <c r="R3638">
        <v>0</v>
      </c>
      <c r="S3638">
        <v>0</v>
      </c>
      <c r="T3638">
        <v>0</v>
      </c>
      <c r="U3638">
        <v>0</v>
      </c>
      <c r="V3638">
        <v>0</v>
      </c>
      <c r="W3638">
        <v>0</v>
      </c>
      <c r="X3638">
        <v>0</v>
      </c>
      <c r="Y3638" t="s">
        <v>31</v>
      </c>
      <c r="Z3638">
        <v>55</v>
      </c>
      <c r="AA3638">
        <v>0</v>
      </c>
    </row>
    <row r="3639" spans="1:27" x14ac:dyDescent="0.2">
      <c r="A3639" t="s">
        <v>1500</v>
      </c>
      <c r="B3639">
        <v>2019</v>
      </c>
      <c r="C3639">
        <v>6149008045</v>
      </c>
      <c r="D3639" t="s">
        <v>4639</v>
      </c>
      <c r="E3639" t="s">
        <v>29</v>
      </c>
      <c r="F3639" t="s">
        <v>30</v>
      </c>
      <c r="G3639">
        <v>0</v>
      </c>
      <c r="H3639">
        <v>0</v>
      </c>
      <c r="I3639">
        <v>110</v>
      </c>
      <c r="J3639">
        <v>0</v>
      </c>
      <c r="K3639">
        <v>0</v>
      </c>
      <c r="L3639">
        <v>0</v>
      </c>
      <c r="M3639">
        <v>0</v>
      </c>
      <c r="N3639">
        <v>0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0</v>
      </c>
      <c r="V3639">
        <v>0</v>
      </c>
      <c r="W3639">
        <v>0</v>
      </c>
      <c r="X3639">
        <v>0</v>
      </c>
      <c r="Y3639" t="s">
        <v>31</v>
      </c>
      <c r="Z3639">
        <v>55</v>
      </c>
      <c r="AA3639">
        <v>0</v>
      </c>
    </row>
    <row r="3640" spans="1:27" x14ac:dyDescent="0.2">
      <c r="A3640" t="s">
        <v>1500</v>
      </c>
      <c r="B3640">
        <v>2019</v>
      </c>
      <c r="C3640">
        <v>6149014025</v>
      </c>
      <c r="D3640" t="s">
        <v>4640</v>
      </c>
      <c r="E3640" t="s">
        <v>29</v>
      </c>
      <c r="F3640" t="s">
        <v>30</v>
      </c>
      <c r="G3640">
        <v>60</v>
      </c>
      <c r="H3640">
        <v>0</v>
      </c>
      <c r="I3640">
        <v>0</v>
      </c>
      <c r="J3640">
        <v>0</v>
      </c>
      <c r="K3640">
        <v>0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  <c r="V3640">
        <v>0</v>
      </c>
      <c r="W3640">
        <v>0</v>
      </c>
      <c r="X3640">
        <v>0</v>
      </c>
      <c r="Y3640" t="s">
        <v>31</v>
      </c>
      <c r="Z3640">
        <v>55</v>
      </c>
      <c r="AA3640">
        <v>0</v>
      </c>
    </row>
    <row r="3641" spans="1:27" x14ac:dyDescent="0.2">
      <c r="A3641" t="s">
        <v>172</v>
      </c>
      <c r="B3641">
        <v>2020</v>
      </c>
      <c r="C3641" t="s">
        <v>4641</v>
      </c>
      <c r="D3641" t="s">
        <v>4642</v>
      </c>
      <c r="E3641" t="s">
        <v>29</v>
      </c>
      <c r="F3641" t="s">
        <v>30</v>
      </c>
      <c r="G3641">
        <v>90</v>
      </c>
      <c r="H3641">
        <v>0</v>
      </c>
      <c r="I3641">
        <v>148</v>
      </c>
      <c r="J3641">
        <v>0</v>
      </c>
      <c r="K3641">
        <v>2</v>
      </c>
      <c r="L3641">
        <v>0</v>
      </c>
      <c r="M3641">
        <v>0</v>
      </c>
      <c r="N3641">
        <v>0</v>
      </c>
      <c r="O3641">
        <v>0</v>
      </c>
      <c r="P3641">
        <v>0</v>
      </c>
      <c r="Q3641">
        <v>0</v>
      </c>
      <c r="R3641">
        <v>0</v>
      </c>
      <c r="S3641">
        <v>0</v>
      </c>
      <c r="T3641">
        <v>0</v>
      </c>
      <c r="U3641">
        <v>0</v>
      </c>
      <c r="V3641">
        <v>0</v>
      </c>
      <c r="W3641">
        <v>0</v>
      </c>
      <c r="X3641">
        <v>0</v>
      </c>
      <c r="Y3641" t="s">
        <v>31</v>
      </c>
      <c r="AA3641">
        <v>0</v>
      </c>
    </row>
    <row r="3642" spans="1:27" x14ac:dyDescent="0.2">
      <c r="A3642" t="s">
        <v>424</v>
      </c>
      <c r="B3642">
        <v>2023</v>
      </c>
      <c r="C3642" t="s">
        <v>567</v>
      </c>
      <c r="D3642" t="s">
        <v>4643</v>
      </c>
      <c r="E3642" t="s">
        <v>29</v>
      </c>
      <c r="F3642" t="s">
        <v>30</v>
      </c>
      <c r="G3642">
        <v>30</v>
      </c>
      <c r="H3642">
        <v>0</v>
      </c>
      <c r="I3642">
        <v>69</v>
      </c>
      <c r="J3642">
        <v>0</v>
      </c>
      <c r="K3642">
        <v>0</v>
      </c>
      <c r="L3642">
        <v>0</v>
      </c>
      <c r="M3642">
        <v>30</v>
      </c>
      <c r="N3642">
        <v>0</v>
      </c>
      <c r="O3642">
        <v>69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0</v>
      </c>
      <c r="W3642">
        <v>0</v>
      </c>
      <c r="X3642">
        <v>0</v>
      </c>
      <c r="Y3642" t="s">
        <v>31</v>
      </c>
      <c r="AA3642">
        <v>20</v>
      </c>
    </row>
    <row r="3643" spans="1:27" x14ac:dyDescent="0.2">
      <c r="A3643" t="s">
        <v>219</v>
      </c>
      <c r="B3643">
        <v>2022</v>
      </c>
      <c r="C3643" t="s">
        <v>4644</v>
      </c>
      <c r="D3643" t="s">
        <v>4645</v>
      </c>
      <c r="E3643" t="s">
        <v>29</v>
      </c>
      <c r="F3643" t="s">
        <v>41</v>
      </c>
      <c r="G3643">
        <v>0</v>
      </c>
      <c r="H3643">
        <v>0</v>
      </c>
      <c r="I3643">
        <v>8</v>
      </c>
      <c r="J3643">
        <v>0</v>
      </c>
      <c r="K3643">
        <v>0</v>
      </c>
      <c r="L3643">
        <v>0</v>
      </c>
      <c r="M3643">
        <v>0</v>
      </c>
      <c r="N3643">
        <v>0</v>
      </c>
      <c r="O3643">
        <v>0</v>
      </c>
      <c r="P3643">
        <v>0</v>
      </c>
      <c r="Q3643">
        <v>0</v>
      </c>
      <c r="R3643">
        <v>0</v>
      </c>
      <c r="S3643">
        <v>0</v>
      </c>
      <c r="T3643">
        <v>0</v>
      </c>
      <c r="U3643">
        <v>0</v>
      </c>
      <c r="V3643">
        <v>0</v>
      </c>
      <c r="W3643">
        <v>0</v>
      </c>
      <c r="X3643">
        <v>0</v>
      </c>
      <c r="Y3643" t="s">
        <v>31</v>
      </c>
      <c r="Z3643">
        <v>55</v>
      </c>
      <c r="AA3643">
        <v>46</v>
      </c>
    </row>
    <row r="3644" spans="1:27" x14ac:dyDescent="0.2">
      <c r="A3644" t="s">
        <v>219</v>
      </c>
      <c r="B3644">
        <v>2022</v>
      </c>
      <c r="C3644" t="s">
        <v>3846</v>
      </c>
      <c r="D3644" t="s">
        <v>4646</v>
      </c>
      <c r="E3644" t="s">
        <v>29</v>
      </c>
      <c r="F3644" t="s">
        <v>30</v>
      </c>
      <c r="G3644">
        <v>0</v>
      </c>
      <c r="H3644">
        <v>0</v>
      </c>
      <c r="I3644">
        <v>0</v>
      </c>
      <c r="J3644">
        <v>0</v>
      </c>
      <c r="K3644">
        <v>0</v>
      </c>
      <c r="L3644">
        <v>0</v>
      </c>
      <c r="M3644">
        <v>0</v>
      </c>
      <c r="N3644">
        <v>0</v>
      </c>
      <c r="O3644">
        <v>21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0</v>
      </c>
      <c r="V3644">
        <v>0</v>
      </c>
      <c r="W3644">
        <v>0</v>
      </c>
      <c r="X3644">
        <v>0</v>
      </c>
      <c r="Y3644" t="s">
        <v>51</v>
      </c>
      <c r="Z3644">
        <v>55</v>
      </c>
      <c r="AA3644">
        <v>0</v>
      </c>
    </row>
    <row r="3645" spans="1:27" x14ac:dyDescent="0.2">
      <c r="A3645" t="s">
        <v>219</v>
      </c>
      <c r="B3645">
        <v>2022</v>
      </c>
      <c r="C3645" t="s">
        <v>4647</v>
      </c>
      <c r="D3645" t="s">
        <v>4648</v>
      </c>
      <c r="E3645" t="s">
        <v>29</v>
      </c>
      <c r="F3645" t="s">
        <v>30</v>
      </c>
      <c r="G3645">
        <v>0</v>
      </c>
      <c r="H3645">
        <v>0</v>
      </c>
      <c r="I3645">
        <v>0</v>
      </c>
      <c r="J3645">
        <v>0</v>
      </c>
      <c r="K3645">
        <v>0</v>
      </c>
      <c r="L3645">
        <v>0</v>
      </c>
      <c r="M3645">
        <v>85</v>
      </c>
      <c r="N3645">
        <v>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  <c r="V3645">
        <v>0</v>
      </c>
      <c r="W3645">
        <v>0</v>
      </c>
      <c r="X3645">
        <v>0</v>
      </c>
      <c r="Y3645" t="s">
        <v>51</v>
      </c>
      <c r="Z3645">
        <v>55</v>
      </c>
      <c r="AA3645">
        <v>0</v>
      </c>
    </row>
    <row r="3646" spans="1:27" x14ac:dyDescent="0.2">
      <c r="A3646" t="s">
        <v>1071</v>
      </c>
      <c r="B3646">
        <v>2020</v>
      </c>
      <c r="C3646">
        <v>81712020</v>
      </c>
      <c r="D3646" t="s">
        <v>4649</v>
      </c>
      <c r="E3646" t="s">
        <v>29</v>
      </c>
      <c r="F3646" t="s">
        <v>30</v>
      </c>
      <c r="G3646">
        <v>0</v>
      </c>
      <c r="H3646">
        <v>0</v>
      </c>
      <c r="I3646">
        <v>0</v>
      </c>
      <c r="J3646">
        <v>0</v>
      </c>
      <c r="K3646">
        <v>0</v>
      </c>
      <c r="L3646">
        <v>0</v>
      </c>
      <c r="M3646">
        <v>0</v>
      </c>
      <c r="N3646">
        <v>0</v>
      </c>
      <c r="O3646">
        <v>0</v>
      </c>
      <c r="P3646">
        <v>0</v>
      </c>
      <c r="Q3646">
        <v>0</v>
      </c>
      <c r="R3646">
        <v>0</v>
      </c>
      <c r="S3646">
        <v>1</v>
      </c>
      <c r="T3646">
        <v>0</v>
      </c>
      <c r="U3646">
        <v>1</v>
      </c>
      <c r="V3646">
        <v>0</v>
      </c>
      <c r="W3646">
        <v>0</v>
      </c>
      <c r="X3646">
        <v>12</v>
      </c>
      <c r="Y3646" t="s">
        <v>51</v>
      </c>
      <c r="AA3646">
        <v>0</v>
      </c>
    </row>
    <row r="3647" spans="1:27" x14ac:dyDescent="0.2">
      <c r="A3647" t="s">
        <v>1038</v>
      </c>
      <c r="B3647">
        <v>2020</v>
      </c>
      <c r="C3647" t="s">
        <v>74</v>
      </c>
      <c r="D3647" t="s">
        <v>1039</v>
      </c>
      <c r="E3647" t="s">
        <v>29</v>
      </c>
      <c r="F3647" t="s">
        <v>30</v>
      </c>
      <c r="G3647">
        <v>26</v>
      </c>
      <c r="H3647">
        <v>0</v>
      </c>
      <c r="I3647">
        <v>33</v>
      </c>
      <c r="J3647">
        <v>0</v>
      </c>
      <c r="K3647">
        <v>1</v>
      </c>
      <c r="L3647">
        <v>0</v>
      </c>
      <c r="M3647">
        <v>0</v>
      </c>
      <c r="N3647">
        <v>0</v>
      </c>
      <c r="O3647">
        <v>0</v>
      </c>
      <c r="P3647">
        <v>0</v>
      </c>
      <c r="Q3647">
        <v>0</v>
      </c>
      <c r="R3647">
        <v>0</v>
      </c>
      <c r="S3647">
        <v>0</v>
      </c>
      <c r="T3647">
        <v>0</v>
      </c>
      <c r="U3647">
        <v>0</v>
      </c>
      <c r="V3647">
        <v>0</v>
      </c>
      <c r="W3647">
        <v>0</v>
      </c>
      <c r="X3647">
        <v>0</v>
      </c>
      <c r="Y3647" t="s">
        <v>31</v>
      </c>
      <c r="Z3647">
        <v>75</v>
      </c>
      <c r="AA3647">
        <v>0</v>
      </c>
    </row>
    <row r="3648" spans="1:27" x14ac:dyDescent="0.2">
      <c r="A3648" t="s">
        <v>1658</v>
      </c>
      <c r="B3648">
        <v>2020</v>
      </c>
      <c r="C3648" t="s">
        <v>4650</v>
      </c>
      <c r="D3648" t="s">
        <v>4651</v>
      </c>
      <c r="E3648" t="s">
        <v>29</v>
      </c>
      <c r="F3648" t="s">
        <v>30</v>
      </c>
      <c r="G3648">
        <v>4</v>
      </c>
      <c r="H3648">
        <v>0</v>
      </c>
      <c r="I3648">
        <v>3</v>
      </c>
      <c r="J3648">
        <v>0</v>
      </c>
      <c r="K3648">
        <v>0</v>
      </c>
      <c r="L3648">
        <v>0</v>
      </c>
      <c r="M3648">
        <v>0</v>
      </c>
      <c r="N3648">
        <v>0</v>
      </c>
      <c r="O3648">
        <v>0</v>
      </c>
      <c r="P3648">
        <v>0</v>
      </c>
      <c r="Q3648">
        <v>0</v>
      </c>
      <c r="R3648">
        <v>0</v>
      </c>
      <c r="S3648">
        <v>0</v>
      </c>
      <c r="T3648">
        <v>0</v>
      </c>
      <c r="U3648">
        <v>0</v>
      </c>
      <c r="V3648">
        <v>0</v>
      </c>
      <c r="W3648">
        <v>0</v>
      </c>
      <c r="X3648">
        <v>0</v>
      </c>
      <c r="Y3648" t="s">
        <v>31</v>
      </c>
      <c r="Z3648">
        <v>99</v>
      </c>
      <c r="AA3648">
        <v>0</v>
      </c>
    </row>
    <row r="3649" spans="1:27" x14ac:dyDescent="0.2">
      <c r="A3649" t="s">
        <v>88</v>
      </c>
      <c r="B3649">
        <v>2019</v>
      </c>
      <c r="C3649" t="s">
        <v>4652</v>
      </c>
      <c r="D3649" t="s">
        <v>4653</v>
      </c>
      <c r="E3649" t="s">
        <v>29</v>
      </c>
      <c r="F3649" t="s">
        <v>30</v>
      </c>
      <c r="G3649">
        <v>0</v>
      </c>
      <c r="H3649">
        <v>0</v>
      </c>
      <c r="I3649">
        <v>6</v>
      </c>
      <c r="J3649">
        <v>0</v>
      </c>
      <c r="K3649">
        <v>28</v>
      </c>
      <c r="L3649">
        <v>0</v>
      </c>
      <c r="M3649">
        <v>0</v>
      </c>
      <c r="N3649">
        <v>0</v>
      </c>
      <c r="O3649">
        <v>0</v>
      </c>
      <c r="P3649">
        <v>0</v>
      </c>
      <c r="Q3649">
        <v>0</v>
      </c>
      <c r="R3649">
        <v>0</v>
      </c>
      <c r="S3649">
        <v>0</v>
      </c>
      <c r="T3649">
        <v>0</v>
      </c>
      <c r="U3649">
        <v>0</v>
      </c>
      <c r="V3649">
        <v>0</v>
      </c>
      <c r="W3649">
        <v>0</v>
      </c>
      <c r="X3649">
        <v>0</v>
      </c>
      <c r="Y3649" t="s">
        <v>51</v>
      </c>
      <c r="AA3649">
        <v>0</v>
      </c>
    </row>
    <row r="3650" spans="1:27" x14ac:dyDescent="0.2">
      <c r="A3650" t="s">
        <v>1500</v>
      </c>
      <c r="B3650">
        <v>2019</v>
      </c>
      <c r="C3650">
        <v>8030002900</v>
      </c>
      <c r="D3650" t="s">
        <v>2806</v>
      </c>
      <c r="E3650" t="s">
        <v>29</v>
      </c>
      <c r="F3650" t="s">
        <v>30</v>
      </c>
      <c r="G3650">
        <v>26</v>
      </c>
      <c r="H3650">
        <v>0</v>
      </c>
      <c r="I3650">
        <v>0</v>
      </c>
      <c r="J3650">
        <v>0</v>
      </c>
      <c r="K3650">
        <v>0</v>
      </c>
      <c r="L3650">
        <v>0</v>
      </c>
      <c r="M3650">
        <v>0</v>
      </c>
      <c r="N3650">
        <v>0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  <c r="V3650">
        <v>0</v>
      </c>
      <c r="W3650">
        <v>0</v>
      </c>
      <c r="X3650">
        <v>0</v>
      </c>
      <c r="Y3650" t="s">
        <v>31</v>
      </c>
      <c r="Z3650">
        <v>55</v>
      </c>
      <c r="AA3650">
        <v>0</v>
      </c>
    </row>
    <row r="3651" spans="1:27" x14ac:dyDescent="0.2">
      <c r="A3651" t="s">
        <v>1500</v>
      </c>
      <c r="B3651">
        <v>2019</v>
      </c>
      <c r="C3651">
        <v>8130016026</v>
      </c>
      <c r="D3651" t="s">
        <v>4654</v>
      </c>
      <c r="E3651" t="s">
        <v>29</v>
      </c>
      <c r="F3651" t="s">
        <v>30</v>
      </c>
      <c r="G3651">
        <v>0</v>
      </c>
      <c r="H3651">
        <v>0</v>
      </c>
      <c r="I3651">
        <v>8</v>
      </c>
      <c r="J3651">
        <v>0</v>
      </c>
      <c r="K3651">
        <v>0</v>
      </c>
      <c r="L3651">
        <v>0</v>
      </c>
      <c r="M3651">
        <v>0</v>
      </c>
      <c r="N3651">
        <v>0</v>
      </c>
      <c r="O3651">
        <v>0</v>
      </c>
      <c r="P3651">
        <v>0</v>
      </c>
      <c r="Q3651">
        <v>0</v>
      </c>
      <c r="R3651">
        <v>0</v>
      </c>
      <c r="S3651">
        <v>0</v>
      </c>
      <c r="T3651">
        <v>0</v>
      </c>
      <c r="U3651">
        <v>0</v>
      </c>
      <c r="V3651">
        <v>0</v>
      </c>
      <c r="W3651">
        <v>0</v>
      </c>
      <c r="X3651">
        <v>0</v>
      </c>
      <c r="Y3651" t="s">
        <v>31</v>
      </c>
      <c r="Z3651">
        <v>55</v>
      </c>
      <c r="AA3651">
        <v>0</v>
      </c>
    </row>
    <row r="3652" spans="1:27" x14ac:dyDescent="0.2">
      <c r="A3652" t="s">
        <v>622</v>
      </c>
      <c r="B3652">
        <v>2019</v>
      </c>
      <c r="C3652" t="s">
        <v>2999</v>
      </c>
      <c r="D3652" t="s">
        <v>4655</v>
      </c>
      <c r="E3652" t="s">
        <v>29</v>
      </c>
      <c r="F3652" t="s">
        <v>30</v>
      </c>
      <c r="G3652">
        <v>0</v>
      </c>
      <c r="H3652">
        <v>0</v>
      </c>
      <c r="I3652">
        <v>0</v>
      </c>
      <c r="J3652">
        <v>0</v>
      </c>
      <c r="K3652">
        <v>0</v>
      </c>
      <c r="L3652">
        <v>0</v>
      </c>
      <c r="M3652">
        <v>0</v>
      </c>
      <c r="N3652">
        <v>0</v>
      </c>
      <c r="O3652">
        <v>0</v>
      </c>
      <c r="P3652">
        <v>0</v>
      </c>
      <c r="Q3652">
        <v>0</v>
      </c>
      <c r="R3652">
        <v>0</v>
      </c>
      <c r="S3652">
        <v>5</v>
      </c>
      <c r="T3652">
        <v>0</v>
      </c>
      <c r="U3652">
        <v>0</v>
      </c>
      <c r="V3652">
        <v>0</v>
      </c>
      <c r="W3652">
        <v>0</v>
      </c>
      <c r="X3652">
        <v>0</v>
      </c>
      <c r="Y3652" t="s">
        <v>51</v>
      </c>
      <c r="Z3652">
        <v>55</v>
      </c>
      <c r="AA3652">
        <v>0</v>
      </c>
    </row>
    <row r="3653" spans="1:27" x14ac:dyDescent="0.2">
      <c r="A3653" t="s">
        <v>622</v>
      </c>
      <c r="B3653">
        <v>2019</v>
      </c>
      <c r="C3653" t="s">
        <v>2999</v>
      </c>
      <c r="D3653" t="s">
        <v>4656</v>
      </c>
      <c r="E3653" t="s">
        <v>29</v>
      </c>
      <c r="F3653" t="s">
        <v>30</v>
      </c>
      <c r="G3653">
        <v>0</v>
      </c>
      <c r="H3653">
        <v>0</v>
      </c>
      <c r="I3653">
        <v>0</v>
      </c>
      <c r="J3653">
        <v>0</v>
      </c>
      <c r="K3653">
        <v>0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0</v>
      </c>
      <c r="R3653">
        <v>0</v>
      </c>
      <c r="S3653">
        <v>5</v>
      </c>
      <c r="T3653">
        <v>0</v>
      </c>
      <c r="U3653">
        <v>0</v>
      </c>
      <c r="V3653">
        <v>0</v>
      </c>
      <c r="W3653">
        <v>0</v>
      </c>
      <c r="X3653">
        <v>0</v>
      </c>
      <c r="Y3653" t="s">
        <v>51</v>
      </c>
      <c r="Z3653">
        <v>55</v>
      </c>
      <c r="AA3653">
        <v>0</v>
      </c>
    </row>
    <row r="3654" spans="1:27" ht="85" x14ac:dyDescent="0.2">
      <c r="A3654" t="s">
        <v>48</v>
      </c>
      <c r="B3654">
        <v>2023</v>
      </c>
      <c r="C3654" t="s">
        <v>4657</v>
      </c>
      <c r="D3654" s="1" t="s">
        <v>4658</v>
      </c>
      <c r="E3654" t="s">
        <v>29</v>
      </c>
      <c r="F3654" t="s">
        <v>30</v>
      </c>
      <c r="G3654">
        <v>0</v>
      </c>
      <c r="H3654">
        <v>0</v>
      </c>
      <c r="I3654">
        <v>0</v>
      </c>
      <c r="J3654">
        <v>0</v>
      </c>
      <c r="K3654">
        <v>0</v>
      </c>
      <c r="L3654">
        <v>0</v>
      </c>
      <c r="M3654">
        <v>2</v>
      </c>
      <c r="N3654">
        <v>0</v>
      </c>
      <c r="O3654">
        <v>0</v>
      </c>
      <c r="P3654">
        <v>0</v>
      </c>
      <c r="Q3654">
        <v>0</v>
      </c>
      <c r="R3654">
        <v>0</v>
      </c>
      <c r="S3654">
        <v>0</v>
      </c>
      <c r="T3654">
        <v>0</v>
      </c>
      <c r="U3654">
        <v>0</v>
      </c>
      <c r="V3654">
        <v>0</v>
      </c>
      <c r="W3654">
        <v>0</v>
      </c>
      <c r="X3654">
        <v>0</v>
      </c>
      <c r="Y3654" t="s">
        <v>31</v>
      </c>
      <c r="AA3654">
        <v>22</v>
      </c>
    </row>
    <row r="3655" spans="1:27" x14ac:dyDescent="0.2">
      <c r="A3655" t="s">
        <v>387</v>
      </c>
      <c r="B3655">
        <v>2021</v>
      </c>
      <c r="C3655" t="s">
        <v>388</v>
      </c>
      <c r="D3655" t="s">
        <v>389</v>
      </c>
      <c r="E3655" t="s">
        <v>29</v>
      </c>
      <c r="F3655" t="s">
        <v>30</v>
      </c>
      <c r="G3655">
        <v>0</v>
      </c>
      <c r="H3655">
        <v>0</v>
      </c>
      <c r="I3655">
        <v>0</v>
      </c>
      <c r="J3655">
        <v>0</v>
      </c>
      <c r="K3655">
        <v>0</v>
      </c>
      <c r="L3655">
        <v>0</v>
      </c>
      <c r="M3655">
        <v>0</v>
      </c>
      <c r="N3655">
        <v>0</v>
      </c>
      <c r="O3655">
        <v>1</v>
      </c>
      <c r="P3655">
        <v>0</v>
      </c>
      <c r="Q3655">
        <v>0</v>
      </c>
      <c r="R3655">
        <v>0</v>
      </c>
      <c r="S3655">
        <v>0</v>
      </c>
      <c r="T3655">
        <v>0</v>
      </c>
      <c r="U3655">
        <v>0</v>
      </c>
      <c r="V3655">
        <v>0</v>
      </c>
      <c r="W3655">
        <v>0</v>
      </c>
      <c r="X3655">
        <v>0</v>
      </c>
      <c r="Y3655" t="s">
        <v>51</v>
      </c>
      <c r="Z3655">
        <v>1000</v>
      </c>
      <c r="AA3655">
        <v>0</v>
      </c>
    </row>
    <row r="3656" spans="1:27" x14ac:dyDescent="0.2">
      <c r="A3656" t="s">
        <v>3329</v>
      </c>
      <c r="B3656">
        <v>2021</v>
      </c>
      <c r="C3656" t="s">
        <v>4032</v>
      </c>
      <c r="D3656" t="s">
        <v>4033</v>
      </c>
      <c r="E3656" t="s">
        <v>29</v>
      </c>
      <c r="F3656" t="s">
        <v>41</v>
      </c>
      <c r="G3656">
        <v>0</v>
      </c>
      <c r="H3656">
        <v>0</v>
      </c>
      <c r="I3656">
        <v>2</v>
      </c>
      <c r="J3656">
        <v>0</v>
      </c>
      <c r="K3656">
        <v>0</v>
      </c>
      <c r="L3656">
        <v>0</v>
      </c>
      <c r="M3656">
        <v>0</v>
      </c>
      <c r="N3656">
        <v>0</v>
      </c>
      <c r="O3656">
        <v>0</v>
      </c>
      <c r="P3656">
        <v>0</v>
      </c>
      <c r="Q3656">
        <v>0</v>
      </c>
      <c r="R3656">
        <v>0</v>
      </c>
      <c r="S3656">
        <v>0</v>
      </c>
      <c r="T3656">
        <v>0</v>
      </c>
      <c r="U3656">
        <v>0</v>
      </c>
      <c r="V3656">
        <v>0</v>
      </c>
      <c r="W3656">
        <v>0</v>
      </c>
      <c r="X3656">
        <v>0</v>
      </c>
      <c r="Y3656" t="s">
        <v>51</v>
      </c>
      <c r="AA3656">
        <v>0</v>
      </c>
    </row>
    <row r="3657" spans="1:27" x14ac:dyDescent="0.2">
      <c r="A3657" t="s">
        <v>172</v>
      </c>
      <c r="B3657">
        <v>2018</v>
      </c>
      <c r="C3657" t="s">
        <v>4659</v>
      </c>
      <c r="D3657" t="s">
        <v>4660</v>
      </c>
      <c r="E3657" t="s">
        <v>29</v>
      </c>
      <c r="F3657" t="s">
        <v>30</v>
      </c>
      <c r="G3657">
        <v>5</v>
      </c>
      <c r="H3657">
        <v>0</v>
      </c>
      <c r="I3657">
        <v>0</v>
      </c>
      <c r="J3657">
        <v>0</v>
      </c>
      <c r="K3657">
        <v>0</v>
      </c>
      <c r="L3657">
        <v>0</v>
      </c>
      <c r="M3657">
        <v>0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0</v>
      </c>
      <c r="T3657">
        <v>0</v>
      </c>
      <c r="U3657">
        <v>0</v>
      </c>
      <c r="V3657">
        <v>0</v>
      </c>
      <c r="W3657">
        <v>0</v>
      </c>
      <c r="X3657">
        <v>0</v>
      </c>
      <c r="Y3657" t="s">
        <v>31</v>
      </c>
      <c r="Z3657">
        <v>55</v>
      </c>
      <c r="AA3657">
        <v>0</v>
      </c>
    </row>
    <row r="3658" spans="1:27" x14ac:dyDescent="0.2">
      <c r="A3658" t="s">
        <v>172</v>
      </c>
      <c r="B3658">
        <v>2018</v>
      </c>
      <c r="C3658" t="s">
        <v>4661</v>
      </c>
      <c r="D3658" t="s">
        <v>4662</v>
      </c>
      <c r="E3658" t="s">
        <v>29</v>
      </c>
      <c r="F3658" t="s">
        <v>30</v>
      </c>
      <c r="G3658">
        <v>2</v>
      </c>
      <c r="H3658">
        <v>0</v>
      </c>
      <c r="I3658">
        <v>0</v>
      </c>
      <c r="J3658">
        <v>0</v>
      </c>
      <c r="K3658">
        <v>0</v>
      </c>
      <c r="L3658">
        <v>0</v>
      </c>
      <c r="M3658">
        <v>0</v>
      </c>
      <c r="N3658">
        <v>0</v>
      </c>
      <c r="O3658">
        <v>0</v>
      </c>
      <c r="P3658">
        <v>0</v>
      </c>
      <c r="Q3658">
        <v>0</v>
      </c>
      <c r="R3658">
        <v>0</v>
      </c>
      <c r="S3658">
        <v>0</v>
      </c>
      <c r="T3658">
        <v>0</v>
      </c>
      <c r="U3658">
        <v>0</v>
      </c>
      <c r="V3658">
        <v>0</v>
      </c>
      <c r="W3658">
        <v>0</v>
      </c>
      <c r="X3658">
        <v>0</v>
      </c>
      <c r="Y3658" t="s">
        <v>31</v>
      </c>
      <c r="Z3658">
        <v>55</v>
      </c>
      <c r="AA3658">
        <v>0</v>
      </c>
    </row>
    <row r="3659" spans="1:27" x14ac:dyDescent="0.2">
      <c r="A3659" t="s">
        <v>1500</v>
      </c>
      <c r="B3659">
        <v>2019</v>
      </c>
      <c r="C3659">
        <v>6150007911</v>
      </c>
      <c r="D3659" t="s">
        <v>4663</v>
      </c>
      <c r="E3659" t="s">
        <v>29</v>
      </c>
      <c r="F3659" t="s">
        <v>30</v>
      </c>
      <c r="G3659">
        <v>7</v>
      </c>
      <c r="H3659">
        <v>0</v>
      </c>
      <c r="I3659">
        <v>0</v>
      </c>
      <c r="J3659">
        <v>0</v>
      </c>
      <c r="K3659">
        <v>0</v>
      </c>
      <c r="L3659">
        <v>0</v>
      </c>
      <c r="M3659">
        <v>0</v>
      </c>
      <c r="N3659">
        <v>0</v>
      </c>
      <c r="O3659">
        <v>0</v>
      </c>
      <c r="P3659">
        <v>0</v>
      </c>
      <c r="Q3659">
        <v>0</v>
      </c>
      <c r="R3659">
        <v>0</v>
      </c>
      <c r="S3659">
        <v>0</v>
      </c>
      <c r="T3659">
        <v>0</v>
      </c>
      <c r="U3659">
        <v>0</v>
      </c>
      <c r="V3659">
        <v>0</v>
      </c>
      <c r="W3659">
        <v>0</v>
      </c>
      <c r="X3659">
        <v>0</v>
      </c>
      <c r="Y3659" t="s">
        <v>31</v>
      </c>
      <c r="Z3659">
        <v>55</v>
      </c>
      <c r="AA3659">
        <v>0</v>
      </c>
    </row>
    <row r="3660" spans="1:27" x14ac:dyDescent="0.2">
      <c r="A3660" t="s">
        <v>3417</v>
      </c>
      <c r="B3660">
        <v>2023</v>
      </c>
      <c r="C3660">
        <v>61160180</v>
      </c>
      <c r="D3660" t="s">
        <v>4664</v>
      </c>
      <c r="E3660" t="s">
        <v>29</v>
      </c>
      <c r="F3660" t="s">
        <v>30</v>
      </c>
      <c r="G3660">
        <v>24</v>
      </c>
      <c r="H3660">
        <v>0</v>
      </c>
      <c r="I3660">
        <v>0</v>
      </c>
      <c r="J3660">
        <v>0</v>
      </c>
      <c r="K3660">
        <v>0</v>
      </c>
      <c r="L3660">
        <v>0</v>
      </c>
      <c r="M3660">
        <v>0</v>
      </c>
      <c r="N3660">
        <v>0</v>
      </c>
      <c r="O3660">
        <v>0</v>
      </c>
      <c r="P3660">
        <v>0</v>
      </c>
      <c r="Q3660">
        <v>0</v>
      </c>
      <c r="R3660">
        <v>0</v>
      </c>
      <c r="S3660">
        <v>0</v>
      </c>
      <c r="T3660">
        <v>0</v>
      </c>
      <c r="U3660">
        <v>0</v>
      </c>
      <c r="V3660">
        <v>0</v>
      </c>
      <c r="W3660">
        <v>0</v>
      </c>
      <c r="X3660">
        <v>0</v>
      </c>
      <c r="Y3660" t="s">
        <v>31</v>
      </c>
      <c r="Z3660">
        <v>55</v>
      </c>
      <c r="AA3660">
        <v>20</v>
      </c>
    </row>
    <row r="3661" spans="1:27" x14ac:dyDescent="0.2">
      <c r="A3661" t="s">
        <v>1500</v>
      </c>
      <c r="B3661">
        <v>2019</v>
      </c>
      <c r="C3661">
        <v>4057027007</v>
      </c>
      <c r="D3661" t="s">
        <v>4665</v>
      </c>
      <c r="E3661" t="s">
        <v>29</v>
      </c>
      <c r="F3661" t="s">
        <v>30</v>
      </c>
      <c r="G3661">
        <v>0</v>
      </c>
      <c r="H3661">
        <v>0</v>
      </c>
      <c r="I3661">
        <v>56</v>
      </c>
      <c r="J3661">
        <v>0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  <c r="Q3661">
        <v>0</v>
      </c>
      <c r="R3661">
        <v>0</v>
      </c>
      <c r="S3661">
        <v>0</v>
      </c>
      <c r="T3661">
        <v>0</v>
      </c>
      <c r="U3661">
        <v>0</v>
      </c>
      <c r="V3661">
        <v>0</v>
      </c>
      <c r="W3661">
        <v>0</v>
      </c>
      <c r="X3661">
        <v>0</v>
      </c>
      <c r="Y3661" t="s">
        <v>31</v>
      </c>
      <c r="Z3661">
        <v>55</v>
      </c>
      <c r="AA3661">
        <v>0</v>
      </c>
    </row>
    <row r="3662" spans="1:27" x14ac:dyDescent="0.2">
      <c r="A3662" t="s">
        <v>1500</v>
      </c>
      <c r="B3662">
        <v>2019</v>
      </c>
      <c r="C3662">
        <v>8465002006</v>
      </c>
      <c r="D3662" t="s">
        <v>4666</v>
      </c>
      <c r="E3662" t="s">
        <v>29</v>
      </c>
      <c r="F3662" t="s">
        <v>30</v>
      </c>
      <c r="G3662">
        <v>0</v>
      </c>
      <c r="H3662">
        <v>0</v>
      </c>
      <c r="I3662">
        <v>0</v>
      </c>
      <c r="J3662">
        <v>0</v>
      </c>
      <c r="K3662">
        <v>0</v>
      </c>
      <c r="L3662">
        <v>0</v>
      </c>
      <c r="M3662">
        <v>0</v>
      </c>
      <c r="N3662">
        <v>0</v>
      </c>
      <c r="O3662">
        <v>53</v>
      </c>
      <c r="P3662">
        <v>0</v>
      </c>
      <c r="Q3662">
        <v>0</v>
      </c>
      <c r="R3662">
        <v>0</v>
      </c>
      <c r="S3662">
        <v>0</v>
      </c>
      <c r="T3662">
        <v>0</v>
      </c>
      <c r="U3662">
        <v>0</v>
      </c>
      <c r="V3662">
        <v>0</v>
      </c>
      <c r="W3662">
        <v>0</v>
      </c>
      <c r="X3662">
        <v>0</v>
      </c>
      <c r="Y3662" t="s">
        <v>31</v>
      </c>
      <c r="Z3662">
        <v>55</v>
      </c>
      <c r="AA3662">
        <v>0</v>
      </c>
    </row>
    <row r="3663" spans="1:27" x14ac:dyDescent="0.2">
      <c r="A3663" t="s">
        <v>172</v>
      </c>
      <c r="B3663">
        <v>2020</v>
      </c>
      <c r="C3663" t="s">
        <v>4667</v>
      </c>
      <c r="D3663" t="s">
        <v>4668</v>
      </c>
      <c r="E3663" t="s">
        <v>29</v>
      </c>
      <c r="F3663" t="s">
        <v>41</v>
      </c>
      <c r="G3663">
        <v>12</v>
      </c>
      <c r="H3663">
        <v>0</v>
      </c>
      <c r="I3663">
        <v>0</v>
      </c>
      <c r="J3663">
        <v>0</v>
      </c>
      <c r="K3663">
        <v>0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0</v>
      </c>
      <c r="V3663">
        <v>0</v>
      </c>
      <c r="W3663">
        <v>0</v>
      </c>
      <c r="X3663">
        <v>0</v>
      </c>
      <c r="Y3663" t="s">
        <v>31</v>
      </c>
      <c r="AA3663">
        <v>0</v>
      </c>
    </row>
    <row r="3664" spans="1:27" x14ac:dyDescent="0.2">
      <c r="A3664" t="s">
        <v>172</v>
      </c>
      <c r="B3664">
        <v>2020</v>
      </c>
      <c r="C3664">
        <v>3006100603</v>
      </c>
      <c r="D3664" t="s">
        <v>4669</v>
      </c>
      <c r="E3664" t="s">
        <v>29</v>
      </c>
      <c r="F3664" t="s">
        <v>30</v>
      </c>
      <c r="G3664">
        <v>0</v>
      </c>
      <c r="H3664">
        <v>0</v>
      </c>
      <c r="I3664">
        <v>0</v>
      </c>
      <c r="J3664">
        <v>0</v>
      </c>
      <c r="K3664">
        <v>0</v>
      </c>
      <c r="L3664">
        <v>0</v>
      </c>
      <c r="M3664">
        <v>0</v>
      </c>
      <c r="N3664">
        <v>0</v>
      </c>
      <c r="O3664">
        <v>0</v>
      </c>
      <c r="P3664">
        <v>0</v>
      </c>
      <c r="Q3664">
        <v>9</v>
      </c>
      <c r="R3664">
        <v>0</v>
      </c>
      <c r="S3664">
        <v>0</v>
      </c>
      <c r="T3664">
        <v>0</v>
      </c>
      <c r="U3664">
        <v>0</v>
      </c>
      <c r="V3664">
        <v>0</v>
      </c>
      <c r="W3664">
        <v>0</v>
      </c>
      <c r="X3664">
        <v>0</v>
      </c>
      <c r="Y3664" t="s">
        <v>31</v>
      </c>
      <c r="Z3664">
        <v>55</v>
      </c>
      <c r="AA3664">
        <v>0</v>
      </c>
    </row>
    <row r="3665" spans="1:27" x14ac:dyDescent="0.2">
      <c r="A3665" t="s">
        <v>172</v>
      </c>
      <c r="B3665">
        <v>2020</v>
      </c>
      <c r="C3665">
        <v>12098602501</v>
      </c>
      <c r="D3665" t="s">
        <v>4670</v>
      </c>
      <c r="E3665" t="s">
        <v>29</v>
      </c>
      <c r="F3665" t="s">
        <v>30</v>
      </c>
      <c r="G3665">
        <v>0</v>
      </c>
      <c r="H3665">
        <v>0</v>
      </c>
      <c r="I3665">
        <v>0</v>
      </c>
      <c r="J3665">
        <v>0</v>
      </c>
      <c r="K3665">
        <v>0</v>
      </c>
      <c r="L3665">
        <v>0</v>
      </c>
      <c r="M3665">
        <v>3</v>
      </c>
      <c r="N3665">
        <v>0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  <c r="U3665">
        <v>0</v>
      </c>
      <c r="V3665">
        <v>0</v>
      </c>
      <c r="W3665">
        <v>0</v>
      </c>
      <c r="X3665">
        <v>0</v>
      </c>
      <c r="Y3665" t="s">
        <v>31</v>
      </c>
      <c r="Z3665">
        <v>55</v>
      </c>
      <c r="AA3665">
        <v>0</v>
      </c>
    </row>
    <row r="3666" spans="1:27" x14ac:dyDescent="0.2">
      <c r="A3666" t="s">
        <v>547</v>
      </c>
      <c r="B3666">
        <v>2018</v>
      </c>
      <c r="C3666">
        <v>5006008026</v>
      </c>
      <c r="D3666" t="s">
        <v>4671</v>
      </c>
      <c r="E3666" t="s">
        <v>29</v>
      </c>
      <c r="F3666" t="s">
        <v>30</v>
      </c>
      <c r="G3666">
        <v>0</v>
      </c>
      <c r="H3666">
        <v>0</v>
      </c>
      <c r="I3666">
        <v>0</v>
      </c>
      <c r="J3666">
        <v>0</v>
      </c>
      <c r="K3666">
        <v>0</v>
      </c>
      <c r="L3666">
        <v>0</v>
      </c>
      <c r="M3666">
        <v>43</v>
      </c>
      <c r="N3666">
        <v>0</v>
      </c>
      <c r="O3666">
        <v>26</v>
      </c>
      <c r="P3666">
        <v>0</v>
      </c>
      <c r="Q3666">
        <v>0</v>
      </c>
      <c r="R3666">
        <v>1</v>
      </c>
      <c r="S3666">
        <v>0</v>
      </c>
      <c r="T3666">
        <v>0</v>
      </c>
      <c r="U3666">
        <v>0</v>
      </c>
      <c r="V3666">
        <v>0</v>
      </c>
      <c r="W3666">
        <v>0</v>
      </c>
      <c r="X3666">
        <v>0</v>
      </c>
      <c r="Y3666" t="s">
        <v>31</v>
      </c>
      <c r="Z3666">
        <v>55</v>
      </c>
      <c r="AA3666">
        <v>0</v>
      </c>
    </row>
    <row r="3667" spans="1:27" x14ac:dyDescent="0.2">
      <c r="A3667" t="s">
        <v>547</v>
      </c>
      <c r="B3667">
        <v>2018</v>
      </c>
      <c r="C3667">
        <v>5142023013</v>
      </c>
      <c r="D3667" t="s">
        <v>4672</v>
      </c>
      <c r="E3667" t="s">
        <v>29</v>
      </c>
      <c r="F3667" t="s">
        <v>30</v>
      </c>
      <c r="G3667">
        <v>0</v>
      </c>
      <c r="H3667">
        <v>0</v>
      </c>
      <c r="I3667">
        <v>0</v>
      </c>
      <c r="J3667">
        <v>0</v>
      </c>
      <c r="K3667">
        <v>0</v>
      </c>
      <c r="L3667">
        <v>0</v>
      </c>
      <c r="M3667">
        <v>56</v>
      </c>
      <c r="N3667">
        <v>0</v>
      </c>
      <c r="O3667">
        <v>0</v>
      </c>
      <c r="P3667">
        <v>0</v>
      </c>
      <c r="Q3667">
        <v>0</v>
      </c>
      <c r="R3667">
        <v>1</v>
      </c>
      <c r="S3667">
        <v>0</v>
      </c>
      <c r="T3667">
        <v>0</v>
      </c>
      <c r="U3667">
        <v>0</v>
      </c>
      <c r="V3667">
        <v>0</v>
      </c>
      <c r="W3667">
        <v>0</v>
      </c>
      <c r="X3667">
        <v>0</v>
      </c>
      <c r="Y3667" t="s">
        <v>31</v>
      </c>
      <c r="Z3667">
        <v>55</v>
      </c>
      <c r="AA3667">
        <v>0</v>
      </c>
    </row>
    <row r="3668" spans="1:27" x14ac:dyDescent="0.2">
      <c r="A3668" t="s">
        <v>547</v>
      </c>
      <c r="B3668">
        <v>2018</v>
      </c>
      <c r="C3668">
        <v>5068018013</v>
      </c>
      <c r="D3668" t="s">
        <v>4673</v>
      </c>
      <c r="E3668" t="s">
        <v>29</v>
      </c>
      <c r="F3668" t="s">
        <v>30</v>
      </c>
      <c r="G3668">
        <v>0</v>
      </c>
      <c r="H3668">
        <v>0</v>
      </c>
      <c r="I3668">
        <v>0</v>
      </c>
      <c r="J3668">
        <v>0</v>
      </c>
      <c r="K3668">
        <v>0</v>
      </c>
      <c r="L3668">
        <v>0</v>
      </c>
      <c r="M3668">
        <v>4</v>
      </c>
      <c r="N3668">
        <v>0</v>
      </c>
      <c r="O3668">
        <v>0</v>
      </c>
      <c r="P3668">
        <v>0</v>
      </c>
      <c r="Q3668">
        <v>0</v>
      </c>
      <c r="R3668">
        <v>0</v>
      </c>
      <c r="S3668">
        <v>0</v>
      </c>
      <c r="T3668">
        <v>0</v>
      </c>
      <c r="U3668">
        <v>0</v>
      </c>
      <c r="V3668">
        <v>0</v>
      </c>
      <c r="W3668">
        <v>0</v>
      </c>
      <c r="X3668">
        <v>0</v>
      </c>
      <c r="Y3668" t="s">
        <v>31</v>
      </c>
      <c r="Z3668">
        <v>55</v>
      </c>
      <c r="AA3668">
        <v>0</v>
      </c>
    </row>
    <row r="3669" spans="1:27" x14ac:dyDescent="0.2">
      <c r="A3669" t="s">
        <v>4674</v>
      </c>
      <c r="B3669">
        <v>2019</v>
      </c>
      <c r="C3669" t="s">
        <v>4675</v>
      </c>
      <c r="D3669" t="s">
        <v>4676</v>
      </c>
      <c r="E3669" t="s">
        <v>29</v>
      </c>
      <c r="F3669" t="s">
        <v>30</v>
      </c>
      <c r="G3669">
        <v>30</v>
      </c>
      <c r="H3669">
        <v>0</v>
      </c>
      <c r="I3669">
        <v>30</v>
      </c>
      <c r="J3669">
        <v>0</v>
      </c>
      <c r="K3669">
        <v>0</v>
      </c>
      <c r="L3669">
        <v>0</v>
      </c>
      <c r="M3669">
        <v>30</v>
      </c>
      <c r="N3669">
        <v>0</v>
      </c>
      <c r="O3669">
        <v>30</v>
      </c>
      <c r="P3669">
        <v>0</v>
      </c>
      <c r="Q3669">
        <v>0</v>
      </c>
      <c r="R3669">
        <v>0</v>
      </c>
      <c r="S3669">
        <v>30</v>
      </c>
      <c r="T3669">
        <v>0</v>
      </c>
      <c r="U3669">
        <v>30</v>
      </c>
      <c r="V3669">
        <v>0</v>
      </c>
      <c r="W3669">
        <v>0</v>
      </c>
      <c r="X3669">
        <v>0</v>
      </c>
      <c r="Y3669" t="s">
        <v>31</v>
      </c>
      <c r="Z3669">
        <v>55</v>
      </c>
      <c r="AA3669">
        <v>0</v>
      </c>
    </row>
    <row r="3670" spans="1:27" x14ac:dyDescent="0.2">
      <c r="A3670" t="s">
        <v>547</v>
      </c>
      <c r="B3670">
        <v>2018</v>
      </c>
      <c r="C3670">
        <v>4334015037</v>
      </c>
      <c r="D3670" t="s">
        <v>4677</v>
      </c>
      <c r="E3670" t="s">
        <v>29</v>
      </c>
      <c r="F3670" t="s">
        <v>30</v>
      </c>
      <c r="G3670">
        <v>3</v>
      </c>
      <c r="H3670">
        <v>0</v>
      </c>
      <c r="I3670">
        <v>0</v>
      </c>
      <c r="J3670">
        <v>0</v>
      </c>
      <c r="K3670">
        <v>0</v>
      </c>
      <c r="L3670">
        <v>0</v>
      </c>
      <c r="M3670">
        <v>3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</v>
      </c>
      <c r="T3670">
        <v>0</v>
      </c>
      <c r="U3670">
        <v>0</v>
      </c>
      <c r="V3670">
        <v>0</v>
      </c>
      <c r="W3670">
        <v>0</v>
      </c>
      <c r="X3670">
        <v>0</v>
      </c>
      <c r="Y3670" t="s">
        <v>31</v>
      </c>
      <c r="Z3670">
        <v>55</v>
      </c>
      <c r="AA3670">
        <v>0</v>
      </c>
    </row>
    <row r="3671" spans="1:27" x14ac:dyDescent="0.2">
      <c r="A3671" t="s">
        <v>547</v>
      </c>
      <c r="B3671">
        <v>2018</v>
      </c>
      <c r="C3671">
        <v>2335032012</v>
      </c>
      <c r="D3671" t="s">
        <v>4678</v>
      </c>
      <c r="E3671" t="s">
        <v>29</v>
      </c>
      <c r="F3671" t="s">
        <v>30</v>
      </c>
      <c r="G3671">
        <v>0</v>
      </c>
      <c r="H3671">
        <v>0</v>
      </c>
      <c r="I3671">
        <v>0</v>
      </c>
      <c r="J3671">
        <v>0</v>
      </c>
      <c r="K3671">
        <v>0</v>
      </c>
      <c r="L3671">
        <v>0</v>
      </c>
      <c r="M3671">
        <v>4</v>
      </c>
      <c r="N3671">
        <v>0</v>
      </c>
      <c r="O3671">
        <v>0</v>
      </c>
      <c r="P3671">
        <v>0</v>
      </c>
      <c r="Q3671">
        <v>0</v>
      </c>
      <c r="R3671">
        <v>0</v>
      </c>
      <c r="S3671">
        <v>0</v>
      </c>
      <c r="T3671">
        <v>0</v>
      </c>
      <c r="U3671">
        <v>0</v>
      </c>
      <c r="V3671">
        <v>0</v>
      </c>
      <c r="W3671">
        <v>0</v>
      </c>
      <c r="X3671">
        <v>0</v>
      </c>
      <c r="Y3671" t="s">
        <v>31</v>
      </c>
      <c r="Z3671">
        <v>55</v>
      </c>
      <c r="AA3671">
        <v>0</v>
      </c>
    </row>
    <row r="3672" spans="1:27" x14ac:dyDescent="0.2">
      <c r="A3672" t="s">
        <v>547</v>
      </c>
      <c r="B3672">
        <v>2018</v>
      </c>
      <c r="C3672">
        <v>4263023020</v>
      </c>
      <c r="D3672" t="s">
        <v>4679</v>
      </c>
      <c r="E3672" t="s">
        <v>29</v>
      </c>
      <c r="F3672" t="s">
        <v>30</v>
      </c>
      <c r="G3672">
        <v>0</v>
      </c>
      <c r="H3672">
        <v>0</v>
      </c>
      <c r="I3672">
        <v>0</v>
      </c>
      <c r="J3672">
        <v>0</v>
      </c>
      <c r="K3672">
        <v>0</v>
      </c>
      <c r="L3672">
        <v>0</v>
      </c>
      <c r="M3672">
        <v>2</v>
      </c>
      <c r="N3672">
        <v>0</v>
      </c>
      <c r="O3672">
        <v>0</v>
      </c>
      <c r="P3672">
        <v>0</v>
      </c>
      <c r="Q3672">
        <v>0</v>
      </c>
      <c r="R3672">
        <v>0</v>
      </c>
      <c r="S3672">
        <v>0</v>
      </c>
      <c r="T3672">
        <v>0</v>
      </c>
      <c r="U3672">
        <v>0</v>
      </c>
      <c r="V3672">
        <v>0</v>
      </c>
      <c r="W3672">
        <v>0</v>
      </c>
      <c r="X3672">
        <v>0</v>
      </c>
      <c r="Y3672" t="s">
        <v>31</v>
      </c>
      <c r="Z3672">
        <v>55</v>
      </c>
      <c r="AA3672">
        <v>0</v>
      </c>
    </row>
    <row r="3673" spans="1:27" x14ac:dyDescent="0.2">
      <c r="A3673" t="s">
        <v>547</v>
      </c>
      <c r="B3673">
        <v>2018</v>
      </c>
      <c r="C3673">
        <v>5434017005</v>
      </c>
      <c r="D3673" t="s">
        <v>4680</v>
      </c>
      <c r="E3673" t="s">
        <v>29</v>
      </c>
      <c r="F3673" t="s">
        <v>30</v>
      </c>
      <c r="G3673">
        <v>0</v>
      </c>
      <c r="H3673">
        <v>0</v>
      </c>
      <c r="I3673">
        <v>0</v>
      </c>
      <c r="J3673">
        <v>0</v>
      </c>
      <c r="K3673">
        <v>0</v>
      </c>
      <c r="L3673">
        <v>0</v>
      </c>
      <c r="M3673">
        <v>4</v>
      </c>
      <c r="N3673">
        <v>0</v>
      </c>
      <c r="O3673">
        <v>0</v>
      </c>
      <c r="P3673">
        <v>0</v>
      </c>
      <c r="Q3673">
        <v>0</v>
      </c>
      <c r="R3673">
        <v>0</v>
      </c>
      <c r="S3673">
        <v>0</v>
      </c>
      <c r="T3673">
        <v>0</v>
      </c>
      <c r="U3673">
        <v>0</v>
      </c>
      <c r="V3673">
        <v>0</v>
      </c>
      <c r="W3673">
        <v>0</v>
      </c>
      <c r="X3673">
        <v>0</v>
      </c>
      <c r="Y3673" t="s">
        <v>31</v>
      </c>
      <c r="Z3673">
        <v>55</v>
      </c>
      <c r="AA3673">
        <v>0</v>
      </c>
    </row>
    <row r="3674" spans="1:27" x14ac:dyDescent="0.2">
      <c r="A3674" t="s">
        <v>547</v>
      </c>
      <c r="B3674">
        <v>2018</v>
      </c>
      <c r="C3674">
        <v>5522020011</v>
      </c>
      <c r="D3674" t="s">
        <v>4681</v>
      </c>
      <c r="E3674" t="s">
        <v>29</v>
      </c>
      <c r="F3674" t="s">
        <v>30</v>
      </c>
      <c r="G3674">
        <v>0</v>
      </c>
      <c r="H3674">
        <v>0</v>
      </c>
      <c r="I3674">
        <v>0</v>
      </c>
      <c r="J3674">
        <v>0</v>
      </c>
      <c r="K3674">
        <v>0</v>
      </c>
      <c r="L3674">
        <v>0</v>
      </c>
      <c r="M3674">
        <v>1</v>
      </c>
      <c r="N3674">
        <v>0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0</v>
      </c>
      <c r="V3674">
        <v>0</v>
      </c>
      <c r="W3674">
        <v>0</v>
      </c>
      <c r="X3674">
        <v>0</v>
      </c>
      <c r="Y3674" t="s">
        <v>31</v>
      </c>
      <c r="Z3674">
        <v>55</v>
      </c>
      <c r="AA3674">
        <v>0</v>
      </c>
    </row>
    <row r="3675" spans="1:27" x14ac:dyDescent="0.2">
      <c r="A3675" t="s">
        <v>547</v>
      </c>
      <c r="B3675">
        <v>2018</v>
      </c>
      <c r="C3675">
        <v>4006004011</v>
      </c>
      <c r="D3675" t="s">
        <v>4682</v>
      </c>
      <c r="E3675" t="s">
        <v>29</v>
      </c>
      <c r="F3675" t="s">
        <v>30</v>
      </c>
      <c r="G3675">
        <v>0</v>
      </c>
      <c r="H3675">
        <v>0</v>
      </c>
      <c r="I3675">
        <v>0</v>
      </c>
      <c r="J3675">
        <v>0</v>
      </c>
      <c r="K3675">
        <v>0</v>
      </c>
      <c r="L3675">
        <v>0</v>
      </c>
      <c r="M3675">
        <v>9</v>
      </c>
      <c r="N3675">
        <v>0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0</v>
      </c>
      <c r="U3675">
        <v>0</v>
      </c>
      <c r="V3675">
        <v>0</v>
      </c>
      <c r="W3675">
        <v>0</v>
      </c>
      <c r="X3675">
        <v>0</v>
      </c>
      <c r="Y3675" t="s">
        <v>31</v>
      </c>
      <c r="Z3675">
        <v>55</v>
      </c>
      <c r="AA3675">
        <v>0</v>
      </c>
    </row>
    <row r="3676" spans="1:27" x14ac:dyDescent="0.2">
      <c r="A3676" t="s">
        <v>547</v>
      </c>
      <c r="B3676">
        <v>2018</v>
      </c>
      <c r="C3676">
        <v>2224004006</v>
      </c>
      <c r="D3676" t="s">
        <v>4683</v>
      </c>
      <c r="E3676" t="s">
        <v>29</v>
      </c>
      <c r="F3676" t="s">
        <v>30</v>
      </c>
      <c r="G3676">
        <v>7</v>
      </c>
      <c r="H3676">
        <v>0</v>
      </c>
      <c r="I3676">
        <v>0</v>
      </c>
      <c r="J3676">
        <v>0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>
        <v>0</v>
      </c>
      <c r="U3676">
        <v>0</v>
      </c>
      <c r="V3676">
        <v>0</v>
      </c>
      <c r="W3676">
        <v>0</v>
      </c>
      <c r="X3676">
        <v>0</v>
      </c>
      <c r="Y3676" t="s">
        <v>31</v>
      </c>
      <c r="Z3676">
        <v>55</v>
      </c>
      <c r="AA3676">
        <v>0</v>
      </c>
    </row>
    <row r="3677" spans="1:27" x14ac:dyDescent="0.2">
      <c r="A3677" t="s">
        <v>547</v>
      </c>
      <c r="B3677">
        <v>2018</v>
      </c>
      <c r="C3677">
        <v>2260011001</v>
      </c>
      <c r="D3677" t="s">
        <v>4684</v>
      </c>
      <c r="E3677" t="s">
        <v>29</v>
      </c>
      <c r="F3677" t="s">
        <v>30</v>
      </c>
      <c r="G3677">
        <v>11</v>
      </c>
      <c r="H3677">
        <v>0</v>
      </c>
      <c r="I3677">
        <v>0</v>
      </c>
      <c r="J3677">
        <v>0</v>
      </c>
      <c r="K3677">
        <v>0</v>
      </c>
      <c r="L3677">
        <v>0</v>
      </c>
      <c r="M3677">
        <v>0</v>
      </c>
      <c r="N3677">
        <v>0</v>
      </c>
      <c r="O3677">
        <v>0</v>
      </c>
      <c r="P3677">
        <v>0</v>
      </c>
      <c r="Q3677">
        <v>0</v>
      </c>
      <c r="R3677">
        <v>0</v>
      </c>
      <c r="S3677">
        <v>0</v>
      </c>
      <c r="T3677">
        <v>0</v>
      </c>
      <c r="U3677">
        <v>0</v>
      </c>
      <c r="V3677">
        <v>0</v>
      </c>
      <c r="W3677">
        <v>0</v>
      </c>
      <c r="X3677">
        <v>0</v>
      </c>
      <c r="Y3677" t="s">
        <v>31</v>
      </c>
      <c r="Z3677">
        <v>55</v>
      </c>
      <c r="AA3677">
        <v>0</v>
      </c>
    </row>
    <row r="3678" spans="1:27" x14ac:dyDescent="0.2">
      <c r="A3678" t="s">
        <v>547</v>
      </c>
      <c r="B3678">
        <v>2018</v>
      </c>
      <c r="C3678">
        <v>5544023023</v>
      </c>
      <c r="D3678" t="s">
        <v>2929</v>
      </c>
      <c r="E3678" t="s">
        <v>29</v>
      </c>
      <c r="F3678" t="s">
        <v>30</v>
      </c>
      <c r="G3678">
        <v>25</v>
      </c>
      <c r="H3678">
        <v>0</v>
      </c>
      <c r="I3678">
        <v>0</v>
      </c>
      <c r="J3678">
        <v>0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>
        <v>0</v>
      </c>
      <c r="U3678">
        <v>0</v>
      </c>
      <c r="V3678">
        <v>0</v>
      </c>
      <c r="W3678">
        <v>0</v>
      </c>
      <c r="X3678">
        <v>0</v>
      </c>
      <c r="Y3678" t="s">
        <v>31</v>
      </c>
      <c r="Z3678">
        <v>55</v>
      </c>
      <c r="AA3678">
        <v>0</v>
      </c>
    </row>
    <row r="3679" spans="1:27" x14ac:dyDescent="0.2">
      <c r="A3679" t="s">
        <v>547</v>
      </c>
      <c r="B3679">
        <v>2018</v>
      </c>
      <c r="C3679">
        <v>5094023027</v>
      </c>
      <c r="D3679" t="s">
        <v>4685</v>
      </c>
      <c r="E3679" t="s">
        <v>29</v>
      </c>
      <c r="F3679" t="s">
        <v>30</v>
      </c>
      <c r="G3679">
        <v>3</v>
      </c>
      <c r="H3679">
        <v>0</v>
      </c>
      <c r="I3679">
        <v>8</v>
      </c>
      <c r="J3679">
        <v>0</v>
      </c>
      <c r="K3679">
        <v>0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>
        <v>0</v>
      </c>
      <c r="U3679">
        <v>0</v>
      </c>
      <c r="V3679">
        <v>0</v>
      </c>
      <c r="W3679">
        <v>0</v>
      </c>
      <c r="X3679">
        <v>0</v>
      </c>
      <c r="Y3679" t="s">
        <v>31</v>
      </c>
      <c r="Z3679">
        <v>55</v>
      </c>
      <c r="AA3679">
        <v>0</v>
      </c>
    </row>
    <row r="3680" spans="1:27" x14ac:dyDescent="0.2">
      <c r="A3680" t="s">
        <v>547</v>
      </c>
      <c r="B3680">
        <v>2018</v>
      </c>
      <c r="C3680">
        <v>5406016028</v>
      </c>
      <c r="D3680" t="s">
        <v>4686</v>
      </c>
      <c r="E3680" t="s">
        <v>29</v>
      </c>
      <c r="F3680" t="s">
        <v>30</v>
      </c>
      <c r="G3680">
        <v>15</v>
      </c>
      <c r="H3680">
        <v>0</v>
      </c>
      <c r="I3680">
        <v>0</v>
      </c>
      <c r="J3680">
        <v>0</v>
      </c>
      <c r="K3680">
        <v>0</v>
      </c>
      <c r="L3680">
        <v>0</v>
      </c>
      <c r="M3680">
        <v>0</v>
      </c>
      <c r="N3680">
        <v>0</v>
      </c>
      <c r="O3680">
        <v>0</v>
      </c>
      <c r="P3680">
        <v>0</v>
      </c>
      <c r="Q3680">
        <v>0</v>
      </c>
      <c r="R3680">
        <v>0</v>
      </c>
      <c r="S3680">
        <v>0</v>
      </c>
      <c r="T3680">
        <v>0</v>
      </c>
      <c r="U3680">
        <v>0</v>
      </c>
      <c r="V3680">
        <v>0</v>
      </c>
      <c r="W3680">
        <v>0</v>
      </c>
      <c r="X3680">
        <v>0</v>
      </c>
      <c r="Y3680" t="s">
        <v>31</v>
      </c>
      <c r="Z3680">
        <v>55</v>
      </c>
      <c r="AA3680">
        <v>0</v>
      </c>
    </row>
    <row r="3681" spans="1:27" x14ac:dyDescent="0.2">
      <c r="A3681" t="s">
        <v>649</v>
      </c>
      <c r="B3681">
        <v>2019</v>
      </c>
      <c r="C3681" t="s">
        <v>3214</v>
      </c>
      <c r="D3681" t="s">
        <v>4687</v>
      </c>
      <c r="E3681" t="s">
        <v>29</v>
      </c>
      <c r="F3681" t="s">
        <v>30</v>
      </c>
      <c r="G3681">
        <v>0</v>
      </c>
      <c r="H3681">
        <v>0</v>
      </c>
      <c r="I3681">
        <v>0</v>
      </c>
      <c r="J3681">
        <v>0</v>
      </c>
      <c r="K3681">
        <v>0</v>
      </c>
      <c r="L3681">
        <v>0</v>
      </c>
      <c r="M3681">
        <v>0</v>
      </c>
      <c r="N3681">
        <v>0</v>
      </c>
      <c r="O3681">
        <v>0</v>
      </c>
      <c r="P3681">
        <v>0</v>
      </c>
      <c r="Q3681">
        <v>0</v>
      </c>
      <c r="R3681">
        <v>0</v>
      </c>
      <c r="S3681">
        <v>26</v>
      </c>
      <c r="T3681">
        <v>0</v>
      </c>
      <c r="U3681">
        <v>0</v>
      </c>
      <c r="V3681">
        <v>0</v>
      </c>
      <c r="W3681">
        <v>0</v>
      </c>
      <c r="X3681">
        <v>0</v>
      </c>
      <c r="Y3681" t="s">
        <v>51</v>
      </c>
      <c r="Z3681">
        <v>55</v>
      </c>
      <c r="AA3681">
        <v>0</v>
      </c>
    </row>
    <row r="3682" spans="1:27" x14ac:dyDescent="0.2">
      <c r="A3682" t="s">
        <v>1116</v>
      </c>
      <c r="B3682">
        <v>2019</v>
      </c>
      <c r="C3682" t="s">
        <v>3093</v>
      </c>
      <c r="D3682" t="s">
        <v>4688</v>
      </c>
      <c r="E3682" t="s">
        <v>29</v>
      </c>
      <c r="F3682" t="s">
        <v>30</v>
      </c>
      <c r="G3682">
        <v>0</v>
      </c>
      <c r="H3682">
        <v>0</v>
      </c>
      <c r="I3682">
        <v>0</v>
      </c>
      <c r="J3682">
        <v>0</v>
      </c>
      <c r="K3682">
        <v>0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0</v>
      </c>
      <c r="R3682">
        <v>0</v>
      </c>
      <c r="S3682">
        <v>3</v>
      </c>
      <c r="T3682">
        <v>0</v>
      </c>
      <c r="U3682">
        <v>1</v>
      </c>
      <c r="V3682">
        <v>0</v>
      </c>
      <c r="W3682">
        <v>0</v>
      </c>
      <c r="X3682">
        <v>0</v>
      </c>
      <c r="Y3682" t="s">
        <v>31</v>
      </c>
      <c r="AA3682">
        <v>0</v>
      </c>
    </row>
    <row r="3683" spans="1:27" x14ac:dyDescent="0.2">
      <c r="A3683" t="s">
        <v>1116</v>
      </c>
      <c r="B3683">
        <v>2019</v>
      </c>
      <c r="C3683" t="s">
        <v>3093</v>
      </c>
      <c r="D3683" t="s">
        <v>4689</v>
      </c>
      <c r="E3683" t="s">
        <v>29</v>
      </c>
      <c r="F3683" t="s">
        <v>30</v>
      </c>
      <c r="G3683">
        <v>0</v>
      </c>
      <c r="H3683">
        <v>0</v>
      </c>
      <c r="I3683">
        <v>0</v>
      </c>
      <c r="J3683">
        <v>0</v>
      </c>
      <c r="K3683">
        <v>0</v>
      </c>
      <c r="L3683">
        <v>0</v>
      </c>
      <c r="M3683">
        <v>0</v>
      </c>
      <c r="N3683">
        <v>0</v>
      </c>
      <c r="O3683">
        <v>0</v>
      </c>
      <c r="P3683">
        <v>0</v>
      </c>
      <c r="Q3683">
        <v>0</v>
      </c>
      <c r="R3683">
        <v>0</v>
      </c>
      <c r="S3683">
        <v>5</v>
      </c>
      <c r="T3683">
        <v>0</v>
      </c>
      <c r="U3683">
        <v>2</v>
      </c>
      <c r="V3683">
        <v>0</v>
      </c>
      <c r="W3683">
        <v>0</v>
      </c>
      <c r="X3683">
        <v>0</v>
      </c>
      <c r="Y3683" t="s">
        <v>31</v>
      </c>
      <c r="AA3683">
        <v>0</v>
      </c>
    </row>
    <row r="3684" spans="1:27" x14ac:dyDescent="0.2">
      <c r="A3684" t="s">
        <v>1116</v>
      </c>
      <c r="B3684">
        <v>2019</v>
      </c>
      <c r="C3684" t="s">
        <v>3093</v>
      </c>
      <c r="D3684" t="s">
        <v>4690</v>
      </c>
      <c r="E3684" t="s">
        <v>29</v>
      </c>
      <c r="F3684" t="s">
        <v>30</v>
      </c>
      <c r="G3684">
        <v>0</v>
      </c>
      <c r="H3684">
        <v>0</v>
      </c>
      <c r="I3684">
        <v>0</v>
      </c>
      <c r="J3684">
        <v>0</v>
      </c>
      <c r="K3684">
        <v>0</v>
      </c>
      <c r="L3684">
        <v>0</v>
      </c>
      <c r="M3684">
        <v>0</v>
      </c>
      <c r="N3684">
        <v>0</v>
      </c>
      <c r="O3684">
        <v>0</v>
      </c>
      <c r="P3684">
        <v>0</v>
      </c>
      <c r="Q3684">
        <v>0</v>
      </c>
      <c r="R3684">
        <v>0</v>
      </c>
      <c r="S3684">
        <v>4</v>
      </c>
      <c r="T3684">
        <v>0</v>
      </c>
      <c r="U3684">
        <v>2</v>
      </c>
      <c r="V3684">
        <v>0</v>
      </c>
      <c r="W3684">
        <v>0</v>
      </c>
      <c r="X3684">
        <v>0</v>
      </c>
      <c r="Y3684" t="s">
        <v>31</v>
      </c>
      <c r="AA3684">
        <v>0</v>
      </c>
    </row>
    <row r="3685" spans="1:27" x14ac:dyDescent="0.2">
      <c r="A3685" t="s">
        <v>1541</v>
      </c>
      <c r="B3685">
        <v>2018</v>
      </c>
      <c r="C3685" t="s">
        <v>2916</v>
      </c>
      <c r="D3685" t="s">
        <v>4691</v>
      </c>
      <c r="E3685" t="s">
        <v>29</v>
      </c>
      <c r="F3685" t="s">
        <v>30</v>
      </c>
      <c r="G3685">
        <v>0</v>
      </c>
      <c r="H3685">
        <v>0</v>
      </c>
      <c r="I3685">
        <v>0</v>
      </c>
      <c r="J3685">
        <v>0</v>
      </c>
      <c r="K3685">
        <v>0</v>
      </c>
      <c r="L3685">
        <v>0</v>
      </c>
      <c r="M3685">
        <v>3</v>
      </c>
      <c r="N3685">
        <v>0</v>
      </c>
      <c r="O3685">
        <v>7</v>
      </c>
      <c r="P3685">
        <v>0</v>
      </c>
      <c r="Q3685">
        <v>0</v>
      </c>
      <c r="R3685">
        <v>0</v>
      </c>
      <c r="S3685">
        <v>3</v>
      </c>
      <c r="T3685">
        <v>0</v>
      </c>
      <c r="U3685">
        <v>7</v>
      </c>
      <c r="V3685">
        <v>0</v>
      </c>
      <c r="W3685">
        <v>0</v>
      </c>
      <c r="X3685">
        <v>0</v>
      </c>
      <c r="Y3685" t="s">
        <v>31</v>
      </c>
      <c r="AA3685">
        <v>0</v>
      </c>
    </row>
    <row r="3686" spans="1:27" x14ac:dyDescent="0.2">
      <c r="A3686" t="s">
        <v>1541</v>
      </c>
      <c r="B3686">
        <v>2018</v>
      </c>
      <c r="C3686" t="s">
        <v>2916</v>
      </c>
      <c r="D3686" t="s">
        <v>4692</v>
      </c>
      <c r="E3686" t="s">
        <v>29</v>
      </c>
      <c r="F3686" t="s">
        <v>30</v>
      </c>
      <c r="G3686">
        <v>0</v>
      </c>
      <c r="H3686">
        <v>0</v>
      </c>
      <c r="I3686">
        <v>0</v>
      </c>
      <c r="J3686">
        <v>0</v>
      </c>
      <c r="K3686">
        <v>0</v>
      </c>
      <c r="L3686">
        <v>0</v>
      </c>
      <c r="M3686">
        <v>5</v>
      </c>
      <c r="N3686">
        <v>0</v>
      </c>
      <c r="O3686">
        <v>4</v>
      </c>
      <c r="P3686">
        <v>0</v>
      </c>
      <c r="Q3686">
        <v>0</v>
      </c>
      <c r="R3686">
        <v>0</v>
      </c>
      <c r="S3686">
        <v>5</v>
      </c>
      <c r="T3686">
        <v>0</v>
      </c>
      <c r="U3686">
        <v>4</v>
      </c>
      <c r="V3686">
        <v>0</v>
      </c>
      <c r="W3686">
        <v>0</v>
      </c>
      <c r="X3686">
        <v>0</v>
      </c>
      <c r="Y3686" t="s">
        <v>31</v>
      </c>
      <c r="AA3686">
        <v>0</v>
      </c>
    </row>
    <row r="3687" spans="1:27" x14ac:dyDescent="0.2">
      <c r="A3687" t="s">
        <v>1071</v>
      </c>
      <c r="B3687">
        <v>2020</v>
      </c>
      <c r="C3687">
        <v>81712020</v>
      </c>
      <c r="D3687" t="s">
        <v>4693</v>
      </c>
      <c r="E3687" t="s">
        <v>29</v>
      </c>
      <c r="F3687" t="s">
        <v>30</v>
      </c>
      <c r="G3687">
        <v>0</v>
      </c>
      <c r="H3687">
        <v>0</v>
      </c>
      <c r="I3687">
        <v>0</v>
      </c>
      <c r="J3687">
        <v>0</v>
      </c>
      <c r="K3687">
        <v>0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>
        <v>1</v>
      </c>
      <c r="T3687">
        <v>0</v>
      </c>
      <c r="U3687">
        <v>1</v>
      </c>
      <c r="V3687">
        <v>0</v>
      </c>
      <c r="W3687">
        <v>0</v>
      </c>
      <c r="X3687">
        <v>12</v>
      </c>
      <c r="Y3687" t="s">
        <v>51</v>
      </c>
      <c r="AA3687">
        <v>0</v>
      </c>
    </row>
    <row r="3688" spans="1:27" x14ac:dyDescent="0.2">
      <c r="A3688" t="s">
        <v>1071</v>
      </c>
      <c r="B3688">
        <v>2020</v>
      </c>
      <c r="C3688">
        <v>81702067</v>
      </c>
      <c r="D3688" t="s">
        <v>3865</v>
      </c>
      <c r="E3688" t="s">
        <v>29</v>
      </c>
      <c r="F3688" t="s">
        <v>30</v>
      </c>
      <c r="G3688">
        <v>41</v>
      </c>
      <c r="H3688">
        <v>0</v>
      </c>
      <c r="I3688">
        <v>40</v>
      </c>
      <c r="J3688">
        <v>0</v>
      </c>
      <c r="K3688">
        <v>0</v>
      </c>
      <c r="L3688">
        <v>0</v>
      </c>
      <c r="M3688">
        <v>0</v>
      </c>
      <c r="N3688">
        <v>0</v>
      </c>
      <c r="O3688">
        <v>0</v>
      </c>
      <c r="P3688">
        <v>0</v>
      </c>
      <c r="Q3688">
        <v>0</v>
      </c>
      <c r="R3688">
        <v>0</v>
      </c>
      <c r="S3688">
        <v>0</v>
      </c>
      <c r="T3688">
        <v>0</v>
      </c>
      <c r="U3688">
        <v>0</v>
      </c>
      <c r="V3688">
        <v>0</v>
      </c>
      <c r="W3688">
        <v>0</v>
      </c>
      <c r="X3688">
        <v>0</v>
      </c>
      <c r="Y3688" t="s">
        <v>31</v>
      </c>
      <c r="Z3688">
        <v>55</v>
      </c>
      <c r="AA3688">
        <v>0</v>
      </c>
    </row>
    <row r="3689" spans="1:27" x14ac:dyDescent="0.2">
      <c r="A3689" t="s">
        <v>649</v>
      </c>
      <c r="B3689">
        <v>2019</v>
      </c>
      <c r="C3689" t="s">
        <v>1234</v>
      </c>
      <c r="D3689" t="s">
        <v>4694</v>
      </c>
      <c r="E3689" t="s">
        <v>29</v>
      </c>
      <c r="F3689" t="s">
        <v>30</v>
      </c>
      <c r="G3689">
        <v>0</v>
      </c>
      <c r="H3689">
        <v>0</v>
      </c>
      <c r="I3689">
        <v>80</v>
      </c>
      <c r="J3689">
        <v>0</v>
      </c>
      <c r="K3689">
        <v>0</v>
      </c>
      <c r="L3689">
        <v>0</v>
      </c>
      <c r="M3689">
        <v>0</v>
      </c>
      <c r="N3689">
        <v>0</v>
      </c>
      <c r="O3689">
        <v>0</v>
      </c>
      <c r="P3689">
        <v>0</v>
      </c>
      <c r="Q3689">
        <v>0</v>
      </c>
      <c r="R3689">
        <v>0</v>
      </c>
      <c r="S3689">
        <v>0</v>
      </c>
      <c r="T3689">
        <v>0</v>
      </c>
      <c r="U3689">
        <v>0</v>
      </c>
      <c r="V3689">
        <v>0</v>
      </c>
      <c r="W3689">
        <v>0</v>
      </c>
      <c r="X3689">
        <v>0</v>
      </c>
      <c r="Y3689" t="s">
        <v>31</v>
      </c>
      <c r="Z3689">
        <v>1000</v>
      </c>
      <c r="AA3689">
        <v>0</v>
      </c>
    </row>
    <row r="3690" spans="1:27" x14ac:dyDescent="0.2">
      <c r="A3690" t="s">
        <v>1624</v>
      </c>
      <c r="B3690">
        <v>2020</v>
      </c>
      <c r="C3690" t="s">
        <v>4309</v>
      </c>
      <c r="D3690" t="s">
        <v>2568</v>
      </c>
      <c r="E3690" t="s">
        <v>29</v>
      </c>
      <c r="F3690" t="s">
        <v>41</v>
      </c>
      <c r="G3690">
        <v>0</v>
      </c>
      <c r="H3690">
        <v>0</v>
      </c>
      <c r="I3690">
        <v>0</v>
      </c>
      <c r="J3690">
        <v>0</v>
      </c>
      <c r="K3690">
        <v>0</v>
      </c>
      <c r="L3690">
        <v>0</v>
      </c>
      <c r="M3690">
        <v>0</v>
      </c>
      <c r="N3690">
        <v>0</v>
      </c>
      <c r="O3690">
        <v>0</v>
      </c>
      <c r="P3690">
        <v>0</v>
      </c>
      <c r="Q3690">
        <v>0</v>
      </c>
      <c r="R3690">
        <v>0</v>
      </c>
      <c r="S3690">
        <v>0</v>
      </c>
      <c r="T3690">
        <v>0</v>
      </c>
      <c r="U3690">
        <v>0</v>
      </c>
      <c r="V3690">
        <v>0</v>
      </c>
      <c r="W3690">
        <v>8</v>
      </c>
      <c r="X3690">
        <v>0</v>
      </c>
      <c r="Y3690" t="s">
        <v>51</v>
      </c>
      <c r="Z3690">
        <v>30</v>
      </c>
      <c r="AA3690">
        <v>0</v>
      </c>
    </row>
    <row r="3691" spans="1:27" x14ac:dyDescent="0.2">
      <c r="A3691" t="s">
        <v>1658</v>
      </c>
      <c r="B3691">
        <v>2019</v>
      </c>
      <c r="C3691" t="s">
        <v>4695</v>
      </c>
      <c r="D3691" t="s">
        <v>4696</v>
      </c>
      <c r="E3691" t="s">
        <v>29</v>
      </c>
      <c r="F3691" t="s">
        <v>30</v>
      </c>
      <c r="G3691">
        <v>0</v>
      </c>
      <c r="H3691">
        <v>0</v>
      </c>
      <c r="I3691">
        <v>0</v>
      </c>
      <c r="J3691">
        <v>0</v>
      </c>
      <c r="K3691">
        <v>0</v>
      </c>
      <c r="L3691">
        <v>0</v>
      </c>
      <c r="M3691">
        <v>3</v>
      </c>
      <c r="N3691">
        <v>0</v>
      </c>
      <c r="O3691">
        <v>2</v>
      </c>
      <c r="P3691">
        <v>0</v>
      </c>
      <c r="Q3691">
        <v>0</v>
      </c>
      <c r="R3691">
        <v>0</v>
      </c>
      <c r="S3691">
        <v>0</v>
      </c>
      <c r="T3691">
        <v>0</v>
      </c>
      <c r="U3691">
        <v>0</v>
      </c>
      <c r="V3691">
        <v>0</v>
      </c>
      <c r="W3691">
        <v>0</v>
      </c>
      <c r="X3691">
        <v>0</v>
      </c>
      <c r="Y3691" t="s">
        <v>51</v>
      </c>
      <c r="Z3691">
        <v>1000</v>
      </c>
      <c r="AA3691">
        <v>0</v>
      </c>
    </row>
    <row r="3692" spans="1:27" x14ac:dyDescent="0.2">
      <c r="A3692" t="s">
        <v>584</v>
      </c>
      <c r="B3692">
        <v>2020</v>
      </c>
      <c r="C3692" t="s">
        <v>2688</v>
      </c>
      <c r="D3692" t="s">
        <v>2689</v>
      </c>
      <c r="E3692" t="s">
        <v>29</v>
      </c>
      <c r="F3692" t="s">
        <v>30</v>
      </c>
      <c r="G3692">
        <v>0</v>
      </c>
      <c r="H3692">
        <v>0</v>
      </c>
      <c r="I3692">
        <v>0</v>
      </c>
      <c r="J3692">
        <v>0</v>
      </c>
      <c r="K3692">
        <v>0</v>
      </c>
      <c r="L3692">
        <v>0</v>
      </c>
      <c r="M3692">
        <v>4</v>
      </c>
      <c r="N3692">
        <v>0</v>
      </c>
      <c r="O3692">
        <v>2</v>
      </c>
      <c r="P3692">
        <v>0</v>
      </c>
      <c r="Q3692">
        <v>0</v>
      </c>
      <c r="R3692">
        <v>0</v>
      </c>
      <c r="S3692">
        <v>0</v>
      </c>
      <c r="T3692">
        <v>0</v>
      </c>
      <c r="U3692">
        <v>0</v>
      </c>
      <c r="V3692">
        <v>0</v>
      </c>
      <c r="W3692">
        <v>0</v>
      </c>
      <c r="X3692">
        <v>0</v>
      </c>
      <c r="Y3692" t="s">
        <v>31</v>
      </c>
      <c r="AA3692">
        <v>0</v>
      </c>
    </row>
    <row r="3693" spans="1:27" x14ac:dyDescent="0.2">
      <c r="A3693" t="s">
        <v>584</v>
      </c>
      <c r="B3693">
        <v>2020</v>
      </c>
      <c r="C3693" t="s">
        <v>4697</v>
      </c>
      <c r="D3693" t="s">
        <v>4698</v>
      </c>
      <c r="E3693" t="s">
        <v>29</v>
      </c>
      <c r="F3693" t="s">
        <v>30</v>
      </c>
      <c r="G3693">
        <v>0</v>
      </c>
      <c r="H3693">
        <v>0</v>
      </c>
      <c r="I3693">
        <v>0</v>
      </c>
      <c r="J3693">
        <v>0</v>
      </c>
      <c r="K3693">
        <v>0</v>
      </c>
      <c r="L3693">
        <v>0</v>
      </c>
      <c r="M3693">
        <v>1</v>
      </c>
      <c r="N3693">
        <v>0</v>
      </c>
      <c r="O3693">
        <v>1</v>
      </c>
      <c r="P3693">
        <v>0</v>
      </c>
      <c r="Q3693">
        <v>0</v>
      </c>
      <c r="R3693">
        <v>0</v>
      </c>
      <c r="S3693">
        <v>1</v>
      </c>
      <c r="T3693">
        <v>0</v>
      </c>
      <c r="U3693">
        <v>1</v>
      </c>
      <c r="V3693">
        <v>0</v>
      </c>
      <c r="W3693">
        <v>0</v>
      </c>
      <c r="X3693">
        <v>0</v>
      </c>
      <c r="Y3693" t="s">
        <v>31</v>
      </c>
      <c r="AA3693">
        <v>0</v>
      </c>
    </row>
    <row r="3694" spans="1:27" x14ac:dyDescent="0.2">
      <c r="A3694" t="s">
        <v>387</v>
      </c>
      <c r="B3694">
        <v>2020</v>
      </c>
      <c r="C3694" t="s">
        <v>4699</v>
      </c>
      <c r="D3694" t="s">
        <v>4700</v>
      </c>
      <c r="E3694" t="s">
        <v>29</v>
      </c>
      <c r="F3694" t="s">
        <v>41</v>
      </c>
      <c r="G3694">
        <v>0</v>
      </c>
      <c r="H3694">
        <v>0</v>
      </c>
      <c r="I3694">
        <v>2</v>
      </c>
      <c r="J3694">
        <v>0</v>
      </c>
      <c r="K3694">
        <v>0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  <c r="T3694">
        <v>0</v>
      </c>
      <c r="U3694">
        <v>0</v>
      </c>
      <c r="V3694">
        <v>0</v>
      </c>
      <c r="W3694">
        <v>0</v>
      </c>
      <c r="X3694">
        <v>0</v>
      </c>
      <c r="Y3694" t="s">
        <v>51</v>
      </c>
      <c r="Z3694">
        <v>1000</v>
      </c>
      <c r="AA3694">
        <v>0</v>
      </c>
    </row>
    <row r="3695" spans="1:27" x14ac:dyDescent="0.2">
      <c r="A3695" t="s">
        <v>387</v>
      </c>
      <c r="B3695">
        <v>2020</v>
      </c>
      <c r="C3695" t="s">
        <v>4701</v>
      </c>
      <c r="D3695" t="s">
        <v>4702</v>
      </c>
      <c r="E3695" t="s">
        <v>29</v>
      </c>
      <c r="F3695" t="s">
        <v>30</v>
      </c>
      <c r="G3695">
        <v>0</v>
      </c>
      <c r="H3695">
        <v>0</v>
      </c>
      <c r="I3695">
        <v>1</v>
      </c>
      <c r="J3695">
        <v>0</v>
      </c>
      <c r="K3695">
        <v>0</v>
      </c>
      <c r="L3695">
        <v>0</v>
      </c>
      <c r="M3695">
        <v>0</v>
      </c>
      <c r="N3695">
        <v>0</v>
      </c>
      <c r="O3695">
        <v>0</v>
      </c>
      <c r="P3695">
        <v>0</v>
      </c>
      <c r="Q3695">
        <v>0</v>
      </c>
      <c r="R3695">
        <v>0</v>
      </c>
      <c r="S3695">
        <v>0</v>
      </c>
      <c r="T3695">
        <v>0</v>
      </c>
      <c r="U3695">
        <v>0</v>
      </c>
      <c r="V3695">
        <v>0</v>
      </c>
      <c r="W3695">
        <v>0</v>
      </c>
      <c r="X3695">
        <v>0</v>
      </c>
      <c r="Y3695" t="s">
        <v>51</v>
      </c>
      <c r="Z3695">
        <v>1000</v>
      </c>
      <c r="AA3695">
        <v>0</v>
      </c>
    </row>
    <row r="3696" spans="1:27" x14ac:dyDescent="0.2">
      <c r="A3696" t="s">
        <v>387</v>
      </c>
      <c r="B3696">
        <v>2020</v>
      </c>
      <c r="C3696" t="s">
        <v>4703</v>
      </c>
      <c r="D3696" t="s">
        <v>4704</v>
      </c>
      <c r="E3696" t="s">
        <v>29</v>
      </c>
      <c r="F3696" t="s">
        <v>30</v>
      </c>
      <c r="G3696">
        <v>0</v>
      </c>
      <c r="H3696">
        <v>0</v>
      </c>
      <c r="I3696">
        <v>1</v>
      </c>
      <c r="J3696">
        <v>0</v>
      </c>
      <c r="K3696">
        <v>0</v>
      </c>
      <c r="L3696">
        <v>0</v>
      </c>
      <c r="M3696">
        <v>0</v>
      </c>
      <c r="N3696">
        <v>0</v>
      </c>
      <c r="O3696">
        <v>0</v>
      </c>
      <c r="P3696">
        <v>0</v>
      </c>
      <c r="Q3696">
        <v>0</v>
      </c>
      <c r="R3696">
        <v>0</v>
      </c>
      <c r="S3696">
        <v>0</v>
      </c>
      <c r="T3696">
        <v>0</v>
      </c>
      <c r="U3696">
        <v>0</v>
      </c>
      <c r="V3696">
        <v>0</v>
      </c>
      <c r="W3696">
        <v>0</v>
      </c>
      <c r="X3696">
        <v>0</v>
      </c>
      <c r="Y3696" t="s">
        <v>51</v>
      </c>
      <c r="Z3696">
        <v>1000</v>
      </c>
      <c r="AA3696">
        <v>0</v>
      </c>
    </row>
    <row r="3697" spans="1:27" x14ac:dyDescent="0.2">
      <c r="A3697" t="s">
        <v>547</v>
      </c>
      <c r="B3697">
        <v>2018</v>
      </c>
      <c r="C3697">
        <v>2350003059</v>
      </c>
      <c r="D3697" t="s">
        <v>4705</v>
      </c>
      <c r="E3697" t="s">
        <v>29</v>
      </c>
      <c r="F3697" t="s">
        <v>30</v>
      </c>
      <c r="G3697">
        <v>0</v>
      </c>
      <c r="H3697">
        <v>0</v>
      </c>
      <c r="I3697">
        <v>0</v>
      </c>
      <c r="J3697">
        <v>0</v>
      </c>
      <c r="K3697">
        <v>0</v>
      </c>
      <c r="L3697">
        <v>0</v>
      </c>
      <c r="M3697">
        <v>9</v>
      </c>
      <c r="N3697">
        <v>0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0</v>
      </c>
      <c r="U3697">
        <v>0</v>
      </c>
      <c r="V3697">
        <v>0</v>
      </c>
      <c r="W3697">
        <v>0</v>
      </c>
      <c r="X3697">
        <v>0</v>
      </c>
      <c r="Y3697" t="s">
        <v>31</v>
      </c>
      <c r="Z3697">
        <v>55</v>
      </c>
      <c r="AA3697">
        <v>0</v>
      </c>
    </row>
    <row r="3698" spans="1:27" x14ac:dyDescent="0.2">
      <c r="A3698" t="s">
        <v>2152</v>
      </c>
      <c r="B3698">
        <v>2018</v>
      </c>
      <c r="C3698">
        <v>178091010</v>
      </c>
      <c r="D3698" t="s">
        <v>4706</v>
      </c>
      <c r="E3698" t="s">
        <v>29</v>
      </c>
      <c r="F3698" t="s">
        <v>30</v>
      </c>
      <c r="G3698">
        <v>0</v>
      </c>
      <c r="H3698">
        <v>0</v>
      </c>
      <c r="I3698">
        <v>0</v>
      </c>
      <c r="J3698">
        <v>0</v>
      </c>
      <c r="K3698">
        <v>0</v>
      </c>
      <c r="L3698">
        <v>0</v>
      </c>
      <c r="M3698">
        <v>43</v>
      </c>
      <c r="N3698">
        <v>0</v>
      </c>
      <c r="O3698">
        <v>2</v>
      </c>
      <c r="P3698">
        <v>0</v>
      </c>
      <c r="Q3698">
        <v>0</v>
      </c>
      <c r="R3698">
        <v>0</v>
      </c>
      <c r="S3698">
        <v>0</v>
      </c>
      <c r="T3698">
        <v>0</v>
      </c>
      <c r="U3698">
        <v>0</v>
      </c>
      <c r="V3698">
        <v>0</v>
      </c>
      <c r="W3698">
        <v>0</v>
      </c>
      <c r="X3698">
        <v>0</v>
      </c>
      <c r="Y3698" t="s">
        <v>31</v>
      </c>
      <c r="Z3698">
        <v>55</v>
      </c>
      <c r="AA3698">
        <v>0</v>
      </c>
    </row>
    <row r="3699" spans="1:27" x14ac:dyDescent="0.2">
      <c r="A3699" t="s">
        <v>670</v>
      </c>
      <c r="B3699">
        <v>2020</v>
      </c>
      <c r="C3699" t="s">
        <v>734</v>
      </c>
      <c r="D3699" t="s">
        <v>4707</v>
      </c>
      <c r="E3699" t="s">
        <v>29</v>
      </c>
      <c r="F3699" t="s">
        <v>30</v>
      </c>
      <c r="G3699">
        <v>5</v>
      </c>
      <c r="H3699">
        <v>0</v>
      </c>
      <c r="I3699">
        <v>0</v>
      </c>
      <c r="J3699">
        <v>0</v>
      </c>
      <c r="K3699">
        <v>0</v>
      </c>
      <c r="L3699">
        <v>0</v>
      </c>
      <c r="M3699">
        <v>0</v>
      </c>
      <c r="N3699">
        <v>0</v>
      </c>
      <c r="O3699">
        <v>0</v>
      </c>
      <c r="P3699">
        <v>0</v>
      </c>
      <c r="Q3699">
        <v>0</v>
      </c>
      <c r="R3699">
        <v>0</v>
      </c>
      <c r="S3699">
        <v>0</v>
      </c>
      <c r="T3699">
        <v>0</v>
      </c>
      <c r="U3699">
        <v>0</v>
      </c>
      <c r="V3699">
        <v>0</v>
      </c>
      <c r="W3699">
        <v>0</v>
      </c>
      <c r="X3699">
        <v>0</v>
      </c>
      <c r="Y3699" t="s">
        <v>31</v>
      </c>
      <c r="Z3699">
        <v>55</v>
      </c>
      <c r="AA3699">
        <v>0</v>
      </c>
    </row>
    <row r="3700" spans="1:27" x14ac:dyDescent="0.2">
      <c r="A3700" t="s">
        <v>27</v>
      </c>
      <c r="B3700">
        <v>2023</v>
      </c>
      <c r="C3700">
        <v>7280015097</v>
      </c>
      <c r="D3700" t="s">
        <v>3770</v>
      </c>
      <c r="E3700" t="s">
        <v>29</v>
      </c>
      <c r="F3700" t="s">
        <v>30</v>
      </c>
      <c r="G3700">
        <v>16</v>
      </c>
      <c r="H3700">
        <v>0</v>
      </c>
      <c r="I3700">
        <v>0</v>
      </c>
      <c r="J3700">
        <v>0</v>
      </c>
      <c r="K3700">
        <v>0</v>
      </c>
      <c r="L3700">
        <v>0</v>
      </c>
      <c r="M3700">
        <v>0</v>
      </c>
      <c r="N3700">
        <v>0</v>
      </c>
      <c r="O3700">
        <v>0</v>
      </c>
      <c r="P3700">
        <v>0</v>
      </c>
      <c r="Q3700">
        <v>0</v>
      </c>
      <c r="R3700">
        <v>0</v>
      </c>
      <c r="S3700">
        <v>0</v>
      </c>
      <c r="T3700">
        <v>0</v>
      </c>
      <c r="U3700">
        <v>0</v>
      </c>
      <c r="V3700">
        <v>0</v>
      </c>
      <c r="W3700">
        <v>0</v>
      </c>
      <c r="X3700">
        <v>0</v>
      </c>
      <c r="Y3700" t="s">
        <v>51</v>
      </c>
      <c r="AA3700">
        <v>0</v>
      </c>
    </row>
    <row r="3701" spans="1:27" x14ac:dyDescent="0.2">
      <c r="A3701" t="s">
        <v>27</v>
      </c>
      <c r="B3701">
        <v>2023</v>
      </c>
      <c r="C3701">
        <v>7267001906</v>
      </c>
      <c r="D3701" t="s">
        <v>4708</v>
      </c>
      <c r="E3701" t="s">
        <v>29</v>
      </c>
      <c r="F3701" t="s">
        <v>30</v>
      </c>
      <c r="G3701">
        <v>0</v>
      </c>
      <c r="H3701">
        <v>0</v>
      </c>
      <c r="I3701">
        <v>0</v>
      </c>
      <c r="J3701">
        <v>0</v>
      </c>
      <c r="K3701">
        <v>0</v>
      </c>
      <c r="L3701">
        <v>0</v>
      </c>
      <c r="M3701">
        <v>0</v>
      </c>
      <c r="N3701">
        <v>0</v>
      </c>
      <c r="O3701">
        <v>0</v>
      </c>
      <c r="P3701">
        <v>0</v>
      </c>
      <c r="Q3701">
        <v>0</v>
      </c>
      <c r="R3701">
        <v>0</v>
      </c>
      <c r="S3701">
        <v>0</v>
      </c>
      <c r="T3701">
        <v>0</v>
      </c>
      <c r="U3701">
        <v>88</v>
      </c>
      <c r="V3701">
        <v>0</v>
      </c>
      <c r="W3701">
        <v>0</v>
      </c>
      <c r="X3701">
        <v>0</v>
      </c>
      <c r="Y3701" t="s">
        <v>31</v>
      </c>
      <c r="Z3701">
        <v>55</v>
      </c>
      <c r="AA3701">
        <v>35</v>
      </c>
    </row>
    <row r="3702" spans="1:27" x14ac:dyDescent="0.2">
      <c r="A3702" t="s">
        <v>1658</v>
      </c>
      <c r="B3702">
        <v>2020</v>
      </c>
      <c r="C3702" t="s">
        <v>2438</v>
      </c>
      <c r="D3702" t="s">
        <v>4709</v>
      </c>
      <c r="E3702" t="s">
        <v>29</v>
      </c>
      <c r="F3702" t="s">
        <v>30</v>
      </c>
      <c r="G3702">
        <v>0</v>
      </c>
      <c r="H3702">
        <v>0</v>
      </c>
      <c r="I3702">
        <v>0</v>
      </c>
      <c r="J3702">
        <v>0</v>
      </c>
      <c r="K3702">
        <v>0</v>
      </c>
      <c r="L3702">
        <v>0</v>
      </c>
      <c r="M3702">
        <v>0</v>
      </c>
      <c r="N3702">
        <v>0</v>
      </c>
      <c r="O3702">
        <v>0</v>
      </c>
      <c r="P3702">
        <v>0</v>
      </c>
      <c r="Q3702">
        <v>0</v>
      </c>
      <c r="R3702">
        <v>0</v>
      </c>
      <c r="S3702">
        <v>5</v>
      </c>
      <c r="T3702">
        <v>0</v>
      </c>
      <c r="U3702">
        <v>4</v>
      </c>
      <c r="V3702">
        <v>0</v>
      </c>
      <c r="W3702">
        <v>0</v>
      </c>
      <c r="X3702">
        <v>0</v>
      </c>
      <c r="Y3702" t="s">
        <v>51</v>
      </c>
      <c r="Z3702">
        <v>99</v>
      </c>
      <c r="AA3702">
        <v>0</v>
      </c>
    </row>
    <row r="3703" spans="1:27" x14ac:dyDescent="0.2">
      <c r="A3703" t="s">
        <v>2867</v>
      </c>
      <c r="B3703">
        <v>2018</v>
      </c>
      <c r="C3703" t="s">
        <v>2868</v>
      </c>
      <c r="D3703" t="s">
        <v>4710</v>
      </c>
      <c r="E3703" t="s">
        <v>29</v>
      </c>
      <c r="F3703" t="s">
        <v>30</v>
      </c>
      <c r="G3703">
        <v>0</v>
      </c>
      <c r="H3703">
        <v>0</v>
      </c>
      <c r="I3703">
        <v>0</v>
      </c>
      <c r="J3703">
        <v>0</v>
      </c>
      <c r="K3703">
        <v>0</v>
      </c>
      <c r="L3703">
        <v>0</v>
      </c>
      <c r="M3703">
        <v>0</v>
      </c>
      <c r="N3703">
        <v>0</v>
      </c>
      <c r="O3703">
        <v>0</v>
      </c>
      <c r="P3703">
        <v>0</v>
      </c>
      <c r="Q3703">
        <v>0</v>
      </c>
      <c r="R3703">
        <v>0</v>
      </c>
      <c r="S3703">
        <v>0</v>
      </c>
      <c r="T3703">
        <v>0</v>
      </c>
      <c r="U3703">
        <v>30</v>
      </c>
      <c r="V3703">
        <v>0</v>
      </c>
      <c r="W3703">
        <v>0</v>
      </c>
      <c r="X3703">
        <v>0</v>
      </c>
      <c r="Y3703" t="s">
        <v>51</v>
      </c>
      <c r="AA3703">
        <v>0</v>
      </c>
    </row>
    <row r="3704" spans="1:27" x14ac:dyDescent="0.2">
      <c r="A3704" t="s">
        <v>2867</v>
      </c>
      <c r="B3704">
        <v>2018</v>
      </c>
      <c r="C3704" t="s">
        <v>2868</v>
      </c>
      <c r="D3704" t="s">
        <v>4711</v>
      </c>
      <c r="E3704" t="s">
        <v>29</v>
      </c>
      <c r="F3704" t="s">
        <v>30</v>
      </c>
      <c r="G3704">
        <v>0</v>
      </c>
      <c r="H3704">
        <v>0</v>
      </c>
      <c r="I3704">
        <v>0</v>
      </c>
      <c r="J3704">
        <v>0</v>
      </c>
      <c r="K3704">
        <v>0</v>
      </c>
      <c r="L3704">
        <v>0</v>
      </c>
      <c r="M3704">
        <v>0</v>
      </c>
      <c r="N3704">
        <v>0</v>
      </c>
      <c r="O3704">
        <v>0</v>
      </c>
      <c r="P3704">
        <v>0</v>
      </c>
      <c r="Q3704">
        <v>0</v>
      </c>
      <c r="R3704">
        <v>0</v>
      </c>
      <c r="S3704">
        <v>0</v>
      </c>
      <c r="T3704">
        <v>0</v>
      </c>
      <c r="U3704">
        <v>16</v>
      </c>
      <c r="V3704">
        <v>0</v>
      </c>
      <c r="W3704">
        <v>0</v>
      </c>
      <c r="X3704">
        <v>0</v>
      </c>
      <c r="Y3704" t="s">
        <v>51</v>
      </c>
      <c r="AA3704">
        <v>0</v>
      </c>
    </row>
    <row r="3705" spans="1:27" x14ac:dyDescent="0.2">
      <c r="A3705" t="s">
        <v>1247</v>
      </c>
      <c r="B3705">
        <v>2023</v>
      </c>
      <c r="C3705">
        <v>43132043</v>
      </c>
      <c r="D3705" t="s">
        <v>4712</v>
      </c>
      <c r="E3705" t="s">
        <v>29</v>
      </c>
      <c r="F3705" t="s">
        <v>30</v>
      </c>
      <c r="G3705">
        <v>0</v>
      </c>
      <c r="H3705">
        <v>0</v>
      </c>
      <c r="I3705">
        <v>0</v>
      </c>
      <c r="J3705">
        <v>0</v>
      </c>
      <c r="K3705">
        <v>0</v>
      </c>
      <c r="L3705">
        <v>0</v>
      </c>
      <c r="M3705">
        <v>34</v>
      </c>
      <c r="N3705">
        <v>0</v>
      </c>
      <c r="O3705">
        <v>68</v>
      </c>
      <c r="P3705">
        <v>0</v>
      </c>
      <c r="Q3705">
        <v>52</v>
      </c>
      <c r="R3705">
        <v>0</v>
      </c>
      <c r="S3705">
        <v>0</v>
      </c>
      <c r="T3705">
        <v>0</v>
      </c>
      <c r="U3705">
        <v>0</v>
      </c>
      <c r="V3705">
        <v>0</v>
      </c>
      <c r="W3705">
        <v>0</v>
      </c>
      <c r="X3705">
        <v>0</v>
      </c>
      <c r="Y3705" t="s">
        <v>31</v>
      </c>
      <c r="Z3705">
        <v>55</v>
      </c>
      <c r="AA3705">
        <v>35</v>
      </c>
    </row>
    <row r="3706" spans="1:27" x14ac:dyDescent="0.2">
      <c r="A3706" t="s">
        <v>1247</v>
      </c>
      <c r="B3706">
        <v>2023</v>
      </c>
      <c r="C3706">
        <v>173860023</v>
      </c>
      <c r="D3706" t="s">
        <v>4713</v>
      </c>
      <c r="E3706" t="s">
        <v>29</v>
      </c>
      <c r="F3706" t="s">
        <v>30</v>
      </c>
      <c r="G3706">
        <v>0</v>
      </c>
      <c r="H3706">
        <v>0</v>
      </c>
      <c r="I3706">
        <v>0</v>
      </c>
      <c r="J3706">
        <v>0</v>
      </c>
      <c r="K3706">
        <v>0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1</v>
      </c>
      <c r="R3706">
        <v>0</v>
      </c>
      <c r="S3706">
        <v>0</v>
      </c>
      <c r="T3706">
        <v>0</v>
      </c>
      <c r="U3706">
        <v>0</v>
      </c>
      <c r="V3706">
        <v>0</v>
      </c>
      <c r="W3706">
        <v>0</v>
      </c>
      <c r="X3706">
        <v>0</v>
      </c>
      <c r="Y3706" t="s">
        <v>51</v>
      </c>
      <c r="Z3706">
        <v>55</v>
      </c>
      <c r="AA3706">
        <v>0</v>
      </c>
    </row>
    <row r="3707" spans="1:27" x14ac:dyDescent="0.2">
      <c r="A3707" t="s">
        <v>547</v>
      </c>
      <c r="B3707">
        <v>2018</v>
      </c>
      <c r="C3707">
        <v>2409003049</v>
      </c>
      <c r="D3707" t="s">
        <v>4714</v>
      </c>
      <c r="E3707" t="s">
        <v>29</v>
      </c>
      <c r="F3707" t="s">
        <v>30</v>
      </c>
      <c r="G3707">
        <v>7</v>
      </c>
      <c r="H3707">
        <v>0</v>
      </c>
      <c r="I3707">
        <v>36</v>
      </c>
      <c r="J3707">
        <v>0</v>
      </c>
      <c r="K3707">
        <v>0</v>
      </c>
      <c r="L3707">
        <v>0</v>
      </c>
      <c r="M3707">
        <v>43</v>
      </c>
      <c r="N3707">
        <v>0</v>
      </c>
      <c r="O3707">
        <v>0</v>
      </c>
      <c r="P3707">
        <v>0</v>
      </c>
      <c r="Q3707">
        <v>0</v>
      </c>
      <c r="R3707">
        <v>1</v>
      </c>
      <c r="S3707">
        <v>0</v>
      </c>
      <c r="T3707">
        <v>0</v>
      </c>
      <c r="U3707">
        <v>0</v>
      </c>
      <c r="V3707">
        <v>0</v>
      </c>
      <c r="W3707">
        <v>0</v>
      </c>
      <c r="X3707">
        <v>0</v>
      </c>
      <c r="Y3707" t="s">
        <v>31</v>
      </c>
      <c r="Z3707">
        <v>55</v>
      </c>
      <c r="AA3707">
        <v>0</v>
      </c>
    </row>
    <row r="3708" spans="1:27" x14ac:dyDescent="0.2">
      <c r="A3708" t="s">
        <v>547</v>
      </c>
      <c r="B3708">
        <v>2018</v>
      </c>
      <c r="C3708">
        <v>2221021005</v>
      </c>
      <c r="D3708" t="s">
        <v>4715</v>
      </c>
      <c r="E3708" t="s">
        <v>29</v>
      </c>
      <c r="F3708" t="s">
        <v>30</v>
      </c>
      <c r="G3708">
        <v>0</v>
      </c>
      <c r="H3708">
        <v>0</v>
      </c>
      <c r="I3708">
        <v>0</v>
      </c>
      <c r="J3708">
        <v>0</v>
      </c>
      <c r="K3708">
        <v>0</v>
      </c>
      <c r="L3708">
        <v>0</v>
      </c>
      <c r="M3708">
        <v>1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  <c r="T3708">
        <v>0</v>
      </c>
      <c r="U3708">
        <v>0</v>
      </c>
      <c r="V3708">
        <v>0</v>
      </c>
      <c r="W3708">
        <v>0</v>
      </c>
      <c r="X3708">
        <v>0</v>
      </c>
      <c r="Y3708" t="s">
        <v>31</v>
      </c>
      <c r="Z3708">
        <v>55</v>
      </c>
      <c r="AA3708">
        <v>0</v>
      </c>
    </row>
    <row r="3709" spans="1:27" x14ac:dyDescent="0.2">
      <c r="A3709" t="s">
        <v>547</v>
      </c>
      <c r="B3709">
        <v>2018</v>
      </c>
      <c r="C3709">
        <v>5423005003</v>
      </c>
      <c r="D3709" t="s">
        <v>4716</v>
      </c>
      <c r="E3709" t="s">
        <v>29</v>
      </c>
      <c r="F3709" t="s">
        <v>30</v>
      </c>
      <c r="G3709">
        <v>0</v>
      </c>
      <c r="H3709">
        <v>0</v>
      </c>
      <c r="I3709">
        <v>0</v>
      </c>
      <c r="J3709">
        <v>0</v>
      </c>
      <c r="K3709">
        <v>0</v>
      </c>
      <c r="L3709">
        <v>0</v>
      </c>
      <c r="M3709">
        <v>8</v>
      </c>
      <c r="N3709">
        <v>0</v>
      </c>
      <c r="O3709">
        <v>0</v>
      </c>
      <c r="P3709">
        <v>0</v>
      </c>
      <c r="Q3709">
        <v>0</v>
      </c>
      <c r="R3709">
        <v>0</v>
      </c>
      <c r="S3709">
        <v>0</v>
      </c>
      <c r="T3709">
        <v>0</v>
      </c>
      <c r="U3709">
        <v>0</v>
      </c>
      <c r="V3709">
        <v>0</v>
      </c>
      <c r="W3709">
        <v>0</v>
      </c>
      <c r="X3709">
        <v>0</v>
      </c>
      <c r="Y3709" t="s">
        <v>31</v>
      </c>
      <c r="Z3709">
        <v>55</v>
      </c>
      <c r="AA3709">
        <v>0</v>
      </c>
    </row>
    <row r="3710" spans="1:27" x14ac:dyDescent="0.2">
      <c r="A3710" t="s">
        <v>547</v>
      </c>
      <c r="B3710">
        <v>2018</v>
      </c>
      <c r="C3710">
        <v>5471015050</v>
      </c>
      <c r="D3710" t="s">
        <v>4717</v>
      </c>
      <c r="E3710" t="s">
        <v>29</v>
      </c>
      <c r="F3710" t="s">
        <v>30</v>
      </c>
      <c r="G3710">
        <v>0</v>
      </c>
      <c r="H3710">
        <v>0</v>
      </c>
      <c r="I3710">
        <v>0</v>
      </c>
      <c r="J3710">
        <v>0</v>
      </c>
      <c r="K3710">
        <v>0</v>
      </c>
      <c r="L3710">
        <v>0</v>
      </c>
      <c r="M3710">
        <v>0</v>
      </c>
      <c r="N3710">
        <v>0</v>
      </c>
      <c r="O3710">
        <v>0</v>
      </c>
      <c r="P3710">
        <v>0</v>
      </c>
      <c r="Q3710">
        <v>0</v>
      </c>
      <c r="R3710">
        <v>0</v>
      </c>
      <c r="S3710">
        <v>0</v>
      </c>
      <c r="T3710">
        <v>0</v>
      </c>
      <c r="U3710">
        <v>0</v>
      </c>
      <c r="V3710">
        <v>0</v>
      </c>
      <c r="W3710">
        <v>0</v>
      </c>
      <c r="X3710">
        <v>0</v>
      </c>
      <c r="Y3710" t="s">
        <v>31</v>
      </c>
      <c r="Z3710">
        <v>55</v>
      </c>
      <c r="AA3710">
        <v>0</v>
      </c>
    </row>
    <row r="3711" spans="1:27" x14ac:dyDescent="0.2">
      <c r="A3711" t="s">
        <v>547</v>
      </c>
      <c r="B3711">
        <v>2018</v>
      </c>
      <c r="C3711">
        <v>5521011002</v>
      </c>
      <c r="D3711" t="s">
        <v>4718</v>
      </c>
      <c r="E3711" t="s">
        <v>29</v>
      </c>
      <c r="F3711" t="s">
        <v>30</v>
      </c>
      <c r="G3711">
        <v>0</v>
      </c>
      <c r="H3711">
        <v>0</v>
      </c>
      <c r="I3711">
        <v>0</v>
      </c>
      <c r="J3711">
        <v>0</v>
      </c>
      <c r="K3711">
        <v>0</v>
      </c>
      <c r="L3711">
        <v>0</v>
      </c>
      <c r="M3711">
        <v>2</v>
      </c>
      <c r="N3711">
        <v>0</v>
      </c>
      <c r="O3711">
        <v>0</v>
      </c>
      <c r="P3711">
        <v>0</v>
      </c>
      <c r="Q3711">
        <v>0</v>
      </c>
      <c r="R3711">
        <v>0</v>
      </c>
      <c r="S3711">
        <v>0</v>
      </c>
      <c r="T3711">
        <v>0</v>
      </c>
      <c r="U3711">
        <v>0</v>
      </c>
      <c r="V3711">
        <v>0</v>
      </c>
      <c r="W3711">
        <v>0</v>
      </c>
      <c r="X3711">
        <v>0</v>
      </c>
      <c r="Y3711" t="s">
        <v>31</v>
      </c>
      <c r="Z3711">
        <v>55</v>
      </c>
      <c r="AA3711">
        <v>0</v>
      </c>
    </row>
    <row r="3712" spans="1:27" x14ac:dyDescent="0.2">
      <c r="A3712" t="s">
        <v>547</v>
      </c>
      <c r="B3712">
        <v>2018</v>
      </c>
      <c r="C3712">
        <v>5043002029</v>
      </c>
      <c r="D3712" t="s">
        <v>4719</v>
      </c>
      <c r="E3712" t="s">
        <v>29</v>
      </c>
      <c r="F3712" t="s">
        <v>30</v>
      </c>
      <c r="G3712">
        <v>0</v>
      </c>
      <c r="H3712">
        <v>0</v>
      </c>
      <c r="I3712">
        <v>0</v>
      </c>
      <c r="J3712">
        <v>0</v>
      </c>
      <c r="K3712">
        <v>0</v>
      </c>
      <c r="L3712">
        <v>0</v>
      </c>
      <c r="M3712">
        <v>7</v>
      </c>
      <c r="N3712">
        <v>0</v>
      </c>
      <c r="O3712">
        <v>0</v>
      </c>
      <c r="P3712">
        <v>0</v>
      </c>
      <c r="Q3712">
        <v>0</v>
      </c>
      <c r="R3712">
        <v>0</v>
      </c>
      <c r="S3712">
        <v>0</v>
      </c>
      <c r="T3712">
        <v>0</v>
      </c>
      <c r="U3712">
        <v>0</v>
      </c>
      <c r="V3712">
        <v>0</v>
      </c>
      <c r="W3712">
        <v>0</v>
      </c>
      <c r="X3712">
        <v>0</v>
      </c>
      <c r="Y3712" t="s">
        <v>31</v>
      </c>
      <c r="Z3712">
        <v>55</v>
      </c>
      <c r="AA3712">
        <v>0</v>
      </c>
    </row>
    <row r="3713" spans="1:27" x14ac:dyDescent="0.2">
      <c r="A3713" t="s">
        <v>547</v>
      </c>
      <c r="B3713">
        <v>2018</v>
      </c>
      <c r="C3713">
        <v>2239006030</v>
      </c>
      <c r="D3713" t="s">
        <v>4720</v>
      </c>
      <c r="E3713" t="s">
        <v>29</v>
      </c>
      <c r="F3713" t="s">
        <v>30</v>
      </c>
      <c r="G3713">
        <v>4</v>
      </c>
      <c r="H3713">
        <v>0</v>
      </c>
      <c r="I3713">
        <v>0</v>
      </c>
      <c r="J3713">
        <v>0</v>
      </c>
      <c r="K3713">
        <v>0</v>
      </c>
      <c r="L3713">
        <v>0</v>
      </c>
      <c r="M3713">
        <v>0</v>
      </c>
      <c r="N3713">
        <v>0</v>
      </c>
      <c r="O3713">
        <v>0</v>
      </c>
      <c r="P3713">
        <v>0</v>
      </c>
      <c r="Q3713">
        <v>0</v>
      </c>
      <c r="R3713">
        <v>0</v>
      </c>
      <c r="S3713">
        <v>0</v>
      </c>
      <c r="T3713">
        <v>0</v>
      </c>
      <c r="U3713">
        <v>0</v>
      </c>
      <c r="V3713">
        <v>0</v>
      </c>
      <c r="W3713">
        <v>0</v>
      </c>
      <c r="X3713">
        <v>0</v>
      </c>
      <c r="Y3713" t="s">
        <v>31</v>
      </c>
      <c r="Z3713">
        <v>55</v>
      </c>
      <c r="AA3713">
        <v>0</v>
      </c>
    </row>
    <row r="3714" spans="1:27" x14ac:dyDescent="0.2">
      <c r="A3714" t="s">
        <v>547</v>
      </c>
      <c r="B3714">
        <v>2018</v>
      </c>
      <c r="C3714">
        <v>5401008014</v>
      </c>
      <c r="D3714" t="s">
        <v>4721</v>
      </c>
      <c r="E3714" t="s">
        <v>29</v>
      </c>
      <c r="F3714" t="s">
        <v>30</v>
      </c>
      <c r="G3714">
        <v>2</v>
      </c>
      <c r="H3714">
        <v>0</v>
      </c>
      <c r="I3714">
        <v>1</v>
      </c>
      <c r="J3714">
        <v>0</v>
      </c>
      <c r="K3714">
        <v>0</v>
      </c>
      <c r="L3714">
        <v>0</v>
      </c>
      <c r="M3714">
        <v>0</v>
      </c>
      <c r="N3714">
        <v>0</v>
      </c>
      <c r="O3714">
        <v>0</v>
      </c>
      <c r="P3714">
        <v>0</v>
      </c>
      <c r="Q3714">
        <v>0</v>
      </c>
      <c r="R3714">
        <v>0</v>
      </c>
      <c r="S3714">
        <v>0</v>
      </c>
      <c r="T3714">
        <v>0</v>
      </c>
      <c r="U3714">
        <v>0</v>
      </c>
      <c r="V3714">
        <v>0</v>
      </c>
      <c r="W3714">
        <v>0</v>
      </c>
      <c r="X3714">
        <v>0</v>
      </c>
      <c r="Y3714" t="s">
        <v>31</v>
      </c>
      <c r="Z3714">
        <v>55</v>
      </c>
      <c r="AA3714">
        <v>0</v>
      </c>
    </row>
    <row r="3715" spans="1:27" x14ac:dyDescent="0.2">
      <c r="A3715" t="s">
        <v>547</v>
      </c>
      <c r="B3715">
        <v>2018</v>
      </c>
      <c r="C3715">
        <v>5094017002</v>
      </c>
      <c r="D3715" t="s">
        <v>4722</v>
      </c>
      <c r="E3715" t="s">
        <v>29</v>
      </c>
      <c r="F3715" t="s">
        <v>30</v>
      </c>
      <c r="G3715">
        <v>5</v>
      </c>
      <c r="H3715">
        <v>0</v>
      </c>
      <c r="I3715">
        <v>1</v>
      </c>
      <c r="J3715">
        <v>0</v>
      </c>
      <c r="K3715">
        <v>0</v>
      </c>
      <c r="L3715">
        <v>0</v>
      </c>
      <c r="M3715">
        <v>0</v>
      </c>
      <c r="N3715">
        <v>0</v>
      </c>
      <c r="O3715">
        <v>0</v>
      </c>
      <c r="P3715">
        <v>0</v>
      </c>
      <c r="Q3715">
        <v>0</v>
      </c>
      <c r="R3715">
        <v>0</v>
      </c>
      <c r="S3715">
        <v>0</v>
      </c>
      <c r="T3715">
        <v>0</v>
      </c>
      <c r="U3715">
        <v>0</v>
      </c>
      <c r="V3715">
        <v>0</v>
      </c>
      <c r="W3715">
        <v>0</v>
      </c>
      <c r="X3715">
        <v>0</v>
      </c>
      <c r="Y3715" t="s">
        <v>31</v>
      </c>
      <c r="Z3715">
        <v>55</v>
      </c>
      <c r="AA3715">
        <v>0</v>
      </c>
    </row>
    <row r="3716" spans="1:27" x14ac:dyDescent="0.2">
      <c r="A3716" t="s">
        <v>547</v>
      </c>
      <c r="B3716">
        <v>2018</v>
      </c>
      <c r="C3716">
        <v>2365013023</v>
      </c>
      <c r="D3716" t="s">
        <v>4723</v>
      </c>
      <c r="E3716" t="s">
        <v>29</v>
      </c>
      <c r="F3716" t="s">
        <v>30</v>
      </c>
      <c r="G3716">
        <v>0</v>
      </c>
      <c r="H3716">
        <v>0</v>
      </c>
      <c r="I3716">
        <v>0</v>
      </c>
      <c r="J3716">
        <v>0</v>
      </c>
      <c r="K3716">
        <v>0</v>
      </c>
      <c r="L3716">
        <v>0</v>
      </c>
      <c r="M3716">
        <v>1</v>
      </c>
      <c r="N3716">
        <v>0</v>
      </c>
      <c r="O3716">
        <v>0</v>
      </c>
      <c r="P3716">
        <v>0</v>
      </c>
      <c r="Q3716">
        <v>0</v>
      </c>
      <c r="R3716">
        <v>0</v>
      </c>
      <c r="S3716">
        <v>0</v>
      </c>
      <c r="T3716">
        <v>0</v>
      </c>
      <c r="U3716">
        <v>0</v>
      </c>
      <c r="V3716">
        <v>0</v>
      </c>
      <c r="W3716">
        <v>0</v>
      </c>
      <c r="X3716">
        <v>0</v>
      </c>
      <c r="Y3716" t="s">
        <v>31</v>
      </c>
      <c r="Z3716">
        <v>55</v>
      </c>
      <c r="AA3716">
        <v>0</v>
      </c>
    </row>
    <row r="3717" spans="1:27" x14ac:dyDescent="0.2">
      <c r="A3717" t="s">
        <v>547</v>
      </c>
      <c r="B3717">
        <v>2018</v>
      </c>
      <c r="C3717">
        <v>2423029028</v>
      </c>
      <c r="D3717" t="s">
        <v>4724</v>
      </c>
      <c r="E3717" t="s">
        <v>29</v>
      </c>
      <c r="F3717" t="s">
        <v>30</v>
      </c>
      <c r="G3717">
        <v>0</v>
      </c>
      <c r="H3717">
        <v>0</v>
      </c>
      <c r="I3717">
        <v>0</v>
      </c>
      <c r="J3717">
        <v>0</v>
      </c>
      <c r="K3717">
        <v>0</v>
      </c>
      <c r="L3717">
        <v>0</v>
      </c>
      <c r="M3717">
        <v>0</v>
      </c>
      <c r="N3717">
        <v>0</v>
      </c>
      <c r="O3717">
        <v>1</v>
      </c>
      <c r="P3717">
        <v>0</v>
      </c>
      <c r="Q3717">
        <v>0</v>
      </c>
      <c r="R3717">
        <v>0</v>
      </c>
      <c r="S3717">
        <v>0</v>
      </c>
      <c r="T3717">
        <v>0</v>
      </c>
      <c r="U3717">
        <v>0</v>
      </c>
      <c r="V3717">
        <v>0</v>
      </c>
      <c r="W3717">
        <v>0</v>
      </c>
      <c r="X3717">
        <v>0</v>
      </c>
      <c r="Y3717" t="s">
        <v>31</v>
      </c>
      <c r="Z3717">
        <v>55</v>
      </c>
      <c r="AA3717">
        <v>0</v>
      </c>
    </row>
    <row r="3718" spans="1:27" x14ac:dyDescent="0.2">
      <c r="A3718" t="s">
        <v>547</v>
      </c>
      <c r="B3718">
        <v>2018</v>
      </c>
      <c r="C3718">
        <v>5085015032</v>
      </c>
      <c r="D3718" t="s">
        <v>4725</v>
      </c>
      <c r="E3718" t="s">
        <v>29</v>
      </c>
      <c r="F3718" t="s">
        <v>30</v>
      </c>
      <c r="G3718">
        <v>0</v>
      </c>
      <c r="H3718">
        <v>0</v>
      </c>
      <c r="I3718">
        <v>0</v>
      </c>
      <c r="J3718">
        <v>0</v>
      </c>
      <c r="K3718">
        <v>0</v>
      </c>
      <c r="L3718">
        <v>0</v>
      </c>
      <c r="M3718">
        <v>1</v>
      </c>
      <c r="N3718">
        <v>0</v>
      </c>
      <c r="O3718">
        <v>0</v>
      </c>
      <c r="P3718">
        <v>0</v>
      </c>
      <c r="Q3718">
        <v>0</v>
      </c>
      <c r="R3718">
        <v>0</v>
      </c>
      <c r="S3718">
        <v>0</v>
      </c>
      <c r="T3718">
        <v>0</v>
      </c>
      <c r="U3718">
        <v>0</v>
      </c>
      <c r="V3718">
        <v>0</v>
      </c>
      <c r="W3718">
        <v>0</v>
      </c>
      <c r="X3718">
        <v>0</v>
      </c>
      <c r="Y3718" t="s">
        <v>31</v>
      </c>
      <c r="Z3718">
        <v>55</v>
      </c>
      <c r="AA3718">
        <v>0</v>
      </c>
    </row>
    <row r="3719" spans="1:27" x14ac:dyDescent="0.2">
      <c r="A3719" t="s">
        <v>547</v>
      </c>
      <c r="B3719">
        <v>2018</v>
      </c>
      <c r="C3719">
        <v>2169026110</v>
      </c>
      <c r="D3719" t="s">
        <v>4726</v>
      </c>
      <c r="E3719" t="s">
        <v>29</v>
      </c>
      <c r="F3719" t="s">
        <v>30</v>
      </c>
      <c r="G3719">
        <v>0</v>
      </c>
      <c r="H3719">
        <v>0</v>
      </c>
      <c r="I3719">
        <v>0</v>
      </c>
      <c r="J3719">
        <v>0</v>
      </c>
      <c r="K3719">
        <v>0</v>
      </c>
      <c r="L3719">
        <v>0</v>
      </c>
      <c r="M3719">
        <v>26</v>
      </c>
      <c r="N3719">
        <v>0</v>
      </c>
      <c r="O3719">
        <v>0</v>
      </c>
      <c r="P3719">
        <v>0</v>
      </c>
      <c r="Q3719">
        <v>0</v>
      </c>
      <c r="R3719">
        <v>0</v>
      </c>
      <c r="S3719">
        <v>0</v>
      </c>
      <c r="T3719">
        <v>0</v>
      </c>
      <c r="U3719">
        <v>0</v>
      </c>
      <c r="V3719">
        <v>0</v>
      </c>
      <c r="W3719">
        <v>0</v>
      </c>
      <c r="X3719">
        <v>0</v>
      </c>
      <c r="Y3719" t="s">
        <v>31</v>
      </c>
      <c r="Z3719">
        <v>55</v>
      </c>
      <c r="AA3719">
        <v>0</v>
      </c>
    </row>
    <row r="3720" spans="1:27" x14ac:dyDescent="0.2">
      <c r="A3720" t="s">
        <v>547</v>
      </c>
      <c r="B3720">
        <v>2018</v>
      </c>
      <c r="C3720">
        <v>5521004001</v>
      </c>
      <c r="D3720" t="s">
        <v>4727</v>
      </c>
      <c r="E3720" t="s">
        <v>29</v>
      </c>
      <c r="F3720" t="s">
        <v>30</v>
      </c>
      <c r="G3720">
        <v>0</v>
      </c>
      <c r="H3720">
        <v>0</v>
      </c>
      <c r="I3720">
        <v>0</v>
      </c>
      <c r="J3720">
        <v>0</v>
      </c>
      <c r="K3720">
        <v>0</v>
      </c>
      <c r="L3720">
        <v>0</v>
      </c>
      <c r="M3720">
        <v>6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  <c r="T3720">
        <v>0</v>
      </c>
      <c r="U3720">
        <v>0</v>
      </c>
      <c r="V3720">
        <v>0</v>
      </c>
      <c r="W3720">
        <v>0</v>
      </c>
      <c r="X3720">
        <v>0</v>
      </c>
      <c r="Y3720" t="s">
        <v>31</v>
      </c>
      <c r="Z3720">
        <v>55</v>
      </c>
      <c r="AA3720">
        <v>0</v>
      </c>
    </row>
    <row r="3721" spans="1:27" x14ac:dyDescent="0.2">
      <c r="A3721" t="s">
        <v>547</v>
      </c>
      <c r="B3721">
        <v>2018</v>
      </c>
      <c r="C3721">
        <v>2354012049</v>
      </c>
      <c r="D3721" t="s">
        <v>4728</v>
      </c>
      <c r="E3721" t="s">
        <v>29</v>
      </c>
      <c r="F3721" t="s">
        <v>30</v>
      </c>
      <c r="G3721">
        <v>0</v>
      </c>
      <c r="H3721">
        <v>0</v>
      </c>
      <c r="I3721">
        <v>0</v>
      </c>
      <c r="J3721">
        <v>0</v>
      </c>
      <c r="K3721">
        <v>0</v>
      </c>
      <c r="L3721">
        <v>0</v>
      </c>
      <c r="M3721">
        <v>2</v>
      </c>
      <c r="N3721">
        <v>0</v>
      </c>
      <c r="O3721">
        <v>0</v>
      </c>
      <c r="P3721">
        <v>0</v>
      </c>
      <c r="Q3721">
        <v>0</v>
      </c>
      <c r="R3721">
        <v>0</v>
      </c>
      <c r="S3721">
        <v>0</v>
      </c>
      <c r="T3721">
        <v>0</v>
      </c>
      <c r="U3721">
        <v>0</v>
      </c>
      <c r="V3721">
        <v>0</v>
      </c>
      <c r="W3721">
        <v>0</v>
      </c>
      <c r="X3721">
        <v>0</v>
      </c>
      <c r="Y3721" t="s">
        <v>31</v>
      </c>
      <c r="Z3721">
        <v>55</v>
      </c>
      <c r="AA3721">
        <v>0</v>
      </c>
    </row>
    <row r="3722" spans="1:27" x14ac:dyDescent="0.2">
      <c r="A3722" t="s">
        <v>547</v>
      </c>
      <c r="B3722">
        <v>2018</v>
      </c>
      <c r="C3722">
        <v>2353006015</v>
      </c>
      <c r="D3722" t="s">
        <v>4729</v>
      </c>
      <c r="E3722" t="s">
        <v>29</v>
      </c>
      <c r="F3722" t="s">
        <v>30</v>
      </c>
      <c r="G3722">
        <v>2</v>
      </c>
      <c r="H3722">
        <v>0</v>
      </c>
      <c r="I3722">
        <v>0</v>
      </c>
      <c r="J3722">
        <v>0</v>
      </c>
      <c r="K3722">
        <v>0</v>
      </c>
      <c r="L3722">
        <v>0</v>
      </c>
      <c r="M3722">
        <v>0</v>
      </c>
      <c r="N3722">
        <v>0</v>
      </c>
      <c r="O3722">
        <v>0</v>
      </c>
      <c r="P3722">
        <v>0</v>
      </c>
      <c r="Q3722">
        <v>0</v>
      </c>
      <c r="R3722">
        <v>0</v>
      </c>
      <c r="S3722">
        <v>0</v>
      </c>
      <c r="T3722">
        <v>0</v>
      </c>
      <c r="U3722">
        <v>0</v>
      </c>
      <c r="V3722">
        <v>0</v>
      </c>
      <c r="W3722">
        <v>0</v>
      </c>
      <c r="X3722">
        <v>0</v>
      </c>
      <c r="Y3722" t="s">
        <v>31</v>
      </c>
      <c r="Z3722">
        <v>55</v>
      </c>
      <c r="AA3722">
        <v>0</v>
      </c>
    </row>
    <row r="3723" spans="1:27" x14ac:dyDescent="0.2">
      <c r="A3723" t="s">
        <v>547</v>
      </c>
      <c r="B3723">
        <v>2018</v>
      </c>
      <c r="C3723">
        <v>4235002015</v>
      </c>
      <c r="D3723" t="s">
        <v>4730</v>
      </c>
      <c r="E3723" t="s">
        <v>29</v>
      </c>
      <c r="F3723" t="s">
        <v>30</v>
      </c>
      <c r="G3723">
        <v>2</v>
      </c>
      <c r="H3723">
        <v>0</v>
      </c>
      <c r="I3723">
        <v>0</v>
      </c>
      <c r="J3723">
        <v>0</v>
      </c>
      <c r="K3723">
        <v>0</v>
      </c>
      <c r="L3723">
        <v>0</v>
      </c>
      <c r="M3723">
        <v>0</v>
      </c>
      <c r="N3723">
        <v>0</v>
      </c>
      <c r="O3723">
        <v>0</v>
      </c>
      <c r="P3723">
        <v>0</v>
      </c>
      <c r="Q3723">
        <v>0</v>
      </c>
      <c r="R3723">
        <v>0</v>
      </c>
      <c r="S3723">
        <v>0</v>
      </c>
      <c r="T3723">
        <v>0</v>
      </c>
      <c r="U3723">
        <v>0</v>
      </c>
      <c r="V3723">
        <v>0</v>
      </c>
      <c r="W3723">
        <v>0</v>
      </c>
      <c r="X3723">
        <v>0</v>
      </c>
      <c r="Y3723" t="s">
        <v>31</v>
      </c>
      <c r="Z3723">
        <v>55</v>
      </c>
      <c r="AA3723">
        <v>0</v>
      </c>
    </row>
    <row r="3724" spans="1:27" x14ac:dyDescent="0.2">
      <c r="A3724" t="s">
        <v>547</v>
      </c>
      <c r="B3724">
        <v>2018</v>
      </c>
      <c r="C3724">
        <v>0</v>
      </c>
      <c r="D3724" t="s">
        <v>4731</v>
      </c>
      <c r="E3724" t="s">
        <v>29</v>
      </c>
      <c r="F3724" t="s">
        <v>30</v>
      </c>
      <c r="G3724">
        <v>3</v>
      </c>
      <c r="H3724">
        <v>0</v>
      </c>
      <c r="I3724">
        <v>0</v>
      </c>
      <c r="J3724">
        <v>0</v>
      </c>
      <c r="K3724">
        <v>0</v>
      </c>
      <c r="L3724">
        <v>0</v>
      </c>
      <c r="M3724">
        <v>0</v>
      </c>
      <c r="N3724">
        <v>0</v>
      </c>
      <c r="O3724">
        <v>0</v>
      </c>
      <c r="P3724">
        <v>0</v>
      </c>
      <c r="Q3724">
        <v>0</v>
      </c>
      <c r="R3724">
        <v>0</v>
      </c>
      <c r="S3724">
        <v>0</v>
      </c>
      <c r="T3724">
        <v>0</v>
      </c>
      <c r="U3724">
        <v>0</v>
      </c>
      <c r="V3724">
        <v>0</v>
      </c>
      <c r="W3724">
        <v>0</v>
      </c>
      <c r="X3724">
        <v>0</v>
      </c>
      <c r="Y3724" t="s">
        <v>31</v>
      </c>
      <c r="Z3724">
        <v>55</v>
      </c>
      <c r="AA3724">
        <v>0</v>
      </c>
    </row>
    <row r="3725" spans="1:27" x14ac:dyDescent="0.2">
      <c r="A3725" t="s">
        <v>547</v>
      </c>
      <c r="B3725">
        <v>2018</v>
      </c>
      <c r="C3725">
        <v>5056004018</v>
      </c>
      <c r="D3725" t="s">
        <v>4732</v>
      </c>
      <c r="E3725" t="s">
        <v>29</v>
      </c>
      <c r="F3725" t="s">
        <v>30</v>
      </c>
      <c r="G3725">
        <v>2</v>
      </c>
      <c r="H3725">
        <v>0</v>
      </c>
      <c r="I3725">
        <v>0</v>
      </c>
      <c r="J3725">
        <v>0</v>
      </c>
      <c r="K3725">
        <v>0</v>
      </c>
      <c r="L3725">
        <v>0</v>
      </c>
      <c r="M3725">
        <v>0</v>
      </c>
      <c r="N3725">
        <v>0</v>
      </c>
      <c r="O3725">
        <v>0</v>
      </c>
      <c r="P3725">
        <v>0</v>
      </c>
      <c r="Q3725">
        <v>0</v>
      </c>
      <c r="R3725">
        <v>0</v>
      </c>
      <c r="S3725">
        <v>0</v>
      </c>
      <c r="T3725">
        <v>0</v>
      </c>
      <c r="U3725">
        <v>0</v>
      </c>
      <c r="V3725">
        <v>0</v>
      </c>
      <c r="W3725">
        <v>0</v>
      </c>
      <c r="X3725">
        <v>0</v>
      </c>
      <c r="Y3725" t="s">
        <v>31</v>
      </c>
      <c r="Z3725">
        <v>55</v>
      </c>
      <c r="AA3725">
        <v>0</v>
      </c>
    </row>
    <row r="3726" spans="1:27" x14ac:dyDescent="0.2">
      <c r="A3726" t="s">
        <v>547</v>
      </c>
      <c r="B3726">
        <v>2018</v>
      </c>
      <c r="C3726">
        <v>5076006027</v>
      </c>
      <c r="D3726" t="s">
        <v>4733</v>
      </c>
      <c r="E3726" t="s">
        <v>29</v>
      </c>
      <c r="F3726" t="s">
        <v>30</v>
      </c>
      <c r="G3726">
        <v>20</v>
      </c>
      <c r="H3726">
        <v>0</v>
      </c>
      <c r="I3726">
        <v>0</v>
      </c>
      <c r="J3726">
        <v>0</v>
      </c>
      <c r="K3726">
        <v>0</v>
      </c>
      <c r="L3726">
        <v>0</v>
      </c>
      <c r="M3726">
        <v>0</v>
      </c>
      <c r="N3726">
        <v>0</v>
      </c>
      <c r="O3726">
        <v>0</v>
      </c>
      <c r="P3726">
        <v>0</v>
      </c>
      <c r="Q3726">
        <v>0</v>
      </c>
      <c r="R3726">
        <v>0</v>
      </c>
      <c r="S3726">
        <v>0</v>
      </c>
      <c r="T3726">
        <v>0</v>
      </c>
      <c r="U3726">
        <v>0</v>
      </c>
      <c r="V3726">
        <v>0</v>
      </c>
      <c r="W3726">
        <v>0</v>
      </c>
      <c r="X3726">
        <v>0</v>
      </c>
      <c r="Y3726" t="s">
        <v>31</v>
      </c>
      <c r="Z3726">
        <v>55</v>
      </c>
      <c r="AA3726">
        <v>0</v>
      </c>
    </row>
    <row r="3727" spans="1:27" x14ac:dyDescent="0.2">
      <c r="A3727" t="s">
        <v>547</v>
      </c>
      <c r="B3727">
        <v>2018</v>
      </c>
      <c r="C3727">
        <v>5510005034</v>
      </c>
      <c r="D3727" t="s">
        <v>4734</v>
      </c>
      <c r="E3727" t="s">
        <v>29</v>
      </c>
      <c r="F3727" t="s">
        <v>30</v>
      </c>
      <c r="G3727">
        <v>5</v>
      </c>
      <c r="H3727">
        <v>0</v>
      </c>
      <c r="I3727">
        <v>0</v>
      </c>
      <c r="J3727">
        <v>0</v>
      </c>
      <c r="K3727">
        <v>0</v>
      </c>
      <c r="L3727">
        <v>0</v>
      </c>
      <c r="M3727">
        <v>0</v>
      </c>
      <c r="N3727">
        <v>0</v>
      </c>
      <c r="O3727">
        <v>0</v>
      </c>
      <c r="P3727">
        <v>0</v>
      </c>
      <c r="Q3727">
        <v>0</v>
      </c>
      <c r="R3727">
        <v>0</v>
      </c>
      <c r="S3727">
        <v>0</v>
      </c>
      <c r="T3727">
        <v>0</v>
      </c>
      <c r="U3727">
        <v>0</v>
      </c>
      <c r="V3727">
        <v>0</v>
      </c>
      <c r="W3727">
        <v>0</v>
      </c>
      <c r="X3727">
        <v>0</v>
      </c>
      <c r="Y3727" t="s">
        <v>31</v>
      </c>
      <c r="Z3727">
        <v>55</v>
      </c>
      <c r="AA3727">
        <v>0</v>
      </c>
    </row>
    <row r="3728" spans="1:27" x14ac:dyDescent="0.2">
      <c r="A3728" t="s">
        <v>547</v>
      </c>
      <c r="B3728">
        <v>2018</v>
      </c>
      <c r="C3728">
        <v>2236011020</v>
      </c>
      <c r="D3728" t="s">
        <v>4735</v>
      </c>
      <c r="E3728" t="s">
        <v>29</v>
      </c>
      <c r="F3728" t="s">
        <v>30</v>
      </c>
      <c r="G3728">
        <v>10</v>
      </c>
      <c r="H3728">
        <v>0</v>
      </c>
      <c r="I3728">
        <v>0</v>
      </c>
      <c r="J3728">
        <v>0</v>
      </c>
      <c r="K3728">
        <v>0</v>
      </c>
      <c r="L3728">
        <v>0</v>
      </c>
      <c r="M3728">
        <v>0</v>
      </c>
      <c r="N3728">
        <v>0</v>
      </c>
      <c r="O3728">
        <v>0</v>
      </c>
      <c r="P3728">
        <v>0</v>
      </c>
      <c r="Q3728">
        <v>0</v>
      </c>
      <c r="R3728">
        <v>0</v>
      </c>
      <c r="S3728">
        <v>0</v>
      </c>
      <c r="T3728">
        <v>0</v>
      </c>
      <c r="U3728">
        <v>0</v>
      </c>
      <c r="V3728">
        <v>0</v>
      </c>
      <c r="W3728">
        <v>0</v>
      </c>
      <c r="X3728">
        <v>0</v>
      </c>
      <c r="Y3728" t="s">
        <v>31</v>
      </c>
      <c r="Z3728">
        <v>55</v>
      </c>
      <c r="AA3728">
        <v>0</v>
      </c>
    </row>
    <row r="3729" spans="1:27" x14ac:dyDescent="0.2">
      <c r="A3729" t="s">
        <v>547</v>
      </c>
      <c r="B3729">
        <v>2018</v>
      </c>
      <c r="C3729">
        <v>5093008013</v>
      </c>
      <c r="D3729" t="s">
        <v>4736</v>
      </c>
      <c r="E3729" t="s">
        <v>29</v>
      </c>
      <c r="F3729" t="s">
        <v>30</v>
      </c>
      <c r="G3729">
        <v>8</v>
      </c>
      <c r="H3729">
        <v>0</v>
      </c>
      <c r="I3729">
        <v>0</v>
      </c>
      <c r="J3729">
        <v>0</v>
      </c>
      <c r="K3729">
        <v>0</v>
      </c>
      <c r="L3729">
        <v>0</v>
      </c>
      <c r="M3729">
        <v>0</v>
      </c>
      <c r="N3729">
        <v>0</v>
      </c>
      <c r="O3729">
        <v>0</v>
      </c>
      <c r="P3729">
        <v>0</v>
      </c>
      <c r="Q3729">
        <v>0</v>
      </c>
      <c r="R3729">
        <v>0</v>
      </c>
      <c r="S3729">
        <v>0</v>
      </c>
      <c r="T3729">
        <v>0</v>
      </c>
      <c r="U3729">
        <v>0</v>
      </c>
      <c r="V3729">
        <v>0</v>
      </c>
      <c r="W3729">
        <v>0</v>
      </c>
      <c r="X3729">
        <v>0</v>
      </c>
      <c r="Y3729" t="s">
        <v>31</v>
      </c>
      <c r="Z3729">
        <v>55</v>
      </c>
      <c r="AA3729">
        <v>0</v>
      </c>
    </row>
    <row r="3730" spans="1:27" x14ac:dyDescent="0.2">
      <c r="A3730" t="s">
        <v>1165</v>
      </c>
      <c r="B3730">
        <v>2019</v>
      </c>
      <c r="C3730" t="s">
        <v>1180</v>
      </c>
      <c r="D3730" t="s">
        <v>1181</v>
      </c>
      <c r="E3730" t="s">
        <v>29</v>
      </c>
      <c r="F3730" t="s">
        <v>41</v>
      </c>
      <c r="G3730">
        <v>0</v>
      </c>
      <c r="H3730">
        <v>0</v>
      </c>
      <c r="I3730">
        <v>1</v>
      </c>
      <c r="J3730">
        <v>0</v>
      </c>
      <c r="K3730">
        <v>0</v>
      </c>
      <c r="L3730">
        <v>0</v>
      </c>
      <c r="M3730">
        <v>0</v>
      </c>
      <c r="N3730">
        <v>0</v>
      </c>
      <c r="O3730">
        <v>0</v>
      </c>
      <c r="P3730">
        <v>0</v>
      </c>
      <c r="Q3730">
        <v>0</v>
      </c>
      <c r="R3730">
        <v>0</v>
      </c>
      <c r="S3730">
        <v>0</v>
      </c>
      <c r="T3730">
        <v>0</v>
      </c>
      <c r="U3730">
        <v>0</v>
      </c>
      <c r="V3730">
        <v>0</v>
      </c>
      <c r="W3730">
        <v>0</v>
      </c>
      <c r="X3730">
        <v>0</v>
      </c>
      <c r="Y3730" t="s">
        <v>51</v>
      </c>
      <c r="Z3730">
        <v>1000</v>
      </c>
      <c r="AA3730">
        <v>0</v>
      </c>
    </row>
    <row r="3731" spans="1:27" x14ac:dyDescent="0.2">
      <c r="A3731" t="s">
        <v>260</v>
      </c>
      <c r="B3731">
        <v>2022</v>
      </c>
      <c r="C3731">
        <v>19620067000</v>
      </c>
      <c r="D3731" t="s">
        <v>4737</v>
      </c>
      <c r="E3731" t="s">
        <v>29</v>
      </c>
      <c r="F3731" t="s">
        <v>30</v>
      </c>
      <c r="G3731">
        <v>0</v>
      </c>
      <c r="H3731">
        <v>0</v>
      </c>
      <c r="I3731">
        <v>18</v>
      </c>
      <c r="J3731">
        <v>0</v>
      </c>
      <c r="K3731">
        <v>0</v>
      </c>
      <c r="L3731">
        <v>0</v>
      </c>
      <c r="M3731">
        <v>0</v>
      </c>
      <c r="N3731">
        <v>0</v>
      </c>
      <c r="O3731">
        <v>0</v>
      </c>
      <c r="P3731">
        <v>0</v>
      </c>
      <c r="Q3731">
        <v>0</v>
      </c>
      <c r="R3731">
        <v>0</v>
      </c>
      <c r="S3731">
        <v>0</v>
      </c>
      <c r="T3731">
        <v>0</v>
      </c>
      <c r="U3731">
        <v>0</v>
      </c>
      <c r="V3731">
        <v>0</v>
      </c>
      <c r="W3731">
        <v>0</v>
      </c>
      <c r="X3731">
        <v>0</v>
      </c>
      <c r="Y3731" t="s">
        <v>31</v>
      </c>
      <c r="Z3731">
        <v>55</v>
      </c>
      <c r="AA3731">
        <v>50</v>
      </c>
    </row>
    <row r="3732" spans="1:27" x14ac:dyDescent="0.2">
      <c r="A3732" t="s">
        <v>547</v>
      </c>
      <c r="B3732">
        <v>2018</v>
      </c>
      <c r="C3732">
        <v>5533026057</v>
      </c>
      <c r="D3732" t="s">
        <v>4738</v>
      </c>
      <c r="E3732" t="s">
        <v>29</v>
      </c>
      <c r="F3732" t="s">
        <v>30</v>
      </c>
      <c r="G3732">
        <v>2</v>
      </c>
      <c r="H3732">
        <v>0</v>
      </c>
      <c r="I3732">
        <v>0</v>
      </c>
      <c r="J3732">
        <v>0</v>
      </c>
      <c r="K3732">
        <v>0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  <c r="T3732">
        <v>0</v>
      </c>
      <c r="U3732">
        <v>0</v>
      </c>
      <c r="V3732">
        <v>0</v>
      </c>
      <c r="W3732">
        <v>0</v>
      </c>
      <c r="X3732">
        <v>0</v>
      </c>
      <c r="Y3732" t="s">
        <v>31</v>
      </c>
      <c r="Z3732">
        <v>55</v>
      </c>
      <c r="AA3732">
        <v>0</v>
      </c>
    </row>
    <row r="3733" spans="1:27" x14ac:dyDescent="0.2">
      <c r="A3733" t="s">
        <v>219</v>
      </c>
      <c r="B3733">
        <v>2020</v>
      </c>
      <c r="C3733" t="s">
        <v>2978</v>
      </c>
      <c r="D3733" t="s">
        <v>4739</v>
      </c>
      <c r="E3733" t="s">
        <v>29</v>
      </c>
      <c r="F3733" t="s">
        <v>30</v>
      </c>
      <c r="G3733">
        <v>0</v>
      </c>
      <c r="H3733">
        <v>0</v>
      </c>
      <c r="I3733">
        <v>0</v>
      </c>
      <c r="J3733">
        <v>0</v>
      </c>
      <c r="K3733">
        <v>0</v>
      </c>
      <c r="L3733">
        <v>0</v>
      </c>
      <c r="M3733">
        <v>28</v>
      </c>
      <c r="N3733">
        <v>0</v>
      </c>
      <c r="O3733">
        <v>176</v>
      </c>
      <c r="P3733">
        <v>0</v>
      </c>
      <c r="Q3733">
        <v>0</v>
      </c>
      <c r="R3733">
        <v>0</v>
      </c>
      <c r="S3733">
        <v>0</v>
      </c>
      <c r="T3733">
        <v>0</v>
      </c>
      <c r="U3733">
        <v>0</v>
      </c>
      <c r="V3733">
        <v>0</v>
      </c>
      <c r="W3733">
        <v>0</v>
      </c>
      <c r="X3733">
        <v>0</v>
      </c>
      <c r="Y3733" t="s">
        <v>31</v>
      </c>
      <c r="Z3733">
        <v>55</v>
      </c>
      <c r="AA3733">
        <v>0</v>
      </c>
    </row>
    <row r="3734" spans="1:27" x14ac:dyDescent="0.2">
      <c r="A3734" t="s">
        <v>547</v>
      </c>
      <c r="B3734">
        <v>2018</v>
      </c>
      <c r="C3734">
        <v>5533018001</v>
      </c>
      <c r="D3734" t="s">
        <v>4740</v>
      </c>
      <c r="E3734" t="s">
        <v>29</v>
      </c>
      <c r="F3734" t="s">
        <v>30</v>
      </c>
      <c r="G3734">
        <v>0</v>
      </c>
      <c r="H3734">
        <v>0</v>
      </c>
      <c r="I3734">
        <v>0</v>
      </c>
      <c r="J3734">
        <v>0</v>
      </c>
      <c r="K3734">
        <v>0</v>
      </c>
      <c r="L3734">
        <v>0</v>
      </c>
      <c r="M3734">
        <v>7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  <c r="T3734">
        <v>0</v>
      </c>
      <c r="U3734">
        <v>0</v>
      </c>
      <c r="V3734">
        <v>0</v>
      </c>
      <c r="W3734">
        <v>0</v>
      </c>
      <c r="X3734">
        <v>0</v>
      </c>
      <c r="Y3734" t="s">
        <v>31</v>
      </c>
      <c r="Z3734">
        <v>55</v>
      </c>
      <c r="AA3734">
        <v>0</v>
      </c>
    </row>
    <row r="3735" spans="1:27" x14ac:dyDescent="0.2">
      <c r="A3735" t="s">
        <v>547</v>
      </c>
      <c r="B3735">
        <v>2018</v>
      </c>
      <c r="C3735">
        <v>5086004008</v>
      </c>
      <c r="D3735" t="s">
        <v>4741</v>
      </c>
      <c r="E3735" t="s">
        <v>29</v>
      </c>
      <c r="F3735" t="s">
        <v>30</v>
      </c>
      <c r="G3735">
        <v>0</v>
      </c>
      <c r="H3735">
        <v>0</v>
      </c>
      <c r="I3735">
        <v>0</v>
      </c>
      <c r="J3735">
        <v>0</v>
      </c>
      <c r="K3735">
        <v>0</v>
      </c>
      <c r="L3735">
        <v>0</v>
      </c>
      <c r="M3735">
        <v>5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  <c r="T3735">
        <v>0</v>
      </c>
      <c r="U3735">
        <v>0</v>
      </c>
      <c r="V3735">
        <v>0</v>
      </c>
      <c r="W3735">
        <v>0</v>
      </c>
      <c r="X3735">
        <v>0</v>
      </c>
      <c r="Y3735" t="s">
        <v>31</v>
      </c>
      <c r="Z3735">
        <v>55</v>
      </c>
      <c r="AA3735">
        <v>0</v>
      </c>
    </row>
    <row r="3736" spans="1:27" x14ac:dyDescent="0.2">
      <c r="A3736" t="s">
        <v>547</v>
      </c>
      <c r="B3736">
        <v>2018</v>
      </c>
      <c r="C3736">
        <v>4313008025</v>
      </c>
      <c r="D3736" t="s">
        <v>4742</v>
      </c>
      <c r="E3736" t="s">
        <v>29</v>
      </c>
      <c r="F3736" t="s">
        <v>30</v>
      </c>
      <c r="G3736">
        <v>0</v>
      </c>
      <c r="H3736">
        <v>0</v>
      </c>
      <c r="I3736">
        <v>0</v>
      </c>
      <c r="J3736">
        <v>0</v>
      </c>
      <c r="K3736">
        <v>0</v>
      </c>
      <c r="L3736">
        <v>0</v>
      </c>
      <c r="M3736">
        <v>3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>
        <v>0</v>
      </c>
      <c r="U3736">
        <v>0</v>
      </c>
      <c r="V3736">
        <v>0</v>
      </c>
      <c r="W3736">
        <v>0</v>
      </c>
      <c r="X3736">
        <v>0</v>
      </c>
      <c r="Y3736" t="s">
        <v>31</v>
      </c>
      <c r="Z3736">
        <v>55</v>
      </c>
      <c r="AA3736">
        <v>0</v>
      </c>
    </row>
    <row r="3737" spans="1:27" x14ac:dyDescent="0.2">
      <c r="A3737" t="s">
        <v>547</v>
      </c>
      <c r="B3737">
        <v>2018</v>
      </c>
      <c r="C3737">
        <v>5093022011</v>
      </c>
      <c r="D3737" t="s">
        <v>4743</v>
      </c>
      <c r="E3737" t="s">
        <v>29</v>
      </c>
      <c r="F3737" t="s">
        <v>30</v>
      </c>
      <c r="G3737">
        <v>0</v>
      </c>
      <c r="H3737">
        <v>0</v>
      </c>
      <c r="I3737">
        <v>0</v>
      </c>
      <c r="J3737">
        <v>0</v>
      </c>
      <c r="K3737">
        <v>0</v>
      </c>
      <c r="L3737">
        <v>0</v>
      </c>
      <c r="M3737">
        <v>11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>
        <v>0</v>
      </c>
      <c r="U3737">
        <v>0</v>
      </c>
      <c r="V3737">
        <v>0</v>
      </c>
      <c r="W3737">
        <v>0</v>
      </c>
      <c r="X3737">
        <v>0</v>
      </c>
      <c r="Y3737" t="s">
        <v>31</v>
      </c>
      <c r="Z3737">
        <v>55</v>
      </c>
      <c r="AA3737">
        <v>0</v>
      </c>
    </row>
    <row r="3738" spans="1:27" x14ac:dyDescent="0.2">
      <c r="A3738" t="s">
        <v>547</v>
      </c>
      <c r="B3738">
        <v>2018</v>
      </c>
      <c r="C3738">
        <v>7418004008</v>
      </c>
      <c r="D3738" t="s">
        <v>4744</v>
      </c>
      <c r="E3738" t="s">
        <v>29</v>
      </c>
      <c r="F3738" t="s">
        <v>30</v>
      </c>
      <c r="G3738">
        <v>0</v>
      </c>
      <c r="H3738">
        <v>0</v>
      </c>
      <c r="I3738">
        <v>0</v>
      </c>
      <c r="J3738">
        <v>0</v>
      </c>
      <c r="K3738">
        <v>0</v>
      </c>
      <c r="L3738">
        <v>0</v>
      </c>
      <c r="M3738">
        <v>0</v>
      </c>
      <c r="N3738">
        <v>0</v>
      </c>
      <c r="O3738">
        <v>10</v>
      </c>
      <c r="P3738">
        <v>0</v>
      </c>
      <c r="Q3738">
        <v>0</v>
      </c>
      <c r="R3738">
        <v>0</v>
      </c>
      <c r="S3738">
        <v>0</v>
      </c>
      <c r="T3738">
        <v>0</v>
      </c>
      <c r="U3738">
        <v>0</v>
      </c>
      <c r="V3738">
        <v>0</v>
      </c>
      <c r="W3738">
        <v>0</v>
      </c>
      <c r="X3738">
        <v>0</v>
      </c>
      <c r="Y3738" t="s">
        <v>31</v>
      </c>
      <c r="Z3738">
        <v>55</v>
      </c>
      <c r="AA3738">
        <v>0</v>
      </c>
    </row>
    <row r="3739" spans="1:27" x14ac:dyDescent="0.2">
      <c r="A3739" t="s">
        <v>547</v>
      </c>
      <c r="B3739">
        <v>2018</v>
      </c>
      <c r="C3739">
        <v>4108019029</v>
      </c>
      <c r="D3739" t="s">
        <v>4745</v>
      </c>
      <c r="E3739" t="s">
        <v>29</v>
      </c>
      <c r="F3739" t="s">
        <v>30</v>
      </c>
      <c r="G3739">
        <v>8</v>
      </c>
      <c r="H3739">
        <v>0</v>
      </c>
      <c r="I3739">
        <v>0</v>
      </c>
      <c r="J3739">
        <v>0</v>
      </c>
      <c r="K3739">
        <v>0</v>
      </c>
      <c r="L3739">
        <v>0</v>
      </c>
      <c r="M3739">
        <v>0</v>
      </c>
      <c r="N3739">
        <v>0</v>
      </c>
      <c r="O3739">
        <v>0</v>
      </c>
      <c r="P3739">
        <v>0</v>
      </c>
      <c r="Q3739">
        <v>0</v>
      </c>
      <c r="R3739">
        <v>0</v>
      </c>
      <c r="S3739">
        <v>0</v>
      </c>
      <c r="T3739">
        <v>0</v>
      </c>
      <c r="U3739">
        <v>0</v>
      </c>
      <c r="V3739">
        <v>0</v>
      </c>
      <c r="W3739">
        <v>0</v>
      </c>
      <c r="X3739">
        <v>0</v>
      </c>
      <c r="Y3739" t="s">
        <v>31</v>
      </c>
      <c r="Z3739">
        <v>55</v>
      </c>
      <c r="AA3739">
        <v>0</v>
      </c>
    </row>
    <row r="3740" spans="1:27" x14ac:dyDescent="0.2">
      <c r="A3740" t="s">
        <v>547</v>
      </c>
      <c r="B3740">
        <v>2018</v>
      </c>
      <c r="C3740">
        <v>5532021030</v>
      </c>
      <c r="D3740" t="s">
        <v>4746</v>
      </c>
      <c r="E3740" t="s">
        <v>29</v>
      </c>
      <c r="F3740" t="s">
        <v>30</v>
      </c>
      <c r="G3740">
        <v>0</v>
      </c>
      <c r="H3740">
        <v>0</v>
      </c>
      <c r="I3740">
        <v>0</v>
      </c>
      <c r="J3740">
        <v>0</v>
      </c>
      <c r="K3740">
        <v>0</v>
      </c>
      <c r="L3740">
        <v>0</v>
      </c>
      <c r="M3740">
        <v>14</v>
      </c>
      <c r="N3740">
        <v>0</v>
      </c>
      <c r="O3740">
        <v>0</v>
      </c>
      <c r="P3740">
        <v>0</v>
      </c>
      <c r="Q3740">
        <v>110</v>
      </c>
      <c r="R3740">
        <v>0</v>
      </c>
      <c r="S3740">
        <v>0</v>
      </c>
      <c r="T3740">
        <v>0</v>
      </c>
      <c r="U3740">
        <v>0</v>
      </c>
      <c r="V3740">
        <v>0</v>
      </c>
      <c r="W3740">
        <v>0</v>
      </c>
      <c r="X3740">
        <v>0</v>
      </c>
      <c r="Y3740" t="s">
        <v>31</v>
      </c>
      <c r="Z3740">
        <v>55</v>
      </c>
      <c r="AA3740">
        <v>0</v>
      </c>
    </row>
    <row r="3741" spans="1:27" x14ac:dyDescent="0.2">
      <c r="A3741" t="s">
        <v>547</v>
      </c>
      <c r="B3741">
        <v>2018</v>
      </c>
      <c r="C3741">
        <v>5520024009</v>
      </c>
      <c r="D3741" t="s">
        <v>4747</v>
      </c>
      <c r="E3741" t="s">
        <v>29</v>
      </c>
      <c r="F3741" t="s">
        <v>30</v>
      </c>
      <c r="G3741">
        <v>0</v>
      </c>
      <c r="H3741">
        <v>0</v>
      </c>
      <c r="I3741">
        <v>0</v>
      </c>
      <c r="J3741">
        <v>0</v>
      </c>
      <c r="K3741">
        <v>0</v>
      </c>
      <c r="L3741">
        <v>0</v>
      </c>
      <c r="M3741">
        <v>1</v>
      </c>
      <c r="N3741">
        <v>0</v>
      </c>
      <c r="O3741">
        <v>0</v>
      </c>
      <c r="P3741">
        <v>0</v>
      </c>
      <c r="Q3741">
        <v>0</v>
      </c>
      <c r="R3741">
        <v>0</v>
      </c>
      <c r="S3741">
        <v>0</v>
      </c>
      <c r="T3741">
        <v>0</v>
      </c>
      <c r="U3741">
        <v>0</v>
      </c>
      <c r="V3741">
        <v>0</v>
      </c>
      <c r="W3741">
        <v>0</v>
      </c>
      <c r="X3741">
        <v>0</v>
      </c>
      <c r="Y3741" t="s">
        <v>31</v>
      </c>
      <c r="Z3741">
        <v>55</v>
      </c>
      <c r="AA3741">
        <v>0</v>
      </c>
    </row>
    <row r="3742" spans="1:27" x14ac:dyDescent="0.2">
      <c r="A3742" t="s">
        <v>547</v>
      </c>
      <c r="B3742">
        <v>2018</v>
      </c>
      <c r="C3742">
        <v>5528003040</v>
      </c>
      <c r="D3742" t="s">
        <v>4748</v>
      </c>
      <c r="E3742" t="s">
        <v>29</v>
      </c>
      <c r="F3742" t="s">
        <v>30</v>
      </c>
      <c r="G3742">
        <v>0</v>
      </c>
      <c r="H3742">
        <v>0</v>
      </c>
      <c r="I3742">
        <v>0</v>
      </c>
      <c r="J3742">
        <v>0</v>
      </c>
      <c r="K3742">
        <v>0</v>
      </c>
      <c r="L3742">
        <v>0</v>
      </c>
      <c r="M3742">
        <v>2</v>
      </c>
      <c r="N3742">
        <v>0</v>
      </c>
      <c r="O3742">
        <v>0</v>
      </c>
      <c r="P3742">
        <v>0</v>
      </c>
      <c r="Q3742">
        <v>0</v>
      </c>
      <c r="R3742">
        <v>0</v>
      </c>
      <c r="S3742">
        <v>0</v>
      </c>
      <c r="T3742">
        <v>0</v>
      </c>
      <c r="U3742">
        <v>0</v>
      </c>
      <c r="V3742">
        <v>0</v>
      </c>
      <c r="W3742">
        <v>0</v>
      </c>
      <c r="X3742">
        <v>0</v>
      </c>
      <c r="Y3742" t="s">
        <v>31</v>
      </c>
      <c r="Z3742">
        <v>55</v>
      </c>
      <c r="AA3742">
        <v>0</v>
      </c>
    </row>
    <row r="3743" spans="1:27" x14ac:dyDescent="0.2">
      <c r="A3743" t="s">
        <v>547</v>
      </c>
      <c r="B3743">
        <v>2018</v>
      </c>
      <c r="C3743">
        <v>4332025033</v>
      </c>
      <c r="D3743" t="s">
        <v>4749</v>
      </c>
      <c r="E3743" t="s">
        <v>29</v>
      </c>
      <c r="F3743" t="s">
        <v>30</v>
      </c>
      <c r="G3743">
        <v>0</v>
      </c>
      <c r="H3743">
        <v>0</v>
      </c>
      <c r="I3743">
        <v>0</v>
      </c>
      <c r="J3743">
        <v>0</v>
      </c>
      <c r="K3743">
        <v>0</v>
      </c>
      <c r="L3743">
        <v>0</v>
      </c>
      <c r="M3743">
        <v>2</v>
      </c>
      <c r="N3743">
        <v>0</v>
      </c>
      <c r="O3743">
        <v>0</v>
      </c>
      <c r="P3743">
        <v>0</v>
      </c>
      <c r="Q3743">
        <v>0</v>
      </c>
      <c r="R3743">
        <v>0</v>
      </c>
      <c r="S3743">
        <v>0</v>
      </c>
      <c r="T3743">
        <v>0</v>
      </c>
      <c r="U3743">
        <v>0</v>
      </c>
      <c r="V3743">
        <v>0</v>
      </c>
      <c r="W3743">
        <v>0</v>
      </c>
      <c r="X3743">
        <v>0</v>
      </c>
      <c r="Y3743" t="s">
        <v>31</v>
      </c>
      <c r="Z3743">
        <v>55</v>
      </c>
      <c r="AA3743">
        <v>0</v>
      </c>
    </row>
    <row r="3744" spans="1:27" x14ac:dyDescent="0.2">
      <c r="A3744" t="s">
        <v>547</v>
      </c>
      <c r="B3744">
        <v>2018</v>
      </c>
      <c r="C3744">
        <v>4332022040</v>
      </c>
      <c r="D3744" t="s">
        <v>4750</v>
      </c>
      <c r="E3744" t="s">
        <v>29</v>
      </c>
      <c r="F3744" t="s">
        <v>30</v>
      </c>
      <c r="G3744">
        <v>0</v>
      </c>
      <c r="H3744">
        <v>0</v>
      </c>
      <c r="I3744">
        <v>0</v>
      </c>
      <c r="J3744">
        <v>0</v>
      </c>
      <c r="K3744">
        <v>0</v>
      </c>
      <c r="L3744">
        <v>0</v>
      </c>
      <c r="M3744">
        <v>2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  <c r="T3744">
        <v>0</v>
      </c>
      <c r="U3744">
        <v>0</v>
      </c>
      <c r="V3744">
        <v>0</v>
      </c>
      <c r="W3744">
        <v>0</v>
      </c>
      <c r="X3744">
        <v>0</v>
      </c>
      <c r="Y3744" t="s">
        <v>31</v>
      </c>
      <c r="Z3744">
        <v>55</v>
      </c>
      <c r="AA3744">
        <v>0</v>
      </c>
    </row>
    <row r="3745" spans="1:27" x14ac:dyDescent="0.2">
      <c r="A3745" t="s">
        <v>547</v>
      </c>
      <c r="B3745">
        <v>2018</v>
      </c>
      <c r="C3745">
        <v>4334016030</v>
      </c>
      <c r="D3745" t="s">
        <v>4751</v>
      </c>
      <c r="E3745" t="s">
        <v>29</v>
      </c>
      <c r="F3745" t="s">
        <v>30</v>
      </c>
      <c r="G3745">
        <v>0</v>
      </c>
      <c r="H3745">
        <v>0</v>
      </c>
      <c r="I3745">
        <v>0</v>
      </c>
      <c r="J3745">
        <v>0</v>
      </c>
      <c r="K3745">
        <v>0</v>
      </c>
      <c r="L3745">
        <v>0</v>
      </c>
      <c r="M3745">
        <v>1</v>
      </c>
      <c r="N3745">
        <v>0</v>
      </c>
      <c r="O3745">
        <v>0</v>
      </c>
      <c r="P3745">
        <v>0</v>
      </c>
      <c r="Q3745">
        <v>0</v>
      </c>
      <c r="R3745">
        <v>0</v>
      </c>
      <c r="S3745">
        <v>0</v>
      </c>
      <c r="T3745">
        <v>0</v>
      </c>
      <c r="U3745">
        <v>0</v>
      </c>
      <c r="V3745">
        <v>0</v>
      </c>
      <c r="W3745">
        <v>0</v>
      </c>
      <c r="X3745">
        <v>0</v>
      </c>
      <c r="Y3745" t="s">
        <v>31</v>
      </c>
      <c r="Z3745">
        <v>55</v>
      </c>
      <c r="AA3745">
        <v>0</v>
      </c>
    </row>
    <row r="3746" spans="1:27" x14ac:dyDescent="0.2">
      <c r="A3746" t="s">
        <v>547</v>
      </c>
      <c r="B3746">
        <v>2018</v>
      </c>
      <c r="C3746">
        <v>2565013041</v>
      </c>
      <c r="D3746" t="s">
        <v>4752</v>
      </c>
      <c r="E3746" t="s">
        <v>29</v>
      </c>
      <c r="F3746" t="s">
        <v>30</v>
      </c>
      <c r="G3746">
        <v>4</v>
      </c>
      <c r="H3746">
        <v>0</v>
      </c>
      <c r="I3746">
        <v>4</v>
      </c>
      <c r="J3746">
        <v>0</v>
      </c>
      <c r="K3746">
        <v>0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0</v>
      </c>
      <c r="R3746">
        <v>0</v>
      </c>
      <c r="S3746">
        <v>0</v>
      </c>
      <c r="T3746">
        <v>0</v>
      </c>
      <c r="U3746">
        <v>0</v>
      </c>
      <c r="V3746">
        <v>0</v>
      </c>
      <c r="W3746">
        <v>0</v>
      </c>
      <c r="X3746">
        <v>0</v>
      </c>
      <c r="Y3746" t="s">
        <v>31</v>
      </c>
      <c r="Z3746">
        <v>55</v>
      </c>
      <c r="AA3746">
        <v>0</v>
      </c>
    </row>
    <row r="3747" spans="1:27" x14ac:dyDescent="0.2">
      <c r="A3747" t="s">
        <v>547</v>
      </c>
      <c r="B3747">
        <v>2018</v>
      </c>
      <c r="C3747">
        <v>5160025001</v>
      </c>
      <c r="D3747" t="s">
        <v>4753</v>
      </c>
      <c r="E3747" t="s">
        <v>29</v>
      </c>
      <c r="F3747" t="s">
        <v>30</v>
      </c>
      <c r="G3747">
        <v>5</v>
      </c>
      <c r="H3747">
        <v>0</v>
      </c>
      <c r="I3747">
        <v>0</v>
      </c>
      <c r="J3747">
        <v>0</v>
      </c>
      <c r="K3747">
        <v>0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0</v>
      </c>
      <c r="R3747">
        <v>0</v>
      </c>
      <c r="S3747">
        <v>0</v>
      </c>
      <c r="T3747">
        <v>0</v>
      </c>
      <c r="U3747">
        <v>0</v>
      </c>
      <c r="V3747">
        <v>0</v>
      </c>
      <c r="W3747">
        <v>0</v>
      </c>
      <c r="X3747">
        <v>0</v>
      </c>
      <c r="Y3747" t="s">
        <v>31</v>
      </c>
      <c r="Z3747">
        <v>55</v>
      </c>
      <c r="AA3747">
        <v>0</v>
      </c>
    </row>
    <row r="3748" spans="1:27" x14ac:dyDescent="0.2">
      <c r="A3748" t="s">
        <v>547</v>
      </c>
      <c r="B3748">
        <v>2018</v>
      </c>
      <c r="C3748">
        <v>5690006029</v>
      </c>
      <c r="D3748" t="s">
        <v>4754</v>
      </c>
      <c r="E3748" t="s">
        <v>29</v>
      </c>
      <c r="F3748" t="s">
        <v>30</v>
      </c>
      <c r="G3748">
        <v>2</v>
      </c>
      <c r="H3748">
        <v>0</v>
      </c>
      <c r="I3748">
        <v>0</v>
      </c>
      <c r="J3748">
        <v>0</v>
      </c>
      <c r="K3748">
        <v>0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>
        <v>0</v>
      </c>
      <c r="T3748">
        <v>0</v>
      </c>
      <c r="U3748">
        <v>0</v>
      </c>
      <c r="V3748">
        <v>0</v>
      </c>
      <c r="W3748">
        <v>0</v>
      </c>
      <c r="X3748">
        <v>0</v>
      </c>
      <c r="Y3748" t="s">
        <v>31</v>
      </c>
      <c r="Z3748">
        <v>55</v>
      </c>
      <c r="AA3748">
        <v>0</v>
      </c>
    </row>
    <row r="3749" spans="1:27" x14ac:dyDescent="0.2">
      <c r="A3749" t="s">
        <v>547</v>
      </c>
      <c r="B3749">
        <v>2018</v>
      </c>
      <c r="C3749">
        <v>5077028006</v>
      </c>
      <c r="D3749" t="s">
        <v>4755</v>
      </c>
      <c r="E3749" t="s">
        <v>29</v>
      </c>
      <c r="F3749" t="s">
        <v>30</v>
      </c>
      <c r="G3749">
        <v>2</v>
      </c>
      <c r="H3749">
        <v>0</v>
      </c>
      <c r="I3749">
        <v>2</v>
      </c>
      <c r="J3749">
        <v>0</v>
      </c>
      <c r="K3749">
        <v>0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0</v>
      </c>
      <c r="R3749">
        <v>0</v>
      </c>
      <c r="S3749">
        <v>0</v>
      </c>
      <c r="T3749">
        <v>0</v>
      </c>
      <c r="U3749">
        <v>0</v>
      </c>
      <c r="V3749">
        <v>0</v>
      </c>
      <c r="W3749">
        <v>0</v>
      </c>
      <c r="X3749">
        <v>0</v>
      </c>
      <c r="Y3749" t="s">
        <v>31</v>
      </c>
      <c r="Z3749">
        <v>55</v>
      </c>
      <c r="AA3749">
        <v>0</v>
      </c>
    </row>
    <row r="3750" spans="1:27" x14ac:dyDescent="0.2">
      <c r="A3750" t="s">
        <v>547</v>
      </c>
      <c r="B3750">
        <v>2018</v>
      </c>
      <c r="C3750">
        <v>4110001004</v>
      </c>
      <c r="D3750" t="s">
        <v>4756</v>
      </c>
      <c r="E3750" t="s">
        <v>29</v>
      </c>
      <c r="F3750" t="s">
        <v>30</v>
      </c>
      <c r="G3750">
        <v>15</v>
      </c>
      <c r="H3750">
        <v>0</v>
      </c>
      <c r="I3750">
        <v>0</v>
      </c>
      <c r="J3750">
        <v>0</v>
      </c>
      <c r="K3750">
        <v>0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  <c r="V3750">
        <v>0</v>
      </c>
      <c r="W3750">
        <v>0</v>
      </c>
      <c r="X3750">
        <v>0</v>
      </c>
      <c r="Y3750" t="s">
        <v>31</v>
      </c>
      <c r="Z3750">
        <v>55</v>
      </c>
      <c r="AA3750">
        <v>0</v>
      </c>
    </row>
    <row r="3751" spans="1:27" x14ac:dyDescent="0.2">
      <c r="A3751" t="s">
        <v>547</v>
      </c>
      <c r="B3751">
        <v>2018</v>
      </c>
      <c r="C3751">
        <v>5533026058</v>
      </c>
      <c r="D3751" t="s">
        <v>4757</v>
      </c>
      <c r="E3751" t="s">
        <v>29</v>
      </c>
      <c r="F3751" t="s">
        <v>30</v>
      </c>
      <c r="G3751">
        <v>2</v>
      </c>
      <c r="H3751">
        <v>0</v>
      </c>
      <c r="I3751">
        <v>0</v>
      </c>
      <c r="J3751">
        <v>0</v>
      </c>
      <c r="K3751">
        <v>0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0</v>
      </c>
      <c r="R3751">
        <v>0</v>
      </c>
      <c r="S3751">
        <v>0</v>
      </c>
      <c r="T3751">
        <v>0</v>
      </c>
      <c r="U3751">
        <v>0</v>
      </c>
      <c r="V3751">
        <v>0</v>
      </c>
      <c r="W3751">
        <v>0</v>
      </c>
      <c r="X3751">
        <v>0</v>
      </c>
      <c r="Y3751" t="s">
        <v>31</v>
      </c>
      <c r="Z3751">
        <v>55</v>
      </c>
      <c r="AA3751">
        <v>0</v>
      </c>
    </row>
    <row r="3752" spans="1:27" x14ac:dyDescent="0.2">
      <c r="A3752" t="s">
        <v>524</v>
      </c>
      <c r="B3752">
        <v>2023</v>
      </c>
      <c r="C3752" s="2" t="s">
        <v>4758</v>
      </c>
      <c r="D3752" t="s">
        <v>4759</v>
      </c>
      <c r="E3752" t="s">
        <v>29</v>
      </c>
      <c r="F3752" t="s">
        <v>30</v>
      </c>
      <c r="G3752">
        <v>0</v>
      </c>
      <c r="H3752">
        <v>0</v>
      </c>
      <c r="I3752">
        <v>74</v>
      </c>
      <c r="J3752">
        <v>0</v>
      </c>
      <c r="K3752">
        <v>0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</v>
      </c>
      <c r="S3752">
        <v>0</v>
      </c>
      <c r="T3752">
        <v>0</v>
      </c>
      <c r="U3752">
        <v>0</v>
      </c>
      <c r="V3752">
        <v>0</v>
      </c>
      <c r="W3752">
        <v>0</v>
      </c>
      <c r="X3752">
        <v>0</v>
      </c>
      <c r="Y3752" t="s">
        <v>51</v>
      </c>
      <c r="Z3752">
        <v>99</v>
      </c>
      <c r="AA3752">
        <v>0</v>
      </c>
    </row>
    <row r="3753" spans="1:27" x14ac:dyDescent="0.2">
      <c r="A3753" t="s">
        <v>524</v>
      </c>
      <c r="B3753">
        <v>2023</v>
      </c>
      <c r="C3753" s="2" t="s">
        <v>4760</v>
      </c>
      <c r="D3753" t="s">
        <v>4761</v>
      </c>
      <c r="E3753" t="s">
        <v>29</v>
      </c>
      <c r="F3753" t="s">
        <v>30</v>
      </c>
      <c r="G3753">
        <v>0</v>
      </c>
      <c r="H3753">
        <v>0</v>
      </c>
      <c r="I3753">
        <v>0</v>
      </c>
      <c r="J3753">
        <v>0</v>
      </c>
      <c r="K3753">
        <v>0</v>
      </c>
      <c r="L3753">
        <v>0</v>
      </c>
      <c r="M3753">
        <v>7</v>
      </c>
      <c r="N3753">
        <v>0</v>
      </c>
      <c r="O3753">
        <v>23</v>
      </c>
      <c r="P3753">
        <v>0</v>
      </c>
      <c r="Q3753">
        <v>31</v>
      </c>
      <c r="R3753">
        <v>0</v>
      </c>
      <c r="S3753">
        <v>0</v>
      </c>
      <c r="T3753">
        <v>0</v>
      </c>
      <c r="U3753">
        <v>0</v>
      </c>
      <c r="V3753">
        <v>0</v>
      </c>
      <c r="W3753">
        <v>0</v>
      </c>
      <c r="X3753">
        <v>0</v>
      </c>
      <c r="Y3753" t="s">
        <v>51</v>
      </c>
      <c r="Z3753">
        <v>55</v>
      </c>
      <c r="AA3753">
        <v>0</v>
      </c>
    </row>
    <row r="3754" spans="1:27" x14ac:dyDescent="0.2">
      <c r="A3754" t="s">
        <v>88</v>
      </c>
      <c r="B3754">
        <v>2019</v>
      </c>
      <c r="C3754" t="s">
        <v>4762</v>
      </c>
      <c r="D3754" t="s">
        <v>4763</v>
      </c>
      <c r="E3754" t="s">
        <v>29</v>
      </c>
      <c r="F3754" t="s">
        <v>30</v>
      </c>
      <c r="G3754">
        <v>0</v>
      </c>
      <c r="H3754">
        <v>0</v>
      </c>
      <c r="I3754">
        <v>0</v>
      </c>
      <c r="J3754">
        <v>0</v>
      </c>
      <c r="K3754">
        <v>49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0</v>
      </c>
      <c r="R3754">
        <v>0</v>
      </c>
      <c r="S3754">
        <v>0</v>
      </c>
      <c r="T3754">
        <v>0</v>
      </c>
      <c r="U3754">
        <v>0</v>
      </c>
      <c r="V3754">
        <v>0</v>
      </c>
      <c r="W3754">
        <v>0</v>
      </c>
      <c r="X3754">
        <v>0</v>
      </c>
      <c r="Y3754" t="s">
        <v>51</v>
      </c>
      <c r="AA3754">
        <v>0</v>
      </c>
    </row>
    <row r="3755" spans="1:27" x14ac:dyDescent="0.2">
      <c r="A3755" t="s">
        <v>88</v>
      </c>
      <c r="B3755">
        <v>2019</v>
      </c>
      <c r="C3755" t="s">
        <v>2362</v>
      </c>
      <c r="D3755" t="s">
        <v>4764</v>
      </c>
      <c r="E3755" t="s">
        <v>29</v>
      </c>
      <c r="F3755" t="s">
        <v>41</v>
      </c>
      <c r="G3755">
        <v>0</v>
      </c>
      <c r="H3755">
        <v>0</v>
      </c>
      <c r="I3755">
        <v>0</v>
      </c>
      <c r="J3755">
        <v>0</v>
      </c>
      <c r="K3755">
        <v>4</v>
      </c>
      <c r="L3755">
        <v>0</v>
      </c>
      <c r="M3755">
        <v>0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0</v>
      </c>
      <c r="T3755">
        <v>0</v>
      </c>
      <c r="U3755">
        <v>0</v>
      </c>
      <c r="V3755">
        <v>0</v>
      </c>
      <c r="W3755">
        <v>0</v>
      </c>
      <c r="X3755">
        <v>0</v>
      </c>
      <c r="Y3755" t="s">
        <v>51</v>
      </c>
      <c r="AA3755">
        <v>0</v>
      </c>
    </row>
    <row r="3756" spans="1:27" x14ac:dyDescent="0.2">
      <c r="A3756" t="s">
        <v>894</v>
      </c>
      <c r="B3756">
        <v>2022</v>
      </c>
      <c r="C3756" t="s">
        <v>4765</v>
      </c>
      <c r="D3756" t="s">
        <v>4766</v>
      </c>
      <c r="E3756" t="s">
        <v>29</v>
      </c>
      <c r="F3756" t="s">
        <v>30</v>
      </c>
      <c r="G3756">
        <v>0</v>
      </c>
      <c r="H3756">
        <v>0</v>
      </c>
      <c r="I3756">
        <v>0</v>
      </c>
      <c r="J3756">
        <v>0</v>
      </c>
      <c r="K3756">
        <v>0</v>
      </c>
      <c r="L3756">
        <v>0</v>
      </c>
      <c r="M3756">
        <v>35</v>
      </c>
      <c r="N3756">
        <v>0</v>
      </c>
      <c r="O3756">
        <v>1</v>
      </c>
      <c r="P3756">
        <v>0</v>
      </c>
      <c r="Q3756">
        <v>0</v>
      </c>
      <c r="R3756">
        <v>0</v>
      </c>
      <c r="S3756">
        <v>0</v>
      </c>
      <c r="T3756">
        <v>0</v>
      </c>
      <c r="U3756">
        <v>0</v>
      </c>
      <c r="V3756">
        <v>0</v>
      </c>
      <c r="W3756">
        <v>0</v>
      </c>
      <c r="X3756">
        <v>0</v>
      </c>
      <c r="Y3756" t="s">
        <v>31</v>
      </c>
      <c r="Z3756">
        <v>1000</v>
      </c>
      <c r="AA3756">
        <v>80</v>
      </c>
    </row>
    <row r="3757" spans="1:27" x14ac:dyDescent="0.2">
      <c r="A3757" t="s">
        <v>4135</v>
      </c>
      <c r="B3757">
        <v>2022</v>
      </c>
      <c r="C3757" t="s">
        <v>4136</v>
      </c>
      <c r="D3757" t="s">
        <v>4137</v>
      </c>
      <c r="E3757" t="s">
        <v>29</v>
      </c>
      <c r="F3757" t="s">
        <v>30</v>
      </c>
      <c r="G3757">
        <v>40</v>
      </c>
      <c r="H3757">
        <v>0</v>
      </c>
      <c r="I3757">
        <v>15</v>
      </c>
      <c r="J3757">
        <v>0</v>
      </c>
      <c r="K3757">
        <v>0</v>
      </c>
      <c r="L3757">
        <v>0</v>
      </c>
      <c r="M3757">
        <v>32</v>
      </c>
      <c r="N3757">
        <v>0</v>
      </c>
      <c r="O3757">
        <v>18</v>
      </c>
      <c r="P3757">
        <v>0</v>
      </c>
      <c r="Q3757">
        <v>0</v>
      </c>
      <c r="R3757">
        <v>0</v>
      </c>
      <c r="S3757">
        <v>32</v>
      </c>
      <c r="T3757">
        <v>0</v>
      </c>
      <c r="U3757">
        <v>18</v>
      </c>
      <c r="V3757">
        <v>0</v>
      </c>
      <c r="W3757">
        <v>0</v>
      </c>
      <c r="X3757">
        <v>0</v>
      </c>
      <c r="Y3757" t="s">
        <v>31</v>
      </c>
      <c r="Z3757">
        <v>55</v>
      </c>
      <c r="AA3757">
        <v>80</v>
      </c>
    </row>
    <row r="3758" spans="1:27" x14ac:dyDescent="0.2">
      <c r="A3758" t="s">
        <v>219</v>
      </c>
      <c r="B3758">
        <v>2020</v>
      </c>
      <c r="C3758" t="s">
        <v>4767</v>
      </c>
      <c r="D3758" t="s">
        <v>4768</v>
      </c>
      <c r="E3758" t="s">
        <v>29</v>
      </c>
      <c r="F3758" t="s">
        <v>30</v>
      </c>
      <c r="G3758">
        <v>19</v>
      </c>
      <c r="H3758">
        <v>0</v>
      </c>
      <c r="I3758">
        <v>0</v>
      </c>
      <c r="J3758">
        <v>0</v>
      </c>
      <c r="K3758">
        <v>0</v>
      </c>
      <c r="L3758">
        <v>0</v>
      </c>
      <c r="M3758">
        <v>0</v>
      </c>
      <c r="N3758">
        <v>0</v>
      </c>
      <c r="O3758">
        <v>0</v>
      </c>
      <c r="P3758">
        <v>0</v>
      </c>
      <c r="Q3758">
        <v>0</v>
      </c>
      <c r="R3758">
        <v>0</v>
      </c>
      <c r="S3758">
        <v>0</v>
      </c>
      <c r="T3758">
        <v>0</v>
      </c>
      <c r="U3758">
        <v>0</v>
      </c>
      <c r="V3758">
        <v>0</v>
      </c>
      <c r="W3758">
        <v>0</v>
      </c>
      <c r="X3758">
        <v>0</v>
      </c>
      <c r="Y3758" t="s">
        <v>31</v>
      </c>
      <c r="Z3758">
        <v>55</v>
      </c>
      <c r="AA3758">
        <v>0</v>
      </c>
    </row>
    <row r="3759" spans="1:27" x14ac:dyDescent="0.2">
      <c r="A3759" t="s">
        <v>1247</v>
      </c>
      <c r="B3759">
        <v>2023</v>
      </c>
      <c r="C3759">
        <v>35063035</v>
      </c>
      <c r="D3759" t="s">
        <v>4769</v>
      </c>
      <c r="E3759" t="s">
        <v>29</v>
      </c>
      <c r="F3759" t="s">
        <v>41</v>
      </c>
      <c r="G3759">
        <v>0</v>
      </c>
      <c r="H3759">
        <v>0</v>
      </c>
      <c r="I3759">
        <v>0</v>
      </c>
      <c r="J3759">
        <v>0</v>
      </c>
      <c r="K3759">
        <v>8</v>
      </c>
      <c r="L3759">
        <v>0</v>
      </c>
      <c r="M3759">
        <v>0</v>
      </c>
      <c r="N3759">
        <v>0</v>
      </c>
      <c r="O3759">
        <v>0</v>
      </c>
      <c r="P3759">
        <v>0</v>
      </c>
      <c r="Q3759">
        <v>0</v>
      </c>
      <c r="R3759">
        <v>0</v>
      </c>
      <c r="S3759">
        <v>0</v>
      </c>
      <c r="T3759">
        <v>0</v>
      </c>
      <c r="U3759">
        <v>0</v>
      </c>
      <c r="V3759">
        <v>0</v>
      </c>
      <c r="W3759">
        <v>0</v>
      </c>
      <c r="X3759">
        <v>0</v>
      </c>
      <c r="Y3759" t="s">
        <v>31</v>
      </c>
      <c r="Z3759">
        <v>55</v>
      </c>
      <c r="AA3759">
        <v>6</v>
      </c>
    </row>
    <row r="3760" spans="1:27" x14ac:dyDescent="0.2">
      <c r="A3760" t="s">
        <v>1247</v>
      </c>
      <c r="B3760">
        <v>2023</v>
      </c>
      <c r="C3760">
        <v>173860017</v>
      </c>
      <c r="D3760" t="s">
        <v>4770</v>
      </c>
      <c r="E3760" t="s">
        <v>29</v>
      </c>
      <c r="F3760" t="s">
        <v>30</v>
      </c>
      <c r="G3760">
        <v>0</v>
      </c>
      <c r="H3760">
        <v>0</v>
      </c>
      <c r="I3760">
        <v>0</v>
      </c>
      <c r="J3760">
        <v>0</v>
      </c>
      <c r="K3760">
        <v>0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1</v>
      </c>
      <c r="R3760">
        <v>0</v>
      </c>
      <c r="S3760">
        <v>0</v>
      </c>
      <c r="T3760">
        <v>0</v>
      </c>
      <c r="U3760">
        <v>0</v>
      </c>
      <c r="V3760">
        <v>0</v>
      </c>
      <c r="W3760">
        <v>0</v>
      </c>
      <c r="X3760">
        <v>0</v>
      </c>
      <c r="Y3760" t="s">
        <v>51</v>
      </c>
      <c r="Z3760">
        <v>55</v>
      </c>
      <c r="AA3760">
        <v>0</v>
      </c>
    </row>
    <row r="3761" spans="1:27" x14ac:dyDescent="0.2">
      <c r="A3761" t="s">
        <v>1247</v>
      </c>
      <c r="B3761">
        <v>2023</v>
      </c>
      <c r="C3761">
        <v>173850052</v>
      </c>
      <c r="D3761" t="s">
        <v>4771</v>
      </c>
      <c r="E3761" t="s">
        <v>29</v>
      </c>
      <c r="F3761" t="s">
        <v>30</v>
      </c>
      <c r="G3761">
        <v>0</v>
      </c>
      <c r="H3761">
        <v>0</v>
      </c>
      <c r="I3761">
        <v>0</v>
      </c>
      <c r="J3761">
        <v>0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1</v>
      </c>
      <c r="R3761">
        <v>0</v>
      </c>
      <c r="S3761">
        <v>0</v>
      </c>
      <c r="T3761">
        <v>0</v>
      </c>
      <c r="U3761">
        <v>0</v>
      </c>
      <c r="V3761">
        <v>0</v>
      </c>
      <c r="W3761">
        <v>0</v>
      </c>
      <c r="X3761">
        <v>0</v>
      </c>
      <c r="Y3761" t="s">
        <v>51</v>
      </c>
      <c r="Z3761">
        <v>55</v>
      </c>
      <c r="AA3761">
        <v>0</v>
      </c>
    </row>
    <row r="3762" spans="1:27" x14ac:dyDescent="0.2">
      <c r="A3762" t="s">
        <v>1247</v>
      </c>
      <c r="B3762">
        <v>2023</v>
      </c>
      <c r="C3762">
        <v>173870040</v>
      </c>
      <c r="D3762" t="s">
        <v>4772</v>
      </c>
      <c r="E3762" t="s">
        <v>29</v>
      </c>
      <c r="F3762" t="s">
        <v>30</v>
      </c>
      <c r="G3762">
        <v>0</v>
      </c>
      <c r="H3762">
        <v>0</v>
      </c>
      <c r="I3762">
        <v>0</v>
      </c>
      <c r="J3762">
        <v>0</v>
      </c>
      <c r="K3762">
        <v>0</v>
      </c>
      <c r="L3762">
        <v>0</v>
      </c>
      <c r="M3762">
        <v>0</v>
      </c>
      <c r="N3762">
        <v>0</v>
      </c>
      <c r="O3762">
        <v>0</v>
      </c>
      <c r="P3762">
        <v>0</v>
      </c>
      <c r="Q3762">
        <v>1</v>
      </c>
      <c r="R3762">
        <v>0</v>
      </c>
      <c r="S3762">
        <v>0</v>
      </c>
      <c r="T3762">
        <v>0</v>
      </c>
      <c r="U3762">
        <v>0</v>
      </c>
      <c r="V3762">
        <v>0</v>
      </c>
      <c r="W3762">
        <v>0</v>
      </c>
      <c r="X3762">
        <v>0</v>
      </c>
      <c r="Y3762" t="s">
        <v>51</v>
      </c>
      <c r="Z3762">
        <v>55</v>
      </c>
      <c r="AA3762">
        <v>0</v>
      </c>
    </row>
    <row r="3763" spans="1:27" x14ac:dyDescent="0.2">
      <c r="A3763" t="s">
        <v>547</v>
      </c>
      <c r="B3763">
        <v>2018</v>
      </c>
      <c r="C3763">
        <v>5523022012</v>
      </c>
      <c r="D3763" t="s">
        <v>4773</v>
      </c>
      <c r="E3763" t="s">
        <v>29</v>
      </c>
      <c r="F3763" t="s">
        <v>30</v>
      </c>
      <c r="G3763">
        <v>0</v>
      </c>
      <c r="H3763">
        <v>0</v>
      </c>
      <c r="I3763">
        <v>0</v>
      </c>
      <c r="J3763">
        <v>0</v>
      </c>
      <c r="K3763">
        <v>0</v>
      </c>
      <c r="L3763">
        <v>0</v>
      </c>
      <c r="M3763">
        <v>5</v>
      </c>
      <c r="N3763">
        <v>0</v>
      </c>
      <c r="O3763">
        <v>0</v>
      </c>
      <c r="P3763">
        <v>0</v>
      </c>
      <c r="Q3763">
        <v>0</v>
      </c>
      <c r="R3763">
        <v>0</v>
      </c>
      <c r="S3763">
        <v>0</v>
      </c>
      <c r="T3763">
        <v>0</v>
      </c>
      <c r="U3763">
        <v>0</v>
      </c>
      <c r="V3763">
        <v>0</v>
      </c>
      <c r="W3763">
        <v>0</v>
      </c>
      <c r="X3763">
        <v>0</v>
      </c>
      <c r="Y3763" t="s">
        <v>31</v>
      </c>
      <c r="Z3763">
        <v>55</v>
      </c>
      <c r="AA3763">
        <v>0</v>
      </c>
    </row>
    <row r="3764" spans="1:27" x14ac:dyDescent="0.2">
      <c r="A3764" t="s">
        <v>547</v>
      </c>
      <c r="B3764">
        <v>2018</v>
      </c>
      <c r="C3764">
        <v>5522003006</v>
      </c>
      <c r="D3764" t="s">
        <v>4774</v>
      </c>
      <c r="E3764" t="s">
        <v>29</v>
      </c>
      <c r="F3764" t="s">
        <v>30</v>
      </c>
      <c r="G3764">
        <v>0</v>
      </c>
      <c r="H3764">
        <v>0</v>
      </c>
      <c r="I3764">
        <v>0</v>
      </c>
      <c r="J3764">
        <v>0</v>
      </c>
      <c r="K3764">
        <v>0</v>
      </c>
      <c r="L3764">
        <v>0</v>
      </c>
      <c r="M3764">
        <v>3</v>
      </c>
      <c r="N3764">
        <v>0</v>
      </c>
      <c r="O3764">
        <v>0</v>
      </c>
      <c r="P3764">
        <v>0</v>
      </c>
      <c r="Q3764">
        <v>0</v>
      </c>
      <c r="R3764">
        <v>0</v>
      </c>
      <c r="S3764">
        <v>0</v>
      </c>
      <c r="T3764">
        <v>0</v>
      </c>
      <c r="U3764">
        <v>0</v>
      </c>
      <c r="V3764">
        <v>0</v>
      </c>
      <c r="W3764">
        <v>0</v>
      </c>
      <c r="X3764">
        <v>0</v>
      </c>
      <c r="Y3764" t="s">
        <v>31</v>
      </c>
      <c r="Z3764">
        <v>55</v>
      </c>
      <c r="AA3764">
        <v>0</v>
      </c>
    </row>
    <row r="3765" spans="1:27" x14ac:dyDescent="0.2">
      <c r="A3765" t="s">
        <v>547</v>
      </c>
      <c r="B3765">
        <v>2018</v>
      </c>
      <c r="C3765">
        <v>5546025003</v>
      </c>
      <c r="D3765" t="s">
        <v>4775</v>
      </c>
      <c r="E3765" t="s">
        <v>29</v>
      </c>
      <c r="F3765" t="s">
        <v>30</v>
      </c>
      <c r="G3765">
        <v>0</v>
      </c>
      <c r="H3765">
        <v>0</v>
      </c>
      <c r="I3765">
        <v>0</v>
      </c>
      <c r="J3765">
        <v>0</v>
      </c>
      <c r="K3765">
        <v>0</v>
      </c>
      <c r="L3765">
        <v>0</v>
      </c>
      <c r="M3765">
        <v>9</v>
      </c>
      <c r="N3765">
        <v>0</v>
      </c>
      <c r="O3765">
        <v>0</v>
      </c>
      <c r="P3765">
        <v>0</v>
      </c>
      <c r="Q3765">
        <v>0</v>
      </c>
      <c r="R3765">
        <v>0</v>
      </c>
      <c r="S3765">
        <v>0</v>
      </c>
      <c r="T3765">
        <v>0</v>
      </c>
      <c r="U3765">
        <v>0</v>
      </c>
      <c r="V3765">
        <v>0</v>
      </c>
      <c r="W3765">
        <v>0</v>
      </c>
      <c r="X3765">
        <v>0</v>
      </c>
      <c r="Y3765" t="s">
        <v>31</v>
      </c>
      <c r="Z3765">
        <v>55</v>
      </c>
      <c r="AA3765">
        <v>0</v>
      </c>
    </row>
    <row r="3766" spans="1:27" x14ac:dyDescent="0.2">
      <c r="A3766" t="s">
        <v>547</v>
      </c>
      <c r="B3766">
        <v>2018</v>
      </c>
      <c r="C3766">
        <v>4332019021</v>
      </c>
      <c r="D3766" t="s">
        <v>4776</v>
      </c>
      <c r="E3766" t="s">
        <v>29</v>
      </c>
      <c r="F3766" t="s">
        <v>30</v>
      </c>
      <c r="G3766">
        <v>0</v>
      </c>
      <c r="H3766">
        <v>0</v>
      </c>
      <c r="I3766">
        <v>0</v>
      </c>
      <c r="J3766">
        <v>0</v>
      </c>
      <c r="K3766">
        <v>0</v>
      </c>
      <c r="L3766">
        <v>0</v>
      </c>
      <c r="M3766">
        <v>1</v>
      </c>
      <c r="N3766">
        <v>0</v>
      </c>
      <c r="O3766">
        <v>0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0</v>
      </c>
      <c r="V3766">
        <v>0</v>
      </c>
      <c r="W3766">
        <v>0</v>
      </c>
      <c r="X3766">
        <v>0</v>
      </c>
      <c r="Y3766" t="s">
        <v>31</v>
      </c>
      <c r="Z3766">
        <v>55</v>
      </c>
      <c r="AA3766">
        <v>0</v>
      </c>
    </row>
    <row r="3767" spans="1:27" x14ac:dyDescent="0.2">
      <c r="A3767" t="s">
        <v>547</v>
      </c>
      <c r="B3767">
        <v>2018</v>
      </c>
      <c r="C3767">
        <v>5522016116</v>
      </c>
      <c r="D3767" t="s">
        <v>4777</v>
      </c>
      <c r="E3767" t="s">
        <v>29</v>
      </c>
      <c r="F3767" t="s">
        <v>30</v>
      </c>
      <c r="G3767">
        <v>2</v>
      </c>
      <c r="H3767">
        <v>0</v>
      </c>
      <c r="I3767">
        <v>0</v>
      </c>
      <c r="J3767">
        <v>0</v>
      </c>
      <c r="K3767">
        <v>0</v>
      </c>
      <c r="L3767">
        <v>0</v>
      </c>
      <c r="M3767">
        <v>2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  <c r="T3767">
        <v>0</v>
      </c>
      <c r="U3767">
        <v>0</v>
      </c>
      <c r="V3767">
        <v>0</v>
      </c>
      <c r="W3767">
        <v>0</v>
      </c>
      <c r="X3767">
        <v>0</v>
      </c>
      <c r="Y3767" t="s">
        <v>31</v>
      </c>
      <c r="Z3767">
        <v>55</v>
      </c>
      <c r="AA3767">
        <v>0</v>
      </c>
    </row>
    <row r="3768" spans="1:27" x14ac:dyDescent="0.2">
      <c r="A3768" t="s">
        <v>547</v>
      </c>
      <c r="B3768">
        <v>2018</v>
      </c>
      <c r="C3768">
        <v>6048004030</v>
      </c>
      <c r="D3768" t="s">
        <v>4778</v>
      </c>
      <c r="E3768" t="s">
        <v>29</v>
      </c>
      <c r="F3768" t="s">
        <v>30</v>
      </c>
      <c r="G3768">
        <v>0</v>
      </c>
      <c r="H3768">
        <v>0</v>
      </c>
      <c r="I3768">
        <v>0</v>
      </c>
      <c r="J3768">
        <v>0</v>
      </c>
      <c r="K3768">
        <v>0</v>
      </c>
      <c r="L3768">
        <v>0</v>
      </c>
      <c r="M3768">
        <v>2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  <c r="T3768">
        <v>0</v>
      </c>
      <c r="U3768">
        <v>0</v>
      </c>
      <c r="V3768">
        <v>0</v>
      </c>
      <c r="W3768">
        <v>0</v>
      </c>
      <c r="X3768">
        <v>0</v>
      </c>
      <c r="Y3768" t="s">
        <v>31</v>
      </c>
      <c r="Z3768">
        <v>55</v>
      </c>
      <c r="AA3768">
        <v>0</v>
      </c>
    </row>
    <row r="3769" spans="1:27" x14ac:dyDescent="0.2">
      <c r="A3769" t="s">
        <v>547</v>
      </c>
      <c r="B3769">
        <v>2018</v>
      </c>
      <c r="C3769">
        <v>2565015132</v>
      </c>
      <c r="D3769" t="s">
        <v>4779</v>
      </c>
      <c r="E3769" t="s">
        <v>29</v>
      </c>
      <c r="F3769" t="s">
        <v>30</v>
      </c>
      <c r="G3769">
        <v>0</v>
      </c>
      <c r="H3769">
        <v>0</v>
      </c>
      <c r="I3769">
        <v>0</v>
      </c>
      <c r="J3769">
        <v>0</v>
      </c>
      <c r="K3769">
        <v>0</v>
      </c>
      <c r="L3769">
        <v>0</v>
      </c>
      <c r="M3769">
        <v>3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  <c r="T3769">
        <v>0</v>
      </c>
      <c r="U3769">
        <v>0</v>
      </c>
      <c r="V3769">
        <v>0</v>
      </c>
      <c r="W3769">
        <v>0</v>
      </c>
      <c r="X3769">
        <v>0</v>
      </c>
      <c r="Y3769" t="s">
        <v>31</v>
      </c>
      <c r="Z3769">
        <v>55</v>
      </c>
      <c r="AA3769">
        <v>0</v>
      </c>
    </row>
    <row r="3770" spans="1:27" x14ac:dyDescent="0.2">
      <c r="A3770" t="s">
        <v>547</v>
      </c>
      <c r="B3770">
        <v>2018</v>
      </c>
      <c r="C3770">
        <v>7418004009</v>
      </c>
      <c r="D3770" t="s">
        <v>4780</v>
      </c>
      <c r="E3770" t="s">
        <v>29</v>
      </c>
      <c r="F3770" t="s">
        <v>30</v>
      </c>
      <c r="G3770">
        <v>0</v>
      </c>
      <c r="H3770">
        <v>0</v>
      </c>
      <c r="I3770">
        <v>0</v>
      </c>
      <c r="J3770">
        <v>0</v>
      </c>
      <c r="K3770">
        <v>0</v>
      </c>
      <c r="L3770">
        <v>0</v>
      </c>
      <c r="M3770">
        <v>0</v>
      </c>
      <c r="N3770">
        <v>0</v>
      </c>
      <c r="O3770">
        <v>17</v>
      </c>
      <c r="P3770">
        <v>0</v>
      </c>
      <c r="Q3770">
        <v>0</v>
      </c>
      <c r="R3770">
        <v>0</v>
      </c>
      <c r="S3770">
        <v>0</v>
      </c>
      <c r="T3770">
        <v>0</v>
      </c>
      <c r="U3770">
        <v>0</v>
      </c>
      <c r="V3770">
        <v>0</v>
      </c>
      <c r="W3770">
        <v>0</v>
      </c>
      <c r="X3770">
        <v>0</v>
      </c>
      <c r="Y3770" t="s">
        <v>31</v>
      </c>
      <c r="Z3770">
        <v>55</v>
      </c>
      <c r="AA3770">
        <v>0</v>
      </c>
    </row>
    <row r="3771" spans="1:27" x14ac:dyDescent="0.2">
      <c r="A3771" t="s">
        <v>547</v>
      </c>
      <c r="B3771">
        <v>2018</v>
      </c>
      <c r="C3771">
        <v>5522019003</v>
      </c>
      <c r="D3771" t="s">
        <v>4781</v>
      </c>
      <c r="E3771" t="s">
        <v>29</v>
      </c>
      <c r="F3771" t="s">
        <v>30</v>
      </c>
      <c r="G3771">
        <v>1</v>
      </c>
      <c r="H3771">
        <v>0</v>
      </c>
      <c r="I3771">
        <v>0</v>
      </c>
      <c r="J3771">
        <v>0</v>
      </c>
      <c r="K3771">
        <v>0</v>
      </c>
      <c r="L3771">
        <v>0</v>
      </c>
      <c r="M3771">
        <v>1</v>
      </c>
      <c r="N3771">
        <v>0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0</v>
      </c>
      <c r="U3771">
        <v>0</v>
      </c>
      <c r="V3771">
        <v>0</v>
      </c>
      <c r="W3771">
        <v>0</v>
      </c>
      <c r="X3771">
        <v>0</v>
      </c>
      <c r="Y3771" t="s">
        <v>31</v>
      </c>
      <c r="Z3771">
        <v>55</v>
      </c>
      <c r="AA3771">
        <v>0</v>
      </c>
    </row>
    <row r="3772" spans="1:27" x14ac:dyDescent="0.2">
      <c r="A3772" t="s">
        <v>547</v>
      </c>
      <c r="B3772">
        <v>2018</v>
      </c>
      <c r="C3772">
        <v>4332017014</v>
      </c>
      <c r="D3772" t="s">
        <v>4782</v>
      </c>
      <c r="E3772" t="s">
        <v>29</v>
      </c>
      <c r="F3772" t="s">
        <v>30</v>
      </c>
      <c r="G3772">
        <v>0</v>
      </c>
      <c r="H3772">
        <v>0</v>
      </c>
      <c r="I3772">
        <v>0</v>
      </c>
      <c r="J3772">
        <v>0</v>
      </c>
      <c r="K3772">
        <v>0</v>
      </c>
      <c r="L3772">
        <v>0</v>
      </c>
      <c r="M3772">
        <v>2</v>
      </c>
      <c r="N3772">
        <v>0</v>
      </c>
      <c r="O3772">
        <v>0</v>
      </c>
      <c r="P3772">
        <v>0</v>
      </c>
      <c r="Q3772">
        <v>0</v>
      </c>
      <c r="R3772">
        <v>0</v>
      </c>
      <c r="S3772">
        <v>0</v>
      </c>
      <c r="T3772">
        <v>0</v>
      </c>
      <c r="U3772">
        <v>0</v>
      </c>
      <c r="V3772">
        <v>0</v>
      </c>
      <c r="W3772">
        <v>0</v>
      </c>
      <c r="X3772">
        <v>0</v>
      </c>
      <c r="Y3772" t="s">
        <v>31</v>
      </c>
      <c r="Z3772">
        <v>55</v>
      </c>
      <c r="AA3772">
        <v>0</v>
      </c>
    </row>
    <row r="3773" spans="1:27" x14ac:dyDescent="0.2">
      <c r="A3773" t="s">
        <v>547</v>
      </c>
      <c r="B3773">
        <v>2018</v>
      </c>
      <c r="C3773">
        <v>4313010033</v>
      </c>
      <c r="D3773" t="s">
        <v>4783</v>
      </c>
      <c r="E3773" t="s">
        <v>29</v>
      </c>
      <c r="F3773" t="s">
        <v>30</v>
      </c>
      <c r="G3773">
        <v>0</v>
      </c>
      <c r="H3773">
        <v>0</v>
      </c>
      <c r="I3773">
        <v>0</v>
      </c>
      <c r="J3773">
        <v>0</v>
      </c>
      <c r="K3773">
        <v>4</v>
      </c>
      <c r="L3773">
        <v>0</v>
      </c>
      <c r="M3773">
        <v>0</v>
      </c>
      <c r="N3773">
        <v>0</v>
      </c>
      <c r="O3773">
        <v>0</v>
      </c>
      <c r="P3773">
        <v>0</v>
      </c>
      <c r="Q3773">
        <v>4</v>
      </c>
      <c r="R3773">
        <v>0</v>
      </c>
      <c r="S3773">
        <v>0</v>
      </c>
      <c r="T3773">
        <v>0</v>
      </c>
      <c r="U3773">
        <v>0</v>
      </c>
      <c r="V3773">
        <v>0</v>
      </c>
      <c r="W3773">
        <v>0</v>
      </c>
      <c r="X3773">
        <v>0</v>
      </c>
      <c r="Y3773" t="s">
        <v>31</v>
      </c>
      <c r="Z3773">
        <v>55</v>
      </c>
      <c r="AA3773">
        <v>0</v>
      </c>
    </row>
    <row r="3774" spans="1:27" x14ac:dyDescent="0.2">
      <c r="A3774" t="s">
        <v>547</v>
      </c>
      <c r="B3774">
        <v>2018</v>
      </c>
      <c r="C3774">
        <v>4254024024</v>
      </c>
      <c r="D3774" t="s">
        <v>4784</v>
      </c>
      <c r="E3774" t="s">
        <v>29</v>
      </c>
      <c r="F3774" t="s">
        <v>30</v>
      </c>
      <c r="G3774">
        <v>0</v>
      </c>
      <c r="H3774">
        <v>0</v>
      </c>
      <c r="I3774">
        <v>0</v>
      </c>
      <c r="J3774">
        <v>0</v>
      </c>
      <c r="K3774">
        <v>0</v>
      </c>
      <c r="L3774">
        <v>0</v>
      </c>
      <c r="M3774">
        <v>4</v>
      </c>
      <c r="N3774">
        <v>0</v>
      </c>
      <c r="O3774">
        <v>0</v>
      </c>
      <c r="P3774">
        <v>0</v>
      </c>
      <c r="Q3774">
        <v>0</v>
      </c>
      <c r="R3774">
        <v>0</v>
      </c>
      <c r="S3774">
        <v>0</v>
      </c>
      <c r="T3774">
        <v>0</v>
      </c>
      <c r="U3774">
        <v>0</v>
      </c>
      <c r="V3774">
        <v>0</v>
      </c>
      <c r="W3774">
        <v>0</v>
      </c>
      <c r="X3774">
        <v>0</v>
      </c>
      <c r="Y3774" t="s">
        <v>31</v>
      </c>
      <c r="Z3774">
        <v>55</v>
      </c>
      <c r="AA3774">
        <v>0</v>
      </c>
    </row>
    <row r="3775" spans="1:27" x14ac:dyDescent="0.2">
      <c r="A3775" t="s">
        <v>547</v>
      </c>
      <c r="B3775">
        <v>2018</v>
      </c>
      <c r="C3775">
        <v>2654008024</v>
      </c>
      <c r="D3775" t="s">
        <v>4785</v>
      </c>
      <c r="E3775" t="s">
        <v>29</v>
      </c>
      <c r="F3775" t="s">
        <v>30</v>
      </c>
      <c r="G3775">
        <v>0</v>
      </c>
      <c r="H3775">
        <v>0</v>
      </c>
      <c r="I3775">
        <v>0</v>
      </c>
      <c r="J3775">
        <v>0</v>
      </c>
      <c r="K3775">
        <v>0</v>
      </c>
      <c r="L3775">
        <v>0</v>
      </c>
      <c r="M3775">
        <v>1</v>
      </c>
      <c r="N3775">
        <v>0</v>
      </c>
      <c r="O3775">
        <v>0</v>
      </c>
      <c r="P3775">
        <v>0</v>
      </c>
      <c r="Q3775">
        <v>0</v>
      </c>
      <c r="R3775">
        <v>0</v>
      </c>
      <c r="S3775">
        <v>0</v>
      </c>
      <c r="T3775">
        <v>0</v>
      </c>
      <c r="U3775">
        <v>0</v>
      </c>
      <c r="V3775">
        <v>0</v>
      </c>
      <c r="W3775">
        <v>0</v>
      </c>
      <c r="X3775">
        <v>0</v>
      </c>
      <c r="Y3775" t="s">
        <v>31</v>
      </c>
      <c r="Z3775">
        <v>55</v>
      </c>
      <c r="AA3775">
        <v>0</v>
      </c>
    </row>
    <row r="3776" spans="1:27" x14ac:dyDescent="0.2">
      <c r="A3776" t="s">
        <v>547</v>
      </c>
      <c r="B3776">
        <v>2018</v>
      </c>
      <c r="C3776">
        <v>5076006025</v>
      </c>
      <c r="D3776" t="s">
        <v>4786</v>
      </c>
      <c r="E3776" t="s">
        <v>29</v>
      </c>
      <c r="F3776" t="s">
        <v>30</v>
      </c>
      <c r="G3776">
        <v>0</v>
      </c>
      <c r="H3776">
        <v>0</v>
      </c>
      <c r="I3776">
        <v>0</v>
      </c>
      <c r="J3776">
        <v>0</v>
      </c>
      <c r="K3776">
        <v>0</v>
      </c>
      <c r="L3776">
        <v>0</v>
      </c>
      <c r="M3776">
        <v>4</v>
      </c>
      <c r="N3776">
        <v>0</v>
      </c>
      <c r="O3776">
        <v>0</v>
      </c>
      <c r="P3776">
        <v>0</v>
      </c>
      <c r="Q3776">
        <v>0</v>
      </c>
      <c r="R3776">
        <v>0</v>
      </c>
      <c r="S3776">
        <v>0</v>
      </c>
      <c r="T3776">
        <v>0</v>
      </c>
      <c r="U3776">
        <v>0</v>
      </c>
      <c r="V3776">
        <v>0</v>
      </c>
      <c r="W3776">
        <v>0</v>
      </c>
      <c r="X3776">
        <v>0</v>
      </c>
      <c r="Y3776" t="s">
        <v>31</v>
      </c>
      <c r="Z3776">
        <v>55</v>
      </c>
      <c r="AA3776">
        <v>0</v>
      </c>
    </row>
    <row r="3777" spans="1:27" x14ac:dyDescent="0.2">
      <c r="A3777" t="s">
        <v>547</v>
      </c>
      <c r="B3777">
        <v>2018</v>
      </c>
      <c r="C3777">
        <v>2138003020</v>
      </c>
      <c r="D3777" t="s">
        <v>4787</v>
      </c>
      <c r="E3777" t="s">
        <v>29</v>
      </c>
      <c r="F3777" t="s">
        <v>30</v>
      </c>
      <c r="G3777">
        <v>0</v>
      </c>
      <c r="H3777">
        <v>0</v>
      </c>
      <c r="I3777">
        <v>0</v>
      </c>
      <c r="J3777">
        <v>0</v>
      </c>
      <c r="K3777">
        <v>0</v>
      </c>
      <c r="L3777">
        <v>0</v>
      </c>
      <c r="M3777">
        <v>3</v>
      </c>
      <c r="N3777">
        <v>0</v>
      </c>
      <c r="O3777">
        <v>0</v>
      </c>
      <c r="P3777">
        <v>0</v>
      </c>
      <c r="Q3777">
        <v>0</v>
      </c>
      <c r="R3777">
        <v>0</v>
      </c>
      <c r="S3777">
        <v>0</v>
      </c>
      <c r="T3777">
        <v>0</v>
      </c>
      <c r="U3777">
        <v>0</v>
      </c>
      <c r="V3777">
        <v>0</v>
      </c>
      <c r="W3777">
        <v>0</v>
      </c>
      <c r="X3777">
        <v>0</v>
      </c>
      <c r="Y3777" t="s">
        <v>31</v>
      </c>
      <c r="Z3777">
        <v>55</v>
      </c>
      <c r="AA3777">
        <v>0</v>
      </c>
    </row>
    <row r="3778" spans="1:27" x14ac:dyDescent="0.2">
      <c r="A3778" t="s">
        <v>547</v>
      </c>
      <c r="B3778">
        <v>2018</v>
      </c>
      <c r="C3778">
        <v>5533035019</v>
      </c>
      <c r="D3778" t="s">
        <v>4788</v>
      </c>
      <c r="E3778" t="s">
        <v>29</v>
      </c>
      <c r="F3778" t="s">
        <v>30</v>
      </c>
      <c r="G3778">
        <v>0</v>
      </c>
      <c r="H3778">
        <v>0</v>
      </c>
      <c r="I3778">
        <v>0</v>
      </c>
      <c r="J3778">
        <v>0</v>
      </c>
      <c r="K3778">
        <v>0</v>
      </c>
      <c r="L3778">
        <v>0</v>
      </c>
      <c r="M3778">
        <v>2</v>
      </c>
      <c r="N3778">
        <v>0</v>
      </c>
      <c r="O3778">
        <v>0</v>
      </c>
      <c r="P3778">
        <v>0</v>
      </c>
      <c r="Q3778">
        <v>0</v>
      </c>
      <c r="R3778">
        <v>0</v>
      </c>
      <c r="S3778">
        <v>0</v>
      </c>
      <c r="T3778">
        <v>0</v>
      </c>
      <c r="U3778">
        <v>0</v>
      </c>
      <c r="V3778">
        <v>0</v>
      </c>
      <c r="W3778">
        <v>0</v>
      </c>
      <c r="X3778">
        <v>0</v>
      </c>
      <c r="Y3778" t="s">
        <v>31</v>
      </c>
      <c r="Z3778">
        <v>55</v>
      </c>
      <c r="AA3778">
        <v>0</v>
      </c>
    </row>
    <row r="3779" spans="1:27" x14ac:dyDescent="0.2">
      <c r="A3779" t="s">
        <v>547</v>
      </c>
      <c r="B3779">
        <v>2018</v>
      </c>
      <c r="C3779">
        <v>5493004005</v>
      </c>
      <c r="D3779" t="s">
        <v>4789</v>
      </c>
      <c r="E3779" t="s">
        <v>29</v>
      </c>
      <c r="F3779" t="s">
        <v>30</v>
      </c>
      <c r="G3779">
        <v>0</v>
      </c>
      <c r="H3779">
        <v>0</v>
      </c>
      <c r="I3779">
        <v>0</v>
      </c>
      <c r="J3779">
        <v>0</v>
      </c>
      <c r="K3779">
        <v>0</v>
      </c>
      <c r="L3779">
        <v>0</v>
      </c>
      <c r="M3779">
        <v>2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0</v>
      </c>
      <c r="U3779">
        <v>0</v>
      </c>
      <c r="V3779">
        <v>0</v>
      </c>
      <c r="W3779">
        <v>0</v>
      </c>
      <c r="X3779">
        <v>0</v>
      </c>
      <c r="Y3779" t="s">
        <v>31</v>
      </c>
      <c r="Z3779">
        <v>55</v>
      </c>
      <c r="AA3779">
        <v>0</v>
      </c>
    </row>
    <row r="3780" spans="1:27" x14ac:dyDescent="0.2">
      <c r="A3780" t="s">
        <v>547</v>
      </c>
      <c r="B3780">
        <v>2018</v>
      </c>
      <c r="C3780">
        <v>4267034020</v>
      </c>
      <c r="D3780" t="s">
        <v>4790</v>
      </c>
      <c r="E3780" t="s">
        <v>29</v>
      </c>
      <c r="F3780" t="s">
        <v>30</v>
      </c>
      <c r="G3780">
        <v>0</v>
      </c>
      <c r="H3780">
        <v>0</v>
      </c>
      <c r="I3780">
        <v>0</v>
      </c>
      <c r="J3780">
        <v>0</v>
      </c>
      <c r="K3780">
        <v>0</v>
      </c>
      <c r="L3780">
        <v>0</v>
      </c>
      <c r="M3780">
        <v>5</v>
      </c>
      <c r="N3780">
        <v>0</v>
      </c>
      <c r="O3780">
        <v>0</v>
      </c>
      <c r="P3780">
        <v>0</v>
      </c>
      <c r="Q3780">
        <v>0</v>
      </c>
      <c r="R3780">
        <v>0</v>
      </c>
      <c r="S3780">
        <v>0</v>
      </c>
      <c r="T3780">
        <v>0</v>
      </c>
      <c r="U3780">
        <v>0</v>
      </c>
      <c r="V3780">
        <v>0</v>
      </c>
      <c r="W3780">
        <v>0</v>
      </c>
      <c r="X3780">
        <v>0</v>
      </c>
      <c r="Y3780" t="s">
        <v>31</v>
      </c>
      <c r="Z3780">
        <v>55</v>
      </c>
      <c r="AA3780">
        <v>0</v>
      </c>
    </row>
    <row r="3781" spans="1:27" x14ac:dyDescent="0.2">
      <c r="A3781" t="s">
        <v>547</v>
      </c>
      <c r="B3781">
        <v>2018</v>
      </c>
      <c r="C3781">
        <v>4265015010</v>
      </c>
      <c r="D3781" t="s">
        <v>4791</v>
      </c>
      <c r="E3781" t="s">
        <v>29</v>
      </c>
      <c r="F3781" t="s">
        <v>30</v>
      </c>
      <c r="G3781">
        <v>0</v>
      </c>
      <c r="H3781">
        <v>0</v>
      </c>
      <c r="I3781">
        <v>0</v>
      </c>
      <c r="J3781">
        <v>0</v>
      </c>
      <c r="K3781">
        <v>0</v>
      </c>
      <c r="L3781">
        <v>0</v>
      </c>
      <c r="M3781">
        <v>2</v>
      </c>
      <c r="N3781">
        <v>0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0</v>
      </c>
      <c r="U3781">
        <v>0</v>
      </c>
      <c r="V3781">
        <v>0</v>
      </c>
      <c r="W3781">
        <v>0</v>
      </c>
      <c r="X3781">
        <v>0</v>
      </c>
      <c r="Y3781" t="s">
        <v>31</v>
      </c>
      <c r="Z3781">
        <v>55</v>
      </c>
      <c r="AA3781">
        <v>0</v>
      </c>
    </row>
    <row r="3782" spans="1:27" x14ac:dyDescent="0.2">
      <c r="A3782" t="s">
        <v>928</v>
      </c>
      <c r="B3782">
        <v>2023</v>
      </c>
      <c r="C3782" t="s">
        <v>4792</v>
      </c>
      <c r="D3782" t="s">
        <v>4793</v>
      </c>
      <c r="E3782" t="s">
        <v>29</v>
      </c>
      <c r="F3782" t="s">
        <v>41</v>
      </c>
      <c r="G3782">
        <v>0</v>
      </c>
      <c r="H3782">
        <v>0</v>
      </c>
      <c r="I3782">
        <v>0</v>
      </c>
      <c r="J3782">
        <v>0</v>
      </c>
      <c r="K3782">
        <v>0</v>
      </c>
      <c r="L3782">
        <v>0</v>
      </c>
      <c r="M3782">
        <v>0</v>
      </c>
      <c r="N3782">
        <v>0</v>
      </c>
      <c r="O3782">
        <v>1</v>
      </c>
      <c r="P3782">
        <v>0</v>
      </c>
      <c r="Q3782">
        <v>0</v>
      </c>
      <c r="R3782">
        <v>0</v>
      </c>
      <c r="S3782">
        <v>0</v>
      </c>
      <c r="T3782">
        <v>0</v>
      </c>
      <c r="U3782">
        <v>0</v>
      </c>
      <c r="V3782">
        <v>0</v>
      </c>
      <c r="W3782">
        <v>0</v>
      </c>
      <c r="X3782">
        <v>0</v>
      </c>
      <c r="Y3782" t="s">
        <v>51</v>
      </c>
      <c r="Z3782">
        <v>55</v>
      </c>
      <c r="AA3782">
        <v>0</v>
      </c>
    </row>
    <row r="3783" spans="1:27" x14ac:dyDescent="0.2">
      <c r="A3783" t="s">
        <v>318</v>
      </c>
      <c r="B3783">
        <v>2021</v>
      </c>
      <c r="C3783">
        <v>30901006</v>
      </c>
      <c r="D3783" t="s">
        <v>4794</v>
      </c>
      <c r="E3783" t="s">
        <v>29</v>
      </c>
      <c r="F3783" t="s">
        <v>41</v>
      </c>
      <c r="G3783">
        <v>0</v>
      </c>
      <c r="H3783">
        <v>0</v>
      </c>
      <c r="I3783">
        <v>0</v>
      </c>
      <c r="J3783">
        <v>0</v>
      </c>
      <c r="K3783">
        <v>6</v>
      </c>
      <c r="L3783">
        <v>0</v>
      </c>
      <c r="M3783">
        <v>0</v>
      </c>
      <c r="N3783">
        <v>0</v>
      </c>
      <c r="O3783">
        <v>0</v>
      </c>
      <c r="P3783">
        <v>0</v>
      </c>
      <c r="Q3783">
        <v>0</v>
      </c>
      <c r="R3783">
        <v>0</v>
      </c>
      <c r="S3783">
        <v>0</v>
      </c>
      <c r="T3783">
        <v>0</v>
      </c>
      <c r="U3783">
        <v>0</v>
      </c>
      <c r="V3783">
        <v>0</v>
      </c>
      <c r="W3783">
        <v>0</v>
      </c>
      <c r="X3783">
        <v>0</v>
      </c>
      <c r="Y3783" t="s">
        <v>31</v>
      </c>
      <c r="Z3783">
        <v>30</v>
      </c>
      <c r="AA3783">
        <v>0.5</v>
      </c>
    </row>
    <row r="3784" spans="1:27" x14ac:dyDescent="0.2">
      <c r="A3784" t="s">
        <v>318</v>
      </c>
      <c r="B3784">
        <v>2021</v>
      </c>
      <c r="C3784">
        <v>-4623</v>
      </c>
      <c r="D3784" t="s">
        <v>4795</v>
      </c>
      <c r="E3784" t="s">
        <v>29</v>
      </c>
      <c r="F3784" t="s">
        <v>30</v>
      </c>
      <c r="G3784">
        <v>0</v>
      </c>
      <c r="H3784">
        <v>0</v>
      </c>
      <c r="I3784">
        <v>0</v>
      </c>
      <c r="J3784">
        <v>0</v>
      </c>
      <c r="K3784">
        <v>0</v>
      </c>
      <c r="L3784">
        <v>0</v>
      </c>
      <c r="M3784">
        <v>13</v>
      </c>
      <c r="N3784">
        <v>0</v>
      </c>
      <c r="O3784">
        <v>0</v>
      </c>
      <c r="P3784">
        <v>0</v>
      </c>
      <c r="Q3784">
        <v>0</v>
      </c>
      <c r="R3784">
        <v>0</v>
      </c>
      <c r="S3784">
        <v>0</v>
      </c>
      <c r="T3784">
        <v>0</v>
      </c>
      <c r="U3784">
        <v>0</v>
      </c>
      <c r="V3784">
        <v>0</v>
      </c>
      <c r="W3784">
        <v>0</v>
      </c>
      <c r="X3784">
        <v>0</v>
      </c>
      <c r="Y3784" t="s">
        <v>31</v>
      </c>
      <c r="Z3784">
        <v>55</v>
      </c>
      <c r="AA3784">
        <v>4</v>
      </c>
    </row>
    <row r="3785" spans="1:27" x14ac:dyDescent="0.2">
      <c r="A3785" t="s">
        <v>318</v>
      </c>
      <c r="B3785">
        <v>2021</v>
      </c>
      <c r="C3785">
        <v>-4783</v>
      </c>
      <c r="D3785" t="s">
        <v>4796</v>
      </c>
      <c r="E3785" t="s">
        <v>29</v>
      </c>
      <c r="F3785" t="s">
        <v>30</v>
      </c>
      <c r="G3785">
        <v>0</v>
      </c>
      <c r="H3785">
        <v>0</v>
      </c>
      <c r="I3785">
        <v>0</v>
      </c>
      <c r="J3785">
        <v>0</v>
      </c>
      <c r="K3785">
        <v>0</v>
      </c>
      <c r="L3785">
        <v>0</v>
      </c>
      <c r="M3785">
        <v>2</v>
      </c>
      <c r="N3785">
        <v>0</v>
      </c>
      <c r="O3785">
        <v>5</v>
      </c>
      <c r="P3785">
        <v>0</v>
      </c>
      <c r="Q3785">
        <v>0</v>
      </c>
      <c r="R3785">
        <v>0</v>
      </c>
      <c r="S3785">
        <v>0</v>
      </c>
      <c r="T3785">
        <v>0</v>
      </c>
      <c r="U3785">
        <v>0</v>
      </c>
      <c r="V3785">
        <v>0</v>
      </c>
      <c r="W3785">
        <v>0</v>
      </c>
      <c r="X3785">
        <v>0</v>
      </c>
      <c r="Y3785" t="s">
        <v>31</v>
      </c>
      <c r="Z3785">
        <v>67</v>
      </c>
      <c r="AA3785" s="2" t="s">
        <v>4797</v>
      </c>
    </row>
    <row r="3786" spans="1:27" x14ac:dyDescent="0.2">
      <c r="A3786" t="s">
        <v>547</v>
      </c>
      <c r="B3786">
        <v>2018</v>
      </c>
      <c r="C3786">
        <v>5503018008</v>
      </c>
      <c r="D3786" t="s">
        <v>4798</v>
      </c>
      <c r="E3786" t="s">
        <v>29</v>
      </c>
      <c r="F3786" t="s">
        <v>30</v>
      </c>
      <c r="G3786">
        <v>0</v>
      </c>
      <c r="H3786">
        <v>0</v>
      </c>
      <c r="I3786">
        <v>0</v>
      </c>
      <c r="J3786">
        <v>0</v>
      </c>
      <c r="K3786">
        <v>0</v>
      </c>
      <c r="L3786">
        <v>0</v>
      </c>
      <c r="M3786">
        <v>4</v>
      </c>
      <c r="N3786">
        <v>0</v>
      </c>
      <c r="O3786">
        <v>0</v>
      </c>
      <c r="P3786">
        <v>0</v>
      </c>
      <c r="Q3786">
        <v>0</v>
      </c>
      <c r="R3786">
        <v>0</v>
      </c>
      <c r="S3786">
        <v>0</v>
      </c>
      <c r="T3786">
        <v>0</v>
      </c>
      <c r="U3786">
        <v>0</v>
      </c>
      <c r="V3786">
        <v>0</v>
      </c>
      <c r="W3786">
        <v>0</v>
      </c>
      <c r="X3786">
        <v>0</v>
      </c>
      <c r="Y3786" t="s">
        <v>31</v>
      </c>
      <c r="Z3786">
        <v>55</v>
      </c>
      <c r="AA3786">
        <v>0</v>
      </c>
    </row>
    <row r="3787" spans="1:27" x14ac:dyDescent="0.2">
      <c r="A3787" t="s">
        <v>547</v>
      </c>
      <c r="B3787">
        <v>2018</v>
      </c>
      <c r="C3787">
        <v>5546017014</v>
      </c>
      <c r="D3787" t="s">
        <v>4799</v>
      </c>
      <c r="E3787" t="s">
        <v>29</v>
      </c>
      <c r="F3787" t="s">
        <v>30</v>
      </c>
      <c r="G3787">
        <v>0</v>
      </c>
      <c r="H3787">
        <v>0</v>
      </c>
      <c r="I3787">
        <v>0</v>
      </c>
      <c r="J3787">
        <v>0</v>
      </c>
      <c r="K3787">
        <v>0</v>
      </c>
      <c r="L3787">
        <v>0</v>
      </c>
      <c r="M3787">
        <v>0</v>
      </c>
      <c r="N3787">
        <v>0</v>
      </c>
      <c r="O3787">
        <v>0</v>
      </c>
      <c r="P3787">
        <v>0</v>
      </c>
      <c r="Q3787">
        <v>20</v>
      </c>
      <c r="R3787">
        <v>0</v>
      </c>
      <c r="S3787">
        <v>0</v>
      </c>
      <c r="T3787">
        <v>0</v>
      </c>
      <c r="U3787">
        <v>0</v>
      </c>
      <c r="V3787">
        <v>0</v>
      </c>
      <c r="W3787">
        <v>0</v>
      </c>
      <c r="X3787">
        <v>0</v>
      </c>
      <c r="Y3787" t="s">
        <v>31</v>
      </c>
      <c r="Z3787">
        <v>55</v>
      </c>
      <c r="AA3787">
        <v>0</v>
      </c>
    </row>
    <row r="3788" spans="1:27" x14ac:dyDescent="0.2">
      <c r="A3788" t="s">
        <v>547</v>
      </c>
      <c r="B3788">
        <v>2018</v>
      </c>
      <c r="C3788">
        <v>5143020013</v>
      </c>
      <c r="D3788" t="s">
        <v>4800</v>
      </c>
      <c r="E3788" t="s">
        <v>29</v>
      </c>
      <c r="F3788" t="s">
        <v>30</v>
      </c>
      <c r="G3788">
        <v>34</v>
      </c>
      <c r="H3788">
        <v>0</v>
      </c>
      <c r="I3788">
        <v>0</v>
      </c>
      <c r="J3788">
        <v>0</v>
      </c>
      <c r="K3788">
        <v>0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>
        <v>0</v>
      </c>
      <c r="T3788">
        <v>0</v>
      </c>
      <c r="U3788">
        <v>0</v>
      </c>
      <c r="V3788">
        <v>0</v>
      </c>
      <c r="W3788">
        <v>0</v>
      </c>
      <c r="X3788">
        <v>0</v>
      </c>
      <c r="Y3788" t="s">
        <v>31</v>
      </c>
      <c r="Z3788">
        <v>55</v>
      </c>
      <c r="AA3788">
        <v>0</v>
      </c>
    </row>
    <row r="3789" spans="1:27" x14ac:dyDescent="0.2">
      <c r="A3789" t="s">
        <v>547</v>
      </c>
      <c r="B3789">
        <v>2018</v>
      </c>
      <c r="C3789">
        <v>2241013032</v>
      </c>
      <c r="D3789" t="s">
        <v>4801</v>
      </c>
      <c r="E3789" t="s">
        <v>29</v>
      </c>
      <c r="F3789" t="s">
        <v>30</v>
      </c>
      <c r="G3789">
        <v>3</v>
      </c>
      <c r="H3789">
        <v>0</v>
      </c>
      <c r="I3789">
        <v>0</v>
      </c>
      <c r="J3789">
        <v>0</v>
      </c>
      <c r="K3789">
        <v>0</v>
      </c>
      <c r="L3789">
        <v>0</v>
      </c>
      <c r="M3789">
        <v>0</v>
      </c>
      <c r="N3789">
        <v>0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  <c r="U3789">
        <v>0</v>
      </c>
      <c r="V3789">
        <v>0</v>
      </c>
      <c r="W3789">
        <v>0</v>
      </c>
      <c r="X3789">
        <v>0</v>
      </c>
      <c r="Y3789" t="s">
        <v>31</v>
      </c>
      <c r="Z3789">
        <v>55</v>
      </c>
      <c r="AA3789">
        <v>0</v>
      </c>
    </row>
    <row r="3790" spans="1:27" x14ac:dyDescent="0.2">
      <c r="A3790" t="s">
        <v>547</v>
      </c>
      <c r="B3790">
        <v>2018</v>
      </c>
      <c r="C3790">
        <v>5425017022</v>
      </c>
      <c r="D3790" t="s">
        <v>4802</v>
      </c>
      <c r="E3790" t="s">
        <v>29</v>
      </c>
      <c r="F3790" t="s">
        <v>30</v>
      </c>
      <c r="G3790">
        <v>1</v>
      </c>
      <c r="H3790">
        <v>0</v>
      </c>
      <c r="I3790">
        <v>0</v>
      </c>
      <c r="J3790">
        <v>0</v>
      </c>
      <c r="K3790">
        <v>0</v>
      </c>
      <c r="L3790">
        <v>0</v>
      </c>
      <c r="M3790">
        <v>0</v>
      </c>
      <c r="N3790">
        <v>0</v>
      </c>
      <c r="O3790">
        <v>0</v>
      </c>
      <c r="P3790">
        <v>0</v>
      </c>
      <c r="Q3790">
        <v>0</v>
      </c>
      <c r="R3790">
        <v>0</v>
      </c>
      <c r="S3790">
        <v>0</v>
      </c>
      <c r="T3790">
        <v>0</v>
      </c>
      <c r="U3790">
        <v>0</v>
      </c>
      <c r="V3790">
        <v>0</v>
      </c>
      <c r="W3790">
        <v>0</v>
      </c>
      <c r="X3790">
        <v>0</v>
      </c>
      <c r="Y3790" t="s">
        <v>31</v>
      </c>
      <c r="Z3790">
        <v>55</v>
      </c>
      <c r="AA3790">
        <v>0</v>
      </c>
    </row>
    <row r="3791" spans="1:27" x14ac:dyDescent="0.2">
      <c r="A3791" t="s">
        <v>547</v>
      </c>
      <c r="B3791">
        <v>2018</v>
      </c>
      <c r="C3791">
        <v>5544006053</v>
      </c>
      <c r="D3791" t="s">
        <v>4803</v>
      </c>
      <c r="E3791" t="s">
        <v>29</v>
      </c>
      <c r="F3791" t="s">
        <v>30</v>
      </c>
      <c r="G3791">
        <v>11</v>
      </c>
      <c r="H3791">
        <v>0</v>
      </c>
      <c r="I3791">
        <v>0</v>
      </c>
      <c r="J3791">
        <v>0</v>
      </c>
      <c r="K3791">
        <v>0</v>
      </c>
      <c r="L3791">
        <v>0</v>
      </c>
      <c r="M3791">
        <v>0</v>
      </c>
      <c r="N3791">
        <v>0</v>
      </c>
      <c r="O3791">
        <v>0</v>
      </c>
      <c r="P3791">
        <v>0</v>
      </c>
      <c r="Q3791">
        <v>0</v>
      </c>
      <c r="R3791">
        <v>0</v>
      </c>
      <c r="S3791">
        <v>0</v>
      </c>
      <c r="T3791">
        <v>0</v>
      </c>
      <c r="U3791">
        <v>0</v>
      </c>
      <c r="V3791">
        <v>0</v>
      </c>
      <c r="W3791">
        <v>0</v>
      </c>
      <c r="X3791">
        <v>0</v>
      </c>
      <c r="Y3791" t="s">
        <v>31</v>
      </c>
      <c r="Z3791">
        <v>55</v>
      </c>
      <c r="AA3791">
        <v>0</v>
      </c>
    </row>
    <row r="3792" spans="1:27" x14ac:dyDescent="0.2">
      <c r="A3792" t="s">
        <v>547</v>
      </c>
      <c r="B3792">
        <v>2018</v>
      </c>
      <c r="C3792">
        <v>5154026008</v>
      </c>
      <c r="D3792" t="s">
        <v>4804</v>
      </c>
      <c r="E3792" t="s">
        <v>29</v>
      </c>
      <c r="F3792" t="s">
        <v>30</v>
      </c>
      <c r="G3792">
        <v>2</v>
      </c>
      <c r="H3792">
        <v>0</v>
      </c>
      <c r="I3792">
        <v>2</v>
      </c>
      <c r="J3792">
        <v>0</v>
      </c>
      <c r="K3792">
        <v>0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0</v>
      </c>
      <c r="T3792">
        <v>0</v>
      </c>
      <c r="U3792">
        <v>0</v>
      </c>
      <c r="V3792">
        <v>0</v>
      </c>
      <c r="W3792">
        <v>0</v>
      </c>
      <c r="X3792">
        <v>0</v>
      </c>
      <c r="Y3792" t="s">
        <v>31</v>
      </c>
      <c r="Z3792">
        <v>55</v>
      </c>
      <c r="AA3792">
        <v>0</v>
      </c>
    </row>
    <row r="3793" spans="1:27" x14ac:dyDescent="0.2">
      <c r="A3793" t="s">
        <v>88</v>
      </c>
      <c r="B3793">
        <v>2019</v>
      </c>
      <c r="C3793" t="s">
        <v>4805</v>
      </c>
      <c r="D3793" t="s">
        <v>4806</v>
      </c>
      <c r="E3793" t="s">
        <v>29</v>
      </c>
      <c r="F3793" t="s">
        <v>30</v>
      </c>
      <c r="G3793">
        <v>0</v>
      </c>
      <c r="H3793">
        <v>0</v>
      </c>
      <c r="I3793">
        <v>0</v>
      </c>
      <c r="J3793">
        <v>0</v>
      </c>
      <c r="K3793">
        <v>157</v>
      </c>
      <c r="L3793">
        <v>0</v>
      </c>
      <c r="M3793">
        <v>0</v>
      </c>
      <c r="N3793">
        <v>0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0</v>
      </c>
      <c r="U3793">
        <v>0</v>
      </c>
      <c r="V3793">
        <v>0</v>
      </c>
      <c r="W3793">
        <v>0</v>
      </c>
      <c r="X3793">
        <v>0</v>
      </c>
      <c r="Y3793" t="s">
        <v>51</v>
      </c>
      <c r="AA3793">
        <v>0</v>
      </c>
    </row>
    <row r="3794" spans="1:27" x14ac:dyDescent="0.2">
      <c r="A3794" t="s">
        <v>622</v>
      </c>
      <c r="B3794">
        <v>2019</v>
      </c>
      <c r="C3794" t="s">
        <v>2999</v>
      </c>
      <c r="D3794" t="s">
        <v>4807</v>
      </c>
      <c r="E3794" t="s">
        <v>29</v>
      </c>
      <c r="F3794" t="s">
        <v>30</v>
      </c>
      <c r="G3794">
        <v>0</v>
      </c>
      <c r="H3794">
        <v>0</v>
      </c>
      <c r="I3794">
        <v>0</v>
      </c>
      <c r="J3794">
        <v>0</v>
      </c>
      <c r="K3794">
        <v>0</v>
      </c>
      <c r="L3794">
        <v>0</v>
      </c>
      <c r="M3794">
        <v>0</v>
      </c>
      <c r="N3794">
        <v>0</v>
      </c>
      <c r="O3794">
        <v>0</v>
      </c>
      <c r="P3794">
        <v>0</v>
      </c>
      <c r="Q3794">
        <v>0</v>
      </c>
      <c r="R3794">
        <v>0</v>
      </c>
      <c r="S3794">
        <v>3</v>
      </c>
      <c r="T3794">
        <v>0</v>
      </c>
      <c r="U3794">
        <v>0</v>
      </c>
      <c r="V3794">
        <v>0</v>
      </c>
      <c r="W3794">
        <v>0</v>
      </c>
      <c r="X3794">
        <v>0</v>
      </c>
      <c r="Y3794" t="s">
        <v>51</v>
      </c>
      <c r="Z3794">
        <v>55</v>
      </c>
      <c r="AA3794">
        <v>0</v>
      </c>
    </row>
    <row r="3795" spans="1:27" x14ac:dyDescent="0.2">
      <c r="A3795" t="s">
        <v>622</v>
      </c>
      <c r="B3795">
        <v>2019</v>
      </c>
      <c r="C3795" t="s">
        <v>2999</v>
      </c>
      <c r="D3795" t="s">
        <v>4808</v>
      </c>
      <c r="E3795" t="s">
        <v>29</v>
      </c>
      <c r="F3795" t="s">
        <v>30</v>
      </c>
      <c r="G3795">
        <v>0</v>
      </c>
      <c r="H3795">
        <v>0</v>
      </c>
      <c r="I3795">
        <v>0</v>
      </c>
      <c r="J3795">
        <v>0</v>
      </c>
      <c r="K3795">
        <v>0</v>
      </c>
      <c r="L3795">
        <v>0</v>
      </c>
      <c r="M3795">
        <v>0</v>
      </c>
      <c r="N3795">
        <v>0</v>
      </c>
      <c r="O3795">
        <v>0</v>
      </c>
      <c r="P3795">
        <v>0</v>
      </c>
      <c r="Q3795">
        <v>0</v>
      </c>
      <c r="R3795">
        <v>0</v>
      </c>
      <c r="S3795">
        <v>1</v>
      </c>
      <c r="T3795">
        <v>0</v>
      </c>
      <c r="U3795">
        <v>0</v>
      </c>
      <c r="V3795">
        <v>0</v>
      </c>
      <c r="W3795">
        <v>0</v>
      </c>
      <c r="X3795">
        <v>0</v>
      </c>
      <c r="Y3795" t="s">
        <v>51</v>
      </c>
      <c r="Z3795">
        <v>55</v>
      </c>
      <c r="AA3795">
        <v>0</v>
      </c>
    </row>
    <row r="3796" spans="1:27" x14ac:dyDescent="0.2">
      <c r="A3796" t="s">
        <v>1658</v>
      </c>
      <c r="B3796">
        <v>2023</v>
      </c>
      <c r="C3796" t="s">
        <v>3061</v>
      </c>
      <c r="D3796" t="s">
        <v>4809</v>
      </c>
      <c r="E3796" t="s">
        <v>29</v>
      </c>
      <c r="F3796" t="s">
        <v>41</v>
      </c>
      <c r="G3796">
        <v>0</v>
      </c>
      <c r="H3796">
        <v>0</v>
      </c>
      <c r="I3796">
        <v>0</v>
      </c>
      <c r="J3796">
        <v>0</v>
      </c>
      <c r="K3796">
        <v>0</v>
      </c>
      <c r="L3796">
        <v>0</v>
      </c>
      <c r="M3796">
        <v>0</v>
      </c>
      <c r="N3796">
        <v>0</v>
      </c>
      <c r="O3796">
        <v>0</v>
      </c>
      <c r="P3796">
        <v>0</v>
      </c>
      <c r="Q3796">
        <v>0</v>
      </c>
      <c r="R3796">
        <v>0</v>
      </c>
      <c r="S3796">
        <v>0</v>
      </c>
      <c r="T3796">
        <v>0</v>
      </c>
      <c r="U3796">
        <v>0</v>
      </c>
      <c r="V3796">
        <v>0</v>
      </c>
      <c r="W3796">
        <v>1</v>
      </c>
      <c r="X3796">
        <v>0</v>
      </c>
      <c r="Y3796" t="s">
        <v>51</v>
      </c>
      <c r="Z3796">
        <v>55</v>
      </c>
      <c r="AA3796">
        <v>0</v>
      </c>
    </row>
    <row r="3797" spans="1:27" x14ac:dyDescent="0.2">
      <c r="A3797" t="s">
        <v>1658</v>
      </c>
      <c r="B3797">
        <v>2023</v>
      </c>
      <c r="C3797" t="s">
        <v>3061</v>
      </c>
      <c r="D3797" t="s">
        <v>4810</v>
      </c>
      <c r="E3797" t="s">
        <v>29</v>
      </c>
      <c r="F3797" t="s">
        <v>41</v>
      </c>
      <c r="G3797">
        <v>0</v>
      </c>
      <c r="H3797">
        <v>0</v>
      </c>
      <c r="I3797">
        <v>0</v>
      </c>
      <c r="J3797">
        <v>0</v>
      </c>
      <c r="K3797">
        <v>0</v>
      </c>
      <c r="L3797">
        <v>0</v>
      </c>
      <c r="M3797">
        <v>0</v>
      </c>
      <c r="N3797">
        <v>0</v>
      </c>
      <c r="O3797">
        <v>0</v>
      </c>
      <c r="P3797">
        <v>0</v>
      </c>
      <c r="Q3797">
        <v>0</v>
      </c>
      <c r="R3797">
        <v>0</v>
      </c>
      <c r="S3797">
        <v>0</v>
      </c>
      <c r="T3797">
        <v>0</v>
      </c>
      <c r="U3797">
        <v>1</v>
      </c>
      <c r="V3797">
        <v>0</v>
      </c>
      <c r="W3797">
        <v>0</v>
      </c>
      <c r="X3797">
        <v>0</v>
      </c>
      <c r="Y3797" t="s">
        <v>51</v>
      </c>
      <c r="Z3797">
        <v>55</v>
      </c>
      <c r="AA3797">
        <v>0</v>
      </c>
    </row>
    <row r="3798" spans="1:27" x14ac:dyDescent="0.2">
      <c r="A3798" t="s">
        <v>547</v>
      </c>
      <c r="B3798">
        <v>2018</v>
      </c>
      <c r="C3798">
        <v>5547020003</v>
      </c>
      <c r="D3798" t="s">
        <v>4811</v>
      </c>
      <c r="E3798" t="s">
        <v>29</v>
      </c>
      <c r="F3798" t="s">
        <v>30</v>
      </c>
      <c r="G3798">
        <v>105</v>
      </c>
      <c r="H3798">
        <v>0</v>
      </c>
      <c r="I3798">
        <v>0</v>
      </c>
      <c r="J3798">
        <v>0</v>
      </c>
      <c r="K3798">
        <v>0</v>
      </c>
      <c r="L3798">
        <v>0</v>
      </c>
      <c r="M3798">
        <v>0</v>
      </c>
      <c r="N3798">
        <v>0</v>
      </c>
      <c r="O3798">
        <v>0</v>
      </c>
      <c r="P3798">
        <v>0</v>
      </c>
      <c r="Q3798">
        <v>0</v>
      </c>
      <c r="R3798">
        <v>0</v>
      </c>
      <c r="S3798">
        <v>0</v>
      </c>
      <c r="T3798">
        <v>0</v>
      </c>
      <c r="U3798">
        <v>0</v>
      </c>
      <c r="V3798">
        <v>0</v>
      </c>
      <c r="W3798">
        <v>0</v>
      </c>
      <c r="X3798">
        <v>0</v>
      </c>
      <c r="Y3798" t="s">
        <v>31</v>
      </c>
      <c r="Z3798">
        <v>55</v>
      </c>
      <c r="AA3798">
        <v>0</v>
      </c>
    </row>
    <row r="3799" spans="1:27" x14ac:dyDescent="0.2">
      <c r="A3799" t="s">
        <v>4812</v>
      </c>
      <c r="B3799">
        <v>2020</v>
      </c>
      <c r="C3799" t="s">
        <v>4813</v>
      </c>
      <c r="D3799" t="s">
        <v>4814</v>
      </c>
      <c r="E3799" t="s">
        <v>29</v>
      </c>
      <c r="F3799" t="s">
        <v>30</v>
      </c>
      <c r="G3799">
        <v>1</v>
      </c>
      <c r="H3799">
        <v>0</v>
      </c>
      <c r="I3799">
        <v>7</v>
      </c>
      <c r="J3799">
        <v>0</v>
      </c>
      <c r="K3799">
        <v>0</v>
      </c>
      <c r="L3799">
        <v>0</v>
      </c>
      <c r="M3799">
        <v>1</v>
      </c>
      <c r="N3799">
        <v>0</v>
      </c>
      <c r="O3799">
        <v>7</v>
      </c>
      <c r="P3799">
        <v>0</v>
      </c>
      <c r="Q3799">
        <v>0</v>
      </c>
      <c r="R3799">
        <v>0</v>
      </c>
      <c r="S3799">
        <v>1</v>
      </c>
      <c r="T3799">
        <v>0</v>
      </c>
      <c r="U3799">
        <v>7</v>
      </c>
      <c r="V3799">
        <v>0</v>
      </c>
      <c r="W3799">
        <v>0</v>
      </c>
      <c r="X3799">
        <v>0</v>
      </c>
      <c r="Y3799" t="s">
        <v>51</v>
      </c>
      <c r="Z3799">
        <v>55</v>
      </c>
      <c r="AA3799">
        <v>0</v>
      </c>
    </row>
    <row r="3800" spans="1:27" x14ac:dyDescent="0.2">
      <c r="A3800" t="s">
        <v>172</v>
      </c>
      <c r="B3800">
        <v>2018</v>
      </c>
      <c r="C3800" t="s">
        <v>4506</v>
      </c>
      <c r="D3800" t="s">
        <v>3898</v>
      </c>
      <c r="E3800" t="s">
        <v>29</v>
      </c>
      <c r="F3800" t="s">
        <v>30</v>
      </c>
      <c r="G3800">
        <v>0</v>
      </c>
      <c r="H3800">
        <v>0</v>
      </c>
      <c r="I3800">
        <v>0</v>
      </c>
      <c r="J3800">
        <v>0</v>
      </c>
      <c r="K3800">
        <v>0</v>
      </c>
      <c r="L3800">
        <v>0</v>
      </c>
      <c r="M3800">
        <v>17</v>
      </c>
      <c r="N3800">
        <v>0</v>
      </c>
      <c r="O3800">
        <v>0</v>
      </c>
      <c r="P3800">
        <v>0</v>
      </c>
      <c r="Q3800">
        <v>0</v>
      </c>
      <c r="R3800">
        <v>0</v>
      </c>
      <c r="S3800">
        <v>0</v>
      </c>
      <c r="T3800">
        <v>0</v>
      </c>
      <c r="U3800">
        <v>0</v>
      </c>
      <c r="V3800">
        <v>0</v>
      </c>
      <c r="W3800">
        <v>0</v>
      </c>
      <c r="X3800">
        <v>0</v>
      </c>
      <c r="Y3800" t="s">
        <v>31</v>
      </c>
      <c r="Z3800">
        <v>55</v>
      </c>
      <c r="AA3800">
        <v>0</v>
      </c>
    </row>
    <row r="3801" spans="1:27" x14ac:dyDescent="0.2">
      <c r="A3801" t="s">
        <v>622</v>
      </c>
      <c r="B3801">
        <v>2019</v>
      </c>
      <c r="C3801" t="s">
        <v>2999</v>
      </c>
      <c r="D3801" t="s">
        <v>4815</v>
      </c>
      <c r="E3801" t="s">
        <v>29</v>
      </c>
      <c r="F3801" t="s">
        <v>30</v>
      </c>
      <c r="G3801">
        <v>0</v>
      </c>
      <c r="H3801">
        <v>0</v>
      </c>
      <c r="I3801">
        <v>0</v>
      </c>
      <c r="J3801">
        <v>0</v>
      </c>
      <c r="K3801">
        <v>0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4</v>
      </c>
      <c r="T3801">
        <v>0</v>
      </c>
      <c r="U3801">
        <v>0</v>
      </c>
      <c r="V3801">
        <v>0</v>
      </c>
      <c r="W3801">
        <v>0</v>
      </c>
      <c r="X3801">
        <v>0</v>
      </c>
      <c r="Y3801" t="s">
        <v>51</v>
      </c>
      <c r="Z3801">
        <v>55</v>
      </c>
      <c r="AA3801">
        <v>0</v>
      </c>
    </row>
    <row r="3802" spans="1:27" x14ac:dyDescent="0.2">
      <c r="A3802" t="s">
        <v>622</v>
      </c>
      <c r="B3802">
        <v>2019</v>
      </c>
      <c r="C3802" t="s">
        <v>2999</v>
      </c>
      <c r="D3802" t="s">
        <v>4816</v>
      </c>
      <c r="E3802" t="s">
        <v>29</v>
      </c>
      <c r="F3802" t="s">
        <v>30</v>
      </c>
      <c r="G3802">
        <v>0</v>
      </c>
      <c r="H3802">
        <v>0</v>
      </c>
      <c r="I3802">
        <v>0</v>
      </c>
      <c r="J3802">
        <v>0</v>
      </c>
      <c r="K3802">
        <v>0</v>
      </c>
      <c r="L3802">
        <v>0</v>
      </c>
      <c r="M3802">
        <v>0</v>
      </c>
      <c r="N3802">
        <v>0</v>
      </c>
      <c r="O3802">
        <v>0</v>
      </c>
      <c r="P3802">
        <v>0</v>
      </c>
      <c r="Q3802">
        <v>0</v>
      </c>
      <c r="R3802">
        <v>0</v>
      </c>
      <c r="S3802">
        <v>6</v>
      </c>
      <c r="T3802">
        <v>0</v>
      </c>
      <c r="U3802">
        <v>0</v>
      </c>
      <c r="V3802">
        <v>0</v>
      </c>
      <c r="W3802">
        <v>0</v>
      </c>
      <c r="X3802">
        <v>0</v>
      </c>
      <c r="Y3802" t="s">
        <v>51</v>
      </c>
      <c r="Z3802">
        <v>55</v>
      </c>
      <c r="AA3802">
        <v>0</v>
      </c>
    </row>
    <row r="3803" spans="1:27" x14ac:dyDescent="0.2">
      <c r="A3803" t="s">
        <v>3107</v>
      </c>
      <c r="B3803">
        <v>2021</v>
      </c>
      <c r="C3803" t="s">
        <v>4817</v>
      </c>
      <c r="D3803" t="s">
        <v>4818</v>
      </c>
      <c r="E3803" t="s">
        <v>29</v>
      </c>
      <c r="F3803" t="s">
        <v>30</v>
      </c>
      <c r="G3803">
        <v>0</v>
      </c>
      <c r="H3803">
        <v>0</v>
      </c>
      <c r="I3803">
        <v>0</v>
      </c>
      <c r="J3803">
        <v>0</v>
      </c>
      <c r="K3803">
        <v>0</v>
      </c>
      <c r="L3803">
        <v>0</v>
      </c>
      <c r="M3803">
        <v>50</v>
      </c>
      <c r="N3803">
        <v>0</v>
      </c>
      <c r="O3803">
        <v>25</v>
      </c>
      <c r="P3803">
        <v>0</v>
      </c>
      <c r="Q3803">
        <v>0</v>
      </c>
      <c r="R3803">
        <v>0</v>
      </c>
      <c r="S3803">
        <v>0</v>
      </c>
      <c r="T3803">
        <v>0</v>
      </c>
      <c r="U3803">
        <v>0</v>
      </c>
      <c r="V3803">
        <v>0</v>
      </c>
      <c r="W3803">
        <v>0</v>
      </c>
      <c r="X3803">
        <v>0</v>
      </c>
      <c r="Y3803" t="s">
        <v>31</v>
      </c>
      <c r="Z3803">
        <v>50</v>
      </c>
      <c r="AA3803">
        <v>25</v>
      </c>
    </row>
    <row r="3804" spans="1:27" x14ac:dyDescent="0.2">
      <c r="A3804" t="s">
        <v>1500</v>
      </c>
      <c r="B3804">
        <v>2019</v>
      </c>
      <c r="C3804">
        <v>7407008016</v>
      </c>
      <c r="D3804" t="s">
        <v>3282</v>
      </c>
      <c r="E3804" t="s">
        <v>29</v>
      </c>
      <c r="F3804" t="s">
        <v>30</v>
      </c>
      <c r="G3804">
        <v>63</v>
      </c>
      <c r="H3804">
        <v>0</v>
      </c>
      <c r="I3804">
        <v>47</v>
      </c>
      <c r="J3804">
        <v>0</v>
      </c>
      <c r="K3804">
        <v>0</v>
      </c>
      <c r="L3804">
        <v>0</v>
      </c>
      <c r="M3804">
        <v>0</v>
      </c>
      <c r="N3804">
        <v>0</v>
      </c>
      <c r="O3804">
        <v>0</v>
      </c>
      <c r="P3804">
        <v>0</v>
      </c>
      <c r="Q3804">
        <v>0</v>
      </c>
      <c r="R3804">
        <v>0</v>
      </c>
      <c r="S3804">
        <v>0</v>
      </c>
      <c r="T3804">
        <v>0</v>
      </c>
      <c r="U3804">
        <v>0</v>
      </c>
      <c r="V3804">
        <v>0</v>
      </c>
      <c r="W3804">
        <v>0</v>
      </c>
      <c r="X3804">
        <v>0</v>
      </c>
      <c r="Y3804" t="s">
        <v>31</v>
      </c>
      <c r="Z3804">
        <v>55</v>
      </c>
      <c r="AA3804">
        <v>0</v>
      </c>
    </row>
    <row r="3805" spans="1:27" x14ac:dyDescent="0.2">
      <c r="A3805" t="s">
        <v>4819</v>
      </c>
      <c r="B3805">
        <v>2018</v>
      </c>
      <c r="C3805" s="2" t="s">
        <v>4820</v>
      </c>
      <c r="D3805" t="s">
        <v>4821</v>
      </c>
      <c r="E3805" t="s">
        <v>29</v>
      </c>
      <c r="F3805" t="s">
        <v>30</v>
      </c>
      <c r="G3805">
        <v>0</v>
      </c>
      <c r="H3805">
        <v>0</v>
      </c>
      <c r="I3805">
        <v>0</v>
      </c>
      <c r="J3805">
        <v>0</v>
      </c>
      <c r="K3805">
        <v>0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  <c r="T3805">
        <v>0</v>
      </c>
      <c r="U3805">
        <v>2</v>
      </c>
      <c r="V3805">
        <v>0</v>
      </c>
      <c r="W3805">
        <v>0</v>
      </c>
      <c r="X3805">
        <v>0</v>
      </c>
      <c r="Y3805" t="s">
        <v>51</v>
      </c>
      <c r="Z3805">
        <v>55</v>
      </c>
      <c r="AA3805">
        <v>0</v>
      </c>
    </row>
    <row r="3806" spans="1:27" x14ac:dyDescent="0.2">
      <c r="A3806" t="s">
        <v>418</v>
      </c>
      <c r="B3806">
        <v>2020</v>
      </c>
      <c r="C3806" t="s">
        <v>4822</v>
      </c>
      <c r="D3806" t="s">
        <v>4823</v>
      </c>
      <c r="E3806" t="s">
        <v>29</v>
      </c>
      <c r="F3806" t="s">
        <v>30</v>
      </c>
      <c r="G3806">
        <v>108</v>
      </c>
      <c r="H3806">
        <v>0</v>
      </c>
      <c r="I3806">
        <v>253</v>
      </c>
      <c r="J3806">
        <v>0</v>
      </c>
      <c r="K3806">
        <v>0</v>
      </c>
      <c r="L3806">
        <v>0</v>
      </c>
      <c r="M3806">
        <v>0</v>
      </c>
      <c r="N3806">
        <v>0</v>
      </c>
      <c r="O3806">
        <v>0</v>
      </c>
      <c r="P3806">
        <v>0</v>
      </c>
      <c r="Q3806">
        <v>0</v>
      </c>
      <c r="R3806">
        <v>0</v>
      </c>
      <c r="S3806">
        <v>0</v>
      </c>
      <c r="T3806">
        <v>0</v>
      </c>
      <c r="U3806">
        <v>0</v>
      </c>
      <c r="V3806">
        <v>0</v>
      </c>
      <c r="W3806">
        <v>0</v>
      </c>
      <c r="X3806">
        <v>0</v>
      </c>
      <c r="Y3806" t="s">
        <v>31</v>
      </c>
      <c r="Z3806">
        <v>55</v>
      </c>
      <c r="AA3806">
        <v>0</v>
      </c>
    </row>
    <row r="3807" spans="1:27" x14ac:dyDescent="0.2">
      <c r="A3807" t="s">
        <v>886</v>
      </c>
      <c r="B3807">
        <v>2023</v>
      </c>
      <c r="C3807" t="s">
        <v>1111</v>
      </c>
      <c r="D3807" t="s">
        <v>1112</v>
      </c>
      <c r="E3807" t="s">
        <v>29</v>
      </c>
      <c r="F3807" t="s">
        <v>30</v>
      </c>
      <c r="G3807">
        <v>26</v>
      </c>
      <c r="H3807">
        <v>0</v>
      </c>
      <c r="I3807">
        <v>7</v>
      </c>
      <c r="J3807">
        <v>0</v>
      </c>
      <c r="K3807">
        <v>0</v>
      </c>
      <c r="L3807">
        <v>0</v>
      </c>
      <c r="M3807">
        <v>26</v>
      </c>
      <c r="N3807">
        <v>0</v>
      </c>
      <c r="O3807">
        <v>7</v>
      </c>
      <c r="P3807">
        <v>0</v>
      </c>
      <c r="Q3807">
        <v>0</v>
      </c>
      <c r="R3807">
        <v>0</v>
      </c>
      <c r="S3807">
        <v>0</v>
      </c>
      <c r="T3807">
        <v>0</v>
      </c>
      <c r="U3807">
        <v>0</v>
      </c>
      <c r="V3807">
        <v>0</v>
      </c>
      <c r="W3807">
        <v>0</v>
      </c>
      <c r="X3807">
        <v>0</v>
      </c>
      <c r="Y3807" t="s">
        <v>31</v>
      </c>
      <c r="Z3807">
        <v>55</v>
      </c>
      <c r="AA3807" s="2" t="s">
        <v>1113</v>
      </c>
    </row>
    <row r="3808" spans="1:27" x14ac:dyDescent="0.2">
      <c r="A3808" t="s">
        <v>418</v>
      </c>
      <c r="B3808">
        <v>2019</v>
      </c>
      <c r="C3808">
        <v>29638013</v>
      </c>
      <c r="D3808" t="s">
        <v>3568</v>
      </c>
      <c r="E3808" t="s">
        <v>29</v>
      </c>
      <c r="F3808" t="s">
        <v>30</v>
      </c>
      <c r="G3808">
        <v>0</v>
      </c>
      <c r="H3808">
        <v>0</v>
      </c>
      <c r="I3808">
        <v>88</v>
      </c>
      <c r="J3808">
        <v>0</v>
      </c>
      <c r="K3808">
        <v>0</v>
      </c>
      <c r="L3808">
        <v>0</v>
      </c>
      <c r="M3808">
        <v>0</v>
      </c>
      <c r="N3808">
        <v>0</v>
      </c>
      <c r="O3808">
        <v>0</v>
      </c>
      <c r="P3808">
        <v>0</v>
      </c>
      <c r="Q3808">
        <v>0</v>
      </c>
      <c r="R3808">
        <v>0</v>
      </c>
      <c r="S3808">
        <v>0</v>
      </c>
      <c r="T3808">
        <v>0</v>
      </c>
      <c r="U3808">
        <v>0</v>
      </c>
      <c r="V3808">
        <v>0</v>
      </c>
      <c r="W3808">
        <v>0</v>
      </c>
      <c r="X3808">
        <v>0</v>
      </c>
      <c r="Y3808" t="s">
        <v>51</v>
      </c>
      <c r="Z3808">
        <v>55</v>
      </c>
      <c r="AA3808">
        <v>0</v>
      </c>
    </row>
    <row r="3809" spans="1:27" x14ac:dyDescent="0.2">
      <c r="A3809" t="s">
        <v>4824</v>
      </c>
      <c r="B3809">
        <v>2019</v>
      </c>
      <c r="C3809" t="s">
        <v>4825</v>
      </c>
      <c r="D3809" t="s">
        <v>4826</v>
      </c>
      <c r="E3809" t="s">
        <v>29</v>
      </c>
      <c r="F3809" t="s">
        <v>30</v>
      </c>
      <c r="G3809">
        <v>1</v>
      </c>
      <c r="H3809">
        <v>0</v>
      </c>
      <c r="I3809">
        <v>1</v>
      </c>
      <c r="J3809">
        <v>0</v>
      </c>
      <c r="K3809">
        <v>1</v>
      </c>
      <c r="L3809">
        <v>0</v>
      </c>
      <c r="M3809">
        <v>0</v>
      </c>
      <c r="N3809">
        <v>0</v>
      </c>
      <c r="O3809">
        <v>0</v>
      </c>
      <c r="P3809">
        <v>0</v>
      </c>
      <c r="Q3809">
        <v>0</v>
      </c>
      <c r="R3809">
        <v>0</v>
      </c>
      <c r="S3809">
        <v>0</v>
      </c>
      <c r="T3809">
        <v>0</v>
      </c>
      <c r="U3809">
        <v>0</v>
      </c>
      <c r="V3809">
        <v>0</v>
      </c>
      <c r="W3809">
        <v>0</v>
      </c>
      <c r="X3809">
        <v>0</v>
      </c>
      <c r="Y3809" t="s">
        <v>31</v>
      </c>
      <c r="Z3809">
        <v>55</v>
      </c>
      <c r="AA3809">
        <v>0</v>
      </c>
    </row>
    <row r="3810" spans="1:27" x14ac:dyDescent="0.2">
      <c r="A3810" t="s">
        <v>4824</v>
      </c>
      <c r="B3810">
        <v>2019</v>
      </c>
      <c r="C3810" t="s">
        <v>4827</v>
      </c>
      <c r="D3810" t="s">
        <v>4828</v>
      </c>
      <c r="E3810" t="s">
        <v>29</v>
      </c>
      <c r="F3810" t="s">
        <v>30</v>
      </c>
      <c r="G3810">
        <v>1</v>
      </c>
      <c r="H3810">
        <v>0</v>
      </c>
      <c r="I3810">
        <v>1</v>
      </c>
      <c r="J3810">
        <v>0</v>
      </c>
      <c r="K3810">
        <v>0</v>
      </c>
      <c r="L3810">
        <v>0</v>
      </c>
      <c r="M3810">
        <v>0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0</v>
      </c>
      <c r="T3810">
        <v>0</v>
      </c>
      <c r="U3810">
        <v>0</v>
      </c>
      <c r="V3810">
        <v>0</v>
      </c>
      <c r="W3810">
        <v>0</v>
      </c>
      <c r="X3810">
        <v>0</v>
      </c>
      <c r="Y3810" t="s">
        <v>31</v>
      </c>
      <c r="Z3810">
        <v>55</v>
      </c>
      <c r="AA3810">
        <v>0</v>
      </c>
    </row>
    <row r="3811" spans="1:27" x14ac:dyDescent="0.2">
      <c r="A3811" t="s">
        <v>1165</v>
      </c>
      <c r="B3811">
        <v>2021</v>
      </c>
      <c r="C3811" t="s">
        <v>1180</v>
      </c>
      <c r="D3811" t="s">
        <v>1181</v>
      </c>
      <c r="E3811" t="s">
        <v>29</v>
      </c>
      <c r="F3811" t="s">
        <v>41</v>
      </c>
      <c r="G3811">
        <v>0</v>
      </c>
      <c r="H3811">
        <v>0</v>
      </c>
      <c r="I3811">
        <v>1</v>
      </c>
      <c r="J3811">
        <v>0</v>
      </c>
      <c r="K3811">
        <v>0</v>
      </c>
      <c r="L3811">
        <v>0</v>
      </c>
      <c r="M3811">
        <v>0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  <c r="T3811">
        <v>0</v>
      </c>
      <c r="U3811">
        <v>0</v>
      </c>
      <c r="V3811">
        <v>0</v>
      </c>
      <c r="W3811">
        <v>0</v>
      </c>
      <c r="X3811">
        <v>0</v>
      </c>
      <c r="Y3811" t="s">
        <v>51</v>
      </c>
      <c r="Z3811">
        <v>55</v>
      </c>
      <c r="AA3811">
        <v>0</v>
      </c>
    </row>
    <row r="3812" spans="1:27" x14ac:dyDescent="0.2">
      <c r="A3812" t="s">
        <v>622</v>
      </c>
      <c r="B3812">
        <v>2019</v>
      </c>
      <c r="C3812" t="s">
        <v>2999</v>
      </c>
      <c r="D3812" t="s">
        <v>4829</v>
      </c>
      <c r="E3812" t="s">
        <v>29</v>
      </c>
      <c r="F3812" t="s">
        <v>30</v>
      </c>
      <c r="G3812">
        <v>0</v>
      </c>
      <c r="H3812">
        <v>0</v>
      </c>
      <c r="I3812">
        <v>0</v>
      </c>
      <c r="J3812">
        <v>0</v>
      </c>
      <c r="K3812">
        <v>0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0</v>
      </c>
      <c r="R3812">
        <v>0</v>
      </c>
      <c r="S3812">
        <v>2</v>
      </c>
      <c r="T3812">
        <v>0</v>
      </c>
      <c r="U3812">
        <v>0</v>
      </c>
      <c r="V3812">
        <v>0</v>
      </c>
      <c r="W3812">
        <v>0</v>
      </c>
      <c r="X3812">
        <v>0</v>
      </c>
      <c r="Y3812" t="s">
        <v>51</v>
      </c>
      <c r="Z3812">
        <v>55</v>
      </c>
      <c r="AA3812">
        <v>0</v>
      </c>
    </row>
    <row r="3813" spans="1:27" x14ac:dyDescent="0.2">
      <c r="A3813" t="s">
        <v>622</v>
      </c>
      <c r="B3813">
        <v>2019</v>
      </c>
      <c r="C3813" t="s">
        <v>2999</v>
      </c>
      <c r="D3813" t="s">
        <v>4830</v>
      </c>
      <c r="E3813" t="s">
        <v>29</v>
      </c>
      <c r="F3813" t="s">
        <v>30</v>
      </c>
      <c r="G3813">
        <v>0</v>
      </c>
      <c r="H3813">
        <v>0</v>
      </c>
      <c r="I3813">
        <v>0</v>
      </c>
      <c r="J3813">
        <v>0</v>
      </c>
      <c r="K3813">
        <v>0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0</v>
      </c>
      <c r="R3813">
        <v>0</v>
      </c>
      <c r="S3813">
        <v>4</v>
      </c>
      <c r="T3813">
        <v>0</v>
      </c>
      <c r="U3813">
        <v>0</v>
      </c>
      <c r="V3813">
        <v>0</v>
      </c>
      <c r="W3813">
        <v>0</v>
      </c>
      <c r="X3813">
        <v>0</v>
      </c>
      <c r="Y3813" t="s">
        <v>51</v>
      </c>
      <c r="Z3813">
        <v>55</v>
      </c>
      <c r="AA3813">
        <v>0</v>
      </c>
    </row>
    <row r="3814" spans="1:27" x14ac:dyDescent="0.2">
      <c r="A3814" t="s">
        <v>622</v>
      </c>
      <c r="B3814">
        <v>2019</v>
      </c>
      <c r="C3814" t="s">
        <v>1035</v>
      </c>
      <c r="D3814" t="s">
        <v>1036</v>
      </c>
      <c r="E3814" t="s">
        <v>29</v>
      </c>
      <c r="F3814" t="s">
        <v>30</v>
      </c>
      <c r="G3814">
        <v>0</v>
      </c>
      <c r="H3814">
        <v>0</v>
      </c>
      <c r="I3814">
        <v>0</v>
      </c>
      <c r="J3814">
        <v>0</v>
      </c>
      <c r="K3814">
        <v>0</v>
      </c>
      <c r="L3814">
        <v>0</v>
      </c>
      <c r="M3814">
        <v>14</v>
      </c>
      <c r="N3814">
        <v>0</v>
      </c>
      <c r="O3814">
        <v>6</v>
      </c>
      <c r="P3814">
        <v>0</v>
      </c>
      <c r="Q3814">
        <v>0</v>
      </c>
      <c r="R3814">
        <v>0</v>
      </c>
      <c r="S3814">
        <v>0</v>
      </c>
      <c r="T3814">
        <v>0</v>
      </c>
      <c r="U3814">
        <v>0</v>
      </c>
      <c r="V3814">
        <v>0</v>
      </c>
      <c r="W3814">
        <v>0</v>
      </c>
      <c r="X3814">
        <v>0</v>
      </c>
      <c r="Y3814" t="s">
        <v>51</v>
      </c>
      <c r="Z3814">
        <v>55</v>
      </c>
      <c r="AA3814">
        <v>0</v>
      </c>
    </row>
    <row r="3815" spans="1:27" x14ac:dyDescent="0.2">
      <c r="A3815" t="s">
        <v>424</v>
      </c>
      <c r="B3815">
        <v>2023</v>
      </c>
      <c r="C3815">
        <v>148170001</v>
      </c>
      <c r="D3815" t="s">
        <v>425</v>
      </c>
      <c r="E3815" t="s">
        <v>29</v>
      </c>
      <c r="F3815" t="s">
        <v>30</v>
      </c>
      <c r="G3815">
        <v>0</v>
      </c>
      <c r="H3815">
        <v>0</v>
      </c>
      <c r="I3815">
        <v>0</v>
      </c>
      <c r="J3815">
        <v>0</v>
      </c>
      <c r="K3815">
        <v>0</v>
      </c>
      <c r="L3815">
        <v>0</v>
      </c>
      <c r="M3815">
        <v>12</v>
      </c>
      <c r="N3815">
        <v>0</v>
      </c>
      <c r="O3815">
        <v>0</v>
      </c>
      <c r="P3815">
        <v>0</v>
      </c>
      <c r="Q3815">
        <v>24</v>
      </c>
      <c r="R3815">
        <v>0</v>
      </c>
      <c r="S3815">
        <v>12</v>
      </c>
      <c r="T3815">
        <v>0</v>
      </c>
      <c r="U3815">
        <v>0</v>
      </c>
      <c r="V3815">
        <v>0</v>
      </c>
      <c r="W3815">
        <v>24</v>
      </c>
      <c r="X3815">
        <v>0</v>
      </c>
      <c r="Y3815" t="s">
        <v>31</v>
      </c>
      <c r="Z3815">
        <v>55</v>
      </c>
      <c r="AA3815">
        <v>20</v>
      </c>
    </row>
    <row r="3816" spans="1:27" x14ac:dyDescent="0.2">
      <c r="A3816" t="s">
        <v>1541</v>
      </c>
      <c r="B3816">
        <v>2018</v>
      </c>
      <c r="C3816" t="s">
        <v>4831</v>
      </c>
      <c r="D3816" t="s">
        <v>4832</v>
      </c>
      <c r="E3816" t="s">
        <v>29</v>
      </c>
      <c r="F3816" t="s">
        <v>30</v>
      </c>
      <c r="G3816">
        <v>0</v>
      </c>
      <c r="H3816">
        <v>0</v>
      </c>
      <c r="I3816">
        <v>6</v>
      </c>
      <c r="J3816">
        <v>0</v>
      </c>
      <c r="K3816">
        <v>0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  <c r="T3816">
        <v>0</v>
      </c>
      <c r="U3816">
        <v>0</v>
      </c>
      <c r="V3816">
        <v>0</v>
      </c>
      <c r="W3816">
        <v>0</v>
      </c>
      <c r="X3816">
        <v>0</v>
      </c>
      <c r="Y3816" t="s">
        <v>31</v>
      </c>
      <c r="AA3816">
        <v>0</v>
      </c>
    </row>
    <row r="3817" spans="1:27" x14ac:dyDescent="0.2">
      <c r="A3817" t="s">
        <v>1541</v>
      </c>
      <c r="B3817">
        <v>2018</v>
      </c>
      <c r="C3817" t="s">
        <v>4833</v>
      </c>
      <c r="D3817" t="s">
        <v>4834</v>
      </c>
      <c r="E3817" t="s">
        <v>29</v>
      </c>
      <c r="F3817" t="s">
        <v>30</v>
      </c>
      <c r="G3817">
        <v>0</v>
      </c>
      <c r="H3817">
        <v>0</v>
      </c>
      <c r="I3817">
        <v>0</v>
      </c>
      <c r="J3817">
        <v>0</v>
      </c>
      <c r="K3817">
        <v>0</v>
      </c>
      <c r="L3817">
        <v>0</v>
      </c>
      <c r="M3817">
        <v>3</v>
      </c>
      <c r="N3817">
        <v>0</v>
      </c>
      <c r="O3817">
        <v>5</v>
      </c>
      <c r="P3817">
        <v>0</v>
      </c>
      <c r="Q3817">
        <v>0</v>
      </c>
      <c r="R3817">
        <v>0</v>
      </c>
      <c r="S3817">
        <v>3</v>
      </c>
      <c r="T3817">
        <v>0</v>
      </c>
      <c r="U3817">
        <v>5</v>
      </c>
      <c r="V3817">
        <v>0</v>
      </c>
      <c r="W3817">
        <v>0</v>
      </c>
      <c r="X3817">
        <v>0</v>
      </c>
      <c r="Y3817" t="s">
        <v>31</v>
      </c>
      <c r="AA3817">
        <v>0</v>
      </c>
    </row>
    <row r="3818" spans="1:27" x14ac:dyDescent="0.2">
      <c r="A3818" t="s">
        <v>1541</v>
      </c>
      <c r="B3818">
        <v>2018</v>
      </c>
      <c r="C3818" t="s">
        <v>4831</v>
      </c>
      <c r="D3818" t="s">
        <v>4835</v>
      </c>
      <c r="E3818" t="s">
        <v>29</v>
      </c>
      <c r="F3818" t="s">
        <v>30</v>
      </c>
      <c r="G3818">
        <v>0</v>
      </c>
      <c r="H3818">
        <v>0</v>
      </c>
      <c r="I3818">
        <v>0</v>
      </c>
      <c r="J3818">
        <v>0</v>
      </c>
      <c r="K3818">
        <v>0</v>
      </c>
      <c r="L3818">
        <v>0</v>
      </c>
      <c r="M3818">
        <v>0</v>
      </c>
      <c r="N3818">
        <v>0</v>
      </c>
      <c r="O3818">
        <v>6</v>
      </c>
      <c r="P3818">
        <v>0</v>
      </c>
      <c r="Q3818">
        <v>0</v>
      </c>
      <c r="R3818">
        <v>0</v>
      </c>
      <c r="S3818">
        <v>0</v>
      </c>
      <c r="T3818">
        <v>0</v>
      </c>
      <c r="U3818">
        <v>0</v>
      </c>
      <c r="V3818">
        <v>0</v>
      </c>
      <c r="W3818">
        <v>0</v>
      </c>
      <c r="X3818">
        <v>0</v>
      </c>
      <c r="Y3818" t="s">
        <v>31</v>
      </c>
      <c r="Z3818">
        <v>55</v>
      </c>
      <c r="AA3818">
        <v>0</v>
      </c>
    </row>
    <row r="3819" spans="1:27" x14ac:dyDescent="0.2">
      <c r="A3819" t="s">
        <v>424</v>
      </c>
      <c r="B3819">
        <v>2023</v>
      </c>
      <c r="C3819">
        <v>357151002</v>
      </c>
      <c r="D3819" t="s">
        <v>4836</v>
      </c>
      <c r="E3819" t="s">
        <v>29</v>
      </c>
      <c r="F3819" t="s">
        <v>30</v>
      </c>
      <c r="G3819">
        <v>0</v>
      </c>
      <c r="H3819">
        <v>0</v>
      </c>
      <c r="I3819">
        <v>0</v>
      </c>
      <c r="J3819">
        <v>0</v>
      </c>
      <c r="K3819">
        <v>0</v>
      </c>
      <c r="L3819">
        <v>0</v>
      </c>
      <c r="M3819">
        <v>1</v>
      </c>
      <c r="N3819">
        <v>0</v>
      </c>
      <c r="O3819">
        <v>2</v>
      </c>
      <c r="P3819">
        <v>0</v>
      </c>
      <c r="Q3819">
        <v>0</v>
      </c>
      <c r="R3819">
        <v>0</v>
      </c>
      <c r="S3819">
        <v>0</v>
      </c>
      <c r="T3819">
        <v>0</v>
      </c>
      <c r="U3819">
        <v>0</v>
      </c>
      <c r="V3819">
        <v>0</v>
      </c>
      <c r="W3819">
        <v>0</v>
      </c>
      <c r="X3819">
        <v>0</v>
      </c>
      <c r="Y3819" t="s">
        <v>31</v>
      </c>
      <c r="Z3819">
        <v>55</v>
      </c>
      <c r="AA3819">
        <v>38</v>
      </c>
    </row>
    <row r="3820" spans="1:27" x14ac:dyDescent="0.2">
      <c r="A3820" t="s">
        <v>4837</v>
      </c>
      <c r="B3820">
        <v>2019</v>
      </c>
      <c r="C3820" t="s">
        <v>4838</v>
      </c>
      <c r="E3820" t="s">
        <v>29</v>
      </c>
      <c r="F3820" t="s">
        <v>30</v>
      </c>
      <c r="G3820">
        <v>0</v>
      </c>
      <c r="H3820">
        <v>55</v>
      </c>
      <c r="I3820">
        <v>0</v>
      </c>
      <c r="J3820">
        <v>0</v>
      </c>
      <c r="K3820">
        <v>0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  <c r="T3820">
        <v>0</v>
      </c>
      <c r="U3820">
        <v>0</v>
      </c>
      <c r="V3820">
        <v>0</v>
      </c>
      <c r="W3820">
        <v>0</v>
      </c>
      <c r="X3820">
        <v>0</v>
      </c>
      <c r="Y3820" t="s">
        <v>31</v>
      </c>
      <c r="AA3820">
        <v>0</v>
      </c>
    </row>
    <row r="3821" spans="1:27" x14ac:dyDescent="0.2">
      <c r="A3821" t="s">
        <v>254</v>
      </c>
      <c r="B3821">
        <v>2019</v>
      </c>
      <c r="C3821" t="s">
        <v>4839</v>
      </c>
      <c r="D3821" t="s">
        <v>4840</v>
      </c>
      <c r="E3821" t="s">
        <v>29</v>
      </c>
      <c r="F3821" t="s">
        <v>30</v>
      </c>
      <c r="G3821">
        <v>0</v>
      </c>
      <c r="H3821">
        <v>0</v>
      </c>
      <c r="I3821">
        <v>51</v>
      </c>
      <c r="J3821">
        <v>0</v>
      </c>
      <c r="K3821">
        <v>0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0</v>
      </c>
      <c r="R3821">
        <v>0</v>
      </c>
      <c r="S3821">
        <v>0</v>
      </c>
      <c r="T3821">
        <v>0</v>
      </c>
      <c r="U3821">
        <v>0</v>
      </c>
      <c r="V3821">
        <v>0</v>
      </c>
      <c r="W3821">
        <v>0</v>
      </c>
      <c r="X3821">
        <v>0</v>
      </c>
      <c r="Y3821" t="s">
        <v>31</v>
      </c>
      <c r="Z3821">
        <v>55</v>
      </c>
      <c r="AA3821">
        <v>0</v>
      </c>
    </row>
    <row r="3822" spans="1:27" x14ac:dyDescent="0.2">
      <c r="A3822" t="s">
        <v>1045</v>
      </c>
      <c r="B3822">
        <v>2020</v>
      </c>
      <c r="C3822" t="s">
        <v>4841</v>
      </c>
      <c r="D3822" t="s">
        <v>4842</v>
      </c>
      <c r="E3822" t="s">
        <v>29</v>
      </c>
      <c r="F3822" t="s">
        <v>30</v>
      </c>
      <c r="G3822">
        <v>0</v>
      </c>
      <c r="H3822">
        <v>0</v>
      </c>
      <c r="I3822">
        <v>0</v>
      </c>
      <c r="J3822">
        <v>0</v>
      </c>
      <c r="K3822">
        <v>0</v>
      </c>
      <c r="L3822">
        <v>0</v>
      </c>
      <c r="M3822">
        <v>0</v>
      </c>
      <c r="N3822">
        <v>0</v>
      </c>
      <c r="O3822">
        <v>59</v>
      </c>
      <c r="P3822">
        <v>0</v>
      </c>
      <c r="Q3822">
        <v>0</v>
      </c>
      <c r="R3822">
        <v>0</v>
      </c>
      <c r="S3822">
        <v>0</v>
      </c>
      <c r="T3822">
        <v>0</v>
      </c>
      <c r="U3822">
        <v>0</v>
      </c>
      <c r="V3822">
        <v>0</v>
      </c>
      <c r="W3822">
        <v>0</v>
      </c>
      <c r="X3822">
        <v>0</v>
      </c>
      <c r="Y3822" t="s">
        <v>31</v>
      </c>
      <c r="Z3822">
        <v>99</v>
      </c>
      <c r="AA3822">
        <v>0</v>
      </c>
    </row>
    <row r="3823" spans="1:27" x14ac:dyDescent="0.2">
      <c r="A3823" t="s">
        <v>1045</v>
      </c>
      <c r="B3823">
        <v>2020</v>
      </c>
      <c r="C3823">
        <v>1753233300</v>
      </c>
      <c r="D3823" t="s">
        <v>2779</v>
      </c>
      <c r="E3823" t="s">
        <v>29</v>
      </c>
      <c r="F3823" t="s">
        <v>30</v>
      </c>
      <c r="G3823">
        <v>0</v>
      </c>
      <c r="H3823">
        <v>0</v>
      </c>
      <c r="I3823">
        <v>0</v>
      </c>
      <c r="J3823">
        <v>0</v>
      </c>
      <c r="K3823">
        <v>0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60</v>
      </c>
      <c r="T3823">
        <v>0</v>
      </c>
      <c r="U3823">
        <v>20</v>
      </c>
      <c r="V3823">
        <v>0</v>
      </c>
      <c r="W3823">
        <v>0</v>
      </c>
      <c r="X3823">
        <v>0</v>
      </c>
      <c r="Y3823" t="s">
        <v>31</v>
      </c>
      <c r="Z3823">
        <v>55</v>
      </c>
      <c r="AA3823">
        <v>0</v>
      </c>
    </row>
    <row r="3824" spans="1:27" x14ac:dyDescent="0.2">
      <c r="A3824" t="s">
        <v>302</v>
      </c>
      <c r="B3824">
        <v>2019</v>
      </c>
      <c r="C3824" t="s">
        <v>4843</v>
      </c>
      <c r="D3824" t="s">
        <v>2035</v>
      </c>
      <c r="E3824" t="s">
        <v>29</v>
      </c>
      <c r="F3824" t="s">
        <v>30</v>
      </c>
      <c r="G3824">
        <v>6</v>
      </c>
      <c r="H3824">
        <v>0</v>
      </c>
      <c r="I3824">
        <v>0</v>
      </c>
      <c r="J3824">
        <v>0</v>
      </c>
      <c r="K3824">
        <v>0</v>
      </c>
      <c r="L3824">
        <v>0</v>
      </c>
      <c r="M3824">
        <v>2</v>
      </c>
      <c r="N3824">
        <v>0</v>
      </c>
      <c r="O3824">
        <v>0</v>
      </c>
      <c r="P3824">
        <v>0</v>
      </c>
      <c r="Q3824">
        <v>0</v>
      </c>
      <c r="R3824">
        <v>0</v>
      </c>
      <c r="S3824">
        <v>0</v>
      </c>
      <c r="T3824">
        <v>0</v>
      </c>
      <c r="U3824">
        <v>0</v>
      </c>
      <c r="V3824">
        <v>0</v>
      </c>
      <c r="W3824">
        <v>0</v>
      </c>
      <c r="X3824">
        <v>0</v>
      </c>
      <c r="Y3824" t="s">
        <v>31</v>
      </c>
      <c r="Z3824">
        <v>1000</v>
      </c>
      <c r="AA3824">
        <v>0</v>
      </c>
    </row>
    <row r="3825" spans="1:27" x14ac:dyDescent="0.2">
      <c r="A3825" t="s">
        <v>1653</v>
      </c>
      <c r="B3825">
        <v>2020</v>
      </c>
      <c r="C3825" t="s">
        <v>4844</v>
      </c>
      <c r="D3825" t="s">
        <v>4845</v>
      </c>
      <c r="E3825" t="s">
        <v>29</v>
      </c>
      <c r="F3825" t="s">
        <v>41</v>
      </c>
      <c r="G3825">
        <v>0</v>
      </c>
      <c r="H3825">
        <v>0</v>
      </c>
      <c r="I3825">
        <v>0</v>
      </c>
      <c r="J3825">
        <v>0</v>
      </c>
      <c r="K3825">
        <v>0</v>
      </c>
      <c r="L3825">
        <v>0</v>
      </c>
      <c r="M3825">
        <v>0</v>
      </c>
      <c r="N3825">
        <v>0</v>
      </c>
      <c r="O3825">
        <v>3</v>
      </c>
      <c r="P3825">
        <v>0</v>
      </c>
      <c r="Q3825">
        <v>0</v>
      </c>
      <c r="R3825">
        <v>0</v>
      </c>
      <c r="S3825">
        <v>0</v>
      </c>
      <c r="T3825">
        <v>0</v>
      </c>
      <c r="U3825">
        <v>0</v>
      </c>
      <c r="V3825">
        <v>0</v>
      </c>
      <c r="W3825">
        <v>0</v>
      </c>
      <c r="X3825">
        <v>0</v>
      </c>
      <c r="Y3825" t="s">
        <v>51</v>
      </c>
      <c r="AA3825">
        <v>0</v>
      </c>
    </row>
    <row r="3826" spans="1:27" x14ac:dyDescent="0.2">
      <c r="A3826" t="s">
        <v>1285</v>
      </c>
      <c r="B3826">
        <v>2019</v>
      </c>
      <c r="C3826">
        <v>2200320500</v>
      </c>
      <c r="D3826" t="s">
        <v>4846</v>
      </c>
      <c r="E3826" t="s">
        <v>29</v>
      </c>
      <c r="F3826" t="s">
        <v>30</v>
      </c>
      <c r="G3826">
        <v>64</v>
      </c>
      <c r="H3826">
        <v>0</v>
      </c>
      <c r="I3826">
        <v>35</v>
      </c>
      <c r="J3826">
        <v>0</v>
      </c>
      <c r="K3826">
        <v>0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  <c r="T3826">
        <v>0</v>
      </c>
      <c r="U3826">
        <v>0</v>
      </c>
      <c r="V3826">
        <v>0</v>
      </c>
      <c r="W3826">
        <v>0</v>
      </c>
      <c r="X3826">
        <v>0</v>
      </c>
      <c r="Y3826" t="s">
        <v>51</v>
      </c>
      <c r="AA3826">
        <v>0</v>
      </c>
    </row>
    <row r="3827" spans="1:27" x14ac:dyDescent="0.2">
      <c r="A3827" t="s">
        <v>1802</v>
      </c>
      <c r="B3827">
        <v>2019</v>
      </c>
      <c r="C3827" t="s">
        <v>4847</v>
      </c>
      <c r="D3827" t="s">
        <v>4848</v>
      </c>
      <c r="E3827" t="s">
        <v>29</v>
      </c>
      <c r="F3827" t="s">
        <v>41</v>
      </c>
      <c r="G3827">
        <v>0</v>
      </c>
      <c r="H3827">
        <v>0</v>
      </c>
      <c r="I3827">
        <v>0</v>
      </c>
      <c r="J3827">
        <v>0</v>
      </c>
      <c r="K3827">
        <v>0</v>
      </c>
      <c r="L3827">
        <v>0</v>
      </c>
      <c r="M3827">
        <v>3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</v>
      </c>
      <c r="T3827">
        <v>0</v>
      </c>
      <c r="U3827">
        <v>0</v>
      </c>
      <c r="V3827">
        <v>0</v>
      </c>
      <c r="W3827">
        <v>0</v>
      </c>
      <c r="X3827">
        <v>0</v>
      </c>
      <c r="Y3827" t="s">
        <v>51</v>
      </c>
      <c r="Z3827">
        <v>55</v>
      </c>
      <c r="AA3827">
        <v>0</v>
      </c>
    </row>
    <row r="3828" spans="1:27" x14ac:dyDescent="0.2">
      <c r="A3828" t="s">
        <v>1802</v>
      </c>
      <c r="B3828">
        <v>2019</v>
      </c>
      <c r="C3828" t="s">
        <v>4849</v>
      </c>
      <c r="D3828" t="s">
        <v>4850</v>
      </c>
      <c r="E3828" t="s">
        <v>29</v>
      </c>
      <c r="F3828" t="s">
        <v>30</v>
      </c>
      <c r="G3828">
        <v>0</v>
      </c>
      <c r="H3828">
        <v>0</v>
      </c>
      <c r="I3828">
        <v>8</v>
      </c>
      <c r="J3828">
        <v>0</v>
      </c>
      <c r="K3828">
        <v>0</v>
      </c>
      <c r="L3828">
        <v>0</v>
      </c>
      <c r="M3828">
        <v>0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</v>
      </c>
      <c r="T3828">
        <v>0</v>
      </c>
      <c r="U3828">
        <v>0</v>
      </c>
      <c r="V3828">
        <v>0</v>
      </c>
      <c r="W3828">
        <v>0</v>
      </c>
      <c r="X3828">
        <v>0</v>
      </c>
      <c r="Y3828" t="s">
        <v>51</v>
      </c>
      <c r="Z3828">
        <v>55</v>
      </c>
      <c r="AA3828">
        <v>0</v>
      </c>
    </row>
    <row r="3829" spans="1:27" x14ac:dyDescent="0.2">
      <c r="A3829" t="s">
        <v>1802</v>
      </c>
      <c r="B3829">
        <v>2019</v>
      </c>
      <c r="C3829" t="s">
        <v>4851</v>
      </c>
      <c r="D3829" t="s">
        <v>4852</v>
      </c>
      <c r="E3829" t="s">
        <v>29</v>
      </c>
      <c r="F3829" t="s">
        <v>30</v>
      </c>
      <c r="G3829">
        <v>0</v>
      </c>
      <c r="H3829">
        <v>0</v>
      </c>
      <c r="I3829">
        <v>46</v>
      </c>
      <c r="J3829">
        <v>0</v>
      </c>
      <c r="K3829">
        <v>23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</v>
      </c>
      <c r="T3829">
        <v>0</v>
      </c>
      <c r="U3829">
        <v>0</v>
      </c>
      <c r="V3829">
        <v>0</v>
      </c>
      <c r="W3829">
        <v>0</v>
      </c>
      <c r="X3829">
        <v>0</v>
      </c>
      <c r="Y3829" t="s">
        <v>51</v>
      </c>
      <c r="Z3829">
        <v>55</v>
      </c>
      <c r="AA3829">
        <v>0</v>
      </c>
    </row>
    <row r="3830" spans="1:27" x14ac:dyDescent="0.2">
      <c r="A3830" t="s">
        <v>1247</v>
      </c>
      <c r="B3830">
        <v>2021</v>
      </c>
      <c r="C3830">
        <v>43132043</v>
      </c>
      <c r="D3830" t="s">
        <v>4712</v>
      </c>
      <c r="E3830" t="s">
        <v>29</v>
      </c>
      <c r="F3830" t="s">
        <v>30</v>
      </c>
      <c r="G3830">
        <v>0</v>
      </c>
      <c r="H3830">
        <v>0</v>
      </c>
      <c r="I3830">
        <v>0</v>
      </c>
      <c r="J3830">
        <v>0</v>
      </c>
      <c r="K3830">
        <v>0</v>
      </c>
      <c r="L3830">
        <v>0</v>
      </c>
      <c r="M3830">
        <v>0</v>
      </c>
      <c r="N3830">
        <v>34</v>
      </c>
      <c r="O3830">
        <v>35</v>
      </c>
      <c r="P3830">
        <v>33</v>
      </c>
      <c r="Q3830">
        <v>50</v>
      </c>
      <c r="R3830">
        <v>2</v>
      </c>
      <c r="S3830">
        <v>0</v>
      </c>
      <c r="T3830">
        <v>0</v>
      </c>
      <c r="U3830">
        <v>0</v>
      </c>
      <c r="V3830">
        <v>0</v>
      </c>
      <c r="W3830">
        <v>0</v>
      </c>
      <c r="X3830">
        <v>0</v>
      </c>
      <c r="Y3830" t="s">
        <v>31</v>
      </c>
      <c r="Z3830">
        <v>55</v>
      </c>
      <c r="AA3830">
        <v>35</v>
      </c>
    </row>
    <row r="3831" spans="1:27" x14ac:dyDescent="0.2">
      <c r="A3831" t="s">
        <v>622</v>
      </c>
      <c r="B3831">
        <v>2019</v>
      </c>
      <c r="C3831" t="s">
        <v>2999</v>
      </c>
      <c r="D3831" t="s">
        <v>4853</v>
      </c>
      <c r="E3831" t="s">
        <v>29</v>
      </c>
      <c r="F3831" t="s">
        <v>30</v>
      </c>
      <c r="G3831">
        <v>0</v>
      </c>
      <c r="H3831">
        <v>0</v>
      </c>
      <c r="I3831">
        <v>0</v>
      </c>
      <c r="J3831">
        <v>0</v>
      </c>
      <c r="K3831">
        <v>0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4</v>
      </c>
      <c r="T3831">
        <v>0</v>
      </c>
      <c r="U3831">
        <v>0</v>
      </c>
      <c r="V3831">
        <v>0</v>
      </c>
      <c r="W3831">
        <v>0</v>
      </c>
      <c r="X3831">
        <v>0</v>
      </c>
      <c r="Y3831" t="s">
        <v>51</v>
      </c>
      <c r="Z3831">
        <v>55</v>
      </c>
      <c r="AA3831">
        <v>0</v>
      </c>
    </row>
    <row r="3832" spans="1:27" x14ac:dyDescent="0.2">
      <c r="A3832" t="s">
        <v>324</v>
      </c>
      <c r="B3832">
        <v>2019</v>
      </c>
      <c r="C3832" t="s">
        <v>4854</v>
      </c>
      <c r="D3832" t="s">
        <v>4855</v>
      </c>
      <c r="E3832" t="s">
        <v>29</v>
      </c>
      <c r="F3832" t="s">
        <v>30</v>
      </c>
      <c r="G3832">
        <v>0</v>
      </c>
      <c r="H3832">
        <v>0</v>
      </c>
      <c r="I3832">
        <v>38</v>
      </c>
      <c r="J3832">
        <v>0</v>
      </c>
      <c r="K3832">
        <v>0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  <c r="T3832">
        <v>0</v>
      </c>
      <c r="U3832">
        <v>0</v>
      </c>
      <c r="V3832">
        <v>0</v>
      </c>
      <c r="W3832">
        <v>0</v>
      </c>
      <c r="X3832">
        <v>0</v>
      </c>
      <c r="Y3832" t="s">
        <v>31</v>
      </c>
      <c r="Z3832">
        <v>55</v>
      </c>
      <c r="AA3832">
        <v>0</v>
      </c>
    </row>
    <row r="3833" spans="1:27" x14ac:dyDescent="0.2">
      <c r="A3833" t="s">
        <v>3129</v>
      </c>
      <c r="B3833">
        <v>2018</v>
      </c>
      <c r="C3833" t="s">
        <v>3130</v>
      </c>
      <c r="D3833" t="s">
        <v>4856</v>
      </c>
      <c r="E3833" t="s">
        <v>29</v>
      </c>
      <c r="F3833" t="s">
        <v>30</v>
      </c>
      <c r="G3833">
        <v>0</v>
      </c>
      <c r="H3833">
        <v>0</v>
      </c>
      <c r="I3833">
        <v>0</v>
      </c>
      <c r="J3833">
        <v>0</v>
      </c>
      <c r="K3833">
        <v>0</v>
      </c>
      <c r="L3833">
        <v>0</v>
      </c>
      <c r="M3833">
        <v>0</v>
      </c>
      <c r="N3833">
        <v>0</v>
      </c>
      <c r="O3833">
        <v>8</v>
      </c>
      <c r="P3833">
        <v>0</v>
      </c>
      <c r="Q3833">
        <v>0</v>
      </c>
      <c r="R3833">
        <v>0</v>
      </c>
      <c r="S3833">
        <v>0</v>
      </c>
      <c r="T3833">
        <v>0</v>
      </c>
      <c r="U3833">
        <v>0</v>
      </c>
      <c r="V3833">
        <v>0</v>
      </c>
      <c r="W3833">
        <v>0</v>
      </c>
      <c r="X3833">
        <v>0</v>
      </c>
      <c r="Y3833" t="s">
        <v>51</v>
      </c>
      <c r="Z3833">
        <v>30</v>
      </c>
      <c r="AA3833">
        <v>0</v>
      </c>
    </row>
    <row r="3834" spans="1:27" x14ac:dyDescent="0.2">
      <c r="A3834" t="s">
        <v>1988</v>
      </c>
      <c r="B3834">
        <v>2020</v>
      </c>
      <c r="C3834" t="s">
        <v>4857</v>
      </c>
      <c r="D3834" t="s">
        <v>4858</v>
      </c>
      <c r="E3834" t="s">
        <v>29</v>
      </c>
      <c r="F3834" t="s">
        <v>30</v>
      </c>
      <c r="G3834">
        <v>0</v>
      </c>
      <c r="H3834">
        <v>0</v>
      </c>
      <c r="I3834">
        <v>0</v>
      </c>
      <c r="J3834">
        <v>0</v>
      </c>
      <c r="K3834">
        <v>0</v>
      </c>
      <c r="L3834">
        <v>0</v>
      </c>
      <c r="M3834">
        <v>30</v>
      </c>
      <c r="N3834">
        <v>0</v>
      </c>
      <c r="O3834">
        <v>20</v>
      </c>
      <c r="P3834">
        <v>0</v>
      </c>
      <c r="Q3834">
        <v>0</v>
      </c>
      <c r="R3834">
        <v>0</v>
      </c>
      <c r="S3834">
        <v>0</v>
      </c>
      <c r="T3834">
        <v>0</v>
      </c>
      <c r="U3834">
        <v>0</v>
      </c>
      <c r="V3834">
        <v>0</v>
      </c>
      <c r="W3834">
        <v>0</v>
      </c>
      <c r="X3834">
        <v>0</v>
      </c>
      <c r="Y3834" t="s">
        <v>31</v>
      </c>
      <c r="Z3834">
        <v>55</v>
      </c>
      <c r="AA3834">
        <v>0</v>
      </c>
    </row>
    <row r="3835" spans="1:27" x14ac:dyDescent="0.2">
      <c r="A3835" t="s">
        <v>1316</v>
      </c>
      <c r="B3835">
        <v>2020</v>
      </c>
      <c r="C3835">
        <v>58049129</v>
      </c>
      <c r="D3835" t="s">
        <v>2835</v>
      </c>
      <c r="E3835" t="s">
        <v>29</v>
      </c>
      <c r="F3835" t="s">
        <v>30</v>
      </c>
      <c r="G3835">
        <v>0</v>
      </c>
      <c r="H3835">
        <v>0</v>
      </c>
      <c r="I3835">
        <v>0</v>
      </c>
      <c r="J3835">
        <v>0</v>
      </c>
      <c r="K3835">
        <v>0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95</v>
      </c>
      <c r="T3835">
        <v>0</v>
      </c>
      <c r="U3835">
        <v>0</v>
      </c>
      <c r="V3835">
        <v>0</v>
      </c>
      <c r="W3835">
        <v>1</v>
      </c>
      <c r="X3835">
        <v>0</v>
      </c>
      <c r="Y3835" t="s">
        <v>31</v>
      </c>
      <c r="Z3835">
        <v>1000</v>
      </c>
      <c r="AA3835">
        <v>0</v>
      </c>
    </row>
    <row r="3836" spans="1:27" x14ac:dyDescent="0.2">
      <c r="A3836" t="s">
        <v>2152</v>
      </c>
      <c r="B3836">
        <v>2018</v>
      </c>
      <c r="C3836">
        <v>178411017</v>
      </c>
      <c r="D3836" t="s">
        <v>2153</v>
      </c>
      <c r="E3836" t="s">
        <v>29</v>
      </c>
      <c r="F3836" t="s">
        <v>30</v>
      </c>
      <c r="G3836">
        <v>11</v>
      </c>
      <c r="H3836">
        <v>0</v>
      </c>
      <c r="I3836">
        <v>0</v>
      </c>
      <c r="J3836">
        <v>0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  <c r="T3836">
        <v>0</v>
      </c>
      <c r="U3836">
        <v>0</v>
      </c>
      <c r="V3836">
        <v>0</v>
      </c>
      <c r="W3836">
        <v>0</v>
      </c>
      <c r="X3836">
        <v>0</v>
      </c>
      <c r="Y3836" t="s">
        <v>31</v>
      </c>
      <c r="Z3836">
        <v>55</v>
      </c>
      <c r="AA3836">
        <v>0</v>
      </c>
    </row>
    <row r="3837" spans="1:27" x14ac:dyDescent="0.2">
      <c r="A3837" t="s">
        <v>27</v>
      </c>
      <c r="B3837">
        <v>2023</v>
      </c>
      <c r="C3837">
        <v>7281023013</v>
      </c>
      <c r="D3837" t="s">
        <v>4859</v>
      </c>
      <c r="E3837" t="s">
        <v>29</v>
      </c>
      <c r="F3837" t="s">
        <v>30</v>
      </c>
      <c r="G3837">
        <v>13</v>
      </c>
      <c r="H3837">
        <v>0</v>
      </c>
      <c r="I3837">
        <v>0</v>
      </c>
      <c r="J3837">
        <v>0</v>
      </c>
      <c r="K3837">
        <v>0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  <c r="T3837">
        <v>0</v>
      </c>
      <c r="U3837">
        <v>0</v>
      </c>
      <c r="V3837">
        <v>0</v>
      </c>
      <c r="W3837">
        <v>0</v>
      </c>
      <c r="X3837">
        <v>0</v>
      </c>
      <c r="Y3837" t="s">
        <v>31</v>
      </c>
      <c r="AA3837">
        <v>40</v>
      </c>
    </row>
    <row r="3838" spans="1:27" x14ac:dyDescent="0.2">
      <c r="A3838" t="s">
        <v>27</v>
      </c>
      <c r="B3838">
        <v>2023</v>
      </c>
      <c r="C3838">
        <v>7274015054</v>
      </c>
      <c r="D3838" t="s">
        <v>4860</v>
      </c>
      <c r="E3838" t="s">
        <v>29</v>
      </c>
      <c r="F3838" t="s">
        <v>30</v>
      </c>
      <c r="G3838">
        <v>0</v>
      </c>
      <c r="H3838">
        <v>0</v>
      </c>
      <c r="I3838">
        <v>99</v>
      </c>
      <c r="J3838">
        <v>0</v>
      </c>
      <c r="K3838">
        <v>0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  <c r="T3838">
        <v>0</v>
      </c>
      <c r="U3838">
        <v>0</v>
      </c>
      <c r="V3838">
        <v>0</v>
      </c>
      <c r="W3838">
        <v>0</v>
      </c>
      <c r="X3838">
        <v>0</v>
      </c>
      <c r="Y3838" t="s">
        <v>51</v>
      </c>
      <c r="AA3838">
        <v>0</v>
      </c>
    </row>
    <row r="3839" spans="1:27" x14ac:dyDescent="0.2">
      <c r="A3839" t="s">
        <v>904</v>
      </c>
      <c r="B3839">
        <v>2018</v>
      </c>
      <c r="C3839" t="s">
        <v>4861</v>
      </c>
      <c r="D3839" t="s">
        <v>4862</v>
      </c>
      <c r="E3839" t="s">
        <v>29</v>
      </c>
      <c r="F3839" t="s">
        <v>41</v>
      </c>
      <c r="G3839">
        <v>0</v>
      </c>
      <c r="H3839">
        <v>0</v>
      </c>
      <c r="I3839">
        <v>0</v>
      </c>
      <c r="J3839">
        <v>0</v>
      </c>
      <c r="K3839">
        <v>0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  <c r="T3839">
        <v>0</v>
      </c>
      <c r="U3839">
        <v>0</v>
      </c>
      <c r="V3839">
        <v>0</v>
      </c>
      <c r="W3839">
        <v>1</v>
      </c>
      <c r="X3839">
        <v>0</v>
      </c>
      <c r="Y3839" t="s">
        <v>31</v>
      </c>
      <c r="Z3839">
        <v>30</v>
      </c>
      <c r="AA3839">
        <v>0</v>
      </c>
    </row>
    <row r="3840" spans="1:27" x14ac:dyDescent="0.2">
      <c r="A3840" t="s">
        <v>876</v>
      </c>
      <c r="B3840">
        <v>2021</v>
      </c>
      <c r="C3840">
        <v>41208065</v>
      </c>
      <c r="D3840" t="s">
        <v>877</v>
      </c>
      <c r="E3840" t="s">
        <v>29</v>
      </c>
      <c r="F3840" t="s">
        <v>30</v>
      </c>
      <c r="G3840">
        <v>0</v>
      </c>
      <c r="H3840">
        <v>0</v>
      </c>
      <c r="I3840">
        <v>0</v>
      </c>
      <c r="J3840">
        <v>0</v>
      </c>
      <c r="K3840">
        <v>0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7</v>
      </c>
      <c r="T3840">
        <v>0</v>
      </c>
      <c r="U3840">
        <v>0</v>
      </c>
      <c r="V3840">
        <v>0</v>
      </c>
      <c r="W3840">
        <v>0</v>
      </c>
      <c r="X3840">
        <v>0</v>
      </c>
      <c r="Y3840" t="s">
        <v>31</v>
      </c>
      <c r="Z3840">
        <v>55</v>
      </c>
      <c r="AA3840">
        <v>0</v>
      </c>
    </row>
    <row r="3841" spans="1:27" x14ac:dyDescent="0.2">
      <c r="A3841" t="s">
        <v>4674</v>
      </c>
      <c r="B3841">
        <v>2020</v>
      </c>
      <c r="C3841" t="s">
        <v>4863</v>
      </c>
      <c r="D3841" t="s">
        <v>4864</v>
      </c>
      <c r="E3841" t="s">
        <v>29</v>
      </c>
      <c r="F3841" t="s">
        <v>30</v>
      </c>
      <c r="G3841">
        <v>40</v>
      </c>
      <c r="H3841">
        <v>0</v>
      </c>
      <c r="I3841">
        <v>35</v>
      </c>
      <c r="J3841">
        <v>0</v>
      </c>
      <c r="K3841">
        <v>0</v>
      </c>
      <c r="L3841">
        <v>0</v>
      </c>
      <c r="M3841">
        <v>40</v>
      </c>
      <c r="N3841">
        <v>0</v>
      </c>
      <c r="O3841">
        <v>35</v>
      </c>
      <c r="P3841">
        <v>0</v>
      </c>
      <c r="Q3841">
        <v>0</v>
      </c>
      <c r="R3841">
        <v>0</v>
      </c>
      <c r="S3841">
        <v>40</v>
      </c>
      <c r="T3841">
        <v>0</v>
      </c>
      <c r="U3841">
        <v>35</v>
      </c>
      <c r="V3841">
        <v>0</v>
      </c>
      <c r="W3841">
        <v>0</v>
      </c>
      <c r="X3841">
        <v>0</v>
      </c>
      <c r="Y3841" t="s">
        <v>31</v>
      </c>
      <c r="AA3841">
        <v>0</v>
      </c>
    </row>
    <row r="3842" spans="1:27" x14ac:dyDescent="0.2">
      <c r="A3842" t="s">
        <v>792</v>
      </c>
      <c r="B3842">
        <v>2019</v>
      </c>
      <c r="C3842">
        <v>37546148</v>
      </c>
      <c r="D3842" t="s">
        <v>4865</v>
      </c>
      <c r="E3842" t="s">
        <v>29</v>
      </c>
      <c r="F3842" t="s">
        <v>30</v>
      </c>
      <c r="G3842">
        <v>0</v>
      </c>
      <c r="H3842">
        <v>0</v>
      </c>
      <c r="I3842">
        <v>74</v>
      </c>
      <c r="J3842">
        <v>0</v>
      </c>
      <c r="K3842">
        <v>0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</v>
      </c>
      <c r="T3842">
        <v>0</v>
      </c>
      <c r="U3842">
        <v>0</v>
      </c>
      <c r="V3842">
        <v>0</v>
      </c>
      <c r="W3842">
        <v>0</v>
      </c>
      <c r="X3842">
        <v>0</v>
      </c>
      <c r="Y3842" t="s">
        <v>31</v>
      </c>
      <c r="Z3842">
        <v>55</v>
      </c>
      <c r="AA3842">
        <v>0</v>
      </c>
    </row>
    <row r="3843" spans="1:27" x14ac:dyDescent="0.2">
      <c r="A3843" t="s">
        <v>1075</v>
      </c>
      <c r="B3843">
        <v>2019</v>
      </c>
      <c r="C3843">
        <v>44310410</v>
      </c>
      <c r="D3843" t="s">
        <v>2474</v>
      </c>
      <c r="E3843" t="s">
        <v>29</v>
      </c>
      <c r="F3843" t="s">
        <v>30</v>
      </c>
      <c r="G3843">
        <v>0</v>
      </c>
      <c r="H3843">
        <v>0</v>
      </c>
      <c r="I3843">
        <v>41</v>
      </c>
      <c r="J3843">
        <v>0</v>
      </c>
      <c r="K3843">
        <v>0</v>
      </c>
      <c r="L3843">
        <v>0</v>
      </c>
      <c r="M3843">
        <v>0</v>
      </c>
      <c r="N3843">
        <v>0</v>
      </c>
      <c r="O3843">
        <v>0</v>
      </c>
      <c r="P3843">
        <v>0</v>
      </c>
      <c r="Q3843">
        <v>0</v>
      </c>
      <c r="R3843">
        <v>0</v>
      </c>
      <c r="S3843">
        <v>0</v>
      </c>
      <c r="T3843">
        <v>0</v>
      </c>
      <c r="U3843">
        <v>0</v>
      </c>
      <c r="V3843">
        <v>0</v>
      </c>
      <c r="W3843">
        <v>0</v>
      </c>
      <c r="X3843">
        <v>0</v>
      </c>
      <c r="Y3843" t="s">
        <v>31</v>
      </c>
      <c r="AA3843">
        <v>0</v>
      </c>
    </row>
    <row r="3844" spans="1:27" x14ac:dyDescent="0.2">
      <c r="A3844" t="s">
        <v>321</v>
      </c>
      <c r="B3844">
        <v>2023</v>
      </c>
      <c r="C3844" t="s">
        <v>4866</v>
      </c>
      <c r="D3844" t="s">
        <v>4867</v>
      </c>
      <c r="E3844" t="s">
        <v>29</v>
      </c>
      <c r="F3844" t="s">
        <v>30</v>
      </c>
      <c r="G3844">
        <v>0</v>
      </c>
      <c r="H3844">
        <v>0</v>
      </c>
      <c r="I3844">
        <v>0</v>
      </c>
      <c r="J3844">
        <v>0</v>
      </c>
      <c r="K3844">
        <v>0</v>
      </c>
      <c r="L3844">
        <v>0</v>
      </c>
      <c r="M3844">
        <v>32</v>
      </c>
      <c r="N3844">
        <v>0</v>
      </c>
      <c r="O3844">
        <v>25</v>
      </c>
      <c r="P3844">
        <v>0</v>
      </c>
      <c r="Q3844">
        <v>27</v>
      </c>
      <c r="R3844">
        <v>0</v>
      </c>
      <c r="S3844">
        <v>0</v>
      </c>
      <c r="T3844">
        <v>0</v>
      </c>
      <c r="U3844">
        <v>0</v>
      </c>
      <c r="V3844">
        <v>0</v>
      </c>
      <c r="W3844">
        <v>0</v>
      </c>
      <c r="X3844">
        <v>0</v>
      </c>
      <c r="Y3844" t="s">
        <v>51</v>
      </c>
      <c r="Z3844">
        <v>55</v>
      </c>
      <c r="AA3844">
        <v>0</v>
      </c>
    </row>
    <row r="3845" spans="1:27" x14ac:dyDescent="0.2">
      <c r="A3845" t="s">
        <v>27</v>
      </c>
      <c r="B3845">
        <v>2023</v>
      </c>
      <c r="C3845">
        <v>7280005025</v>
      </c>
      <c r="D3845" t="s">
        <v>4868</v>
      </c>
      <c r="E3845" t="s">
        <v>29</v>
      </c>
      <c r="F3845" t="s">
        <v>30</v>
      </c>
      <c r="G3845">
        <v>54</v>
      </c>
      <c r="H3845">
        <v>0</v>
      </c>
      <c r="I3845">
        <v>0</v>
      </c>
      <c r="J3845">
        <v>0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  <c r="T3845">
        <v>0</v>
      </c>
      <c r="U3845">
        <v>0</v>
      </c>
      <c r="V3845">
        <v>0</v>
      </c>
      <c r="W3845">
        <v>0</v>
      </c>
      <c r="X3845">
        <v>0</v>
      </c>
      <c r="Y3845" t="s">
        <v>51</v>
      </c>
      <c r="AA3845">
        <v>0</v>
      </c>
    </row>
    <row r="3846" spans="1:27" x14ac:dyDescent="0.2">
      <c r="A3846" t="s">
        <v>1247</v>
      </c>
      <c r="B3846">
        <v>2023</v>
      </c>
      <c r="C3846">
        <v>44041096</v>
      </c>
      <c r="D3846" t="s">
        <v>3255</v>
      </c>
      <c r="E3846" t="s">
        <v>29</v>
      </c>
      <c r="F3846" t="s">
        <v>30</v>
      </c>
      <c r="G3846">
        <v>0</v>
      </c>
      <c r="H3846">
        <v>0</v>
      </c>
      <c r="I3846">
        <v>0</v>
      </c>
      <c r="J3846">
        <v>0</v>
      </c>
      <c r="K3846">
        <v>0</v>
      </c>
      <c r="L3846">
        <v>0</v>
      </c>
      <c r="M3846">
        <v>67</v>
      </c>
      <c r="N3846">
        <v>0</v>
      </c>
      <c r="O3846">
        <v>67</v>
      </c>
      <c r="P3846">
        <v>0</v>
      </c>
      <c r="Q3846">
        <v>15</v>
      </c>
      <c r="R3846">
        <v>0</v>
      </c>
      <c r="S3846">
        <v>0</v>
      </c>
      <c r="T3846">
        <v>0</v>
      </c>
      <c r="U3846">
        <v>0</v>
      </c>
      <c r="V3846">
        <v>0</v>
      </c>
      <c r="W3846">
        <v>0</v>
      </c>
      <c r="X3846">
        <v>0</v>
      </c>
      <c r="Y3846" t="s">
        <v>31</v>
      </c>
      <c r="Z3846">
        <v>55</v>
      </c>
      <c r="AA3846">
        <v>100</v>
      </c>
    </row>
    <row r="3847" spans="1:27" x14ac:dyDescent="0.2">
      <c r="A3847" t="s">
        <v>1247</v>
      </c>
      <c r="B3847">
        <v>2023</v>
      </c>
      <c r="C3847">
        <v>173860032</v>
      </c>
      <c r="D3847" t="s">
        <v>4869</v>
      </c>
      <c r="E3847" t="s">
        <v>29</v>
      </c>
      <c r="F3847" t="s">
        <v>30</v>
      </c>
      <c r="G3847">
        <v>0</v>
      </c>
      <c r="H3847">
        <v>0</v>
      </c>
      <c r="I3847">
        <v>0</v>
      </c>
      <c r="J3847">
        <v>0</v>
      </c>
      <c r="K3847">
        <v>0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1</v>
      </c>
      <c r="R3847">
        <v>0</v>
      </c>
      <c r="S3847">
        <v>0</v>
      </c>
      <c r="T3847">
        <v>0</v>
      </c>
      <c r="U3847">
        <v>0</v>
      </c>
      <c r="V3847">
        <v>0</v>
      </c>
      <c r="W3847">
        <v>0</v>
      </c>
      <c r="X3847">
        <v>0</v>
      </c>
      <c r="Y3847" t="s">
        <v>51</v>
      </c>
      <c r="Z3847">
        <v>55</v>
      </c>
      <c r="AA3847">
        <v>0</v>
      </c>
    </row>
    <row r="3848" spans="1:27" x14ac:dyDescent="0.2">
      <c r="A3848" t="s">
        <v>547</v>
      </c>
      <c r="B3848">
        <v>2018</v>
      </c>
      <c r="C3848">
        <v>2241013013</v>
      </c>
      <c r="D3848" t="s">
        <v>4870</v>
      </c>
      <c r="E3848" t="s">
        <v>29</v>
      </c>
      <c r="F3848" t="s">
        <v>30</v>
      </c>
      <c r="G3848">
        <v>0</v>
      </c>
      <c r="H3848">
        <v>0</v>
      </c>
      <c r="I3848">
        <v>0</v>
      </c>
      <c r="J3848">
        <v>0</v>
      </c>
      <c r="K3848">
        <v>0</v>
      </c>
      <c r="L3848">
        <v>0</v>
      </c>
      <c r="M3848">
        <v>6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  <c r="T3848">
        <v>0</v>
      </c>
      <c r="U3848">
        <v>0</v>
      </c>
      <c r="V3848">
        <v>0</v>
      </c>
      <c r="W3848">
        <v>0</v>
      </c>
      <c r="X3848">
        <v>0</v>
      </c>
      <c r="Y3848" t="s">
        <v>31</v>
      </c>
      <c r="Z3848">
        <v>55</v>
      </c>
      <c r="AA3848">
        <v>0</v>
      </c>
    </row>
    <row r="3849" spans="1:27" x14ac:dyDescent="0.2">
      <c r="A3849" t="s">
        <v>547</v>
      </c>
      <c r="B3849">
        <v>2018</v>
      </c>
      <c r="C3849">
        <v>5536004012</v>
      </c>
      <c r="D3849" t="s">
        <v>4871</v>
      </c>
      <c r="E3849" t="s">
        <v>29</v>
      </c>
      <c r="F3849" t="s">
        <v>30</v>
      </c>
      <c r="G3849">
        <v>0</v>
      </c>
      <c r="H3849">
        <v>0</v>
      </c>
      <c r="I3849">
        <v>0</v>
      </c>
      <c r="J3849">
        <v>0</v>
      </c>
      <c r="K3849">
        <v>0</v>
      </c>
      <c r="L3849">
        <v>0</v>
      </c>
      <c r="M3849">
        <v>3</v>
      </c>
      <c r="N3849">
        <v>0</v>
      </c>
      <c r="O3849">
        <v>0</v>
      </c>
      <c r="P3849">
        <v>0</v>
      </c>
      <c r="Q3849">
        <v>0</v>
      </c>
      <c r="R3849">
        <v>0</v>
      </c>
      <c r="S3849">
        <v>0</v>
      </c>
      <c r="T3849">
        <v>0</v>
      </c>
      <c r="U3849">
        <v>0</v>
      </c>
      <c r="V3849">
        <v>0</v>
      </c>
      <c r="W3849">
        <v>0</v>
      </c>
      <c r="X3849">
        <v>0</v>
      </c>
      <c r="Y3849" t="s">
        <v>31</v>
      </c>
      <c r="Z3849">
        <v>55</v>
      </c>
      <c r="AA3849">
        <v>0</v>
      </c>
    </row>
    <row r="3850" spans="1:27" x14ac:dyDescent="0.2">
      <c r="A3850" t="s">
        <v>547</v>
      </c>
      <c r="B3850">
        <v>2018</v>
      </c>
      <c r="C3850">
        <v>2338028034</v>
      </c>
      <c r="D3850" t="s">
        <v>4872</v>
      </c>
      <c r="E3850" t="s">
        <v>29</v>
      </c>
      <c r="F3850" t="s">
        <v>30</v>
      </c>
      <c r="G3850">
        <v>6</v>
      </c>
      <c r="H3850">
        <v>0</v>
      </c>
      <c r="I3850">
        <v>0</v>
      </c>
      <c r="J3850">
        <v>0</v>
      </c>
      <c r="K3850">
        <v>0</v>
      </c>
      <c r="L3850">
        <v>0</v>
      </c>
      <c r="M3850">
        <v>6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</v>
      </c>
      <c r="T3850">
        <v>0</v>
      </c>
      <c r="U3850">
        <v>0</v>
      </c>
      <c r="V3850">
        <v>0</v>
      </c>
      <c r="W3850">
        <v>0</v>
      </c>
      <c r="X3850">
        <v>0</v>
      </c>
      <c r="Y3850" t="s">
        <v>31</v>
      </c>
      <c r="Z3850">
        <v>55</v>
      </c>
      <c r="AA3850">
        <v>0</v>
      </c>
    </row>
    <row r="3851" spans="1:27" x14ac:dyDescent="0.2">
      <c r="A3851" t="s">
        <v>547</v>
      </c>
      <c r="B3851">
        <v>2018</v>
      </c>
      <c r="C3851">
        <v>4260034024</v>
      </c>
      <c r="D3851" t="s">
        <v>4873</v>
      </c>
      <c r="E3851" t="s">
        <v>29</v>
      </c>
      <c r="F3851" t="s">
        <v>30</v>
      </c>
      <c r="G3851">
        <v>2</v>
      </c>
      <c r="H3851">
        <v>0</v>
      </c>
      <c r="I3851">
        <v>0</v>
      </c>
      <c r="J3851">
        <v>0</v>
      </c>
      <c r="K3851">
        <v>0</v>
      </c>
      <c r="L3851">
        <v>0</v>
      </c>
      <c r="M3851">
        <v>0</v>
      </c>
      <c r="N3851">
        <v>0</v>
      </c>
      <c r="O3851">
        <v>0</v>
      </c>
      <c r="P3851">
        <v>0</v>
      </c>
      <c r="Q3851">
        <v>0</v>
      </c>
      <c r="R3851">
        <v>0</v>
      </c>
      <c r="S3851">
        <v>0</v>
      </c>
      <c r="T3851">
        <v>0</v>
      </c>
      <c r="U3851">
        <v>0</v>
      </c>
      <c r="V3851">
        <v>0</v>
      </c>
      <c r="W3851">
        <v>0</v>
      </c>
      <c r="X3851">
        <v>0</v>
      </c>
      <c r="Y3851" t="s">
        <v>31</v>
      </c>
      <c r="Z3851">
        <v>55</v>
      </c>
      <c r="AA3851">
        <v>0</v>
      </c>
    </row>
    <row r="3852" spans="1:27" x14ac:dyDescent="0.2">
      <c r="A3852" t="s">
        <v>547</v>
      </c>
      <c r="B3852">
        <v>2018</v>
      </c>
      <c r="C3852">
        <v>2317017002</v>
      </c>
      <c r="D3852" t="s">
        <v>4874</v>
      </c>
      <c r="E3852" t="s">
        <v>29</v>
      </c>
      <c r="F3852" t="s">
        <v>30</v>
      </c>
      <c r="G3852">
        <v>9</v>
      </c>
      <c r="H3852">
        <v>0</v>
      </c>
      <c r="I3852">
        <v>0</v>
      </c>
      <c r="J3852">
        <v>0</v>
      </c>
      <c r="K3852">
        <v>0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0</v>
      </c>
      <c r="R3852">
        <v>0</v>
      </c>
      <c r="S3852">
        <v>0</v>
      </c>
      <c r="T3852">
        <v>0</v>
      </c>
      <c r="U3852">
        <v>0</v>
      </c>
      <c r="V3852">
        <v>0</v>
      </c>
      <c r="W3852">
        <v>0</v>
      </c>
      <c r="X3852">
        <v>0</v>
      </c>
      <c r="Y3852" t="s">
        <v>31</v>
      </c>
      <c r="Z3852">
        <v>55</v>
      </c>
      <c r="AA3852">
        <v>0</v>
      </c>
    </row>
    <row r="3853" spans="1:27" x14ac:dyDescent="0.2">
      <c r="A3853" t="s">
        <v>547</v>
      </c>
      <c r="B3853">
        <v>2018</v>
      </c>
      <c r="C3853">
        <v>6003030013</v>
      </c>
      <c r="D3853" t="s">
        <v>4875</v>
      </c>
      <c r="E3853" t="s">
        <v>29</v>
      </c>
      <c r="F3853" t="s">
        <v>30</v>
      </c>
      <c r="G3853">
        <v>0</v>
      </c>
      <c r="H3853">
        <v>0</v>
      </c>
      <c r="I3853">
        <v>0</v>
      </c>
      <c r="J3853">
        <v>0</v>
      </c>
      <c r="K3853">
        <v>0</v>
      </c>
      <c r="L3853">
        <v>0</v>
      </c>
      <c r="M3853">
        <v>0</v>
      </c>
      <c r="N3853">
        <v>0</v>
      </c>
      <c r="O3853">
        <v>15</v>
      </c>
      <c r="P3853">
        <v>0</v>
      </c>
      <c r="Q3853">
        <v>0</v>
      </c>
      <c r="R3853">
        <v>0</v>
      </c>
      <c r="S3853">
        <v>0</v>
      </c>
      <c r="T3853">
        <v>0</v>
      </c>
      <c r="U3853">
        <v>0</v>
      </c>
      <c r="V3853">
        <v>0</v>
      </c>
      <c r="W3853">
        <v>0</v>
      </c>
      <c r="X3853">
        <v>0</v>
      </c>
      <c r="Y3853" t="s">
        <v>31</v>
      </c>
      <c r="Z3853">
        <v>55</v>
      </c>
      <c r="AA3853">
        <v>0</v>
      </c>
    </row>
    <row r="3854" spans="1:27" x14ac:dyDescent="0.2">
      <c r="A3854" t="s">
        <v>547</v>
      </c>
      <c r="B3854">
        <v>2018</v>
      </c>
      <c r="C3854">
        <v>2350010016</v>
      </c>
      <c r="D3854" t="s">
        <v>4876</v>
      </c>
      <c r="E3854" t="s">
        <v>29</v>
      </c>
      <c r="F3854" t="s">
        <v>30</v>
      </c>
      <c r="G3854">
        <v>0</v>
      </c>
      <c r="H3854">
        <v>0</v>
      </c>
      <c r="I3854">
        <v>0</v>
      </c>
      <c r="J3854">
        <v>0</v>
      </c>
      <c r="K3854">
        <v>0</v>
      </c>
      <c r="L3854">
        <v>0</v>
      </c>
      <c r="M3854">
        <v>0</v>
      </c>
      <c r="N3854">
        <v>0</v>
      </c>
      <c r="O3854">
        <v>3</v>
      </c>
      <c r="P3854">
        <v>0</v>
      </c>
      <c r="Q3854">
        <v>3</v>
      </c>
      <c r="R3854">
        <v>0</v>
      </c>
      <c r="S3854">
        <v>0</v>
      </c>
      <c r="T3854">
        <v>0</v>
      </c>
      <c r="U3854">
        <v>0</v>
      </c>
      <c r="V3854">
        <v>0</v>
      </c>
      <c r="W3854">
        <v>0</v>
      </c>
      <c r="X3854">
        <v>0</v>
      </c>
      <c r="Y3854" t="s">
        <v>31</v>
      </c>
      <c r="Z3854">
        <v>55</v>
      </c>
      <c r="AA3854">
        <v>0</v>
      </c>
    </row>
    <row r="3855" spans="1:27" x14ac:dyDescent="0.2">
      <c r="A3855" t="s">
        <v>547</v>
      </c>
      <c r="B3855">
        <v>2018</v>
      </c>
      <c r="C3855">
        <v>2764013011</v>
      </c>
      <c r="D3855" t="s">
        <v>4877</v>
      </c>
      <c r="E3855" t="s">
        <v>29</v>
      </c>
      <c r="F3855" t="s">
        <v>30</v>
      </c>
      <c r="G3855">
        <v>0</v>
      </c>
      <c r="H3855">
        <v>0</v>
      </c>
      <c r="I3855">
        <v>0</v>
      </c>
      <c r="J3855">
        <v>0</v>
      </c>
      <c r="K3855">
        <v>0</v>
      </c>
      <c r="L3855">
        <v>0</v>
      </c>
      <c r="M3855">
        <v>17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  <c r="T3855">
        <v>0</v>
      </c>
      <c r="U3855">
        <v>0</v>
      </c>
      <c r="V3855">
        <v>0</v>
      </c>
      <c r="W3855">
        <v>0</v>
      </c>
      <c r="X3855">
        <v>0</v>
      </c>
      <c r="Y3855" t="s">
        <v>31</v>
      </c>
      <c r="Z3855">
        <v>55</v>
      </c>
      <c r="AA3855">
        <v>0</v>
      </c>
    </row>
    <row r="3856" spans="1:27" x14ac:dyDescent="0.2">
      <c r="A3856" t="s">
        <v>547</v>
      </c>
      <c r="B3856">
        <v>2018</v>
      </c>
      <c r="C3856">
        <v>2350007065</v>
      </c>
      <c r="D3856" t="s">
        <v>4878</v>
      </c>
      <c r="E3856" t="s">
        <v>29</v>
      </c>
      <c r="F3856" t="s">
        <v>30</v>
      </c>
      <c r="G3856">
        <v>0</v>
      </c>
      <c r="H3856">
        <v>0</v>
      </c>
      <c r="I3856">
        <v>0</v>
      </c>
      <c r="J3856">
        <v>0</v>
      </c>
      <c r="K3856">
        <v>0</v>
      </c>
      <c r="L3856">
        <v>0</v>
      </c>
      <c r="M3856">
        <v>6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  <c r="T3856">
        <v>0</v>
      </c>
      <c r="U3856">
        <v>0</v>
      </c>
      <c r="V3856">
        <v>0</v>
      </c>
      <c r="W3856">
        <v>0</v>
      </c>
      <c r="X3856">
        <v>0</v>
      </c>
      <c r="Y3856" t="s">
        <v>31</v>
      </c>
      <c r="Z3856">
        <v>55</v>
      </c>
      <c r="AA3856">
        <v>0</v>
      </c>
    </row>
    <row r="3857" spans="1:27" x14ac:dyDescent="0.2">
      <c r="A3857" t="s">
        <v>547</v>
      </c>
      <c r="B3857">
        <v>2018</v>
      </c>
      <c r="C3857">
        <v>5547009024</v>
      </c>
      <c r="D3857" t="s">
        <v>4879</v>
      </c>
      <c r="E3857" t="s">
        <v>29</v>
      </c>
      <c r="F3857" t="s">
        <v>30</v>
      </c>
      <c r="G3857">
        <v>0</v>
      </c>
      <c r="H3857">
        <v>0</v>
      </c>
      <c r="I3857">
        <v>0</v>
      </c>
      <c r="J3857">
        <v>0</v>
      </c>
      <c r="K3857">
        <v>0</v>
      </c>
      <c r="L3857">
        <v>0</v>
      </c>
      <c r="M3857">
        <v>24</v>
      </c>
      <c r="N3857">
        <v>0</v>
      </c>
      <c r="O3857">
        <v>0</v>
      </c>
      <c r="P3857">
        <v>0</v>
      </c>
      <c r="Q3857">
        <v>0</v>
      </c>
      <c r="R3857">
        <v>0</v>
      </c>
      <c r="S3857">
        <v>0</v>
      </c>
      <c r="T3857">
        <v>0</v>
      </c>
      <c r="U3857">
        <v>0</v>
      </c>
      <c r="V3857">
        <v>0</v>
      </c>
      <c r="W3857">
        <v>0</v>
      </c>
      <c r="X3857">
        <v>0</v>
      </c>
      <c r="Y3857" t="s">
        <v>31</v>
      </c>
      <c r="Z3857">
        <v>55</v>
      </c>
      <c r="AA3857">
        <v>0</v>
      </c>
    </row>
    <row r="3858" spans="1:27" x14ac:dyDescent="0.2">
      <c r="A3858" t="s">
        <v>547</v>
      </c>
      <c r="B3858">
        <v>2018</v>
      </c>
      <c r="C3858">
        <v>5068021007</v>
      </c>
      <c r="D3858" t="s">
        <v>4880</v>
      </c>
      <c r="E3858" t="s">
        <v>29</v>
      </c>
      <c r="F3858" t="s">
        <v>30</v>
      </c>
      <c r="G3858">
        <v>0</v>
      </c>
      <c r="H3858">
        <v>0</v>
      </c>
      <c r="I3858">
        <v>0</v>
      </c>
      <c r="J3858">
        <v>0</v>
      </c>
      <c r="K3858">
        <v>0</v>
      </c>
      <c r="L3858">
        <v>0</v>
      </c>
      <c r="M3858">
        <v>1</v>
      </c>
      <c r="N3858">
        <v>0</v>
      </c>
      <c r="O3858">
        <v>0</v>
      </c>
      <c r="P3858">
        <v>0</v>
      </c>
      <c r="Q3858">
        <v>0</v>
      </c>
      <c r="R3858">
        <v>0</v>
      </c>
      <c r="S3858">
        <v>0</v>
      </c>
      <c r="T3858">
        <v>0</v>
      </c>
      <c r="U3858">
        <v>0</v>
      </c>
      <c r="V3858">
        <v>0</v>
      </c>
      <c r="W3858">
        <v>0</v>
      </c>
      <c r="X3858">
        <v>0</v>
      </c>
      <c r="Y3858" t="s">
        <v>31</v>
      </c>
      <c r="Z3858">
        <v>55</v>
      </c>
      <c r="AA3858">
        <v>0</v>
      </c>
    </row>
    <row r="3859" spans="1:27" x14ac:dyDescent="0.2">
      <c r="A3859" t="s">
        <v>547</v>
      </c>
      <c r="B3859">
        <v>2018</v>
      </c>
      <c r="C3859">
        <v>4313003029</v>
      </c>
      <c r="D3859" t="s">
        <v>4881</v>
      </c>
      <c r="E3859" t="s">
        <v>29</v>
      </c>
      <c r="F3859" t="s">
        <v>30</v>
      </c>
      <c r="G3859">
        <v>0</v>
      </c>
      <c r="H3859">
        <v>0</v>
      </c>
      <c r="I3859">
        <v>0</v>
      </c>
      <c r="J3859">
        <v>0</v>
      </c>
      <c r="K3859">
        <v>0</v>
      </c>
      <c r="L3859">
        <v>0</v>
      </c>
      <c r="M3859">
        <v>2</v>
      </c>
      <c r="N3859">
        <v>0</v>
      </c>
      <c r="O3859">
        <v>0</v>
      </c>
      <c r="P3859">
        <v>0</v>
      </c>
      <c r="Q3859">
        <v>0</v>
      </c>
      <c r="R3859">
        <v>0</v>
      </c>
      <c r="S3859">
        <v>0</v>
      </c>
      <c r="T3859">
        <v>0</v>
      </c>
      <c r="U3859">
        <v>0</v>
      </c>
      <c r="V3859">
        <v>0</v>
      </c>
      <c r="W3859">
        <v>0</v>
      </c>
      <c r="X3859">
        <v>0</v>
      </c>
      <c r="Y3859" t="s">
        <v>31</v>
      </c>
      <c r="Z3859">
        <v>55</v>
      </c>
      <c r="AA3859">
        <v>0</v>
      </c>
    </row>
    <row r="3860" spans="1:27" x14ac:dyDescent="0.2">
      <c r="A3860" t="s">
        <v>547</v>
      </c>
      <c r="B3860">
        <v>2018</v>
      </c>
      <c r="C3860">
        <v>5537002027</v>
      </c>
      <c r="D3860" t="s">
        <v>4882</v>
      </c>
      <c r="E3860" t="s">
        <v>29</v>
      </c>
      <c r="F3860" t="s">
        <v>30</v>
      </c>
      <c r="G3860">
        <v>7</v>
      </c>
      <c r="H3860">
        <v>0</v>
      </c>
      <c r="I3860">
        <v>0</v>
      </c>
      <c r="J3860">
        <v>0</v>
      </c>
      <c r="K3860">
        <v>0</v>
      </c>
      <c r="L3860">
        <v>0</v>
      </c>
      <c r="M3860">
        <v>0</v>
      </c>
      <c r="N3860">
        <v>0</v>
      </c>
      <c r="O3860">
        <v>0</v>
      </c>
      <c r="P3860">
        <v>0</v>
      </c>
      <c r="Q3860">
        <v>0</v>
      </c>
      <c r="R3860">
        <v>0</v>
      </c>
      <c r="S3860">
        <v>0</v>
      </c>
      <c r="T3860">
        <v>0</v>
      </c>
      <c r="U3860">
        <v>0</v>
      </c>
      <c r="V3860">
        <v>0</v>
      </c>
      <c r="W3860">
        <v>0</v>
      </c>
      <c r="X3860">
        <v>0</v>
      </c>
      <c r="Y3860" t="s">
        <v>31</v>
      </c>
      <c r="Z3860">
        <v>55</v>
      </c>
      <c r="AA3860">
        <v>0</v>
      </c>
    </row>
    <row r="3861" spans="1:27" x14ac:dyDescent="0.2">
      <c r="A3861" t="s">
        <v>547</v>
      </c>
      <c r="B3861">
        <v>2018</v>
      </c>
      <c r="C3861">
        <v>2239023014</v>
      </c>
      <c r="D3861" t="s">
        <v>4883</v>
      </c>
      <c r="E3861" t="s">
        <v>29</v>
      </c>
      <c r="F3861" t="s">
        <v>41</v>
      </c>
      <c r="G3861">
        <v>1</v>
      </c>
      <c r="H3861">
        <v>0</v>
      </c>
      <c r="I3861">
        <v>0</v>
      </c>
      <c r="J3861">
        <v>0</v>
      </c>
      <c r="K3861">
        <v>0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0</v>
      </c>
      <c r="R3861">
        <v>0</v>
      </c>
      <c r="S3861">
        <v>0</v>
      </c>
      <c r="T3861">
        <v>0</v>
      </c>
      <c r="U3861">
        <v>0</v>
      </c>
      <c r="V3861">
        <v>0</v>
      </c>
      <c r="W3861">
        <v>0</v>
      </c>
      <c r="X3861">
        <v>0</v>
      </c>
      <c r="Y3861" t="s">
        <v>31</v>
      </c>
      <c r="Z3861">
        <v>55</v>
      </c>
      <c r="AA3861">
        <v>0</v>
      </c>
    </row>
    <row r="3862" spans="1:27" x14ac:dyDescent="0.2">
      <c r="A3862" t="s">
        <v>547</v>
      </c>
      <c r="B3862">
        <v>2018</v>
      </c>
      <c r="C3862">
        <v>4116007069</v>
      </c>
      <c r="D3862" t="s">
        <v>4884</v>
      </c>
      <c r="E3862" t="s">
        <v>29</v>
      </c>
      <c r="F3862" t="s">
        <v>41</v>
      </c>
      <c r="G3862">
        <v>8</v>
      </c>
      <c r="H3862">
        <v>0</v>
      </c>
      <c r="I3862">
        <v>0</v>
      </c>
      <c r="J3862">
        <v>0</v>
      </c>
      <c r="K3862">
        <v>0</v>
      </c>
      <c r="L3862">
        <v>0</v>
      </c>
      <c r="M3862">
        <v>0</v>
      </c>
      <c r="N3862">
        <v>0</v>
      </c>
      <c r="O3862">
        <v>0</v>
      </c>
      <c r="P3862">
        <v>0</v>
      </c>
      <c r="Q3862">
        <v>0</v>
      </c>
      <c r="R3862">
        <v>0</v>
      </c>
      <c r="S3862">
        <v>0</v>
      </c>
      <c r="T3862">
        <v>0</v>
      </c>
      <c r="U3862">
        <v>0</v>
      </c>
      <c r="V3862">
        <v>0</v>
      </c>
      <c r="W3862">
        <v>0</v>
      </c>
      <c r="X3862">
        <v>0</v>
      </c>
      <c r="Y3862" t="s">
        <v>31</v>
      </c>
      <c r="Z3862">
        <v>55</v>
      </c>
      <c r="AA3862">
        <v>0</v>
      </c>
    </row>
    <row r="3863" spans="1:27" x14ac:dyDescent="0.2">
      <c r="A3863" t="s">
        <v>547</v>
      </c>
      <c r="B3863">
        <v>2018</v>
      </c>
      <c r="C3863">
        <v>2135038011</v>
      </c>
      <c r="D3863" t="s">
        <v>4885</v>
      </c>
      <c r="E3863" t="s">
        <v>29</v>
      </c>
      <c r="F3863" t="s">
        <v>30</v>
      </c>
      <c r="G3863">
        <v>10</v>
      </c>
      <c r="H3863">
        <v>0</v>
      </c>
      <c r="I3863">
        <v>0</v>
      </c>
      <c r="J3863">
        <v>0</v>
      </c>
      <c r="K3863">
        <v>0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v>0</v>
      </c>
      <c r="Y3863" t="s">
        <v>31</v>
      </c>
      <c r="Z3863">
        <v>55</v>
      </c>
      <c r="AA3863">
        <v>0</v>
      </c>
    </row>
    <row r="3864" spans="1:27" x14ac:dyDescent="0.2">
      <c r="A3864" t="s">
        <v>547</v>
      </c>
      <c r="B3864">
        <v>2018</v>
      </c>
      <c r="C3864">
        <v>5502025016</v>
      </c>
      <c r="D3864" t="s">
        <v>4886</v>
      </c>
      <c r="E3864" t="s">
        <v>29</v>
      </c>
      <c r="F3864" t="s">
        <v>41</v>
      </c>
      <c r="G3864">
        <v>22</v>
      </c>
      <c r="H3864">
        <v>0</v>
      </c>
      <c r="I3864">
        <v>0</v>
      </c>
      <c r="J3864">
        <v>0</v>
      </c>
      <c r="K3864">
        <v>0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0</v>
      </c>
      <c r="T3864">
        <v>0</v>
      </c>
      <c r="U3864">
        <v>0</v>
      </c>
      <c r="V3864">
        <v>0</v>
      </c>
      <c r="W3864">
        <v>0</v>
      </c>
      <c r="X3864">
        <v>0</v>
      </c>
      <c r="Y3864" t="s">
        <v>31</v>
      </c>
      <c r="Z3864">
        <v>55</v>
      </c>
      <c r="AA3864">
        <v>0</v>
      </c>
    </row>
    <row r="3865" spans="1:27" x14ac:dyDescent="0.2">
      <c r="A3865" t="s">
        <v>547</v>
      </c>
      <c r="B3865">
        <v>2018</v>
      </c>
      <c r="C3865">
        <v>5141007016</v>
      </c>
      <c r="D3865" t="s">
        <v>4887</v>
      </c>
      <c r="E3865" t="s">
        <v>29</v>
      </c>
      <c r="F3865" t="s">
        <v>30</v>
      </c>
      <c r="G3865">
        <v>10</v>
      </c>
      <c r="H3865">
        <v>0</v>
      </c>
      <c r="I3865">
        <v>0</v>
      </c>
      <c r="J3865">
        <v>0</v>
      </c>
      <c r="K3865">
        <v>0</v>
      </c>
      <c r="L3865">
        <v>0</v>
      </c>
      <c r="M3865">
        <v>0</v>
      </c>
      <c r="N3865">
        <v>0</v>
      </c>
      <c r="O3865">
        <v>0</v>
      </c>
      <c r="P3865">
        <v>0</v>
      </c>
      <c r="Q3865">
        <v>0</v>
      </c>
      <c r="R3865">
        <v>0</v>
      </c>
      <c r="S3865">
        <v>0</v>
      </c>
      <c r="T3865">
        <v>0</v>
      </c>
      <c r="U3865">
        <v>0</v>
      </c>
      <c r="V3865">
        <v>0</v>
      </c>
      <c r="W3865">
        <v>0</v>
      </c>
      <c r="X3865">
        <v>0</v>
      </c>
      <c r="Y3865" t="s">
        <v>31</v>
      </c>
      <c r="Z3865">
        <v>55</v>
      </c>
      <c r="AA3865">
        <v>0</v>
      </c>
    </row>
    <row r="3866" spans="1:27" x14ac:dyDescent="0.2">
      <c r="A3866" t="s">
        <v>547</v>
      </c>
      <c r="B3866">
        <v>2018</v>
      </c>
      <c r="C3866">
        <v>5532017020</v>
      </c>
      <c r="D3866" t="s">
        <v>4888</v>
      </c>
      <c r="E3866" t="s">
        <v>29</v>
      </c>
      <c r="F3866" t="s">
        <v>30</v>
      </c>
      <c r="G3866">
        <v>15</v>
      </c>
      <c r="H3866">
        <v>0</v>
      </c>
      <c r="I3866">
        <v>0</v>
      </c>
      <c r="J3866">
        <v>0</v>
      </c>
      <c r="K3866">
        <v>0</v>
      </c>
      <c r="L3866">
        <v>0</v>
      </c>
      <c r="M3866">
        <v>0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0</v>
      </c>
      <c r="T3866">
        <v>0</v>
      </c>
      <c r="U3866">
        <v>0</v>
      </c>
      <c r="V3866">
        <v>0</v>
      </c>
      <c r="W3866">
        <v>0</v>
      </c>
      <c r="X3866">
        <v>0</v>
      </c>
      <c r="Y3866" t="s">
        <v>31</v>
      </c>
      <c r="Z3866">
        <v>55</v>
      </c>
      <c r="AA3866">
        <v>0</v>
      </c>
    </row>
    <row r="3867" spans="1:27" x14ac:dyDescent="0.2">
      <c r="A3867" t="s">
        <v>547</v>
      </c>
      <c r="B3867">
        <v>2018</v>
      </c>
      <c r="C3867">
        <v>2119020901</v>
      </c>
      <c r="D3867" t="s">
        <v>4889</v>
      </c>
      <c r="E3867" t="s">
        <v>29</v>
      </c>
      <c r="F3867" t="s">
        <v>30</v>
      </c>
      <c r="G3867">
        <v>3</v>
      </c>
      <c r="H3867">
        <v>0</v>
      </c>
      <c r="I3867">
        <v>23</v>
      </c>
      <c r="J3867">
        <v>0</v>
      </c>
      <c r="K3867">
        <v>0</v>
      </c>
      <c r="L3867">
        <v>0</v>
      </c>
      <c r="M3867">
        <v>0</v>
      </c>
      <c r="N3867">
        <v>0</v>
      </c>
      <c r="O3867">
        <v>0</v>
      </c>
      <c r="P3867">
        <v>0</v>
      </c>
      <c r="Q3867">
        <v>0</v>
      </c>
      <c r="R3867">
        <v>0</v>
      </c>
      <c r="S3867">
        <v>0</v>
      </c>
      <c r="T3867">
        <v>0</v>
      </c>
      <c r="U3867">
        <v>0</v>
      </c>
      <c r="V3867">
        <v>0</v>
      </c>
      <c r="W3867">
        <v>0</v>
      </c>
      <c r="X3867">
        <v>0</v>
      </c>
      <c r="Y3867" t="s">
        <v>31</v>
      </c>
      <c r="Z3867">
        <v>55</v>
      </c>
      <c r="AA3867">
        <v>0</v>
      </c>
    </row>
    <row r="3868" spans="1:27" x14ac:dyDescent="0.2">
      <c r="A3868" t="s">
        <v>547</v>
      </c>
      <c r="B3868">
        <v>2018</v>
      </c>
      <c r="C3868">
        <v>5511003024</v>
      </c>
      <c r="D3868" t="s">
        <v>4890</v>
      </c>
      <c r="E3868" t="s">
        <v>29</v>
      </c>
      <c r="F3868" t="s">
        <v>30</v>
      </c>
      <c r="G3868">
        <v>6</v>
      </c>
      <c r="H3868">
        <v>0</v>
      </c>
      <c r="I3868">
        <v>0</v>
      </c>
      <c r="J3868">
        <v>0</v>
      </c>
      <c r="K3868">
        <v>2</v>
      </c>
      <c r="L3868">
        <v>0</v>
      </c>
      <c r="M3868">
        <v>0</v>
      </c>
      <c r="N3868">
        <v>0</v>
      </c>
      <c r="O3868">
        <v>0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</v>
      </c>
      <c r="V3868">
        <v>0</v>
      </c>
      <c r="W3868">
        <v>0</v>
      </c>
      <c r="X3868">
        <v>0</v>
      </c>
      <c r="Y3868" t="s">
        <v>31</v>
      </c>
      <c r="Z3868">
        <v>55</v>
      </c>
      <c r="AA3868">
        <v>0</v>
      </c>
    </row>
    <row r="3869" spans="1:27" x14ac:dyDescent="0.2">
      <c r="A3869" t="s">
        <v>321</v>
      </c>
      <c r="B3869">
        <v>2023</v>
      </c>
      <c r="C3869">
        <v>4291010027</v>
      </c>
      <c r="D3869" t="s">
        <v>4891</v>
      </c>
      <c r="E3869" t="s">
        <v>29</v>
      </c>
      <c r="F3869" t="s">
        <v>30</v>
      </c>
      <c r="G3869">
        <v>0</v>
      </c>
      <c r="H3869">
        <v>0</v>
      </c>
      <c r="I3869">
        <v>0</v>
      </c>
      <c r="J3869">
        <v>0</v>
      </c>
      <c r="K3869">
        <v>7</v>
      </c>
      <c r="L3869">
        <v>0</v>
      </c>
      <c r="M3869">
        <v>0</v>
      </c>
      <c r="N3869">
        <v>0</v>
      </c>
      <c r="O3869">
        <v>0</v>
      </c>
      <c r="P3869">
        <v>0</v>
      </c>
      <c r="Q3869">
        <v>0</v>
      </c>
      <c r="R3869">
        <v>0</v>
      </c>
      <c r="S3869">
        <v>0</v>
      </c>
      <c r="T3869">
        <v>0</v>
      </c>
      <c r="U3869">
        <v>0</v>
      </c>
      <c r="V3869">
        <v>0</v>
      </c>
      <c r="W3869">
        <v>0</v>
      </c>
      <c r="X3869">
        <v>0</v>
      </c>
      <c r="Y3869" t="s">
        <v>51</v>
      </c>
      <c r="Z3869">
        <v>55</v>
      </c>
      <c r="AA3869">
        <v>0</v>
      </c>
    </row>
    <row r="3870" spans="1:27" x14ac:dyDescent="0.2">
      <c r="A3870" t="s">
        <v>321</v>
      </c>
      <c r="B3870">
        <v>2023</v>
      </c>
      <c r="C3870" t="s">
        <v>4892</v>
      </c>
      <c r="D3870" t="s">
        <v>4893</v>
      </c>
      <c r="E3870" t="s">
        <v>29</v>
      </c>
      <c r="F3870" t="s">
        <v>30</v>
      </c>
      <c r="G3870">
        <v>6</v>
      </c>
      <c r="H3870">
        <v>0</v>
      </c>
      <c r="I3870">
        <v>0</v>
      </c>
      <c r="J3870">
        <v>0</v>
      </c>
      <c r="K3870">
        <v>0</v>
      </c>
      <c r="L3870">
        <v>0</v>
      </c>
      <c r="M3870">
        <v>0</v>
      </c>
      <c r="N3870">
        <v>0</v>
      </c>
      <c r="O3870">
        <v>0</v>
      </c>
      <c r="P3870">
        <v>0</v>
      </c>
      <c r="Q3870">
        <v>0</v>
      </c>
      <c r="R3870">
        <v>0</v>
      </c>
      <c r="S3870">
        <v>0</v>
      </c>
      <c r="T3870">
        <v>0</v>
      </c>
      <c r="U3870">
        <v>0</v>
      </c>
      <c r="V3870">
        <v>0</v>
      </c>
      <c r="W3870">
        <v>0</v>
      </c>
      <c r="X3870">
        <v>0</v>
      </c>
      <c r="Y3870" t="s">
        <v>31</v>
      </c>
      <c r="Z3870">
        <v>55</v>
      </c>
      <c r="AA3870">
        <v>50</v>
      </c>
    </row>
    <row r="3871" spans="1:27" x14ac:dyDescent="0.2">
      <c r="A3871" t="s">
        <v>1217</v>
      </c>
      <c r="B3871">
        <v>2020</v>
      </c>
      <c r="C3871" s="2" t="s">
        <v>4894</v>
      </c>
      <c r="D3871" t="s">
        <v>4895</v>
      </c>
      <c r="E3871" t="s">
        <v>29</v>
      </c>
      <c r="F3871" t="s">
        <v>30</v>
      </c>
      <c r="G3871">
        <v>66</v>
      </c>
      <c r="H3871">
        <v>0</v>
      </c>
      <c r="I3871">
        <v>35</v>
      </c>
      <c r="J3871">
        <v>0</v>
      </c>
      <c r="K3871">
        <v>0</v>
      </c>
      <c r="L3871">
        <v>0</v>
      </c>
      <c r="M3871">
        <v>66</v>
      </c>
      <c r="N3871">
        <v>0</v>
      </c>
      <c r="O3871">
        <v>35</v>
      </c>
      <c r="P3871">
        <v>0</v>
      </c>
      <c r="Q3871">
        <v>0</v>
      </c>
      <c r="R3871">
        <v>0</v>
      </c>
      <c r="S3871">
        <v>0</v>
      </c>
      <c r="T3871">
        <v>0</v>
      </c>
      <c r="U3871">
        <v>0</v>
      </c>
      <c r="V3871">
        <v>0</v>
      </c>
      <c r="W3871">
        <v>0</v>
      </c>
      <c r="X3871">
        <v>0</v>
      </c>
      <c r="Y3871" t="s">
        <v>31</v>
      </c>
      <c r="Z3871">
        <v>55</v>
      </c>
      <c r="AA3871">
        <v>0</v>
      </c>
    </row>
    <row r="3872" spans="1:27" x14ac:dyDescent="0.2">
      <c r="A3872" t="s">
        <v>3107</v>
      </c>
      <c r="B3872">
        <v>2020</v>
      </c>
      <c r="C3872" t="s">
        <v>4817</v>
      </c>
      <c r="D3872" t="s">
        <v>4896</v>
      </c>
      <c r="E3872" t="s">
        <v>29</v>
      </c>
      <c r="F3872" t="s">
        <v>30</v>
      </c>
      <c r="G3872">
        <v>0</v>
      </c>
      <c r="H3872">
        <v>0</v>
      </c>
      <c r="I3872">
        <v>0</v>
      </c>
      <c r="J3872">
        <v>75</v>
      </c>
      <c r="K3872">
        <v>0</v>
      </c>
      <c r="L3872">
        <v>0</v>
      </c>
      <c r="M3872">
        <v>0</v>
      </c>
      <c r="N3872">
        <v>0</v>
      </c>
      <c r="O3872">
        <v>0</v>
      </c>
      <c r="P3872">
        <v>0</v>
      </c>
      <c r="Q3872">
        <v>0</v>
      </c>
      <c r="R3872">
        <v>0</v>
      </c>
      <c r="S3872">
        <v>0</v>
      </c>
      <c r="T3872">
        <v>0</v>
      </c>
      <c r="U3872">
        <v>0</v>
      </c>
      <c r="V3872">
        <v>0</v>
      </c>
      <c r="W3872">
        <v>0</v>
      </c>
      <c r="X3872">
        <v>0</v>
      </c>
      <c r="Y3872" t="s">
        <v>31</v>
      </c>
      <c r="AA3872">
        <v>0</v>
      </c>
    </row>
    <row r="3873" spans="1:27" x14ac:dyDescent="0.2">
      <c r="A3873" t="s">
        <v>88</v>
      </c>
      <c r="B3873">
        <v>2018</v>
      </c>
      <c r="C3873" t="s">
        <v>4897</v>
      </c>
      <c r="D3873" t="s">
        <v>4898</v>
      </c>
      <c r="E3873" t="s">
        <v>29</v>
      </c>
      <c r="F3873" t="s">
        <v>41</v>
      </c>
      <c r="G3873">
        <v>0</v>
      </c>
      <c r="H3873">
        <v>0</v>
      </c>
      <c r="I3873">
        <v>0</v>
      </c>
      <c r="J3873">
        <v>0</v>
      </c>
      <c r="K3873">
        <v>0</v>
      </c>
      <c r="L3873">
        <v>0</v>
      </c>
      <c r="M3873">
        <v>0</v>
      </c>
      <c r="N3873">
        <v>0</v>
      </c>
      <c r="O3873">
        <v>0</v>
      </c>
      <c r="P3873">
        <v>0</v>
      </c>
      <c r="Q3873">
        <v>5</v>
      </c>
      <c r="R3873">
        <v>0</v>
      </c>
      <c r="S3873">
        <v>0</v>
      </c>
      <c r="T3873">
        <v>0</v>
      </c>
      <c r="U3873">
        <v>0</v>
      </c>
      <c r="V3873">
        <v>0</v>
      </c>
      <c r="W3873">
        <v>0</v>
      </c>
      <c r="X3873">
        <v>0</v>
      </c>
      <c r="Y3873" t="s">
        <v>51</v>
      </c>
      <c r="Z3873">
        <v>50</v>
      </c>
      <c r="AA3873">
        <v>0</v>
      </c>
    </row>
    <row r="3874" spans="1:27" x14ac:dyDescent="0.2">
      <c r="A3874" t="s">
        <v>88</v>
      </c>
      <c r="B3874">
        <v>2018</v>
      </c>
      <c r="C3874" t="s">
        <v>4899</v>
      </c>
      <c r="D3874" t="s">
        <v>4900</v>
      </c>
      <c r="E3874" t="s">
        <v>29</v>
      </c>
      <c r="F3874" t="s">
        <v>41</v>
      </c>
      <c r="G3874">
        <v>0</v>
      </c>
      <c r="H3874">
        <v>0</v>
      </c>
      <c r="I3874">
        <v>0</v>
      </c>
      <c r="J3874">
        <v>0</v>
      </c>
      <c r="K3874">
        <v>0</v>
      </c>
      <c r="L3874">
        <v>0</v>
      </c>
      <c r="M3874">
        <v>0</v>
      </c>
      <c r="N3874">
        <v>0</v>
      </c>
      <c r="O3874">
        <v>0</v>
      </c>
      <c r="P3874">
        <v>0</v>
      </c>
      <c r="Q3874">
        <v>0</v>
      </c>
      <c r="R3874">
        <v>0</v>
      </c>
      <c r="S3874">
        <v>0</v>
      </c>
      <c r="T3874">
        <v>0</v>
      </c>
      <c r="U3874">
        <v>0</v>
      </c>
      <c r="V3874">
        <v>0</v>
      </c>
      <c r="W3874">
        <v>1</v>
      </c>
      <c r="X3874">
        <v>0</v>
      </c>
      <c r="Y3874" t="s">
        <v>31</v>
      </c>
      <c r="Z3874">
        <v>20</v>
      </c>
      <c r="AA3874">
        <v>0</v>
      </c>
    </row>
    <row r="3875" spans="1:27" x14ac:dyDescent="0.2">
      <c r="A3875" t="s">
        <v>67</v>
      </c>
      <c r="B3875">
        <v>2019</v>
      </c>
      <c r="C3875">
        <v>482161021</v>
      </c>
      <c r="D3875" t="s">
        <v>67</v>
      </c>
      <c r="E3875" t="s">
        <v>29</v>
      </c>
      <c r="F3875" t="s">
        <v>30</v>
      </c>
      <c r="G3875">
        <v>0</v>
      </c>
      <c r="H3875">
        <v>0</v>
      </c>
      <c r="I3875">
        <v>80</v>
      </c>
      <c r="J3875">
        <v>0</v>
      </c>
      <c r="K3875">
        <v>0</v>
      </c>
      <c r="L3875">
        <v>0</v>
      </c>
      <c r="M3875">
        <v>0</v>
      </c>
      <c r="N3875">
        <v>0</v>
      </c>
      <c r="O3875">
        <v>0</v>
      </c>
      <c r="P3875">
        <v>0</v>
      </c>
      <c r="Q3875">
        <v>0</v>
      </c>
      <c r="R3875">
        <v>0</v>
      </c>
      <c r="S3875">
        <v>0</v>
      </c>
      <c r="T3875">
        <v>0</v>
      </c>
      <c r="U3875">
        <v>0</v>
      </c>
      <c r="V3875">
        <v>0</v>
      </c>
      <c r="W3875">
        <v>0</v>
      </c>
      <c r="X3875">
        <v>0</v>
      </c>
      <c r="Y3875" t="s">
        <v>31</v>
      </c>
      <c r="Z3875">
        <v>1000</v>
      </c>
      <c r="AA3875">
        <v>0</v>
      </c>
    </row>
    <row r="3876" spans="1:27" x14ac:dyDescent="0.2">
      <c r="A3876" t="s">
        <v>883</v>
      </c>
      <c r="B3876">
        <v>2018</v>
      </c>
      <c r="C3876" t="s">
        <v>3184</v>
      </c>
      <c r="D3876" t="s">
        <v>3185</v>
      </c>
      <c r="E3876" t="s">
        <v>29</v>
      </c>
      <c r="F3876" t="s">
        <v>41</v>
      </c>
      <c r="G3876">
        <v>0</v>
      </c>
      <c r="H3876">
        <v>0</v>
      </c>
      <c r="I3876">
        <v>0</v>
      </c>
      <c r="J3876">
        <v>0</v>
      </c>
      <c r="K3876">
        <v>0</v>
      </c>
      <c r="L3876">
        <v>0</v>
      </c>
      <c r="M3876">
        <v>0</v>
      </c>
      <c r="N3876">
        <v>0</v>
      </c>
      <c r="O3876">
        <v>0</v>
      </c>
      <c r="P3876">
        <v>0</v>
      </c>
      <c r="Q3876">
        <v>0</v>
      </c>
      <c r="R3876">
        <v>0</v>
      </c>
      <c r="S3876">
        <v>0</v>
      </c>
      <c r="T3876">
        <v>0</v>
      </c>
      <c r="U3876">
        <v>0</v>
      </c>
      <c r="V3876">
        <v>0</v>
      </c>
      <c r="W3876">
        <v>1</v>
      </c>
      <c r="X3876">
        <v>0</v>
      </c>
      <c r="Y3876" t="s">
        <v>51</v>
      </c>
      <c r="Z3876">
        <v>45</v>
      </c>
      <c r="AA3876">
        <v>0</v>
      </c>
    </row>
    <row r="3877" spans="1:27" x14ac:dyDescent="0.2">
      <c r="A3877" t="s">
        <v>883</v>
      </c>
      <c r="B3877">
        <v>2018</v>
      </c>
      <c r="C3877" t="s">
        <v>3184</v>
      </c>
      <c r="D3877" t="s">
        <v>3185</v>
      </c>
      <c r="E3877" t="s">
        <v>29</v>
      </c>
      <c r="F3877" t="s">
        <v>41</v>
      </c>
      <c r="G3877">
        <v>0</v>
      </c>
      <c r="H3877">
        <v>0</v>
      </c>
      <c r="I3877">
        <v>0</v>
      </c>
      <c r="J3877">
        <v>0</v>
      </c>
      <c r="K3877">
        <v>0</v>
      </c>
      <c r="L3877">
        <v>0</v>
      </c>
      <c r="M3877">
        <v>0</v>
      </c>
      <c r="N3877">
        <v>0</v>
      </c>
      <c r="O3877">
        <v>0</v>
      </c>
      <c r="P3877">
        <v>0</v>
      </c>
      <c r="Q3877">
        <v>0</v>
      </c>
      <c r="R3877">
        <v>0</v>
      </c>
      <c r="S3877">
        <v>0</v>
      </c>
      <c r="T3877">
        <v>0</v>
      </c>
      <c r="U3877">
        <v>0</v>
      </c>
      <c r="V3877">
        <v>0</v>
      </c>
      <c r="W3877">
        <v>1</v>
      </c>
      <c r="X3877">
        <v>0</v>
      </c>
      <c r="Y3877" t="s">
        <v>51</v>
      </c>
      <c r="Z3877">
        <v>45</v>
      </c>
      <c r="AA3877">
        <v>0</v>
      </c>
    </row>
    <row r="3878" spans="1:27" x14ac:dyDescent="0.2">
      <c r="A3878" t="s">
        <v>883</v>
      </c>
      <c r="B3878">
        <v>2018</v>
      </c>
      <c r="C3878">
        <v>34144240</v>
      </c>
      <c r="D3878" t="s">
        <v>4901</v>
      </c>
      <c r="E3878" t="s">
        <v>29</v>
      </c>
      <c r="F3878" t="s">
        <v>30</v>
      </c>
      <c r="G3878">
        <v>6</v>
      </c>
      <c r="H3878">
        <v>0</v>
      </c>
      <c r="I3878">
        <v>0</v>
      </c>
      <c r="J3878">
        <v>0</v>
      </c>
      <c r="K3878">
        <v>0</v>
      </c>
      <c r="L3878">
        <v>0</v>
      </c>
      <c r="M3878">
        <v>0</v>
      </c>
      <c r="N3878">
        <v>0</v>
      </c>
      <c r="O3878">
        <v>0</v>
      </c>
      <c r="P3878">
        <v>0</v>
      </c>
      <c r="Q3878">
        <v>0</v>
      </c>
      <c r="R3878">
        <v>0</v>
      </c>
      <c r="S3878">
        <v>0</v>
      </c>
      <c r="T3878">
        <v>0</v>
      </c>
      <c r="U3878">
        <v>0</v>
      </c>
      <c r="V3878">
        <v>0</v>
      </c>
      <c r="W3878">
        <v>0</v>
      </c>
      <c r="X3878">
        <v>0</v>
      </c>
      <c r="Y3878" t="s">
        <v>51</v>
      </c>
      <c r="Z3878">
        <v>1000</v>
      </c>
      <c r="AA3878">
        <v>0</v>
      </c>
    </row>
    <row r="3879" spans="1:27" x14ac:dyDescent="0.2">
      <c r="A3879" t="s">
        <v>1217</v>
      </c>
      <c r="B3879">
        <v>2020</v>
      </c>
      <c r="C3879" s="2" t="s">
        <v>4902</v>
      </c>
      <c r="D3879" t="s">
        <v>4903</v>
      </c>
      <c r="E3879" t="s">
        <v>29</v>
      </c>
      <c r="F3879" t="s">
        <v>30</v>
      </c>
      <c r="G3879">
        <v>49</v>
      </c>
      <c r="H3879">
        <v>0</v>
      </c>
      <c r="I3879">
        <v>4</v>
      </c>
      <c r="J3879">
        <v>0</v>
      </c>
      <c r="K3879">
        <v>0</v>
      </c>
      <c r="L3879">
        <v>0</v>
      </c>
      <c r="M3879">
        <v>49</v>
      </c>
      <c r="N3879">
        <v>0</v>
      </c>
      <c r="O3879">
        <v>4</v>
      </c>
      <c r="P3879">
        <v>0</v>
      </c>
      <c r="Q3879">
        <v>0</v>
      </c>
      <c r="R3879">
        <v>0</v>
      </c>
      <c r="S3879">
        <v>49</v>
      </c>
      <c r="T3879">
        <v>0</v>
      </c>
      <c r="U3879">
        <v>4</v>
      </c>
      <c r="V3879">
        <v>0</v>
      </c>
      <c r="W3879">
        <v>0</v>
      </c>
      <c r="X3879">
        <v>0</v>
      </c>
      <c r="Y3879" t="s">
        <v>31</v>
      </c>
      <c r="Z3879">
        <v>55</v>
      </c>
      <c r="AA3879">
        <v>0</v>
      </c>
    </row>
    <row r="3880" spans="1:27" x14ac:dyDescent="0.2">
      <c r="A3880" t="s">
        <v>406</v>
      </c>
      <c r="B3880">
        <v>2020</v>
      </c>
      <c r="C3880" t="s">
        <v>4904</v>
      </c>
      <c r="D3880" t="s">
        <v>4905</v>
      </c>
      <c r="E3880" t="s">
        <v>29</v>
      </c>
      <c r="F3880" t="s">
        <v>30</v>
      </c>
      <c r="G3880">
        <v>0</v>
      </c>
      <c r="H3880">
        <v>0</v>
      </c>
      <c r="I3880">
        <v>24</v>
      </c>
      <c r="J3880">
        <v>0</v>
      </c>
      <c r="K3880">
        <v>0</v>
      </c>
      <c r="L3880">
        <v>0</v>
      </c>
      <c r="M3880">
        <v>0</v>
      </c>
      <c r="N3880">
        <v>0</v>
      </c>
      <c r="O3880">
        <v>0</v>
      </c>
      <c r="P3880">
        <v>0</v>
      </c>
      <c r="Q3880">
        <v>0</v>
      </c>
      <c r="R3880">
        <v>0</v>
      </c>
      <c r="S3880">
        <v>0</v>
      </c>
      <c r="T3880">
        <v>0</v>
      </c>
      <c r="U3880">
        <v>0</v>
      </c>
      <c r="V3880">
        <v>0</v>
      </c>
      <c r="W3880">
        <v>0</v>
      </c>
      <c r="X3880">
        <v>0</v>
      </c>
      <c r="Y3880" t="s">
        <v>31</v>
      </c>
      <c r="AA3880">
        <v>0</v>
      </c>
    </row>
    <row r="3881" spans="1:27" x14ac:dyDescent="0.2">
      <c r="A3881" t="s">
        <v>2611</v>
      </c>
      <c r="B3881">
        <v>2022</v>
      </c>
      <c r="C3881" t="s">
        <v>2612</v>
      </c>
      <c r="D3881" t="s">
        <v>2613</v>
      </c>
      <c r="E3881" t="s">
        <v>29</v>
      </c>
      <c r="F3881" t="s">
        <v>30</v>
      </c>
      <c r="G3881">
        <v>0</v>
      </c>
      <c r="H3881">
        <v>0</v>
      </c>
      <c r="I3881">
        <v>0</v>
      </c>
      <c r="J3881">
        <v>0</v>
      </c>
      <c r="K3881">
        <v>0</v>
      </c>
      <c r="L3881">
        <v>0</v>
      </c>
      <c r="M3881">
        <v>0</v>
      </c>
      <c r="N3881">
        <v>0</v>
      </c>
      <c r="O3881">
        <v>69</v>
      </c>
      <c r="P3881">
        <v>0</v>
      </c>
      <c r="Q3881">
        <v>0</v>
      </c>
      <c r="R3881">
        <v>0</v>
      </c>
      <c r="S3881">
        <v>0</v>
      </c>
      <c r="T3881">
        <v>0</v>
      </c>
      <c r="U3881">
        <v>0</v>
      </c>
      <c r="V3881">
        <v>0</v>
      </c>
      <c r="W3881">
        <v>0</v>
      </c>
      <c r="X3881">
        <v>0</v>
      </c>
      <c r="Y3881" t="s">
        <v>31</v>
      </c>
      <c r="Z3881">
        <v>55</v>
      </c>
      <c r="AA3881">
        <v>20</v>
      </c>
    </row>
    <row r="3882" spans="1:27" x14ac:dyDescent="0.2">
      <c r="A3882" t="s">
        <v>406</v>
      </c>
      <c r="B3882">
        <v>2020</v>
      </c>
      <c r="C3882" t="s">
        <v>4906</v>
      </c>
      <c r="D3882" t="s">
        <v>4907</v>
      </c>
      <c r="E3882" t="s">
        <v>29</v>
      </c>
      <c r="F3882" t="s">
        <v>30</v>
      </c>
      <c r="G3882">
        <v>0</v>
      </c>
      <c r="H3882">
        <v>0</v>
      </c>
      <c r="I3882">
        <v>0</v>
      </c>
      <c r="J3882">
        <v>0</v>
      </c>
      <c r="K3882">
        <v>0</v>
      </c>
      <c r="L3882">
        <v>0</v>
      </c>
      <c r="M3882">
        <v>0</v>
      </c>
      <c r="N3882">
        <v>0</v>
      </c>
      <c r="O3882">
        <v>0</v>
      </c>
      <c r="P3882">
        <v>0</v>
      </c>
      <c r="Q3882">
        <v>0</v>
      </c>
      <c r="R3882">
        <v>0</v>
      </c>
      <c r="S3882">
        <v>11</v>
      </c>
      <c r="T3882">
        <v>0</v>
      </c>
      <c r="U3882">
        <v>0</v>
      </c>
      <c r="V3882">
        <v>0</v>
      </c>
      <c r="W3882">
        <v>0</v>
      </c>
      <c r="X3882">
        <v>0</v>
      </c>
      <c r="Y3882" t="s">
        <v>51</v>
      </c>
      <c r="AA3882">
        <v>0</v>
      </c>
    </row>
    <row r="3883" spans="1:27" x14ac:dyDescent="0.2">
      <c r="A3883" t="s">
        <v>406</v>
      </c>
      <c r="B3883">
        <v>2020</v>
      </c>
      <c r="C3883" t="s">
        <v>4906</v>
      </c>
      <c r="D3883" t="s">
        <v>4908</v>
      </c>
      <c r="E3883" t="s">
        <v>29</v>
      </c>
      <c r="F3883" t="s">
        <v>30</v>
      </c>
      <c r="G3883">
        <v>0</v>
      </c>
      <c r="H3883">
        <v>0</v>
      </c>
      <c r="I3883">
        <v>0</v>
      </c>
      <c r="J3883">
        <v>0</v>
      </c>
      <c r="K3883">
        <v>0</v>
      </c>
      <c r="L3883">
        <v>0</v>
      </c>
      <c r="M3883">
        <v>0</v>
      </c>
      <c r="N3883">
        <v>0</v>
      </c>
      <c r="O3883">
        <v>0</v>
      </c>
      <c r="P3883">
        <v>0</v>
      </c>
      <c r="Q3883">
        <v>0</v>
      </c>
      <c r="R3883">
        <v>0</v>
      </c>
      <c r="S3883">
        <v>8</v>
      </c>
      <c r="T3883">
        <v>0</v>
      </c>
      <c r="U3883">
        <v>0</v>
      </c>
      <c r="V3883">
        <v>0</v>
      </c>
      <c r="W3883">
        <v>0</v>
      </c>
      <c r="X3883">
        <v>0</v>
      </c>
      <c r="Y3883" t="s">
        <v>51</v>
      </c>
      <c r="AA3883">
        <v>0</v>
      </c>
    </row>
    <row r="3884" spans="1:27" x14ac:dyDescent="0.2">
      <c r="A3884" t="s">
        <v>1247</v>
      </c>
      <c r="B3884">
        <v>2019</v>
      </c>
      <c r="C3884" t="s">
        <v>4909</v>
      </c>
      <c r="D3884" t="s">
        <v>4910</v>
      </c>
      <c r="E3884" t="s">
        <v>29</v>
      </c>
      <c r="F3884" t="s">
        <v>30</v>
      </c>
      <c r="G3884">
        <v>0</v>
      </c>
      <c r="H3884">
        <v>0</v>
      </c>
      <c r="I3884">
        <v>3</v>
      </c>
      <c r="J3884">
        <v>0</v>
      </c>
      <c r="K3884">
        <v>0</v>
      </c>
      <c r="L3884">
        <v>0</v>
      </c>
      <c r="M3884">
        <v>0</v>
      </c>
      <c r="N3884">
        <v>0</v>
      </c>
      <c r="O3884">
        <v>0</v>
      </c>
      <c r="P3884">
        <v>0</v>
      </c>
      <c r="Q3884">
        <v>0</v>
      </c>
      <c r="R3884">
        <v>0</v>
      </c>
      <c r="S3884">
        <v>0</v>
      </c>
      <c r="T3884">
        <v>0</v>
      </c>
      <c r="U3884">
        <v>0</v>
      </c>
      <c r="V3884">
        <v>0</v>
      </c>
      <c r="W3884">
        <v>0</v>
      </c>
      <c r="X3884">
        <v>0</v>
      </c>
      <c r="Y3884" t="s">
        <v>51</v>
      </c>
      <c r="Z3884">
        <v>55</v>
      </c>
      <c r="AA3884">
        <v>0</v>
      </c>
    </row>
    <row r="3885" spans="1:27" x14ac:dyDescent="0.2">
      <c r="A3885" t="s">
        <v>2268</v>
      </c>
      <c r="B3885">
        <v>2020</v>
      </c>
      <c r="C3885" t="s">
        <v>4911</v>
      </c>
      <c r="D3885" t="s">
        <v>4912</v>
      </c>
      <c r="E3885" t="s">
        <v>29</v>
      </c>
      <c r="F3885" t="s">
        <v>41</v>
      </c>
      <c r="G3885">
        <v>0</v>
      </c>
      <c r="H3885">
        <v>0</v>
      </c>
      <c r="I3885">
        <v>3</v>
      </c>
      <c r="J3885">
        <v>0</v>
      </c>
      <c r="K3885">
        <v>1</v>
      </c>
      <c r="L3885">
        <v>0</v>
      </c>
      <c r="M3885">
        <v>0</v>
      </c>
      <c r="N3885">
        <v>0</v>
      </c>
      <c r="O3885">
        <v>0</v>
      </c>
      <c r="P3885">
        <v>0</v>
      </c>
      <c r="Q3885">
        <v>0</v>
      </c>
      <c r="R3885">
        <v>0</v>
      </c>
      <c r="S3885">
        <v>0</v>
      </c>
      <c r="T3885">
        <v>0</v>
      </c>
      <c r="U3885">
        <v>0</v>
      </c>
      <c r="V3885">
        <v>0</v>
      </c>
      <c r="W3885">
        <v>0</v>
      </c>
      <c r="X3885">
        <v>0</v>
      </c>
      <c r="Y3885" t="s">
        <v>51</v>
      </c>
      <c r="Z3885">
        <v>45</v>
      </c>
      <c r="AA3885">
        <v>0</v>
      </c>
    </row>
    <row r="3886" spans="1:27" x14ac:dyDescent="0.2">
      <c r="A3886" t="s">
        <v>1075</v>
      </c>
      <c r="B3886">
        <v>2019</v>
      </c>
      <c r="C3886">
        <v>45106416</v>
      </c>
      <c r="D3886" t="s">
        <v>4913</v>
      </c>
      <c r="E3886" t="s">
        <v>29</v>
      </c>
      <c r="F3886" t="s">
        <v>30</v>
      </c>
      <c r="G3886">
        <v>53</v>
      </c>
      <c r="H3886">
        <v>0</v>
      </c>
      <c r="I3886">
        <v>34</v>
      </c>
      <c r="J3886">
        <v>0</v>
      </c>
      <c r="K3886">
        <v>0</v>
      </c>
      <c r="L3886">
        <v>0</v>
      </c>
      <c r="M3886">
        <v>0</v>
      </c>
      <c r="N3886">
        <v>0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  <c r="V3886">
        <v>0</v>
      </c>
      <c r="W3886">
        <v>0</v>
      </c>
      <c r="X3886">
        <v>0</v>
      </c>
      <c r="Y3886" t="s">
        <v>31</v>
      </c>
      <c r="AA3886">
        <v>0</v>
      </c>
    </row>
    <row r="3887" spans="1:27" x14ac:dyDescent="0.2">
      <c r="A3887" t="s">
        <v>1226</v>
      </c>
      <c r="B3887">
        <v>2023</v>
      </c>
      <c r="C3887" t="s">
        <v>4914</v>
      </c>
      <c r="D3887" t="s">
        <v>4915</v>
      </c>
      <c r="E3887" t="s">
        <v>29</v>
      </c>
      <c r="F3887" t="s">
        <v>30</v>
      </c>
      <c r="G3887">
        <v>25</v>
      </c>
      <c r="H3887">
        <v>0</v>
      </c>
      <c r="I3887">
        <v>6</v>
      </c>
      <c r="J3887">
        <v>0</v>
      </c>
      <c r="K3887">
        <v>0</v>
      </c>
      <c r="L3887">
        <v>0</v>
      </c>
      <c r="M3887">
        <v>0</v>
      </c>
      <c r="N3887">
        <v>0</v>
      </c>
      <c r="O3887">
        <v>0</v>
      </c>
      <c r="P3887">
        <v>0</v>
      </c>
      <c r="Q3887">
        <v>0</v>
      </c>
      <c r="R3887">
        <v>0</v>
      </c>
      <c r="S3887">
        <v>0</v>
      </c>
      <c r="T3887">
        <v>0</v>
      </c>
      <c r="U3887">
        <v>0</v>
      </c>
      <c r="V3887">
        <v>0</v>
      </c>
      <c r="W3887">
        <v>0</v>
      </c>
      <c r="X3887">
        <v>0</v>
      </c>
      <c r="Y3887" t="s">
        <v>31</v>
      </c>
      <c r="Z3887">
        <v>55</v>
      </c>
      <c r="AA3887">
        <v>146</v>
      </c>
    </row>
    <row r="3888" spans="1:27" x14ac:dyDescent="0.2">
      <c r="A3888" t="s">
        <v>4916</v>
      </c>
      <c r="B3888">
        <v>2018</v>
      </c>
      <c r="C3888">
        <v>13905501</v>
      </c>
      <c r="D3888" t="s">
        <v>4917</v>
      </c>
      <c r="E3888" t="s">
        <v>29</v>
      </c>
      <c r="F3888" t="s">
        <v>30</v>
      </c>
      <c r="G3888">
        <v>40</v>
      </c>
      <c r="H3888">
        <v>0</v>
      </c>
      <c r="I3888">
        <v>34</v>
      </c>
      <c r="J3888">
        <v>0</v>
      </c>
      <c r="K3888">
        <v>0</v>
      </c>
      <c r="L3888">
        <v>1</v>
      </c>
      <c r="M3888">
        <v>0</v>
      </c>
      <c r="N3888">
        <v>0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0</v>
      </c>
      <c r="U3888">
        <v>0</v>
      </c>
      <c r="V3888">
        <v>0</v>
      </c>
      <c r="W3888">
        <v>0</v>
      </c>
      <c r="X3888">
        <v>0</v>
      </c>
      <c r="Y3888" t="s">
        <v>31</v>
      </c>
      <c r="AA3888">
        <v>0</v>
      </c>
    </row>
    <row r="3889" spans="1:27" x14ac:dyDescent="0.2">
      <c r="A3889" t="s">
        <v>524</v>
      </c>
      <c r="B3889">
        <v>2023</v>
      </c>
      <c r="C3889" s="2" t="s">
        <v>4918</v>
      </c>
      <c r="D3889" t="s">
        <v>4919</v>
      </c>
      <c r="E3889" t="s">
        <v>29</v>
      </c>
      <c r="F3889" t="s">
        <v>30</v>
      </c>
      <c r="G3889">
        <v>0</v>
      </c>
      <c r="H3889">
        <v>0</v>
      </c>
      <c r="I3889">
        <v>0</v>
      </c>
      <c r="J3889">
        <v>0</v>
      </c>
      <c r="K3889">
        <v>0</v>
      </c>
      <c r="L3889">
        <v>0</v>
      </c>
      <c r="M3889">
        <v>3</v>
      </c>
      <c r="N3889">
        <v>0</v>
      </c>
      <c r="O3889">
        <v>14</v>
      </c>
      <c r="P3889">
        <v>0</v>
      </c>
      <c r="Q3889">
        <v>31</v>
      </c>
      <c r="R3889">
        <v>0</v>
      </c>
      <c r="S3889">
        <v>0</v>
      </c>
      <c r="T3889">
        <v>0</v>
      </c>
      <c r="U3889">
        <v>0</v>
      </c>
      <c r="V3889">
        <v>0</v>
      </c>
      <c r="W3889">
        <v>0</v>
      </c>
      <c r="X3889">
        <v>0</v>
      </c>
      <c r="Y3889" t="s">
        <v>31</v>
      </c>
      <c r="Z3889">
        <v>55</v>
      </c>
      <c r="AA3889" s="2" t="s">
        <v>681</v>
      </c>
    </row>
    <row r="3890" spans="1:27" x14ac:dyDescent="0.2">
      <c r="A3890" t="s">
        <v>4920</v>
      </c>
      <c r="B3890">
        <v>2019</v>
      </c>
      <c r="C3890" t="s">
        <v>4921</v>
      </c>
      <c r="D3890" t="s">
        <v>4922</v>
      </c>
      <c r="E3890" t="s">
        <v>29</v>
      </c>
      <c r="F3890" t="s">
        <v>30</v>
      </c>
      <c r="G3890">
        <v>0</v>
      </c>
      <c r="H3890">
        <v>0</v>
      </c>
      <c r="I3890">
        <v>16</v>
      </c>
      <c r="J3890">
        <v>0</v>
      </c>
      <c r="K3890">
        <v>0</v>
      </c>
      <c r="L3890">
        <v>0</v>
      </c>
      <c r="M3890">
        <v>0</v>
      </c>
      <c r="N3890">
        <v>0</v>
      </c>
      <c r="O3890">
        <v>0</v>
      </c>
      <c r="P3890">
        <v>0</v>
      </c>
      <c r="Q3890">
        <v>0</v>
      </c>
      <c r="R3890">
        <v>0</v>
      </c>
      <c r="S3890">
        <v>0</v>
      </c>
      <c r="T3890">
        <v>0</v>
      </c>
      <c r="U3890">
        <v>0</v>
      </c>
      <c r="V3890">
        <v>0</v>
      </c>
      <c r="W3890">
        <v>0</v>
      </c>
      <c r="X3890">
        <v>0</v>
      </c>
      <c r="Y3890" t="s">
        <v>51</v>
      </c>
      <c r="Z3890">
        <v>55</v>
      </c>
      <c r="AA3890">
        <v>0</v>
      </c>
    </row>
    <row r="3891" spans="1:27" x14ac:dyDescent="0.2">
      <c r="A3891" t="s">
        <v>88</v>
      </c>
      <c r="B3891">
        <v>2019</v>
      </c>
      <c r="C3891" t="s">
        <v>4923</v>
      </c>
      <c r="D3891" t="s">
        <v>4924</v>
      </c>
      <c r="E3891" t="s">
        <v>29</v>
      </c>
      <c r="F3891" t="s">
        <v>30</v>
      </c>
      <c r="G3891">
        <v>130</v>
      </c>
      <c r="H3891">
        <v>0</v>
      </c>
      <c r="I3891">
        <v>14</v>
      </c>
      <c r="J3891">
        <v>0</v>
      </c>
      <c r="K3891">
        <v>0</v>
      </c>
      <c r="L3891">
        <v>0</v>
      </c>
      <c r="M3891">
        <v>130</v>
      </c>
      <c r="N3891">
        <v>0</v>
      </c>
      <c r="O3891">
        <v>14</v>
      </c>
      <c r="P3891">
        <v>0</v>
      </c>
      <c r="Q3891">
        <v>0</v>
      </c>
      <c r="R3891">
        <v>0</v>
      </c>
      <c r="S3891">
        <v>0</v>
      </c>
      <c r="T3891">
        <v>0</v>
      </c>
      <c r="U3891">
        <v>0</v>
      </c>
      <c r="V3891">
        <v>0</v>
      </c>
      <c r="W3891">
        <v>0</v>
      </c>
      <c r="X3891">
        <v>0</v>
      </c>
      <c r="Y3891" t="s">
        <v>51</v>
      </c>
      <c r="AA3891">
        <v>0</v>
      </c>
    </row>
    <row r="3892" spans="1:27" x14ac:dyDescent="0.2">
      <c r="A3892" t="s">
        <v>4925</v>
      </c>
      <c r="B3892">
        <v>2020</v>
      </c>
      <c r="C3892" t="s">
        <v>4926</v>
      </c>
      <c r="D3892" t="s">
        <v>4927</v>
      </c>
      <c r="E3892" t="s">
        <v>29</v>
      </c>
      <c r="F3892" t="s">
        <v>30</v>
      </c>
      <c r="G3892">
        <v>7</v>
      </c>
      <c r="H3892">
        <v>0</v>
      </c>
      <c r="I3892">
        <v>0</v>
      </c>
      <c r="J3892">
        <v>0</v>
      </c>
      <c r="K3892">
        <v>0</v>
      </c>
      <c r="L3892">
        <v>0</v>
      </c>
      <c r="M3892">
        <v>0</v>
      </c>
      <c r="N3892">
        <v>0</v>
      </c>
      <c r="O3892">
        <v>0</v>
      </c>
      <c r="P3892">
        <v>0</v>
      </c>
      <c r="Q3892">
        <v>0</v>
      </c>
      <c r="R3892">
        <v>0</v>
      </c>
      <c r="S3892">
        <v>0</v>
      </c>
      <c r="T3892">
        <v>0</v>
      </c>
      <c r="U3892">
        <v>0</v>
      </c>
      <c r="V3892">
        <v>0</v>
      </c>
      <c r="W3892">
        <v>0</v>
      </c>
      <c r="X3892">
        <v>0</v>
      </c>
      <c r="Y3892" t="s">
        <v>31</v>
      </c>
      <c r="Z3892">
        <v>55</v>
      </c>
      <c r="AA3892">
        <v>0</v>
      </c>
    </row>
    <row r="3893" spans="1:27" x14ac:dyDescent="0.2">
      <c r="A3893" t="s">
        <v>622</v>
      </c>
      <c r="B3893">
        <v>2020</v>
      </c>
      <c r="C3893" t="s">
        <v>623</v>
      </c>
      <c r="D3893" t="s">
        <v>1033</v>
      </c>
      <c r="E3893" t="s">
        <v>29</v>
      </c>
      <c r="F3893" t="s">
        <v>30</v>
      </c>
      <c r="G3893">
        <v>0</v>
      </c>
      <c r="H3893">
        <v>0</v>
      </c>
      <c r="I3893">
        <v>0</v>
      </c>
      <c r="J3893">
        <v>0</v>
      </c>
      <c r="K3893">
        <v>0</v>
      </c>
      <c r="L3893">
        <v>0</v>
      </c>
      <c r="M3893">
        <v>1</v>
      </c>
      <c r="N3893">
        <v>0</v>
      </c>
      <c r="O3893">
        <v>0</v>
      </c>
      <c r="P3893">
        <v>0</v>
      </c>
      <c r="Q3893">
        <v>0</v>
      </c>
      <c r="R3893">
        <v>0</v>
      </c>
      <c r="S3893">
        <v>0</v>
      </c>
      <c r="T3893">
        <v>0</v>
      </c>
      <c r="U3893">
        <v>0</v>
      </c>
      <c r="V3893">
        <v>0</v>
      </c>
      <c r="W3893">
        <v>0</v>
      </c>
      <c r="X3893">
        <v>0</v>
      </c>
      <c r="Y3893" t="s">
        <v>51</v>
      </c>
      <c r="Z3893">
        <v>55</v>
      </c>
      <c r="AA3893">
        <v>0</v>
      </c>
    </row>
    <row r="3894" spans="1:27" x14ac:dyDescent="0.2">
      <c r="A3894" t="s">
        <v>622</v>
      </c>
      <c r="B3894">
        <v>2020</v>
      </c>
      <c r="C3894" t="s">
        <v>623</v>
      </c>
      <c r="D3894" t="s">
        <v>1126</v>
      </c>
      <c r="E3894" t="s">
        <v>29</v>
      </c>
      <c r="F3894" t="s">
        <v>30</v>
      </c>
      <c r="G3894">
        <v>0</v>
      </c>
      <c r="H3894">
        <v>0</v>
      </c>
      <c r="I3894">
        <v>0</v>
      </c>
      <c r="J3894">
        <v>0</v>
      </c>
      <c r="K3894">
        <v>0</v>
      </c>
      <c r="L3894">
        <v>0</v>
      </c>
      <c r="M3894">
        <v>2</v>
      </c>
      <c r="N3894">
        <v>0</v>
      </c>
      <c r="O3894">
        <v>0</v>
      </c>
      <c r="P3894">
        <v>0</v>
      </c>
      <c r="Q3894">
        <v>0</v>
      </c>
      <c r="R3894">
        <v>0</v>
      </c>
      <c r="S3894">
        <v>0</v>
      </c>
      <c r="T3894">
        <v>0</v>
      </c>
      <c r="U3894">
        <v>0</v>
      </c>
      <c r="V3894">
        <v>0</v>
      </c>
      <c r="W3894">
        <v>0</v>
      </c>
      <c r="X3894">
        <v>0</v>
      </c>
      <c r="Y3894" t="s">
        <v>51</v>
      </c>
      <c r="Z3894">
        <v>55</v>
      </c>
      <c r="AA3894">
        <v>0</v>
      </c>
    </row>
    <row r="3895" spans="1:27" x14ac:dyDescent="0.2">
      <c r="A3895" t="s">
        <v>406</v>
      </c>
      <c r="B3895">
        <v>2023</v>
      </c>
      <c r="C3895" t="s">
        <v>718</v>
      </c>
      <c r="D3895" t="s">
        <v>719</v>
      </c>
      <c r="E3895" t="s">
        <v>29</v>
      </c>
      <c r="F3895" t="s">
        <v>41</v>
      </c>
      <c r="G3895">
        <v>0</v>
      </c>
      <c r="H3895">
        <v>0</v>
      </c>
      <c r="I3895">
        <v>0</v>
      </c>
      <c r="J3895">
        <v>0</v>
      </c>
      <c r="K3895">
        <v>22</v>
      </c>
      <c r="L3895">
        <v>0</v>
      </c>
      <c r="M3895">
        <v>0</v>
      </c>
      <c r="N3895">
        <v>0</v>
      </c>
      <c r="O3895">
        <v>0</v>
      </c>
      <c r="P3895">
        <v>0</v>
      </c>
      <c r="Q3895">
        <v>0</v>
      </c>
      <c r="R3895">
        <v>0</v>
      </c>
      <c r="S3895">
        <v>0</v>
      </c>
      <c r="T3895">
        <v>0</v>
      </c>
      <c r="U3895">
        <v>0</v>
      </c>
      <c r="V3895">
        <v>0</v>
      </c>
      <c r="W3895">
        <v>0</v>
      </c>
      <c r="X3895">
        <v>0</v>
      </c>
      <c r="Y3895" t="s">
        <v>31</v>
      </c>
      <c r="AA3895">
        <v>0</v>
      </c>
    </row>
    <row r="3896" spans="1:27" x14ac:dyDescent="0.2">
      <c r="A3896" t="s">
        <v>406</v>
      </c>
      <c r="B3896">
        <v>2023</v>
      </c>
      <c r="C3896" t="s">
        <v>686</v>
      </c>
      <c r="D3896" t="s">
        <v>687</v>
      </c>
      <c r="E3896" t="s">
        <v>29</v>
      </c>
      <c r="F3896" t="s">
        <v>30</v>
      </c>
      <c r="G3896">
        <v>14</v>
      </c>
      <c r="H3896">
        <v>0</v>
      </c>
      <c r="I3896">
        <v>14</v>
      </c>
      <c r="J3896">
        <v>0</v>
      </c>
      <c r="K3896">
        <v>14</v>
      </c>
      <c r="L3896">
        <v>0</v>
      </c>
      <c r="M3896">
        <v>0</v>
      </c>
      <c r="N3896">
        <v>0</v>
      </c>
      <c r="O3896">
        <v>0</v>
      </c>
      <c r="P3896">
        <v>0</v>
      </c>
      <c r="Q3896">
        <v>0</v>
      </c>
      <c r="R3896">
        <v>0</v>
      </c>
      <c r="S3896">
        <v>0</v>
      </c>
      <c r="T3896">
        <v>0</v>
      </c>
      <c r="U3896">
        <v>0</v>
      </c>
      <c r="V3896">
        <v>0</v>
      </c>
      <c r="W3896">
        <v>0</v>
      </c>
      <c r="X3896">
        <v>0</v>
      </c>
      <c r="Y3896" t="s">
        <v>31</v>
      </c>
      <c r="AA3896">
        <v>0</v>
      </c>
    </row>
    <row r="3897" spans="1:27" x14ac:dyDescent="0.2">
      <c r="A3897" t="s">
        <v>88</v>
      </c>
      <c r="B3897">
        <v>2018</v>
      </c>
      <c r="C3897" t="s">
        <v>4928</v>
      </c>
      <c r="D3897" t="s">
        <v>4929</v>
      </c>
      <c r="E3897" t="s">
        <v>29</v>
      </c>
      <c r="F3897" t="s">
        <v>30</v>
      </c>
      <c r="G3897">
        <v>0</v>
      </c>
      <c r="H3897">
        <v>0</v>
      </c>
      <c r="I3897">
        <v>0</v>
      </c>
      <c r="J3897">
        <v>0</v>
      </c>
      <c r="K3897">
        <v>0</v>
      </c>
      <c r="L3897">
        <v>0</v>
      </c>
      <c r="M3897">
        <v>0</v>
      </c>
      <c r="N3897">
        <v>0</v>
      </c>
      <c r="O3897">
        <v>0</v>
      </c>
      <c r="P3897">
        <v>0</v>
      </c>
      <c r="Q3897">
        <v>0</v>
      </c>
      <c r="R3897">
        <v>0</v>
      </c>
      <c r="S3897">
        <v>0</v>
      </c>
      <c r="T3897">
        <v>0</v>
      </c>
      <c r="U3897">
        <v>0</v>
      </c>
      <c r="V3897">
        <v>0</v>
      </c>
      <c r="W3897">
        <v>0</v>
      </c>
      <c r="X3897">
        <v>0</v>
      </c>
      <c r="Y3897" t="s">
        <v>51</v>
      </c>
      <c r="Z3897">
        <v>55</v>
      </c>
      <c r="AA3897">
        <v>0</v>
      </c>
    </row>
    <row r="3898" spans="1:27" x14ac:dyDescent="0.2">
      <c r="A3898" t="s">
        <v>88</v>
      </c>
      <c r="B3898">
        <v>2018</v>
      </c>
      <c r="C3898" t="s">
        <v>4930</v>
      </c>
      <c r="D3898" t="s">
        <v>4931</v>
      </c>
      <c r="E3898" t="s">
        <v>29</v>
      </c>
      <c r="F3898" t="s">
        <v>41</v>
      </c>
      <c r="G3898">
        <v>0</v>
      </c>
      <c r="H3898">
        <v>0</v>
      </c>
      <c r="I3898">
        <v>0</v>
      </c>
      <c r="J3898">
        <v>0</v>
      </c>
      <c r="K3898">
        <v>5</v>
      </c>
      <c r="L3898">
        <v>0</v>
      </c>
      <c r="M3898">
        <v>0</v>
      </c>
      <c r="N3898">
        <v>0</v>
      </c>
      <c r="O3898">
        <v>0</v>
      </c>
      <c r="P3898">
        <v>0</v>
      </c>
      <c r="Q3898">
        <v>0</v>
      </c>
      <c r="R3898">
        <v>0</v>
      </c>
      <c r="S3898">
        <v>0</v>
      </c>
      <c r="T3898">
        <v>0</v>
      </c>
      <c r="U3898">
        <v>0</v>
      </c>
      <c r="V3898">
        <v>0</v>
      </c>
      <c r="W3898">
        <v>0</v>
      </c>
      <c r="X3898">
        <v>0</v>
      </c>
      <c r="Y3898" t="s">
        <v>51</v>
      </c>
      <c r="Z3898">
        <v>20</v>
      </c>
      <c r="AA3898">
        <v>0</v>
      </c>
    </row>
    <row r="3899" spans="1:27" x14ac:dyDescent="0.2">
      <c r="A3899" t="s">
        <v>88</v>
      </c>
      <c r="B3899">
        <v>2018</v>
      </c>
      <c r="C3899" t="s">
        <v>4932</v>
      </c>
      <c r="D3899" t="s">
        <v>4933</v>
      </c>
      <c r="E3899" t="s">
        <v>29</v>
      </c>
      <c r="F3899" t="s">
        <v>41</v>
      </c>
      <c r="G3899">
        <v>0</v>
      </c>
      <c r="H3899">
        <v>0</v>
      </c>
      <c r="I3899">
        <v>0</v>
      </c>
      <c r="J3899">
        <v>0</v>
      </c>
      <c r="K3899">
        <v>0</v>
      </c>
      <c r="L3899">
        <v>0</v>
      </c>
      <c r="M3899">
        <v>0</v>
      </c>
      <c r="N3899">
        <v>0</v>
      </c>
      <c r="O3899">
        <v>0</v>
      </c>
      <c r="P3899">
        <v>0</v>
      </c>
      <c r="Q3899">
        <v>0</v>
      </c>
      <c r="R3899">
        <v>0</v>
      </c>
      <c r="S3899">
        <v>0</v>
      </c>
      <c r="T3899">
        <v>0</v>
      </c>
      <c r="U3899">
        <v>0</v>
      </c>
      <c r="V3899">
        <v>0</v>
      </c>
      <c r="W3899">
        <v>1</v>
      </c>
      <c r="X3899">
        <v>0</v>
      </c>
      <c r="Y3899" t="s">
        <v>51</v>
      </c>
      <c r="Z3899">
        <v>20</v>
      </c>
      <c r="AA3899">
        <v>0</v>
      </c>
    </row>
    <row r="3900" spans="1:27" x14ac:dyDescent="0.2">
      <c r="A3900" t="s">
        <v>1316</v>
      </c>
      <c r="B3900">
        <v>2020</v>
      </c>
      <c r="C3900">
        <v>58049130</v>
      </c>
      <c r="D3900" t="s">
        <v>4934</v>
      </c>
      <c r="E3900" t="s">
        <v>29</v>
      </c>
      <c r="F3900" t="s">
        <v>30</v>
      </c>
      <c r="G3900">
        <v>0</v>
      </c>
      <c r="H3900">
        <v>0</v>
      </c>
      <c r="I3900">
        <v>0</v>
      </c>
      <c r="J3900">
        <v>0</v>
      </c>
      <c r="K3900">
        <v>0</v>
      </c>
      <c r="L3900">
        <v>0</v>
      </c>
      <c r="M3900">
        <v>22</v>
      </c>
      <c r="N3900">
        <v>0</v>
      </c>
      <c r="O3900">
        <v>0</v>
      </c>
      <c r="P3900">
        <v>0</v>
      </c>
      <c r="Q3900">
        <v>0</v>
      </c>
      <c r="R3900">
        <v>0</v>
      </c>
      <c r="S3900">
        <v>0</v>
      </c>
      <c r="T3900">
        <v>0</v>
      </c>
      <c r="U3900">
        <v>0</v>
      </c>
      <c r="V3900">
        <v>0</v>
      </c>
      <c r="W3900">
        <v>0</v>
      </c>
      <c r="X3900">
        <v>0</v>
      </c>
      <c r="Y3900" t="s">
        <v>31</v>
      </c>
      <c r="Z3900">
        <v>1000</v>
      </c>
      <c r="AA3900">
        <v>0</v>
      </c>
    </row>
    <row r="3901" spans="1:27" x14ac:dyDescent="0.2">
      <c r="A3901" t="s">
        <v>1316</v>
      </c>
      <c r="B3901">
        <v>2020</v>
      </c>
      <c r="C3901">
        <v>58049129</v>
      </c>
      <c r="D3901" t="s">
        <v>2915</v>
      </c>
      <c r="E3901" t="s">
        <v>29</v>
      </c>
      <c r="F3901" t="s">
        <v>30</v>
      </c>
      <c r="G3901">
        <v>0</v>
      </c>
      <c r="H3901">
        <v>0</v>
      </c>
      <c r="I3901">
        <v>0</v>
      </c>
      <c r="J3901">
        <v>0</v>
      </c>
      <c r="K3901">
        <v>0</v>
      </c>
      <c r="L3901">
        <v>0</v>
      </c>
      <c r="M3901">
        <v>0</v>
      </c>
      <c r="N3901">
        <v>0</v>
      </c>
      <c r="O3901">
        <v>0</v>
      </c>
      <c r="P3901">
        <v>0</v>
      </c>
      <c r="Q3901">
        <v>0</v>
      </c>
      <c r="R3901">
        <v>0</v>
      </c>
      <c r="S3901">
        <v>68</v>
      </c>
      <c r="T3901">
        <v>0</v>
      </c>
      <c r="U3901">
        <v>0</v>
      </c>
      <c r="V3901">
        <v>0</v>
      </c>
      <c r="W3901">
        <v>1</v>
      </c>
      <c r="X3901">
        <v>0</v>
      </c>
      <c r="Y3901" t="s">
        <v>31</v>
      </c>
      <c r="Z3901">
        <v>1000</v>
      </c>
      <c r="AA3901">
        <v>0</v>
      </c>
    </row>
    <row r="3902" spans="1:27" x14ac:dyDescent="0.2">
      <c r="A3902" t="s">
        <v>1316</v>
      </c>
      <c r="B3902">
        <v>2020</v>
      </c>
      <c r="C3902">
        <v>43510147</v>
      </c>
      <c r="D3902" t="s">
        <v>4935</v>
      </c>
      <c r="E3902" t="s">
        <v>29</v>
      </c>
      <c r="F3902" t="s">
        <v>30</v>
      </c>
      <c r="G3902">
        <v>0</v>
      </c>
      <c r="H3902">
        <v>0</v>
      </c>
      <c r="I3902">
        <v>0</v>
      </c>
      <c r="J3902">
        <v>0</v>
      </c>
      <c r="K3902">
        <v>0</v>
      </c>
      <c r="L3902">
        <v>0</v>
      </c>
      <c r="M3902">
        <v>0</v>
      </c>
      <c r="N3902">
        <v>0</v>
      </c>
      <c r="O3902">
        <v>0</v>
      </c>
      <c r="P3902">
        <v>0</v>
      </c>
      <c r="Q3902">
        <v>0</v>
      </c>
      <c r="R3902">
        <v>0</v>
      </c>
      <c r="S3902">
        <v>24</v>
      </c>
      <c r="T3902">
        <v>0</v>
      </c>
      <c r="U3902">
        <v>0</v>
      </c>
      <c r="V3902">
        <v>0</v>
      </c>
      <c r="W3902">
        <v>15</v>
      </c>
      <c r="X3902">
        <v>0</v>
      </c>
      <c r="Y3902" t="s">
        <v>31</v>
      </c>
      <c r="Z3902">
        <v>30</v>
      </c>
      <c r="AA3902">
        <v>0</v>
      </c>
    </row>
    <row r="3903" spans="1:27" x14ac:dyDescent="0.2">
      <c r="A3903" t="s">
        <v>1247</v>
      </c>
      <c r="B3903">
        <v>2019</v>
      </c>
      <c r="C3903">
        <v>44051048</v>
      </c>
      <c r="D3903" t="s">
        <v>4936</v>
      </c>
      <c r="E3903" t="s">
        <v>29</v>
      </c>
      <c r="F3903" t="s">
        <v>30</v>
      </c>
      <c r="G3903">
        <v>0</v>
      </c>
      <c r="H3903">
        <v>0</v>
      </c>
      <c r="I3903">
        <v>0</v>
      </c>
      <c r="J3903">
        <v>0</v>
      </c>
      <c r="K3903">
        <v>0</v>
      </c>
      <c r="L3903">
        <v>0</v>
      </c>
      <c r="M3903">
        <v>6</v>
      </c>
      <c r="N3903">
        <v>0</v>
      </c>
      <c r="O3903">
        <v>12</v>
      </c>
      <c r="P3903">
        <v>0</v>
      </c>
      <c r="Q3903">
        <v>0</v>
      </c>
      <c r="R3903">
        <v>0</v>
      </c>
      <c r="S3903">
        <v>0</v>
      </c>
      <c r="T3903">
        <v>0</v>
      </c>
      <c r="U3903">
        <v>0</v>
      </c>
      <c r="V3903">
        <v>0</v>
      </c>
      <c r="W3903">
        <v>0</v>
      </c>
      <c r="X3903">
        <v>0</v>
      </c>
      <c r="Y3903" t="s">
        <v>51</v>
      </c>
      <c r="Z3903">
        <v>55</v>
      </c>
      <c r="AA3903">
        <v>0</v>
      </c>
    </row>
    <row r="3904" spans="1:27" x14ac:dyDescent="0.2">
      <c r="A3904" t="s">
        <v>622</v>
      </c>
      <c r="B3904">
        <v>2020</v>
      </c>
      <c r="C3904" t="s">
        <v>623</v>
      </c>
      <c r="D3904" t="s">
        <v>1037</v>
      </c>
      <c r="E3904" t="s">
        <v>29</v>
      </c>
      <c r="F3904" t="s">
        <v>30</v>
      </c>
      <c r="G3904">
        <v>0</v>
      </c>
      <c r="H3904">
        <v>0</v>
      </c>
      <c r="I3904">
        <v>0</v>
      </c>
      <c r="J3904">
        <v>0</v>
      </c>
      <c r="K3904">
        <v>0</v>
      </c>
      <c r="L3904">
        <v>0</v>
      </c>
      <c r="M3904">
        <v>1</v>
      </c>
      <c r="N3904">
        <v>0</v>
      </c>
      <c r="O3904">
        <v>0</v>
      </c>
      <c r="P3904">
        <v>0</v>
      </c>
      <c r="Q3904">
        <v>0</v>
      </c>
      <c r="R3904">
        <v>0</v>
      </c>
      <c r="S3904">
        <v>0</v>
      </c>
      <c r="T3904">
        <v>0</v>
      </c>
      <c r="U3904">
        <v>0</v>
      </c>
      <c r="V3904">
        <v>0</v>
      </c>
      <c r="W3904">
        <v>0</v>
      </c>
      <c r="X3904">
        <v>0</v>
      </c>
      <c r="Y3904" t="s">
        <v>51</v>
      </c>
      <c r="Z3904">
        <v>55</v>
      </c>
      <c r="AA3904">
        <v>0</v>
      </c>
    </row>
    <row r="3905" spans="1:27" x14ac:dyDescent="0.2">
      <c r="A3905" t="s">
        <v>622</v>
      </c>
      <c r="B3905">
        <v>2020</v>
      </c>
      <c r="C3905" t="s">
        <v>623</v>
      </c>
      <c r="D3905" t="s">
        <v>625</v>
      </c>
      <c r="E3905" t="s">
        <v>29</v>
      </c>
      <c r="F3905" t="s">
        <v>30</v>
      </c>
      <c r="G3905">
        <v>0</v>
      </c>
      <c r="H3905">
        <v>0</v>
      </c>
      <c r="I3905">
        <v>0</v>
      </c>
      <c r="J3905">
        <v>0</v>
      </c>
      <c r="K3905">
        <v>0</v>
      </c>
      <c r="L3905">
        <v>0</v>
      </c>
      <c r="M3905">
        <v>2</v>
      </c>
      <c r="N3905">
        <v>0</v>
      </c>
      <c r="O3905">
        <v>0</v>
      </c>
      <c r="P3905">
        <v>0</v>
      </c>
      <c r="Q3905">
        <v>0</v>
      </c>
      <c r="R3905">
        <v>0</v>
      </c>
      <c r="S3905">
        <v>0</v>
      </c>
      <c r="T3905">
        <v>0</v>
      </c>
      <c r="U3905">
        <v>0</v>
      </c>
      <c r="V3905">
        <v>0</v>
      </c>
      <c r="W3905">
        <v>0</v>
      </c>
      <c r="X3905">
        <v>0</v>
      </c>
      <c r="Y3905" t="s">
        <v>51</v>
      </c>
      <c r="Z3905">
        <v>55</v>
      </c>
      <c r="AA3905">
        <v>0</v>
      </c>
    </row>
    <row r="3906" spans="1:27" x14ac:dyDescent="0.2">
      <c r="A3906" t="s">
        <v>622</v>
      </c>
      <c r="B3906">
        <v>2020</v>
      </c>
      <c r="C3906" t="s">
        <v>623</v>
      </c>
      <c r="D3906" t="s">
        <v>1124</v>
      </c>
      <c r="E3906" t="s">
        <v>29</v>
      </c>
      <c r="F3906" t="s">
        <v>30</v>
      </c>
      <c r="G3906">
        <v>0</v>
      </c>
      <c r="H3906">
        <v>0</v>
      </c>
      <c r="I3906">
        <v>0</v>
      </c>
      <c r="J3906">
        <v>0</v>
      </c>
      <c r="K3906">
        <v>0</v>
      </c>
      <c r="L3906">
        <v>0</v>
      </c>
      <c r="M3906">
        <v>1</v>
      </c>
      <c r="N3906">
        <v>0</v>
      </c>
      <c r="O3906">
        <v>0</v>
      </c>
      <c r="P3906">
        <v>0</v>
      </c>
      <c r="Q3906">
        <v>0</v>
      </c>
      <c r="R3906">
        <v>0</v>
      </c>
      <c r="S3906">
        <v>0</v>
      </c>
      <c r="T3906">
        <v>0</v>
      </c>
      <c r="U3906">
        <v>0</v>
      </c>
      <c r="V3906">
        <v>0</v>
      </c>
      <c r="W3906">
        <v>0</v>
      </c>
      <c r="X3906">
        <v>0</v>
      </c>
      <c r="Y3906" t="s">
        <v>51</v>
      </c>
      <c r="Z3906">
        <v>55</v>
      </c>
      <c r="AA3906">
        <v>0</v>
      </c>
    </row>
    <row r="3907" spans="1:27" x14ac:dyDescent="0.2">
      <c r="A3907" t="s">
        <v>622</v>
      </c>
      <c r="B3907">
        <v>2020</v>
      </c>
      <c r="C3907" t="s">
        <v>623</v>
      </c>
      <c r="D3907" t="s">
        <v>907</v>
      </c>
      <c r="E3907" t="s">
        <v>29</v>
      </c>
      <c r="F3907" t="s">
        <v>30</v>
      </c>
      <c r="G3907">
        <v>0</v>
      </c>
      <c r="H3907">
        <v>0</v>
      </c>
      <c r="I3907">
        <v>0</v>
      </c>
      <c r="J3907">
        <v>0</v>
      </c>
      <c r="K3907">
        <v>0</v>
      </c>
      <c r="L3907">
        <v>0</v>
      </c>
      <c r="M3907">
        <v>1</v>
      </c>
      <c r="N3907">
        <v>0</v>
      </c>
      <c r="O3907">
        <v>0</v>
      </c>
      <c r="P3907">
        <v>0</v>
      </c>
      <c r="Q3907">
        <v>0</v>
      </c>
      <c r="R3907">
        <v>0</v>
      </c>
      <c r="S3907">
        <v>0</v>
      </c>
      <c r="T3907">
        <v>0</v>
      </c>
      <c r="U3907">
        <v>0</v>
      </c>
      <c r="V3907">
        <v>0</v>
      </c>
      <c r="W3907">
        <v>0</v>
      </c>
      <c r="X3907">
        <v>0</v>
      </c>
      <c r="Y3907" t="s">
        <v>51</v>
      </c>
      <c r="Z3907">
        <v>55</v>
      </c>
      <c r="AA3907">
        <v>0</v>
      </c>
    </row>
    <row r="3908" spans="1:27" x14ac:dyDescent="0.2">
      <c r="A3908" t="s">
        <v>219</v>
      </c>
      <c r="B3908">
        <v>2022</v>
      </c>
      <c r="C3908" t="s">
        <v>4937</v>
      </c>
      <c r="D3908" t="s">
        <v>4938</v>
      </c>
      <c r="E3908" t="s">
        <v>29</v>
      </c>
      <c r="F3908" t="s">
        <v>41</v>
      </c>
      <c r="G3908">
        <v>0</v>
      </c>
      <c r="H3908">
        <v>0</v>
      </c>
      <c r="I3908">
        <v>0</v>
      </c>
      <c r="J3908">
        <v>0</v>
      </c>
      <c r="K3908">
        <v>4</v>
      </c>
      <c r="L3908">
        <v>0</v>
      </c>
      <c r="M3908">
        <v>0</v>
      </c>
      <c r="N3908">
        <v>0</v>
      </c>
      <c r="O3908">
        <v>0</v>
      </c>
      <c r="P3908">
        <v>0</v>
      </c>
      <c r="Q3908">
        <v>0</v>
      </c>
      <c r="R3908">
        <v>0</v>
      </c>
      <c r="S3908">
        <v>0</v>
      </c>
      <c r="T3908">
        <v>0</v>
      </c>
      <c r="U3908">
        <v>0</v>
      </c>
      <c r="V3908">
        <v>0</v>
      </c>
      <c r="W3908">
        <v>0</v>
      </c>
      <c r="X3908">
        <v>0</v>
      </c>
      <c r="Y3908" t="s">
        <v>31</v>
      </c>
      <c r="Z3908">
        <v>55</v>
      </c>
      <c r="AA3908">
        <v>0</v>
      </c>
    </row>
    <row r="3909" spans="1:27" x14ac:dyDescent="0.2">
      <c r="A3909" t="s">
        <v>1367</v>
      </c>
      <c r="B3909">
        <v>2021</v>
      </c>
      <c r="C3909" t="s">
        <v>1478</v>
      </c>
      <c r="D3909" t="s">
        <v>1479</v>
      </c>
      <c r="E3909" t="s">
        <v>29</v>
      </c>
      <c r="F3909" t="s">
        <v>30</v>
      </c>
      <c r="G3909">
        <v>0</v>
      </c>
      <c r="H3909">
        <v>0</v>
      </c>
      <c r="I3909">
        <v>0</v>
      </c>
      <c r="J3909">
        <v>0</v>
      </c>
      <c r="K3909">
        <v>1</v>
      </c>
      <c r="L3909">
        <v>0</v>
      </c>
      <c r="M3909">
        <v>0</v>
      </c>
      <c r="N3909">
        <v>0</v>
      </c>
      <c r="O3909">
        <v>0</v>
      </c>
      <c r="P3909">
        <v>0</v>
      </c>
      <c r="Q3909">
        <v>0</v>
      </c>
      <c r="R3909">
        <v>0</v>
      </c>
      <c r="S3909">
        <v>0</v>
      </c>
      <c r="T3909">
        <v>0</v>
      </c>
      <c r="U3909">
        <v>0</v>
      </c>
      <c r="V3909">
        <v>0</v>
      </c>
      <c r="W3909">
        <v>0</v>
      </c>
      <c r="X3909">
        <v>0</v>
      </c>
      <c r="Y3909" t="s">
        <v>51</v>
      </c>
      <c r="AA3909">
        <v>0</v>
      </c>
    </row>
    <row r="3910" spans="1:27" x14ac:dyDescent="0.2">
      <c r="A3910" t="s">
        <v>622</v>
      </c>
      <c r="B3910">
        <v>2019</v>
      </c>
      <c r="C3910" t="s">
        <v>4939</v>
      </c>
      <c r="D3910" t="s">
        <v>4940</v>
      </c>
      <c r="E3910" t="s">
        <v>29</v>
      </c>
      <c r="F3910" t="s">
        <v>30</v>
      </c>
      <c r="G3910">
        <v>45</v>
      </c>
      <c r="H3910">
        <v>0</v>
      </c>
      <c r="I3910">
        <v>0</v>
      </c>
      <c r="J3910">
        <v>0</v>
      </c>
      <c r="K3910">
        <v>0</v>
      </c>
      <c r="L3910">
        <v>0</v>
      </c>
      <c r="M3910">
        <v>0</v>
      </c>
      <c r="N3910">
        <v>0</v>
      </c>
      <c r="O3910">
        <v>0</v>
      </c>
      <c r="P3910">
        <v>0</v>
      </c>
      <c r="Q3910">
        <v>0</v>
      </c>
      <c r="R3910">
        <v>0</v>
      </c>
      <c r="S3910">
        <v>0</v>
      </c>
      <c r="T3910">
        <v>0</v>
      </c>
      <c r="U3910">
        <v>0</v>
      </c>
      <c r="V3910">
        <v>0</v>
      </c>
      <c r="W3910">
        <v>0</v>
      </c>
      <c r="X3910">
        <v>0</v>
      </c>
      <c r="Y3910" t="s">
        <v>51</v>
      </c>
      <c r="Z3910">
        <v>55</v>
      </c>
      <c r="AA3910">
        <v>0</v>
      </c>
    </row>
    <row r="3911" spans="1:27" x14ac:dyDescent="0.2">
      <c r="A3911" t="s">
        <v>622</v>
      </c>
      <c r="B3911">
        <v>2019</v>
      </c>
      <c r="C3911" t="s">
        <v>2999</v>
      </c>
      <c r="D3911" t="s">
        <v>4941</v>
      </c>
      <c r="E3911" t="s">
        <v>29</v>
      </c>
      <c r="F3911" t="s">
        <v>30</v>
      </c>
      <c r="G3911">
        <v>0</v>
      </c>
      <c r="H3911">
        <v>0</v>
      </c>
      <c r="I3911">
        <v>0</v>
      </c>
      <c r="J3911">
        <v>0</v>
      </c>
      <c r="K3911">
        <v>0</v>
      </c>
      <c r="L3911">
        <v>0</v>
      </c>
      <c r="M3911">
        <v>0</v>
      </c>
      <c r="N3911">
        <v>0</v>
      </c>
      <c r="O3911">
        <v>0</v>
      </c>
      <c r="P3911">
        <v>0</v>
      </c>
      <c r="Q3911">
        <v>0</v>
      </c>
      <c r="R3911">
        <v>0</v>
      </c>
      <c r="S3911">
        <v>2</v>
      </c>
      <c r="T3911">
        <v>0</v>
      </c>
      <c r="U3911">
        <v>0</v>
      </c>
      <c r="V3911">
        <v>0</v>
      </c>
      <c r="W3911">
        <v>0</v>
      </c>
      <c r="X3911">
        <v>0</v>
      </c>
      <c r="Y3911" t="s">
        <v>51</v>
      </c>
      <c r="Z3911">
        <v>55</v>
      </c>
      <c r="AA3911">
        <v>0</v>
      </c>
    </row>
    <row r="3912" spans="1:27" x14ac:dyDescent="0.2">
      <c r="A3912" t="s">
        <v>622</v>
      </c>
      <c r="B3912">
        <v>2019</v>
      </c>
      <c r="C3912" t="s">
        <v>909</v>
      </c>
      <c r="D3912" t="s">
        <v>910</v>
      </c>
      <c r="E3912" t="s">
        <v>29</v>
      </c>
      <c r="F3912" t="s">
        <v>30</v>
      </c>
      <c r="G3912">
        <v>0</v>
      </c>
      <c r="H3912">
        <v>0</v>
      </c>
      <c r="I3912">
        <v>0</v>
      </c>
      <c r="J3912">
        <v>0</v>
      </c>
      <c r="K3912">
        <v>0</v>
      </c>
      <c r="L3912">
        <v>0</v>
      </c>
      <c r="M3912">
        <v>29</v>
      </c>
      <c r="N3912">
        <v>0</v>
      </c>
      <c r="O3912">
        <v>14</v>
      </c>
      <c r="P3912">
        <v>0</v>
      </c>
      <c r="Q3912">
        <v>0</v>
      </c>
      <c r="R3912">
        <v>0</v>
      </c>
      <c r="S3912">
        <v>0</v>
      </c>
      <c r="T3912">
        <v>0</v>
      </c>
      <c r="U3912">
        <v>0</v>
      </c>
      <c r="V3912">
        <v>0</v>
      </c>
      <c r="W3912">
        <v>0</v>
      </c>
      <c r="X3912">
        <v>0</v>
      </c>
      <c r="Y3912" t="s">
        <v>51</v>
      </c>
      <c r="Z3912">
        <v>55</v>
      </c>
      <c r="AA3912">
        <v>0</v>
      </c>
    </row>
    <row r="3913" spans="1:27" x14ac:dyDescent="0.2">
      <c r="A3913" t="s">
        <v>1367</v>
      </c>
      <c r="B3913">
        <v>2021</v>
      </c>
      <c r="C3913" t="s">
        <v>1368</v>
      </c>
      <c r="D3913" t="s">
        <v>1369</v>
      </c>
      <c r="E3913" t="s">
        <v>29</v>
      </c>
      <c r="F3913" t="s">
        <v>30</v>
      </c>
      <c r="G3913">
        <v>2</v>
      </c>
      <c r="H3913">
        <v>0</v>
      </c>
      <c r="I3913">
        <v>0</v>
      </c>
      <c r="J3913">
        <v>0</v>
      </c>
      <c r="K3913">
        <v>0</v>
      </c>
      <c r="L3913">
        <v>0</v>
      </c>
      <c r="M3913">
        <v>2</v>
      </c>
      <c r="N3913">
        <v>0</v>
      </c>
      <c r="O3913">
        <v>0</v>
      </c>
      <c r="P3913">
        <v>0</v>
      </c>
      <c r="Q3913">
        <v>0</v>
      </c>
      <c r="R3913">
        <v>0</v>
      </c>
      <c r="S3913">
        <v>2</v>
      </c>
      <c r="T3913">
        <v>0</v>
      </c>
      <c r="U3913">
        <v>0</v>
      </c>
      <c r="V3913">
        <v>0</v>
      </c>
      <c r="W3913">
        <v>0</v>
      </c>
      <c r="X3913">
        <v>0</v>
      </c>
      <c r="Y3913" t="s">
        <v>31</v>
      </c>
      <c r="Z3913">
        <v>55</v>
      </c>
      <c r="AA3913">
        <v>10</v>
      </c>
    </row>
    <row r="3914" spans="1:27" x14ac:dyDescent="0.2">
      <c r="A3914" t="s">
        <v>2268</v>
      </c>
      <c r="B3914">
        <v>2020</v>
      </c>
      <c r="C3914" t="s">
        <v>4942</v>
      </c>
      <c r="D3914" t="s">
        <v>4943</v>
      </c>
      <c r="E3914" t="s">
        <v>29</v>
      </c>
      <c r="F3914" t="s">
        <v>30</v>
      </c>
      <c r="G3914">
        <v>23</v>
      </c>
      <c r="H3914">
        <v>0</v>
      </c>
      <c r="I3914">
        <v>0</v>
      </c>
      <c r="J3914">
        <v>0</v>
      </c>
      <c r="K3914">
        <v>0</v>
      </c>
      <c r="L3914">
        <v>0</v>
      </c>
      <c r="M3914">
        <v>23</v>
      </c>
      <c r="N3914">
        <v>0</v>
      </c>
      <c r="O3914">
        <v>0</v>
      </c>
      <c r="P3914">
        <v>0</v>
      </c>
      <c r="Q3914">
        <v>0</v>
      </c>
      <c r="R3914">
        <v>0</v>
      </c>
      <c r="S3914">
        <v>0</v>
      </c>
      <c r="T3914">
        <v>0</v>
      </c>
      <c r="U3914">
        <v>0</v>
      </c>
      <c r="V3914">
        <v>0</v>
      </c>
      <c r="W3914">
        <v>0</v>
      </c>
      <c r="X3914">
        <v>0</v>
      </c>
      <c r="Y3914" t="s">
        <v>51</v>
      </c>
      <c r="Z3914">
        <v>75</v>
      </c>
      <c r="AA3914">
        <v>0</v>
      </c>
    </row>
    <row r="3915" spans="1:27" x14ac:dyDescent="0.2">
      <c r="A3915" t="s">
        <v>4824</v>
      </c>
      <c r="B3915">
        <v>2019</v>
      </c>
      <c r="C3915" t="s">
        <v>4944</v>
      </c>
      <c r="D3915" t="s">
        <v>4945</v>
      </c>
      <c r="E3915" t="s">
        <v>29</v>
      </c>
      <c r="F3915" t="s">
        <v>30</v>
      </c>
      <c r="G3915">
        <v>0</v>
      </c>
      <c r="H3915">
        <v>0</v>
      </c>
      <c r="I3915">
        <v>1</v>
      </c>
      <c r="J3915">
        <v>0</v>
      </c>
      <c r="K3915">
        <v>0</v>
      </c>
      <c r="L3915">
        <v>0</v>
      </c>
      <c r="M3915">
        <v>0</v>
      </c>
      <c r="N3915">
        <v>0</v>
      </c>
      <c r="O3915">
        <v>0</v>
      </c>
      <c r="P3915">
        <v>0</v>
      </c>
      <c r="Q3915">
        <v>0</v>
      </c>
      <c r="R3915">
        <v>0</v>
      </c>
      <c r="S3915">
        <v>0</v>
      </c>
      <c r="T3915">
        <v>0</v>
      </c>
      <c r="U3915">
        <v>0</v>
      </c>
      <c r="V3915">
        <v>0</v>
      </c>
      <c r="W3915">
        <v>0</v>
      </c>
      <c r="X3915">
        <v>0</v>
      </c>
      <c r="Y3915" t="s">
        <v>51</v>
      </c>
      <c r="Z3915">
        <v>55</v>
      </c>
      <c r="AA3915">
        <v>0</v>
      </c>
    </row>
    <row r="3916" spans="1:27" x14ac:dyDescent="0.2">
      <c r="A3916" t="s">
        <v>1116</v>
      </c>
      <c r="B3916">
        <v>2019</v>
      </c>
      <c r="C3916" t="s">
        <v>3093</v>
      </c>
      <c r="D3916" t="s">
        <v>4946</v>
      </c>
      <c r="E3916" t="s">
        <v>29</v>
      </c>
      <c r="F3916" t="s">
        <v>30</v>
      </c>
      <c r="G3916">
        <v>0</v>
      </c>
      <c r="H3916">
        <v>0</v>
      </c>
      <c r="I3916">
        <v>0</v>
      </c>
      <c r="J3916">
        <v>0</v>
      </c>
      <c r="K3916">
        <v>0</v>
      </c>
      <c r="L3916">
        <v>0</v>
      </c>
      <c r="M3916">
        <v>0</v>
      </c>
      <c r="N3916">
        <v>0</v>
      </c>
      <c r="O3916">
        <v>0</v>
      </c>
      <c r="P3916">
        <v>0</v>
      </c>
      <c r="Q3916">
        <v>0</v>
      </c>
      <c r="R3916">
        <v>0</v>
      </c>
      <c r="S3916">
        <v>4</v>
      </c>
      <c r="T3916">
        <v>0</v>
      </c>
      <c r="U3916">
        <v>4</v>
      </c>
      <c r="V3916">
        <v>0</v>
      </c>
      <c r="W3916">
        <v>0</v>
      </c>
      <c r="X3916">
        <v>0</v>
      </c>
      <c r="Y3916" t="s">
        <v>31</v>
      </c>
      <c r="AA3916">
        <v>0</v>
      </c>
    </row>
    <row r="3917" spans="1:27" x14ac:dyDescent="0.2">
      <c r="A3917" t="s">
        <v>1609</v>
      </c>
      <c r="B3917">
        <v>2019</v>
      </c>
      <c r="C3917" t="s">
        <v>3142</v>
      </c>
      <c r="D3917" t="s">
        <v>3143</v>
      </c>
      <c r="E3917" t="s">
        <v>29</v>
      </c>
      <c r="F3917" t="s">
        <v>41</v>
      </c>
      <c r="G3917">
        <v>0</v>
      </c>
      <c r="H3917">
        <v>0</v>
      </c>
      <c r="I3917">
        <v>0</v>
      </c>
      <c r="J3917">
        <v>0</v>
      </c>
      <c r="K3917">
        <v>0</v>
      </c>
      <c r="L3917">
        <v>0</v>
      </c>
      <c r="M3917">
        <v>0</v>
      </c>
      <c r="N3917">
        <v>0</v>
      </c>
      <c r="O3917">
        <v>1</v>
      </c>
      <c r="P3917">
        <v>0</v>
      </c>
      <c r="Q3917">
        <v>1</v>
      </c>
      <c r="R3917">
        <v>0</v>
      </c>
      <c r="S3917">
        <v>0</v>
      </c>
      <c r="T3917">
        <v>0</v>
      </c>
      <c r="U3917">
        <v>0</v>
      </c>
      <c r="V3917">
        <v>0</v>
      </c>
      <c r="W3917">
        <v>0</v>
      </c>
      <c r="X3917">
        <v>0</v>
      </c>
      <c r="Y3917" t="s">
        <v>51</v>
      </c>
      <c r="AA3917">
        <v>0</v>
      </c>
    </row>
    <row r="3918" spans="1:27" x14ac:dyDescent="0.2">
      <c r="A3918" t="s">
        <v>1247</v>
      </c>
      <c r="B3918">
        <v>2019</v>
      </c>
      <c r="C3918">
        <v>10121025</v>
      </c>
      <c r="D3918" t="s">
        <v>1953</v>
      </c>
      <c r="E3918" t="s">
        <v>29</v>
      </c>
      <c r="F3918" t="s">
        <v>30</v>
      </c>
      <c r="G3918">
        <v>0</v>
      </c>
      <c r="H3918">
        <v>0</v>
      </c>
      <c r="I3918">
        <v>54</v>
      </c>
      <c r="J3918">
        <v>0</v>
      </c>
      <c r="K3918">
        <v>0</v>
      </c>
      <c r="L3918">
        <v>0</v>
      </c>
      <c r="M3918">
        <v>0</v>
      </c>
      <c r="N3918">
        <v>0</v>
      </c>
      <c r="O3918">
        <v>0</v>
      </c>
      <c r="P3918">
        <v>0</v>
      </c>
      <c r="Q3918">
        <v>0</v>
      </c>
      <c r="R3918">
        <v>0</v>
      </c>
      <c r="S3918">
        <v>0</v>
      </c>
      <c r="T3918">
        <v>0</v>
      </c>
      <c r="U3918">
        <v>0</v>
      </c>
      <c r="V3918">
        <v>0</v>
      </c>
      <c r="W3918">
        <v>0</v>
      </c>
      <c r="X3918">
        <v>0</v>
      </c>
      <c r="Y3918" t="s">
        <v>51</v>
      </c>
      <c r="Z3918">
        <v>55</v>
      </c>
      <c r="AA3918">
        <v>0</v>
      </c>
    </row>
    <row r="3919" spans="1:27" x14ac:dyDescent="0.2">
      <c r="A3919" t="s">
        <v>406</v>
      </c>
      <c r="B3919">
        <v>2023</v>
      </c>
      <c r="C3919" t="s">
        <v>686</v>
      </c>
      <c r="D3919" t="s">
        <v>687</v>
      </c>
      <c r="E3919" t="s">
        <v>29</v>
      </c>
      <c r="F3919" t="s">
        <v>41</v>
      </c>
      <c r="G3919">
        <v>0</v>
      </c>
      <c r="H3919">
        <v>0</v>
      </c>
      <c r="I3919">
        <v>0</v>
      </c>
      <c r="J3919">
        <v>0</v>
      </c>
      <c r="K3919">
        <v>18</v>
      </c>
      <c r="L3919">
        <v>0</v>
      </c>
      <c r="M3919">
        <v>0</v>
      </c>
      <c r="N3919">
        <v>0</v>
      </c>
      <c r="O3919">
        <v>0</v>
      </c>
      <c r="P3919">
        <v>0</v>
      </c>
      <c r="Q3919">
        <v>0</v>
      </c>
      <c r="R3919">
        <v>0</v>
      </c>
      <c r="S3919">
        <v>0</v>
      </c>
      <c r="T3919">
        <v>0</v>
      </c>
      <c r="U3919">
        <v>0</v>
      </c>
      <c r="V3919">
        <v>0</v>
      </c>
      <c r="W3919">
        <v>0</v>
      </c>
      <c r="X3919">
        <v>0</v>
      </c>
      <c r="Y3919" t="s">
        <v>31</v>
      </c>
      <c r="AA3919">
        <v>0</v>
      </c>
    </row>
    <row r="3920" spans="1:27" x14ac:dyDescent="0.2">
      <c r="A3920" t="s">
        <v>524</v>
      </c>
      <c r="B3920">
        <v>2021</v>
      </c>
      <c r="C3920" t="s">
        <v>4947</v>
      </c>
      <c r="D3920" t="s">
        <v>4948</v>
      </c>
      <c r="E3920" t="s">
        <v>29</v>
      </c>
      <c r="F3920" t="s">
        <v>30</v>
      </c>
      <c r="G3920">
        <v>7</v>
      </c>
      <c r="H3920">
        <v>0</v>
      </c>
      <c r="I3920">
        <v>23</v>
      </c>
      <c r="J3920">
        <v>0</v>
      </c>
      <c r="K3920">
        <v>37</v>
      </c>
      <c r="L3920">
        <v>0</v>
      </c>
      <c r="M3920">
        <v>0</v>
      </c>
      <c r="N3920">
        <v>0</v>
      </c>
      <c r="O3920">
        <v>0</v>
      </c>
      <c r="P3920">
        <v>0</v>
      </c>
      <c r="Q3920">
        <v>0</v>
      </c>
      <c r="R3920">
        <v>0</v>
      </c>
      <c r="S3920">
        <v>0</v>
      </c>
      <c r="T3920">
        <v>0</v>
      </c>
      <c r="U3920">
        <v>0</v>
      </c>
      <c r="V3920">
        <v>0</v>
      </c>
      <c r="W3920">
        <v>0</v>
      </c>
      <c r="X3920">
        <v>0</v>
      </c>
      <c r="Y3920" t="s">
        <v>51</v>
      </c>
      <c r="Z3920">
        <v>55</v>
      </c>
      <c r="AA3920">
        <v>0</v>
      </c>
    </row>
    <row r="3921" spans="1:27" x14ac:dyDescent="0.2">
      <c r="A3921" t="s">
        <v>1678</v>
      </c>
      <c r="B3921">
        <v>2023</v>
      </c>
      <c r="C3921">
        <v>54012170</v>
      </c>
      <c r="D3921" t="s">
        <v>4949</v>
      </c>
      <c r="E3921" t="s">
        <v>29</v>
      </c>
      <c r="F3921" t="s">
        <v>30</v>
      </c>
      <c r="G3921">
        <v>0</v>
      </c>
      <c r="H3921">
        <v>0</v>
      </c>
      <c r="I3921">
        <v>0</v>
      </c>
      <c r="J3921">
        <v>0</v>
      </c>
      <c r="K3921">
        <v>0</v>
      </c>
      <c r="L3921">
        <v>0</v>
      </c>
      <c r="M3921">
        <v>0</v>
      </c>
      <c r="N3921">
        <v>0</v>
      </c>
      <c r="O3921">
        <v>0</v>
      </c>
      <c r="P3921">
        <v>0</v>
      </c>
      <c r="Q3921">
        <v>0</v>
      </c>
      <c r="R3921">
        <v>0</v>
      </c>
      <c r="S3921">
        <v>0</v>
      </c>
      <c r="T3921">
        <v>0</v>
      </c>
      <c r="U3921">
        <v>0</v>
      </c>
      <c r="V3921">
        <v>0</v>
      </c>
      <c r="W3921">
        <v>0</v>
      </c>
      <c r="X3921">
        <v>0</v>
      </c>
      <c r="Y3921" t="s">
        <v>51</v>
      </c>
      <c r="AA3921">
        <v>0</v>
      </c>
    </row>
    <row r="3922" spans="1:27" x14ac:dyDescent="0.2">
      <c r="A3922" t="s">
        <v>227</v>
      </c>
      <c r="B3922">
        <v>2020</v>
      </c>
      <c r="C3922">
        <v>233032021</v>
      </c>
      <c r="D3922" t="s">
        <v>4950</v>
      </c>
      <c r="E3922" t="s">
        <v>29</v>
      </c>
      <c r="F3922" t="s">
        <v>41</v>
      </c>
      <c r="G3922">
        <v>0</v>
      </c>
      <c r="H3922">
        <v>0</v>
      </c>
      <c r="I3922">
        <v>0</v>
      </c>
      <c r="J3922">
        <v>0</v>
      </c>
      <c r="K3922">
        <v>0</v>
      </c>
      <c r="L3922">
        <v>0</v>
      </c>
      <c r="M3922">
        <v>0</v>
      </c>
      <c r="N3922">
        <v>0</v>
      </c>
      <c r="O3922">
        <v>0</v>
      </c>
      <c r="P3922">
        <v>0</v>
      </c>
      <c r="Q3922">
        <v>2</v>
      </c>
      <c r="R3922">
        <v>0</v>
      </c>
      <c r="S3922">
        <v>0</v>
      </c>
      <c r="T3922">
        <v>0</v>
      </c>
      <c r="U3922">
        <v>0</v>
      </c>
      <c r="V3922">
        <v>0</v>
      </c>
      <c r="W3922">
        <v>0</v>
      </c>
      <c r="X3922">
        <v>0</v>
      </c>
      <c r="Y3922" t="s">
        <v>51</v>
      </c>
      <c r="Z3922">
        <v>45</v>
      </c>
      <c r="AA3922">
        <v>0</v>
      </c>
    </row>
    <row r="3923" spans="1:27" x14ac:dyDescent="0.2">
      <c r="A3923" t="s">
        <v>88</v>
      </c>
      <c r="B3923">
        <v>2018</v>
      </c>
      <c r="C3923" t="s">
        <v>4951</v>
      </c>
      <c r="D3923" t="s">
        <v>4952</v>
      </c>
      <c r="E3923" t="s">
        <v>29</v>
      </c>
      <c r="F3923" t="s">
        <v>41</v>
      </c>
      <c r="G3923">
        <v>0</v>
      </c>
      <c r="H3923">
        <v>0</v>
      </c>
      <c r="I3923">
        <v>0</v>
      </c>
      <c r="J3923">
        <v>0</v>
      </c>
      <c r="K3923">
        <v>0</v>
      </c>
      <c r="L3923">
        <v>0</v>
      </c>
      <c r="M3923">
        <v>0</v>
      </c>
      <c r="N3923">
        <v>0</v>
      </c>
      <c r="O3923">
        <v>0</v>
      </c>
      <c r="P3923">
        <v>0</v>
      </c>
      <c r="Q3923">
        <v>0</v>
      </c>
      <c r="R3923">
        <v>0</v>
      </c>
      <c r="S3923">
        <v>0</v>
      </c>
      <c r="T3923">
        <v>0</v>
      </c>
      <c r="U3923">
        <v>0</v>
      </c>
      <c r="V3923">
        <v>0</v>
      </c>
      <c r="W3923">
        <v>1</v>
      </c>
      <c r="X3923">
        <v>0</v>
      </c>
      <c r="Y3923" t="s">
        <v>31</v>
      </c>
      <c r="Z3923">
        <v>20</v>
      </c>
      <c r="AA3923">
        <v>0</v>
      </c>
    </row>
    <row r="3924" spans="1:27" x14ac:dyDescent="0.2">
      <c r="A3924" t="s">
        <v>1285</v>
      </c>
      <c r="B3924">
        <v>2019</v>
      </c>
      <c r="C3924" t="s">
        <v>3013</v>
      </c>
      <c r="D3924" t="s">
        <v>3014</v>
      </c>
      <c r="E3924" t="s">
        <v>29</v>
      </c>
      <c r="F3924" t="s">
        <v>30</v>
      </c>
      <c r="G3924">
        <v>49</v>
      </c>
      <c r="H3924">
        <v>0</v>
      </c>
      <c r="I3924">
        <v>34</v>
      </c>
      <c r="J3924">
        <v>0</v>
      </c>
      <c r="K3924">
        <v>0</v>
      </c>
      <c r="L3924">
        <v>0</v>
      </c>
      <c r="M3924">
        <v>0</v>
      </c>
      <c r="N3924">
        <v>0</v>
      </c>
      <c r="O3924">
        <v>0</v>
      </c>
      <c r="P3924">
        <v>0</v>
      </c>
      <c r="Q3924">
        <v>0</v>
      </c>
      <c r="R3924">
        <v>0</v>
      </c>
      <c r="S3924">
        <v>0</v>
      </c>
      <c r="T3924">
        <v>0</v>
      </c>
      <c r="U3924">
        <v>0</v>
      </c>
      <c r="V3924">
        <v>0</v>
      </c>
      <c r="W3924">
        <v>0</v>
      </c>
      <c r="X3924">
        <v>0</v>
      </c>
      <c r="Y3924" t="s">
        <v>51</v>
      </c>
      <c r="Z3924">
        <v>55</v>
      </c>
      <c r="AA3924">
        <v>0</v>
      </c>
    </row>
    <row r="3925" spans="1:27" x14ac:dyDescent="0.2">
      <c r="A3925" t="s">
        <v>409</v>
      </c>
      <c r="B3925">
        <v>2019</v>
      </c>
      <c r="C3925" s="2" t="s">
        <v>790</v>
      </c>
      <c r="D3925" t="s">
        <v>4953</v>
      </c>
      <c r="E3925" t="s">
        <v>29</v>
      </c>
      <c r="F3925" t="s">
        <v>30</v>
      </c>
      <c r="G3925">
        <v>4</v>
      </c>
      <c r="H3925">
        <v>6</v>
      </c>
      <c r="I3925">
        <v>0</v>
      </c>
      <c r="J3925">
        <v>0</v>
      </c>
      <c r="K3925">
        <v>0</v>
      </c>
      <c r="L3925">
        <v>0</v>
      </c>
      <c r="M3925">
        <v>0</v>
      </c>
      <c r="N3925">
        <v>0</v>
      </c>
      <c r="O3925">
        <v>0</v>
      </c>
      <c r="P3925">
        <v>0</v>
      </c>
      <c r="Q3925">
        <v>0</v>
      </c>
      <c r="R3925">
        <v>0</v>
      </c>
      <c r="S3925">
        <v>0</v>
      </c>
      <c r="T3925">
        <v>0</v>
      </c>
      <c r="U3925">
        <v>0</v>
      </c>
      <c r="V3925">
        <v>0</v>
      </c>
      <c r="W3925">
        <v>0</v>
      </c>
      <c r="X3925">
        <v>0</v>
      </c>
      <c r="Y3925" t="s">
        <v>31</v>
      </c>
      <c r="Z3925">
        <v>55</v>
      </c>
      <c r="AA3925">
        <v>0</v>
      </c>
    </row>
    <row r="3926" spans="1:27" x14ac:dyDescent="0.2">
      <c r="A3926" t="s">
        <v>1802</v>
      </c>
      <c r="B3926">
        <v>2019</v>
      </c>
      <c r="C3926" t="s">
        <v>4954</v>
      </c>
      <c r="D3926" t="s">
        <v>4955</v>
      </c>
      <c r="E3926" t="s">
        <v>29</v>
      </c>
      <c r="F3926" t="s">
        <v>30</v>
      </c>
      <c r="G3926">
        <v>0</v>
      </c>
      <c r="H3926">
        <v>0</v>
      </c>
      <c r="I3926">
        <v>0</v>
      </c>
      <c r="J3926">
        <v>0</v>
      </c>
      <c r="K3926">
        <v>0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0</v>
      </c>
      <c r="R3926">
        <v>0</v>
      </c>
      <c r="S3926">
        <v>2</v>
      </c>
      <c r="T3926">
        <v>0</v>
      </c>
      <c r="U3926">
        <v>0</v>
      </c>
      <c r="V3926">
        <v>0</v>
      </c>
      <c r="W3926">
        <v>0</v>
      </c>
      <c r="X3926">
        <v>0</v>
      </c>
      <c r="Y3926" t="s">
        <v>51</v>
      </c>
      <c r="Z3926">
        <v>55</v>
      </c>
      <c r="AA3926">
        <v>0</v>
      </c>
    </row>
    <row r="3927" spans="1:27" x14ac:dyDescent="0.2">
      <c r="A3927" t="s">
        <v>894</v>
      </c>
      <c r="B3927">
        <v>2022</v>
      </c>
      <c r="C3927" t="s">
        <v>4956</v>
      </c>
      <c r="D3927" t="s">
        <v>4957</v>
      </c>
      <c r="E3927" t="s">
        <v>29</v>
      </c>
      <c r="F3927" t="s">
        <v>30</v>
      </c>
      <c r="G3927">
        <v>0</v>
      </c>
      <c r="H3927">
        <v>0</v>
      </c>
      <c r="I3927">
        <v>0</v>
      </c>
      <c r="J3927">
        <v>0</v>
      </c>
      <c r="K3927">
        <v>0</v>
      </c>
      <c r="L3927">
        <v>0</v>
      </c>
      <c r="M3927">
        <v>7</v>
      </c>
      <c r="N3927">
        <v>0</v>
      </c>
      <c r="O3927">
        <v>0</v>
      </c>
      <c r="P3927">
        <v>0</v>
      </c>
      <c r="Q3927">
        <v>0</v>
      </c>
      <c r="R3927">
        <v>0</v>
      </c>
      <c r="S3927">
        <v>0</v>
      </c>
      <c r="T3927">
        <v>0</v>
      </c>
      <c r="U3927">
        <v>0</v>
      </c>
      <c r="V3927">
        <v>0</v>
      </c>
      <c r="W3927">
        <v>0</v>
      </c>
      <c r="X3927">
        <v>0</v>
      </c>
      <c r="Y3927" t="s">
        <v>31</v>
      </c>
      <c r="Z3927">
        <v>1000</v>
      </c>
      <c r="AA3927">
        <v>20</v>
      </c>
    </row>
    <row r="3928" spans="1:27" x14ac:dyDescent="0.2">
      <c r="A3928" t="s">
        <v>622</v>
      </c>
      <c r="B3928">
        <v>2020</v>
      </c>
      <c r="C3928" t="s">
        <v>623</v>
      </c>
      <c r="D3928" t="s">
        <v>908</v>
      </c>
      <c r="E3928" t="s">
        <v>29</v>
      </c>
      <c r="F3928" t="s">
        <v>30</v>
      </c>
      <c r="G3928">
        <v>0</v>
      </c>
      <c r="H3928">
        <v>0</v>
      </c>
      <c r="I3928">
        <v>0</v>
      </c>
      <c r="J3928">
        <v>0</v>
      </c>
      <c r="K3928">
        <v>0</v>
      </c>
      <c r="L3928">
        <v>0</v>
      </c>
      <c r="M3928">
        <v>10</v>
      </c>
      <c r="N3928">
        <v>0</v>
      </c>
      <c r="O3928">
        <v>0</v>
      </c>
      <c r="P3928">
        <v>0</v>
      </c>
      <c r="Q3928">
        <v>0</v>
      </c>
      <c r="R3928">
        <v>0</v>
      </c>
      <c r="S3928">
        <v>0</v>
      </c>
      <c r="T3928">
        <v>0</v>
      </c>
      <c r="U3928">
        <v>0</v>
      </c>
      <c r="V3928">
        <v>0</v>
      </c>
      <c r="W3928">
        <v>0</v>
      </c>
      <c r="X3928">
        <v>0</v>
      </c>
      <c r="Y3928" t="s">
        <v>51</v>
      </c>
      <c r="Z3928">
        <v>55</v>
      </c>
      <c r="AA3928">
        <v>0</v>
      </c>
    </row>
    <row r="3929" spans="1:27" x14ac:dyDescent="0.2">
      <c r="A3929" t="s">
        <v>670</v>
      </c>
      <c r="B3929">
        <v>2020</v>
      </c>
      <c r="C3929" t="s">
        <v>4958</v>
      </c>
      <c r="D3929" t="s">
        <v>4959</v>
      </c>
      <c r="E3929" t="s">
        <v>29</v>
      </c>
      <c r="F3929" t="s">
        <v>30</v>
      </c>
      <c r="G3929">
        <v>41</v>
      </c>
      <c r="H3929">
        <v>0</v>
      </c>
      <c r="I3929">
        <v>0</v>
      </c>
      <c r="J3929">
        <v>0</v>
      </c>
      <c r="K3929">
        <v>0</v>
      </c>
      <c r="L3929">
        <v>0</v>
      </c>
      <c r="M3929">
        <v>41</v>
      </c>
      <c r="N3929">
        <v>0</v>
      </c>
      <c r="O3929">
        <v>0</v>
      </c>
      <c r="P3929">
        <v>0</v>
      </c>
      <c r="Q3929">
        <v>0</v>
      </c>
      <c r="R3929">
        <v>0</v>
      </c>
      <c r="S3929">
        <v>0</v>
      </c>
      <c r="T3929">
        <v>0</v>
      </c>
      <c r="U3929">
        <v>0</v>
      </c>
      <c r="V3929">
        <v>0</v>
      </c>
      <c r="W3929">
        <v>0</v>
      </c>
      <c r="X3929">
        <v>0</v>
      </c>
      <c r="Y3929" t="s">
        <v>31</v>
      </c>
      <c r="Z3929">
        <v>55</v>
      </c>
      <c r="AA3929">
        <v>0</v>
      </c>
    </row>
    <row r="3930" spans="1:27" x14ac:dyDescent="0.2">
      <c r="A3930" t="s">
        <v>227</v>
      </c>
      <c r="B3930">
        <v>2020</v>
      </c>
      <c r="C3930" t="s">
        <v>4960</v>
      </c>
      <c r="D3930" t="s">
        <v>4961</v>
      </c>
      <c r="E3930" t="s">
        <v>29</v>
      </c>
      <c r="F3930" t="s">
        <v>41</v>
      </c>
      <c r="G3930">
        <v>0</v>
      </c>
      <c r="H3930">
        <v>0</v>
      </c>
      <c r="I3930">
        <v>0</v>
      </c>
      <c r="J3930">
        <v>0</v>
      </c>
      <c r="K3930">
        <v>2</v>
      </c>
      <c r="L3930">
        <v>0</v>
      </c>
      <c r="M3930">
        <v>0</v>
      </c>
      <c r="N3930">
        <v>0</v>
      </c>
      <c r="O3930">
        <v>0</v>
      </c>
      <c r="P3930">
        <v>0</v>
      </c>
      <c r="Q3930">
        <v>0</v>
      </c>
      <c r="R3930">
        <v>0</v>
      </c>
      <c r="S3930">
        <v>0</v>
      </c>
      <c r="T3930">
        <v>0</v>
      </c>
      <c r="U3930">
        <v>0</v>
      </c>
      <c r="V3930">
        <v>0</v>
      </c>
      <c r="W3930">
        <v>0</v>
      </c>
      <c r="X3930">
        <v>0</v>
      </c>
      <c r="Y3930" t="s">
        <v>31</v>
      </c>
      <c r="Z3930">
        <v>45</v>
      </c>
      <c r="AA3930">
        <v>0</v>
      </c>
    </row>
    <row r="3931" spans="1:27" x14ac:dyDescent="0.2">
      <c r="A3931" t="s">
        <v>3068</v>
      </c>
      <c r="B3931">
        <v>2020</v>
      </c>
      <c r="C3931" t="s">
        <v>3069</v>
      </c>
      <c r="D3931" t="s">
        <v>4962</v>
      </c>
      <c r="E3931" t="s">
        <v>29</v>
      </c>
      <c r="F3931" t="s">
        <v>30</v>
      </c>
      <c r="G3931">
        <v>0</v>
      </c>
      <c r="H3931">
        <v>0</v>
      </c>
      <c r="I3931">
        <v>0</v>
      </c>
      <c r="J3931">
        <v>0</v>
      </c>
      <c r="K3931">
        <v>0</v>
      </c>
      <c r="L3931">
        <v>0</v>
      </c>
      <c r="M3931">
        <v>11</v>
      </c>
      <c r="N3931">
        <v>0</v>
      </c>
      <c r="O3931">
        <v>0</v>
      </c>
      <c r="P3931">
        <v>0</v>
      </c>
      <c r="Q3931">
        <v>0</v>
      </c>
      <c r="R3931">
        <v>0</v>
      </c>
      <c r="S3931">
        <v>0</v>
      </c>
      <c r="T3931">
        <v>0</v>
      </c>
      <c r="U3931">
        <v>0</v>
      </c>
      <c r="V3931">
        <v>0</v>
      </c>
      <c r="W3931">
        <v>0</v>
      </c>
      <c r="X3931">
        <v>0</v>
      </c>
      <c r="Y3931" t="s">
        <v>31</v>
      </c>
      <c r="Z3931">
        <v>55</v>
      </c>
      <c r="AA3931">
        <v>0</v>
      </c>
    </row>
    <row r="3932" spans="1:27" x14ac:dyDescent="0.2">
      <c r="A3932" t="s">
        <v>406</v>
      </c>
      <c r="B3932">
        <v>2020</v>
      </c>
      <c r="C3932" t="s">
        <v>4906</v>
      </c>
      <c r="D3932" t="s">
        <v>4963</v>
      </c>
      <c r="E3932" t="s">
        <v>29</v>
      </c>
      <c r="F3932" t="s">
        <v>30</v>
      </c>
      <c r="G3932">
        <v>0</v>
      </c>
      <c r="H3932">
        <v>0</v>
      </c>
      <c r="I3932">
        <v>0</v>
      </c>
      <c r="J3932">
        <v>0</v>
      </c>
      <c r="K3932">
        <v>0</v>
      </c>
      <c r="L3932">
        <v>0</v>
      </c>
      <c r="M3932">
        <v>0</v>
      </c>
      <c r="N3932">
        <v>0</v>
      </c>
      <c r="O3932">
        <v>0</v>
      </c>
      <c r="P3932">
        <v>0</v>
      </c>
      <c r="Q3932">
        <v>0</v>
      </c>
      <c r="R3932">
        <v>0</v>
      </c>
      <c r="S3932">
        <v>6</v>
      </c>
      <c r="T3932">
        <v>0</v>
      </c>
      <c r="U3932">
        <v>0</v>
      </c>
      <c r="V3932">
        <v>0</v>
      </c>
      <c r="W3932">
        <v>0</v>
      </c>
      <c r="X3932">
        <v>0</v>
      </c>
      <c r="Y3932" t="s">
        <v>51</v>
      </c>
      <c r="AA3932">
        <v>0</v>
      </c>
    </row>
    <row r="3933" spans="1:27" x14ac:dyDescent="0.2">
      <c r="A3933" t="s">
        <v>271</v>
      </c>
      <c r="B3933">
        <v>2022</v>
      </c>
      <c r="C3933">
        <v>8636036</v>
      </c>
      <c r="D3933" t="s">
        <v>393</v>
      </c>
      <c r="E3933" t="s">
        <v>29</v>
      </c>
      <c r="F3933" t="s">
        <v>30</v>
      </c>
      <c r="G3933">
        <v>0</v>
      </c>
      <c r="H3933">
        <v>0</v>
      </c>
      <c r="I3933">
        <v>0</v>
      </c>
      <c r="J3933">
        <v>0</v>
      </c>
      <c r="K3933">
        <v>0</v>
      </c>
      <c r="L3933">
        <v>0</v>
      </c>
      <c r="M3933">
        <v>0</v>
      </c>
      <c r="N3933">
        <v>0</v>
      </c>
      <c r="O3933">
        <v>51</v>
      </c>
      <c r="P3933">
        <v>0</v>
      </c>
      <c r="Q3933">
        <v>34</v>
      </c>
      <c r="R3933">
        <v>0</v>
      </c>
      <c r="S3933">
        <v>0</v>
      </c>
      <c r="T3933">
        <v>0</v>
      </c>
      <c r="U3933">
        <v>0</v>
      </c>
      <c r="V3933">
        <v>0</v>
      </c>
      <c r="W3933">
        <v>0</v>
      </c>
      <c r="X3933">
        <v>0</v>
      </c>
      <c r="Y3933" t="s">
        <v>31</v>
      </c>
      <c r="Z3933">
        <v>55</v>
      </c>
      <c r="AA3933">
        <v>27</v>
      </c>
    </row>
    <row r="3934" spans="1:27" x14ac:dyDescent="0.2">
      <c r="A3934" t="s">
        <v>271</v>
      </c>
      <c r="B3934">
        <v>2022</v>
      </c>
      <c r="C3934">
        <v>2606009</v>
      </c>
      <c r="D3934" t="s">
        <v>4964</v>
      </c>
      <c r="E3934" t="s">
        <v>29</v>
      </c>
      <c r="F3934" t="s">
        <v>30</v>
      </c>
      <c r="G3934">
        <v>0</v>
      </c>
      <c r="H3934">
        <v>0</v>
      </c>
      <c r="I3934">
        <v>0</v>
      </c>
      <c r="J3934">
        <v>0</v>
      </c>
      <c r="K3934">
        <v>0</v>
      </c>
      <c r="L3934">
        <v>0</v>
      </c>
      <c r="M3934">
        <v>7</v>
      </c>
      <c r="N3934">
        <v>0</v>
      </c>
      <c r="O3934">
        <v>0</v>
      </c>
      <c r="P3934">
        <v>0</v>
      </c>
      <c r="Q3934">
        <v>0</v>
      </c>
      <c r="R3934">
        <v>0</v>
      </c>
      <c r="S3934">
        <v>0</v>
      </c>
      <c r="T3934">
        <v>0</v>
      </c>
      <c r="U3934">
        <v>0</v>
      </c>
      <c r="V3934">
        <v>0</v>
      </c>
      <c r="W3934">
        <v>0</v>
      </c>
      <c r="X3934">
        <v>0</v>
      </c>
      <c r="Y3934" t="s">
        <v>51</v>
      </c>
      <c r="Z3934">
        <v>55</v>
      </c>
      <c r="AA3934">
        <v>0</v>
      </c>
    </row>
    <row r="3935" spans="1:27" x14ac:dyDescent="0.2">
      <c r="A3935" t="s">
        <v>2287</v>
      </c>
      <c r="B3935">
        <v>2020</v>
      </c>
      <c r="C3935" t="s">
        <v>4965</v>
      </c>
      <c r="D3935" t="s">
        <v>4966</v>
      </c>
      <c r="E3935" t="s">
        <v>29</v>
      </c>
      <c r="F3935" t="s">
        <v>30</v>
      </c>
      <c r="G3935">
        <v>0</v>
      </c>
      <c r="H3935">
        <v>0</v>
      </c>
      <c r="I3935">
        <v>0</v>
      </c>
      <c r="J3935">
        <v>0</v>
      </c>
      <c r="K3935">
        <v>0</v>
      </c>
      <c r="L3935">
        <v>0</v>
      </c>
      <c r="M3935">
        <v>2</v>
      </c>
      <c r="N3935">
        <v>0</v>
      </c>
      <c r="O3935">
        <v>2</v>
      </c>
      <c r="P3935">
        <v>0</v>
      </c>
      <c r="Q3935">
        <v>10</v>
      </c>
      <c r="R3935">
        <v>0</v>
      </c>
      <c r="S3935">
        <v>0</v>
      </c>
      <c r="T3935">
        <v>0</v>
      </c>
      <c r="U3935">
        <v>0</v>
      </c>
      <c r="V3935">
        <v>0</v>
      </c>
      <c r="W3935">
        <v>0</v>
      </c>
      <c r="X3935">
        <v>0</v>
      </c>
      <c r="Y3935" t="s">
        <v>51</v>
      </c>
      <c r="AA3935">
        <v>0</v>
      </c>
    </row>
    <row r="3936" spans="1:27" x14ac:dyDescent="0.2">
      <c r="A3936" t="s">
        <v>1500</v>
      </c>
      <c r="B3936">
        <v>2024</v>
      </c>
      <c r="C3936">
        <v>4071019035</v>
      </c>
      <c r="D3936" t="s">
        <v>2248</v>
      </c>
      <c r="E3936" t="s">
        <v>29</v>
      </c>
      <c r="F3936" t="s">
        <v>30</v>
      </c>
      <c r="G3936">
        <v>0</v>
      </c>
      <c r="H3936">
        <v>0</v>
      </c>
      <c r="I3936">
        <v>31</v>
      </c>
      <c r="J3936">
        <v>0</v>
      </c>
      <c r="K3936">
        <v>0</v>
      </c>
      <c r="L3936">
        <v>0</v>
      </c>
      <c r="M3936">
        <v>0</v>
      </c>
      <c r="N3936">
        <v>0</v>
      </c>
      <c r="O3936">
        <v>0</v>
      </c>
      <c r="P3936">
        <v>0</v>
      </c>
      <c r="Q3936">
        <v>0</v>
      </c>
      <c r="R3936">
        <v>0</v>
      </c>
      <c r="S3936">
        <v>0</v>
      </c>
      <c r="T3936">
        <v>0</v>
      </c>
      <c r="U3936">
        <v>0</v>
      </c>
      <c r="V3936">
        <v>0</v>
      </c>
      <c r="W3936">
        <v>0</v>
      </c>
      <c r="X3936">
        <v>0</v>
      </c>
      <c r="Y3936" t="s">
        <v>31</v>
      </c>
      <c r="Z3936">
        <v>55</v>
      </c>
      <c r="AA3936" s="2" t="s">
        <v>3553</v>
      </c>
    </row>
    <row r="3937" spans="1:27" x14ac:dyDescent="0.2">
      <c r="A3937" t="s">
        <v>1500</v>
      </c>
      <c r="B3937">
        <v>2024</v>
      </c>
      <c r="C3937">
        <v>6077011036</v>
      </c>
      <c r="D3937" t="s">
        <v>2252</v>
      </c>
      <c r="E3937" t="s">
        <v>29</v>
      </c>
      <c r="F3937" t="s">
        <v>30</v>
      </c>
      <c r="G3937">
        <v>4</v>
      </c>
      <c r="H3937">
        <v>0</v>
      </c>
      <c r="I3937">
        <v>0</v>
      </c>
      <c r="J3937">
        <v>0</v>
      </c>
      <c r="K3937">
        <v>0</v>
      </c>
      <c r="L3937">
        <v>0</v>
      </c>
      <c r="M3937">
        <v>0</v>
      </c>
      <c r="N3937">
        <v>0</v>
      </c>
      <c r="O3937">
        <v>0</v>
      </c>
      <c r="P3937">
        <v>0</v>
      </c>
      <c r="Q3937">
        <v>0</v>
      </c>
      <c r="R3937">
        <v>0</v>
      </c>
      <c r="S3937">
        <v>0</v>
      </c>
      <c r="T3937">
        <v>0</v>
      </c>
      <c r="U3937">
        <v>0</v>
      </c>
      <c r="V3937">
        <v>0</v>
      </c>
      <c r="W3937">
        <v>0</v>
      </c>
      <c r="X3937">
        <v>0</v>
      </c>
      <c r="Y3937" t="s">
        <v>31</v>
      </c>
      <c r="Z3937">
        <v>55</v>
      </c>
      <c r="AA3937" s="2" t="s">
        <v>4967</v>
      </c>
    </row>
    <row r="3938" spans="1:27" x14ac:dyDescent="0.2">
      <c r="A3938" t="s">
        <v>928</v>
      </c>
      <c r="B3938">
        <v>2023</v>
      </c>
      <c r="C3938" t="s">
        <v>4968</v>
      </c>
      <c r="D3938" t="s">
        <v>4969</v>
      </c>
      <c r="E3938" t="s">
        <v>29</v>
      </c>
      <c r="F3938" t="s">
        <v>41</v>
      </c>
      <c r="G3938">
        <v>0</v>
      </c>
      <c r="H3938">
        <v>0</v>
      </c>
      <c r="I3938">
        <v>0</v>
      </c>
      <c r="J3938">
        <v>0</v>
      </c>
      <c r="K3938">
        <v>0</v>
      </c>
      <c r="L3938">
        <v>0</v>
      </c>
      <c r="M3938">
        <v>1</v>
      </c>
      <c r="N3938">
        <v>0</v>
      </c>
      <c r="O3938">
        <v>0</v>
      </c>
      <c r="P3938">
        <v>0</v>
      </c>
      <c r="Q3938">
        <v>0</v>
      </c>
      <c r="R3938">
        <v>0</v>
      </c>
      <c r="S3938">
        <v>0</v>
      </c>
      <c r="T3938">
        <v>0</v>
      </c>
      <c r="U3938">
        <v>0</v>
      </c>
      <c r="V3938">
        <v>0</v>
      </c>
      <c r="W3938">
        <v>0</v>
      </c>
      <c r="X3938">
        <v>0</v>
      </c>
      <c r="Y3938" t="s">
        <v>51</v>
      </c>
      <c r="Z3938">
        <v>55</v>
      </c>
      <c r="AA3938">
        <v>0</v>
      </c>
    </row>
    <row r="3939" spans="1:27" x14ac:dyDescent="0.2">
      <c r="A3939" t="s">
        <v>318</v>
      </c>
      <c r="B3939">
        <v>2021</v>
      </c>
      <c r="C3939">
        <v>20522034</v>
      </c>
      <c r="D3939" t="s">
        <v>4970</v>
      </c>
      <c r="E3939" t="s">
        <v>29</v>
      </c>
      <c r="F3939" t="s">
        <v>30</v>
      </c>
      <c r="G3939">
        <v>0</v>
      </c>
      <c r="H3939">
        <v>0</v>
      </c>
      <c r="I3939">
        <v>0</v>
      </c>
      <c r="J3939">
        <v>0</v>
      </c>
      <c r="K3939">
        <v>0</v>
      </c>
      <c r="L3939">
        <v>0</v>
      </c>
      <c r="M3939">
        <v>0</v>
      </c>
      <c r="N3939">
        <v>0</v>
      </c>
      <c r="O3939">
        <v>0</v>
      </c>
      <c r="P3939">
        <v>0</v>
      </c>
      <c r="Q3939">
        <v>0</v>
      </c>
      <c r="R3939">
        <v>0</v>
      </c>
      <c r="S3939">
        <v>1</v>
      </c>
      <c r="T3939">
        <v>0</v>
      </c>
      <c r="U3939">
        <v>0</v>
      </c>
      <c r="V3939">
        <v>0</v>
      </c>
      <c r="W3939">
        <v>0</v>
      </c>
      <c r="X3939">
        <v>0</v>
      </c>
      <c r="Y3939" t="s">
        <v>51</v>
      </c>
      <c r="Z3939">
        <v>55</v>
      </c>
      <c r="AA3939">
        <v>0</v>
      </c>
    </row>
    <row r="3940" spans="1:27" x14ac:dyDescent="0.2">
      <c r="A3940" t="s">
        <v>318</v>
      </c>
      <c r="B3940">
        <v>2021</v>
      </c>
      <c r="C3940">
        <v>20522034</v>
      </c>
      <c r="D3940" t="s">
        <v>4971</v>
      </c>
      <c r="E3940" t="s">
        <v>29</v>
      </c>
      <c r="F3940" t="s">
        <v>30</v>
      </c>
      <c r="G3940">
        <v>0</v>
      </c>
      <c r="H3940">
        <v>0</v>
      </c>
      <c r="I3940">
        <v>0</v>
      </c>
      <c r="J3940">
        <v>0</v>
      </c>
      <c r="K3940">
        <v>0</v>
      </c>
      <c r="L3940">
        <v>0</v>
      </c>
      <c r="M3940">
        <v>0</v>
      </c>
      <c r="N3940">
        <v>0</v>
      </c>
      <c r="O3940">
        <v>0</v>
      </c>
      <c r="P3940">
        <v>0</v>
      </c>
      <c r="Q3940">
        <v>0</v>
      </c>
      <c r="R3940">
        <v>0</v>
      </c>
      <c r="S3940">
        <v>1</v>
      </c>
      <c r="T3940">
        <v>0</v>
      </c>
      <c r="U3940">
        <v>0</v>
      </c>
      <c r="V3940">
        <v>0</v>
      </c>
      <c r="W3940">
        <v>0</v>
      </c>
      <c r="X3940">
        <v>0</v>
      </c>
      <c r="Y3940" t="s">
        <v>51</v>
      </c>
      <c r="Z3940">
        <v>55</v>
      </c>
      <c r="AA3940">
        <v>0</v>
      </c>
    </row>
    <row r="3941" spans="1:27" x14ac:dyDescent="0.2">
      <c r="A3941" t="s">
        <v>1309</v>
      </c>
      <c r="B3941">
        <v>2023</v>
      </c>
      <c r="C3941" t="s">
        <v>1310</v>
      </c>
      <c r="E3941" t="s">
        <v>29</v>
      </c>
      <c r="F3941" t="s">
        <v>30</v>
      </c>
      <c r="G3941">
        <v>48</v>
      </c>
      <c r="H3941">
        <v>0</v>
      </c>
      <c r="I3941">
        <v>32</v>
      </c>
      <c r="J3941">
        <v>0</v>
      </c>
      <c r="K3941">
        <v>0</v>
      </c>
      <c r="L3941">
        <v>0</v>
      </c>
      <c r="M3941">
        <v>48</v>
      </c>
      <c r="N3941">
        <v>0</v>
      </c>
      <c r="O3941">
        <v>32</v>
      </c>
      <c r="P3941">
        <v>0</v>
      </c>
      <c r="Q3941">
        <v>0</v>
      </c>
      <c r="R3941">
        <v>0</v>
      </c>
      <c r="S3941">
        <v>0</v>
      </c>
      <c r="T3941">
        <v>0</v>
      </c>
      <c r="U3941">
        <v>0</v>
      </c>
      <c r="V3941">
        <v>0</v>
      </c>
      <c r="W3941">
        <v>0</v>
      </c>
      <c r="X3941">
        <v>0</v>
      </c>
      <c r="Y3941" t="s">
        <v>31</v>
      </c>
      <c r="Z3941">
        <v>55</v>
      </c>
      <c r="AA3941">
        <v>0</v>
      </c>
    </row>
    <row r="3942" spans="1:27" x14ac:dyDescent="0.2">
      <c r="A3942" t="s">
        <v>1658</v>
      </c>
      <c r="B3942">
        <v>2023</v>
      </c>
      <c r="C3942" t="s">
        <v>3061</v>
      </c>
      <c r="D3942" t="s">
        <v>4972</v>
      </c>
      <c r="E3942" t="s">
        <v>29</v>
      </c>
      <c r="F3942" t="s">
        <v>41</v>
      </c>
      <c r="G3942">
        <v>0</v>
      </c>
      <c r="H3942">
        <v>0</v>
      </c>
      <c r="I3942">
        <v>0</v>
      </c>
      <c r="J3942">
        <v>0</v>
      </c>
      <c r="K3942">
        <v>0</v>
      </c>
      <c r="L3942">
        <v>0</v>
      </c>
      <c r="M3942">
        <v>0</v>
      </c>
      <c r="N3942">
        <v>0</v>
      </c>
      <c r="O3942">
        <v>0</v>
      </c>
      <c r="P3942">
        <v>0</v>
      </c>
      <c r="Q3942">
        <v>0</v>
      </c>
      <c r="R3942">
        <v>0</v>
      </c>
      <c r="S3942">
        <v>0</v>
      </c>
      <c r="T3942">
        <v>0</v>
      </c>
      <c r="U3942">
        <v>0</v>
      </c>
      <c r="V3942">
        <v>0</v>
      </c>
      <c r="W3942">
        <v>1</v>
      </c>
      <c r="X3942">
        <v>0</v>
      </c>
      <c r="Y3942" t="s">
        <v>51</v>
      </c>
      <c r="Z3942">
        <v>55</v>
      </c>
      <c r="AA3942">
        <v>0</v>
      </c>
    </row>
    <row r="3943" spans="1:27" x14ac:dyDescent="0.2">
      <c r="A3943" t="s">
        <v>1658</v>
      </c>
      <c r="B3943">
        <v>2023</v>
      </c>
      <c r="C3943" t="s">
        <v>3479</v>
      </c>
      <c r="D3943" t="s">
        <v>4018</v>
      </c>
      <c r="E3943" t="s">
        <v>29</v>
      </c>
      <c r="F3943" t="s">
        <v>41</v>
      </c>
      <c r="G3943">
        <v>0</v>
      </c>
      <c r="H3943">
        <v>0</v>
      </c>
      <c r="I3943">
        <v>0</v>
      </c>
      <c r="J3943">
        <v>0</v>
      </c>
      <c r="K3943">
        <v>0</v>
      </c>
      <c r="L3943">
        <v>0</v>
      </c>
      <c r="M3943">
        <v>0</v>
      </c>
      <c r="N3943">
        <v>0</v>
      </c>
      <c r="O3943">
        <v>0</v>
      </c>
      <c r="P3943">
        <v>0</v>
      </c>
      <c r="Q3943">
        <v>0</v>
      </c>
      <c r="R3943">
        <v>0</v>
      </c>
      <c r="S3943">
        <v>0</v>
      </c>
      <c r="T3943">
        <v>0</v>
      </c>
      <c r="U3943">
        <v>0</v>
      </c>
      <c r="V3943">
        <v>0</v>
      </c>
      <c r="W3943">
        <v>0</v>
      </c>
      <c r="X3943">
        <v>0</v>
      </c>
      <c r="Y3943" t="s">
        <v>51</v>
      </c>
      <c r="Z3943">
        <v>55</v>
      </c>
      <c r="AA3943">
        <v>0</v>
      </c>
    </row>
    <row r="3944" spans="1:27" x14ac:dyDescent="0.2">
      <c r="A3944" t="s">
        <v>1658</v>
      </c>
      <c r="B3944">
        <v>2023</v>
      </c>
      <c r="C3944" t="s">
        <v>2320</v>
      </c>
      <c r="D3944" t="s">
        <v>4973</v>
      </c>
      <c r="E3944" t="s">
        <v>29</v>
      </c>
      <c r="F3944" t="s">
        <v>41</v>
      </c>
      <c r="G3944">
        <v>0</v>
      </c>
      <c r="H3944">
        <v>0</v>
      </c>
      <c r="I3944">
        <v>0</v>
      </c>
      <c r="J3944">
        <v>0</v>
      </c>
      <c r="K3944">
        <v>0</v>
      </c>
      <c r="L3944">
        <v>0</v>
      </c>
      <c r="M3944">
        <v>0</v>
      </c>
      <c r="N3944">
        <v>0</v>
      </c>
      <c r="O3944">
        <v>0</v>
      </c>
      <c r="P3944">
        <v>0</v>
      </c>
      <c r="Q3944">
        <v>0</v>
      </c>
      <c r="R3944">
        <v>0</v>
      </c>
      <c r="S3944">
        <v>1</v>
      </c>
      <c r="T3944">
        <v>0</v>
      </c>
      <c r="U3944">
        <v>0</v>
      </c>
      <c r="V3944">
        <v>0</v>
      </c>
      <c r="W3944">
        <v>0</v>
      </c>
      <c r="X3944">
        <v>0</v>
      </c>
      <c r="Y3944" t="s">
        <v>51</v>
      </c>
      <c r="Z3944">
        <v>55</v>
      </c>
      <c r="AA3944">
        <v>0</v>
      </c>
    </row>
    <row r="3945" spans="1:27" x14ac:dyDescent="0.2">
      <c r="A3945" t="s">
        <v>4812</v>
      </c>
      <c r="B3945">
        <v>2020</v>
      </c>
      <c r="C3945" t="s">
        <v>4813</v>
      </c>
      <c r="D3945" t="s">
        <v>4974</v>
      </c>
      <c r="E3945" t="s">
        <v>29</v>
      </c>
      <c r="F3945" t="s">
        <v>30</v>
      </c>
      <c r="G3945">
        <v>1</v>
      </c>
      <c r="H3945">
        <v>0</v>
      </c>
      <c r="I3945">
        <v>7</v>
      </c>
      <c r="J3945">
        <v>0</v>
      </c>
      <c r="K3945">
        <v>0</v>
      </c>
      <c r="L3945">
        <v>0</v>
      </c>
      <c r="M3945">
        <v>1</v>
      </c>
      <c r="N3945">
        <v>0</v>
      </c>
      <c r="O3945">
        <v>7</v>
      </c>
      <c r="P3945">
        <v>0</v>
      </c>
      <c r="Q3945">
        <v>0</v>
      </c>
      <c r="R3945">
        <v>0</v>
      </c>
      <c r="S3945">
        <v>1</v>
      </c>
      <c r="T3945">
        <v>0</v>
      </c>
      <c r="U3945">
        <v>7</v>
      </c>
      <c r="V3945">
        <v>0</v>
      </c>
      <c r="W3945">
        <v>0</v>
      </c>
      <c r="X3945">
        <v>0</v>
      </c>
      <c r="Y3945" t="s">
        <v>51</v>
      </c>
      <c r="Z3945">
        <v>55</v>
      </c>
      <c r="AA3945">
        <v>0</v>
      </c>
    </row>
    <row r="3946" spans="1:27" x14ac:dyDescent="0.2">
      <c r="A3946" t="s">
        <v>1959</v>
      </c>
      <c r="B3946">
        <v>2022</v>
      </c>
      <c r="C3946" t="s">
        <v>2262</v>
      </c>
      <c r="D3946" t="s">
        <v>2263</v>
      </c>
      <c r="E3946" t="s">
        <v>29</v>
      </c>
      <c r="F3946" t="s">
        <v>30</v>
      </c>
      <c r="G3946">
        <v>10</v>
      </c>
      <c r="H3946">
        <v>0</v>
      </c>
      <c r="I3946">
        <v>0</v>
      </c>
      <c r="J3946">
        <v>0</v>
      </c>
      <c r="K3946">
        <v>0</v>
      </c>
      <c r="L3946">
        <v>0</v>
      </c>
      <c r="M3946">
        <v>0</v>
      </c>
      <c r="N3946">
        <v>0</v>
      </c>
      <c r="O3946">
        <v>0</v>
      </c>
      <c r="P3946">
        <v>0</v>
      </c>
      <c r="Q3946">
        <v>0</v>
      </c>
      <c r="R3946">
        <v>0</v>
      </c>
      <c r="S3946">
        <v>0</v>
      </c>
      <c r="T3946">
        <v>0</v>
      </c>
      <c r="U3946">
        <v>0</v>
      </c>
      <c r="V3946">
        <v>0</v>
      </c>
      <c r="W3946">
        <v>0</v>
      </c>
      <c r="X3946">
        <v>0</v>
      </c>
      <c r="Y3946" t="s">
        <v>51</v>
      </c>
      <c r="AA3946">
        <v>0</v>
      </c>
    </row>
    <row r="3947" spans="1:27" x14ac:dyDescent="0.2">
      <c r="A3947" t="s">
        <v>1500</v>
      </c>
      <c r="B3947">
        <v>2024</v>
      </c>
      <c r="C3947">
        <v>6046011053</v>
      </c>
      <c r="D3947" t="s">
        <v>4975</v>
      </c>
      <c r="E3947" t="s">
        <v>29</v>
      </c>
      <c r="F3947" t="s">
        <v>30</v>
      </c>
      <c r="G3947">
        <v>0</v>
      </c>
      <c r="H3947">
        <v>0</v>
      </c>
      <c r="I3947">
        <v>5</v>
      </c>
      <c r="J3947">
        <v>0</v>
      </c>
      <c r="K3947">
        <v>0</v>
      </c>
      <c r="L3947">
        <v>0</v>
      </c>
      <c r="M3947">
        <v>0</v>
      </c>
      <c r="N3947">
        <v>0</v>
      </c>
      <c r="O3947">
        <v>0</v>
      </c>
      <c r="P3947">
        <v>0</v>
      </c>
      <c r="Q3947">
        <v>0</v>
      </c>
      <c r="R3947">
        <v>0</v>
      </c>
      <c r="S3947">
        <v>0</v>
      </c>
      <c r="T3947">
        <v>0</v>
      </c>
      <c r="U3947">
        <v>0</v>
      </c>
      <c r="V3947">
        <v>0</v>
      </c>
      <c r="W3947">
        <v>0</v>
      </c>
      <c r="X3947">
        <v>0</v>
      </c>
      <c r="Y3947" t="s">
        <v>31</v>
      </c>
      <c r="Z3947">
        <v>55</v>
      </c>
      <c r="AA3947">
        <v>4</v>
      </c>
    </row>
    <row r="3948" spans="1:27" x14ac:dyDescent="0.2">
      <c r="A3948" t="s">
        <v>1500</v>
      </c>
      <c r="B3948">
        <v>2024</v>
      </c>
      <c r="C3948">
        <v>5235020055</v>
      </c>
      <c r="D3948" t="s">
        <v>4976</v>
      </c>
      <c r="E3948" t="s">
        <v>29</v>
      </c>
      <c r="F3948" t="s">
        <v>30</v>
      </c>
      <c r="G3948">
        <v>19</v>
      </c>
      <c r="H3948">
        <v>0</v>
      </c>
      <c r="I3948">
        <v>40</v>
      </c>
      <c r="J3948">
        <v>0</v>
      </c>
      <c r="K3948">
        <v>0</v>
      </c>
      <c r="L3948">
        <v>0</v>
      </c>
      <c r="M3948">
        <v>0</v>
      </c>
      <c r="N3948">
        <v>0</v>
      </c>
      <c r="O3948">
        <v>0</v>
      </c>
      <c r="P3948">
        <v>0</v>
      </c>
      <c r="Q3948">
        <v>0</v>
      </c>
      <c r="R3948">
        <v>0</v>
      </c>
      <c r="S3948">
        <v>0</v>
      </c>
      <c r="T3948">
        <v>0</v>
      </c>
      <c r="U3948">
        <v>0</v>
      </c>
      <c r="V3948">
        <v>0</v>
      </c>
      <c r="W3948">
        <v>0</v>
      </c>
      <c r="X3948">
        <v>0</v>
      </c>
      <c r="Y3948" t="s">
        <v>31</v>
      </c>
      <c r="Z3948">
        <v>55</v>
      </c>
      <c r="AA3948" s="2" t="s">
        <v>4977</v>
      </c>
    </row>
    <row r="3949" spans="1:27" x14ac:dyDescent="0.2">
      <c r="A3949" t="s">
        <v>1500</v>
      </c>
      <c r="B3949">
        <v>2024</v>
      </c>
      <c r="C3949">
        <v>5845022019</v>
      </c>
      <c r="D3949" t="s">
        <v>4978</v>
      </c>
      <c r="E3949" t="s">
        <v>29</v>
      </c>
      <c r="F3949" t="s">
        <v>30</v>
      </c>
      <c r="G3949">
        <v>0</v>
      </c>
      <c r="H3949">
        <v>0</v>
      </c>
      <c r="I3949">
        <v>0</v>
      </c>
      <c r="J3949">
        <v>0</v>
      </c>
      <c r="K3949">
        <v>0</v>
      </c>
      <c r="L3949">
        <v>0</v>
      </c>
      <c r="M3949">
        <v>0</v>
      </c>
      <c r="N3949">
        <v>0</v>
      </c>
      <c r="O3949">
        <v>0</v>
      </c>
      <c r="P3949">
        <v>0</v>
      </c>
      <c r="Q3949">
        <v>0</v>
      </c>
      <c r="R3949">
        <v>0</v>
      </c>
      <c r="S3949">
        <v>0</v>
      </c>
      <c r="T3949">
        <v>0</v>
      </c>
      <c r="U3949">
        <v>0</v>
      </c>
      <c r="V3949">
        <v>0</v>
      </c>
      <c r="W3949">
        <v>0</v>
      </c>
      <c r="X3949">
        <v>0</v>
      </c>
      <c r="Y3949" t="s">
        <v>31</v>
      </c>
      <c r="Z3949">
        <v>55</v>
      </c>
      <c r="AA3949" s="2" t="s">
        <v>3779</v>
      </c>
    </row>
    <row r="3950" spans="1:27" x14ac:dyDescent="0.2">
      <c r="A3950" t="s">
        <v>1624</v>
      </c>
      <c r="B3950">
        <v>2022</v>
      </c>
      <c r="C3950" t="s">
        <v>4979</v>
      </c>
      <c r="D3950" t="s">
        <v>4980</v>
      </c>
      <c r="E3950" t="s">
        <v>29</v>
      </c>
      <c r="F3950" t="s">
        <v>30</v>
      </c>
      <c r="G3950">
        <v>66</v>
      </c>
      <c r="H3950">
        <v>0</v>
      </c>
      <c r="I3950">
        <v>0</v>
      </c>
      <c r="J3950">
        <v>0</v>
      </c>
      <c r="K3950">
        <v>0</v>
      </c>
      <c r="L3950">
        <v>0</v>
      </c>
      <c r="M3950">
        <v>0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0</v>
      </c>
      <c r="V3950">
        <v>0</v>
      </c>
      <c r="W3950">
        <v>0</v>
      </c>
      <c r="X3950">
        <v>0</v>
      </c>
      <c r="Y3950" t="s">
        <v>31</v>
      </c>
      <c r="Z3950">
        <v>55</v>
      </c>
      <c r="AA3950">
        <v>88</v>
      </c>
    </row>
    <row r="3951" spans="1:27" x14ac:dyDescent="0.2">
      <c r="A3951" t="s">
        <v>4981</v>
      </c>
      <c r="B3951">
        <v>2024</v>
      </c>
      <c r="C3951">
        <v>118270055</v>
      </c>
      <c r="D3951" t="s">
        <v>4982</v>
      </c>
      <c r="E3951" t="s">
        <v>29</v>
      </c>
      <c r="F3951" t="s">
        <v>30</v>
      </c>
      <c r="G3951">
        <v>0</v>
      </c>
      <c r="H3951">
        <v>0</v>
      </c>
      <c r="I3951">
        <v>19</v>
      </c>
      <c r="J3951">
        <v>0</v>
      </c>
      <c r="K3951">
        <v>5</v>
      </c>
      <c r="L3951">
        <v>0</v>
      </c>
      <c r="M3951">
        <v>0</v>
      </c>
      <c r="N3951">
        <v>0</v>
      </c>
      <c r="O3951">
        <v>0</v>
      </c>
      <c r="P3951">
        <v>0</v>
      </c>
      <c r="Q3951">
        <v>0</v>
      </c>
      <c r="R3951">
        <v>0</v>
      </c>
      <c r="S3951">
        <v>0</v>
      </c>
      <c r="T3951">
        <v>0</v>
      </c>
      <c r="U3951">
        <v>0</v>
      </c>
      <c r="V3951">
        <v>0</v>
      </c>
      <c r="W3951">
        <v>0</v>
      </c>
      <c r="X3951">
        <v>0</v>
      </c>
      <c r="Y3951" t="s">
        <v>31</v>
      </c>
      <c r="Z3951">
        <v>55</v>
      </c>
      <c r="AA3951">
        <v>0</v>
      </c>
    </row>
    <row r="3952" spans="1:27" x14ac:dyDescent="0.2">
      <c r="A3952" t="s">
        <v>737</v>
      </c>
      <c r="B3952">
        <v>2021</v>
      </c>
      <c r="C3952" t="s">
        <v>4983</v>
      </c>
      <c r="D3952" t="s">
        <v>4984</v>
      </c>
      <c r="E3952" t="s">
        <v>29</v>
      </c>
      <c r="F3952" t="s">
        <v>30</v>
      </c>
      <c r="G3952">
        <v>0</v>
      </c>
      <c r="H3952">
        <v>0</v>
      </c>
      <c r="I3952">
        <v>19</v>
      </c>
      <c r="J3952">
        <v>0</v>
      </c>
      <c r="K3952">
        <v>0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0</v>
      </c>
      <c r="S3952">
        <v>0</v>
      </c>
      <c r="T3952">
        <v>0</v>
      </c>
      <c r="U3952">
        <v>0</v>
      </c>
      <c r="V3952">
        <v>0</v>
      </c>
      <c r="W3952">
        <v>0</v>
      </c>
      <c r="X3952">
        <v>0</v>
      </c>
      <c r="Y3952" t="s">
        <v>31</v>
      </c>
      <c r="AA3952" s="2" t="s">
        <v>3316</v>
      </c>
    </row>
    <row r="3953" spans="1:27" x14ac:dyDescent="0.2">
      <c r="A3953" t="s">
        <v>622</v>
      </c>
      <c r="B3953">
        <v>2020</v>
      </c>
      <c r="C3953" t="s">
        <v>623</v>
      </c>
      <c r="D3953" t="s">
        <v>1034</v>
      </c>
      <c r="E3953" t="s">
        <v>29</v>
      </c>
      <c r="F3953" t="s">
        <v>30</v>
      </c>
      <c r="G3953">
        <v>0</v>
      </c>
      <c r="H3953">
        <v>0</v>
      </c>
      <c r="I3953">
        <v>0</v>
      </c>
      <c r="J3953">
        <v>0</v>
      </c>
      <c r="K3953">
        <v>0</v>
      </c>
      <c r="L3953">
        <v>0</v>
      </c>
      <c r="M3953">
        <v>2</v>
      </c>
      <c r="N3953">
        <v>0</v>
      </c>
      <c r="O3953">
        <v>0</v>
      </c>
      <c r="P3953">
        <v>0</v>
      </c>
      <c r="Q3953">
        <v>0</v>
      </c>
      <c r="R3953">
        <v>0</v>
      </c>
      <c r="S3953">
        <v>0</v>
      </c>
      <c r="T3953">
        <v>0</v>
      </c>
      <c r="U3953">
        <v>0</v>
      </c>
      <c r="V3953">
        <v>0</v>
      </c>
      <c r="W3953">
        <v>0</v>
      </c>
      <c r="X3953">
        <v>0</v>
      </c>
      <c r="Y3953" t="s">
        <v>51</v>
      </c>
      <c r="Z3953">
        <v>55</v>
      </c>
      <c r="AA3953">
        <v>0</v>
      </c>
    </row>
    <row r="3954" spans="1:27" x14ac:dyDescent="0.2">
      <c r="A3954" t="s">
        <v>219</v>
      </c>
      <c r="B3954">
        <v>2022</v>
      </c>
      <c r="C3954" t="s">
        <v>288</v>
      </c>
      <c r="D3954" t="s">
        <v>289</v>
      </c>
      <c r="E3954" t="s">
        <v>29</v>
      </c>
      <c r="F3954" t="s">
        <v>30</v>
      </c>
      <c r="G3954">
        <v>47</v>
      </c>
      <c r="H3954">
        <v>0</v>
      </c>
      <c r="I3954">
        <v>0</v>
      </c>
      <c r="J3954">
        <v>0</v>
      </c>
      <c r="K3954">
        <v>0</v>
      </c>
      <c r="L3954">
        <v>0</v>
      </c>
      <c r="M3954">
        <v>0</v>
      </c>
      <c r="N3954">
        <v>0</v>
      </c>
      <c r="O3954">
        <v>0</v>
      </c>
      <c r="P3954">
        <v>0</v>
      </c>
      <c r="Q3954">
        <v>0</v>
      </c>
      <c r="R3954">
        <v>0</v>
      </c>
      <c r="S3954">
        <v>0</v>
      </c>
      <c r="T3954">
        <v>0</v>
      </c>
      <c r="U3954">
        <v>0</v>
      </c>
      <c r="V3954">
        <v>0</v>
      </c>
      <c r="W3954">
        <v>0</v>
      </c>
      <c r="X3954">
        <v>0</v>
      </c>
      <c r="Y3954" t="s">
        <v>51</v>
      </c>
      <c r="Z3954">
        <v>55</v>
      </c>
      <c r="AA3954">
        <v>0</v>
      </c>
    </row>
    <row r="3955" spans="1:27" x14ac:dyDescent="0.2">
      <c r="A3955" t="s">
        <v>219</v>
      </c>
      <c r="B3955">
        <v>2022</v>
      </c>
      <c r="C3955" t="s">
        <v>4985</v>
      </c>
      <c r="D3955" t="s">
        <v>4986</v>
      </c>
      <c r="E3955" t="s">
        <v>29</v>
      </c>
      <c r="F3955" t="s">
        <v>30</v>
      </c>
      <c r="G3955">
        <v>0</v>
      </c>
      <c r="H3955">
        <v>0</v>
      </c>
      <c r="I3955">
        <v>0</v>
      </c>
      <c r="J3955">
        <v>0</v>
      </c>
      <c r="K3955">
        <v>0</v>
      </c>
      <c r="L3955">
        <v>0</v>
      </c>
      <c r="M3955">
        <v>63</v>
      </c>
      <c r="N3955">
        <v>0</v>
      </c>
      <c r="O3955">
        <v>0</v>
      </c>
      <c r="P3955">
        <v>0</v>
      </c>
      <c r="Q3955">
        <v>0</v>
      </c>
      <c r="R3955">
        <v>0</v>
      </c>
      <c r="S3955">
        <v>0</v>
      </c>
      <c r="T3955">
        <v>0</v>
      </c>
      <c r="U3955">
        <v>0</v>
      </c>
      <c r="V3955">
        <v>0</v>
      </c>
      <c r="W3955">
        <v>0</v>
      </c>
      <c r="X3955">
        <v>0</v>
      </c>
      <c r="Y3955" t="s">
        <v>51</v>
      </c>
      <c r="Z3955">
        <v>55</v>
      </c>
      <c r="AA3955">
        <v>0</v>
      </c>
    </row>
    <row r="3956" spans="1:27" x14ac:dyDescent="0.2">
      <c r="A3956" t="s">
        <v>227</v>
      </c>
      <c r="B3956">
        <v>2020</v>
      </c>
      <c r="C3956">
        <v>241020018</v>
      </c>
      <c r="D3956" t="s">
        <v>4987</v>
      </c>
      <c r="E3956" t="s">
        <v>29</v>
      </c>
      <c r="F3956" t="s">
        <v>41</v>
      </c>
      <c r="G3956">
        <v>0</v>
      </c>
      <c r="H3956">
        <v>0</v>
      </c>
      <c r="I3956">
        <v>0</v>
      </c>
      <c r="J3956">
        <v>0</v>
      </c>
      <c r="K3956">
        <v>0</v>
      </c>
      <c r="L3956">
        <v>0</v>
      </c>
      <c r="M3956">
        <v>5</v>
      </c>
      <c r="N3956">
        <v>0</v>
      </c>
      <c r="O3956">
        <v>0</v>
      </c>
      <c r="P3956">
        <v>0</v>
      </c>
      <c r="Q3956">
        <v>5</v>
      </c>
      <c r="R3956">
        <v>0</v>
      </c>
      <c r="S3956">
        <v>0</v>
      </c>
      <c r="T3956">
        <v>0</v>
      </c>
      <c r="U3956">
        <v>0</v>
      </c>
      <c r="V3956">
        <v>0</v>
      </c>
      <c r="W3956">
        <v>0</v>
      </c>
      <c r="X3956">
        <v>0</v>
      </c>
      <c r="Y3956" t="s">
        <v>51</v>
      </c>
      <c r="Z3956">
        <v>45</v>
      </c>
      <c r="AA3956">
        <v>0</v>
      </c>
    </row>
    <row r="3957" spans="1:27" x14ac:dyDescent="0.2">
      <c r="A3957" t="s">
        <v>2808</v>
      </c>
      <c r="B3957">
        <v>2023</v>
      </c>
      <c r="C3957" t="s">
        <v>4988</v>
      </c>
      <c r="D3957" t="s">
        <v>4989</v>
      </c>
      <c r="E3957" t="s">
        <v>29</v>
      </c>
      <c r="F3957" t="s">
        <v>30</v>
      </c>
      <c r="G3957">
        <v>0</v>
      </c>
      <c r="H3957">
        <v>0</v>
      </c>
      <c r="I3957">
        <v>16</v>
      </c>
      <c r="J3957">
        <v>0</v>
      </c>
      <c r="K3957">
        <v>0</v>
      </c>
      <c r="L3957">
        <v>0</v>
      </c>
      <c r="M3957">
        <v>0</v>
      </c>
      <c r="N3957">
        <v>0</v>
      </c>
      <c r="O3957">
        <v>0</v>
      </c>
      <c r="P3957">
        <v>0</v>
      </c>
      <c r="Q3957">
        <v>0</v>
      </c>
      <c r="R3957">
        <v>0</v>
      </c>
      <c r="S3957">
        <v>0</v>
      </c>
      <c r="T3957">
        <v>0</v>
      </c>
      <c r="U3957">
        <v>0</v>
      </c>
      <c r="V3957">
        <v>0</v>
      </c>
      <c r="W3957">
        <v>0</v>
      </c>
      <c r="X3957">
        <v>0</v>
      </c>
      <c r="Y3957" t="s">
        <v>31</v>
      </c>
      <c r="Z3957">
        <v>55</v>
      </c>
      <c r="AA3957">
        <v>0</v>
      </c>
    </row>
    <row r="3958" spans="1:27" x14ac:dyDescent="0.2">
      <c r="A3958" t="s">
        <v>928</v>
      </c>
      <c r="B3958">
        <v>2023</v>
      </c>
      <c r="C3958" t="s">
        <v>4990</v>
      </c>
      <c r="D3958" t="s">
        <v>4991</v>
      </c>
      <c r="E3958" t="s">
        <v>29</v>
      </c>
      <c r="F3958" t="s">
        <v>41</v>
      </c>
      <c r="G3958">
        <v>1</v>
      </c>
      <c r="H3958">
        <v>0</v>
      </c>
      <c r="I3958">
        <v>2</v>
      </c>
      <c r="J3958">
        <v>0</v>
      </c>
      <c r="K3958">
        <v>2</v>
      </c>
      <c r="L3958">
        <v>0</v>
      </c>
      <c r="M3958">
        <v>0</v>
      </c>
      <c r="N3958">
        <v>0</v>
      </c>
      <c r="O3958">
        <v>0</v>
      </c>
      <c r="P3958">
        <v>0</v>
      </c>
      <c r="Q3958">
        <v>0</v>
      </c>
      <c r="R3958">
        <v>0</v>
      </c>
      <c r="S3958">
        <v>0</v>
      </c>
      <c r="T3958">
        <v>0</v>
      </c>
      <c r="U3958">
        <v>0</v>
      </c>
      <c r="V3958">
        <v>0</v>
      </c>
      <c r="W3958">
        <v>0</v>
      </c>
      <c r="X3958">
        <v>0</v>
      </c>
      <c r="Y3958" t="s">
        <v>51</v>
      </c>
      <c r="Z3958">
        <v>55</v>
      </c>
      <c r="AA3958">
        <v>0</v>
      </c>
    </row>
    <row r="3959" spans="1:27" x14ac:dyDescent="0.2">
      <c r="A3959" t="s">
        <v>318</v>
      </c>
      <c r="B3959">
        <v>2021</v>
      </c>
      <c r="C3959">
        <v>20935023</v>
      </c>
      <c r="D3959" t="s">
        <v>4992</v>
      </c>
      <c r="E3959" t="s">
        <v>29</v>
      </c>
      <c r="F3959" t="s">
        <v>30</v>
      </c>
      <c r="G3959">
        <v>16</v>
      </c>
      <c r="H3959">
        <v>0</v>
      </c>
      <c r="I3959">
        <v>31</v>
      </c>
      <c r="J3959">
        <v>0</v>
      </c>
      <c r="K3959">
        <v>6</v>
      </c>
      <c r="L3959">
        <v>0</v>
      </c>
      <c r="M3959">
        <v>0</v>
      </c>
      <c r="N3959">
        <v>0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0</v>
      </c>
      <c r="U3959">
        <v>0</v>
      </c>
      <c r="V3959">
        <v>0</v>
      </c>
      <c r="W3959">
        <v>0</v>
      </c>
      <c r="X3959">
        <v>0</v>
      </c>
      <c r="Y3959" t="s">
        <v>51</v>
      </c>
      <c r="Z3959">
        <v>55</v>
      </c>
      <c r="AA3959">
        <v>0</v>
      </c>
    </row>
    <row r="3960" spans="1:27" x14ac:dyDescent="0.2">
      <c r="A3960" t="s">
        <v>318</v>
      </c>
      <c r="B3960">
        <v>2021</v>
      </c>
      <c r="C3960">
        <v>11014197</v>
      </c>
      <c r="D3960" t="s">
        <v>4993</v>
      </c>
      <c r="E3960" t="s">
        <v>29</v>
      </c>
      <c r="F3960" t="s">
        <v>41</v>
      </c>
      <c r="G3960">
        <v>0</v>
      </c>
      <c r="H3960">
        <v>0</v>
      </c>
      <c r="I3960">
        <v>0</v>
      </c>
      <c r="J3960">
        <v>0</v>
      </c>
      <c r="K3960">
        <v>16</v>
      </c>
      <c r="L3960">
        <v>0</v>
      </c>
      <c r="M3960">
        <v>0</v>
      </c>
      <c r="N3960">
        <v>0</v>
      </c>
      <c r="O3960">
        <v>0</v>
      </c>
      <c r="P3960">
        <v>0</v>
      </c>
      <c r="Q3960">
        <v>0</v>
      </c>
      <c r="R3960">
        <v>0</v>
      </c>
      <c r="S3960">
        <v>0</v>
      </c>
      <c r="T3960">
        <v>0</v>
      </c>
      <c r="U3960">
        <v>0</v>
      </c>
      <c r="V3960">
        <v>0</v>
      </c>
      <c r="W3960">
        <v>0</v>
      </c>
      <c r="X3960">
        <v>0</v>
      </c>
      <c r="Y3960" t="s">
        <v>31</v>
      </c>
      <c r="Z3960">
        <v>30</v>
      </c>
      <c r="AA3960">
        <v>0</v>
      </c>
    </row>
    <row r="3961" spans="1:27" x14ac:dyDescent="0.2">
      <c r="A3961" t="s">
        <v>584</v>
      </c>
      <c r="B3961">
        <v>2023</v>
      </c>
      <c r="C3961" s="2" t="s">
        <v>4994</v>
      </c>
      <c r="D3961" t="s">
        <v>4995</v>
      </c>
      <c r="E3961" t="s">
        <v>29</v>
      </c>
      <c r="F3961" t="s">
        <v>30</v>
      </c>
      <c r="G3961">
        <v>13</v>
      </c>
      <c r="H3961">
        <v>0</v>
      </c>
      <c r="I3961">
        <v>0</v>
      </c>
      <c r="J3961">
        <v>0</v>
      </c>
      <c r="K3961">
        <v>0</v>
      </c>
      <c r="L3961">
        <v>0</v>
      </c>
      <c r="M3961">
        <v>0</v>
      </c>
      <c r="N3961">
        <v>0</v>
      </c>
      <c r="O3961">
        <v>0</v>
      </c>
      <c r="P3961">
        <v>0</v>
      </c>
      <c r="Q3961">
        <v>0</v>
      </c>
      <c r="R3961">
        <v>0</v>
      </c>
      <c r="S3961">
        <v>0</v>
      </c>
      <c r="T3961">
        <v>0</v>
      </c>
      <c r="U3961">
        <v>0</v>
      </c>
      <c r="V3961">
        <v>0</v>
      </c>
      <c r="W3961">
        <v>0</v>
      </c>
      <c r="X3961">
        <v>0</v>
      </c>
      <c r="Y3961" t="s">
        <v>51</v>
      </c>
      <c r="AA3961">
        <v>0</v>
      </c>
    </row>
    <row r="3962" spans="1:27" x14ac:dyDescent="0.2">
      <c r="A3962" t="s">
        <v>584</v>
      </c>
      <c r="B3962">
        <v>2023</v>
      </c>
      <c r="C3962" s="2" t="s">
        <v>4996</v>
      </c>
      <c r="D3962" t="s">
        <v>4997</v>
      </c>
      <c r="E3962" t="s">
        <v>29</v>
      </c>
      <c r="F3962" t="s">
        <v>30</v>
      </c>
      <c r="G3962">
        <v>0</v>
      </c>
      <c r="H3962">
        <v>0</v>
      </c>
      <c r="I3962">
        <v>0</v>
      </c>
      <c r="J3962">
        <v>0</v>
      </c>
      <c r="K3962">
        <v>0</v>
      </c>
      <c r="L3962">
        <v>0</v>
      </c>
      <c r="M3962">
        <v>0</v>
      </c>
      <c r="N3962">
        <v>0</v>
      </c>
      <c r="O3962">
        <v>0</v>
      </c>
      <c r="P3962">
        <v>0</v>
      </c>
      <c r="Q3962">
        <v>0</v>
      </c>
      <c r="R3962">
        <v>0</v>
      </c>
      <c r="S3962">
        <v>0</v>
      </c>
      <c r="T3962">
        <v>0</v>
      </c>
      <c r="U3962">
        <v>66</v>
      </c>
      <c r="V3962">
        <v>0</v>
      </c>
      <c r="W3962">
        <v>0</v>
      </c>
      <c r="X3962">
        <v>0</v>
      </c>
      <c r="Y3962" t="s">
        <v>31</v>
      </c>
      <c r="AA3962">
        <v>35</v>
      </c>
    </row>
    <row r="3963" spans="1:27" x14ac:dyDescent="0.2">
      <c r="A3963" t="s">
        <v>1658</v>
      </c>
      <c r="B3963">
        <v>2023</v>
      </c>
      <c r="C3963" t="s">
        <v>3061</v>
      </c>
      <c r="D3963" t="s">
        <v>4998</v>
      </c>
      <c r="E3963" t="s">
        <v>29</v>
      </c>
      <c r="F3963" t="s">
        <v>41</v>
      </c>
      <c r="G3963">
        <v>0</v>
      </c>
      <c r="H3963">
        <v>0</v>
      </c>
      <c r="I3963">
        <v>0</v>
      </c>
      <c r="J3963">
        <v>0</v>
      </c>
      <c r="K3963">
        <v>0</v>
      </c>
      <c r="L3963">
        <v>0</v>
      </c>
      <c r="M3963">
        <v>0</v>
      </c>
      <c r="N3963">
        <v>0</v>
      </c>
      <c r="O3963">
        <v>0</v>
      </c>
      <c r="P3963">
        <v>0</v>
      </c>
      <c r="Q3963">
        <v>0</v>
      </c>
      <c r="R3963">
        <v>0</v>
      </c>
      <c r="S3963">
        <v>0</v>
      </c>
      <c r="T3963">
        <v>0</v>
      </c>
      <c r="U3963">
        <v>1</v>
      </c>
      <c r="V3963">
        <v>0</v>
      </c>
      <c r="W3963">
        <v>0</v>
      </c>
      <c r="X3963">
        <v>0</v>
      </c>
      <c r="Y3963" t="s">
        <v>51</v>
      </c>
      <c r="Z3963">
        <v>55</v>
      </c>
      <c r="AA3963">
        <v>0</v>
      </c>
    </row>
    <row r="3964" spans="1:27" x14ac:dyDescent="0.2">
      <c r="A3964" t="s">
        <v>2614</v>
      </c>
      <c r="B3964">
        <v>2024</v>
      </c>
      <c r="C3964">
        <v>2546121400</v>
      </c>
      <c r="D3964" t="s">
        <v>4999</v>
      </c>
      <c r="E3964" t="s">
        <v>29</v>
      </c>
      <c r="F3964" t="s">
        <v>30</v>
      </c>
      <c r="G3964">
        <v>0</v>
      </c>
      <c r="H3964">
        <v>0</v>
      </c>
      <c r="I3964">
        <v>0</v>
      </c>
      <c r="J3964">
        <v>0</v>
      </c>
      <c r="K3964">
        <v>0</v>
      </c>
      <c r="L3964">
        <v>0</v>
      </c>
      <c r="M3964">
        <v>0</v>
      </c>
      <c r="N3964">
        <v>0</v>
      </c>
      <c r="O3964">
        <v>0</v>
      </c>
      <c r="P3964">
        <v>0</v>
      </c>
      <c r="Q3964">
        <v>0</v>
      </c>
      <c r="R3964">
        <v>0</v>
      </c>
      <c r="S3964">
        <v>1</v>
      </c>
      <c r="T3964">
        <v>0</v>
      </c>
      <c r="U3964">
        <v>0</v>
      </c>
      <c r="V3964">
        <v>0</v>
      </c>
      <c r="W3964">
        <v>0</v>
      </c>
      <c r="X3964">
        <v>0</v>
      </c>
      <c r="Y3964" t="s">
        <v>31</v>
      </c>
      <c r="Z3964">
        <v>1000</v>
      </c>
      <c r="AA3964">
        <v>0</v>
      </c>
    </row>
    <row r="3965" spans="1:27" x14ac:dyDescent="0.2">
      <c r="A3965" t="s">
        <v>2614</v>
      </c>
      <c r="B3965">
        <v>2024</v>
      </c>
      <c r="C3965">
        <v>2546121400</v>
      </c>
      <c r="D3965" t="s">
        <v>5000</v>
      </c>
      <c r="E3965" t="s">
        <v>29</v>
      </c>
      <c r="F3965" t="s">
        <v>30</v>
      </c>
      <c r="G3965">
        <v>0</v>
      </c>
      <c r="H3965">
        <v>0</v>
      </c>
      <c r="I3965">
        <v>0</v>
      </c>
      <c r="J3965">
        <v>0</v>
      </c>
      <c r="K3965">
        <v>0</v>
      </c>
      <c r="L3965">
        <v>0</v>
      </c>
      <c r="M3965">
        <v>1</v>
      </c>
      <c r="N3965">
        <v>0</v>
      </c>
      <c r="O3965">
        <v>0</v>
      </c>
      <c r="P3965">
        <v>0</v>
      </c>
      <c r="Q3965">
        <v>0</v>
      </c>
      <c r="R3965">
        <v>0</v>
      </c>
      <c r="S3965">
        <v>0</v>
      </c>
      <c r="T3965">
        <v>0</v>
      </c>
      <c r="U3965">
        <v>0</v>
      </c>
      <c r="V3965">
        <v>0</v>
      </c>
      <c r="W3965">
        <v>0</v>
      </c>
      <c r="X3965">
        <v>0</v>
      </c>
      <c r="Y3965" t="s">
        <v>31</v>
      </c>
      <c r="Z3965">
        <v>1000</v>
      </c>
      <c r="AA3965">
        <v>0</v>
      </c>
    </row>
    <row r="3966" spans="1:27" x14ac:dyDescent="0.2">
      <c r="A3966" t="s">
        <v>2614</v>
      </c>
      <c r="B3966">
        <v>2024</v>
      </c>
      <c r="C3966">
        <v>2546121400</v>
      </c>
      <c r="D3966" t="s">
        <v>5001</v>
      </c>
      <c r="E3966" t="s">
        <v>29</v>
      </c>
      <c r="F3966" t="s">
        <v>30</v>
      </c>
      <c r="G3966">
        <v>0</v>
      </c>
      <c r="H3966">
        <v>0</v>
      </c>
      <c r="I3966">
        <v>0</v>
      </c>
      <c r="J3966">
        <v>0</v>
      </c>
      <c r="K3966">
        <v>0</v>
      </c>
      <c r="L3966">
        <v>0</v>
      </c>
      <c r="M3966">
        <v>1</v>
      </c>
      <c r="N3966">
        <v>0</v>
      </c>
      <c r="O3966">
        <v>0</v>
      </c>
      <c r="P3966">
        <v>0</v>
      </c>
      <c r="Q3966">
        <v>0</v>
      </c>
      <c r="R3966">
        <v>0</v>
      </c>
      <c r="S3966">
        <v>0</v>
      </c>
      <c r="T3966">
        <v>0</v>
      </c>
      <c r="U3966">
        <v>0</v>
      </c>
      <c r="V3966">
        <v>0</v>
      </c>
      <c r="W3966">
        <v>0</v>
      </c>
      <c r="X3966">
        <v>0</v>
      </c>
      <c r="Y3966" t="s">
        <v>31</v>
      </c>
      <c r="Z3966">
        <v>55</v>
      </c>
      <c r="AA3966">
        <v>0</v>
      </c>
    </row>
    <row r="3967" spans="1:27" x14ac:dyDescent="0.2">
      <c r="A3967" t="s">
        <v>2614</v>
      </c>
      <c r="B3967">
        <v>2024</v>
      </c>
      <c r="C3967">
        <v>2546121943</v>
      </c>
      <c r="D3967" t="s">
        <v>5002</v>
      </c>
      <c r="E3967" t="s">
        <v>29</v>
      </c>
      <c r="F3967" t="s">
        <v>30</v>
      </c>
      <c r="G3967">
        <v>0</v>
      </c>
      <c r="H3967">
        <v>0</v>
      </c>
      <c r="I3967">
        <v>0</v>
      </c>
      <c r="J3967">
        <v>0</v>
      </c>
      <c r="K3967">
        <v>0</v>
      </c>
      <c r="L3967">
        <v>0</v>
      </c>
      <c r="M3967">
        <v>1</v>
      </c>
      <c r="N3967">
        <v>0</v>
      </c>
      <c r="O3967">
        <v>0</v>
      </c>
      <c r="P3967">
        <v>0</v>
      </c>
      <c r="Q3967">
        <v>0</v>
      </c>
      <c r="R3967">
        <v>0</v>
      </c>
      <c r="S3967">
        <v>0</v>
      </c>
      <c r="T3967">
        <v>0</v>
      </c>
      <c r="U3967">
        <v>0</v>
      </c>
      <c r="V3967">
        <v>0</v>
      </c>
      <c r="W3967">
        <v>0</v>
      </c>
      <c r="X3967">
        <v>0</v>
      </c>
      <c r="Y3967" t="s">
        <v>31</v>
      </c>
      <c r="Z3967">
        <v>1000</v>
      </c>
      <c r="AA3967">
        <v>0</v>
      </c>
    </row>
    <row r="3968" spans="1:27" x14ac:dyDescent="0.2">
      <c r="A3968" t="s">
        <v>27</v>
      </c>
      <c r="B3968">
        <v>2023</v>
      </c>
      <c r="C3968">
        <v>7242011013</v>
      </c>
      <c r="D3968" t="s">
        <v>5003</v>
      </c>
      <c r="E3968" t="s">
        <v>29</v>
      </c>
      <c r="F3968" t="s">
        <v>30</v>
      </c>
      <c r="G3968">
        <v>17</v>
      </c>
      <c r="H3968">
        <v>0</v>
      </c>
      <c r="I3968">
        <v>0</v>
      </c>
      <c r="J3968">
        <v>0</v>
      </c>
      <c r="K3968">
        <v>0</v>
      </c>
      <c r="L3968">
        <v>0</v>
      </c>
      <c r="M3968">
        <v>0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</v>
      </c>
      <c r="T3968">
        <v>0</v>
      </c>
      <c r="U3968">
        <v>0</v>
      </c>
      <c r="V3968">
        <v>0</v>
      </c>
      <c r="W3968">
        <v>0</v>
      </c>
      <c r="X3968">
        <v>0</v>
      </c>
      <c r="Y3968" t="s">
        <v>31</v>
      </c>
      <c r="AA3968">
        <v>20</v>
      </c>
    </row>
    <row r="3969" spans="1:27" x14ac:dyDescent="0.2">
      <c r="A3969" t="s">
        <v>27</v>
      </c>
      <c r="B3969">
        <v>2023</v>
      </c>
      <c r="C3969">
        <v>7269026001</v>
      </c>
      <c r="D3969" t="s">
        <v>5004</v>
      </c>
      <c r="E3969" t="s">
        <v>29</v>
      </c>
      <c r="F3969" t="s">
        <v>30</v>
      </c>
      <c r="G3969">
        <v>18</v>
      </c>
      <c r="H3969">
        <v>0</v>
      </c>
      <c r="I3969">
        <v>143</v>
      </c>
      <c r="J3969">
        <v>0</v>
      </c>
      <c r="K3969">
        <v>0</v>
      </c>
      <c r="L3969">
        <v>0</v>
      </c>
      <c r="M3969">
        <v>0</v>
      </c>
      <c r="N3969">
        <v>0</v>
      </c>
      <c r="O3969">
        <v>0</v>
      </c>
      <c r="P3969">
        <v>0</v>
      </c>
      <c r="Q3969">
        <v>0</v>
      </c>
      <c r="R3969">
        <v>0</v>
      </c>
      <c r="S3969">
        <v>0</v>
      </c>
      <c r="T3969">
        <v>0</v>
      </c>
      <c r="U3969">
        <v>0</v>
      </c>
      <c r="V3969">
        <v>0</v>
      </c>
      <c r="W3969">
        <v>0</v>
      </c>
      <c r="X3969">
        <v>0</v>
      </c>
      <c r="Y3969" t="s">
        <v>31</v>
      </c>
      <c r="AA3969">
        <v>1.3</v>
      </c>
    </row>
    <row r="3970" spans="1:27" x14ac:dyDescent="0.2">
      <c r="A3970" t="s">
        <v>27</v>
      </c>
      <c r="B3970">
        <v>2023</v>
      </c>
      <c r="C3970">
        <v>7275001083</v>
      </c>
      <c r="D3970" t="s">
        <v>5005</v>
      </c>
      <c r="E3970" t="s">
        <v>29</v>
      </c>
      <c r="F3970" t="s">
        <v>30</v>
      </c>
      <c r="G3970">
        <v>10</v>
      </c>
      <c r="H3970">
        <v>0</v>
      </c>
      <c r="I3970">
        <v>72</v>
      </c>
      <c r="J3970">
        <v>0</v>
      </c>
      <c r="K3970">
        <v>0</v>
      </c>
      <c r="L3970">
        <v>0</v>
      </c>
      <c r="M3970">
        <v>0</v>
      </c>
      <c r="N3970">
        <v>0</v>
      </c>
      <c r="O3970">
        <v>0</v>
      </c>
      <c r="P3970">
        <v>0</v>
      </c>
      <c r="Q3970">
        <v>0</v>
      </c>
      <c r="R3970">
        <v>0</v>
      </c>
      <c r="S3970">
        <v>0</v>
      </c>
      <c r="T3970">
        <v>0</v>
      </c>
      <c r="U3970">
        <v>0</v>
      </c>
      <c r="V3970">
        <v>0</v>
      </c>
      <c r="W3970">
        <v>0</v>
      </c>
      <c r="X3970">
        <v>0</v>
      </c>
      <c r="Y3970" t="s">
        <v>31</v>
      </c>
      <c r="AA3970" s="2" t="s">
        <v>5006</v>
      </c>
    </row>
    <row r="3971" spans="1:27" x14ac:dyDescent="0.2">
      <c r="A3971" t="s">
        <v>4812</v>
      </c>
      <c r="B3971">
        <v>2020</v>
      </c>
      <c r="C3971" t="s">
        <v>4813</v>
      </c>
      <c r="D3971" t="s">
        <v>5007</v>
      </c>
      <c r="E3971" t="s">
        <v>29</v>
      </c>
      <c r="F3971" t="s">
        <v>30</v>
      </c>
      <c r="G3971">
        <v>1</v>
      </c>
      <c r="H3971">
        <v>0</v>
      </c>
      <c r="I3971">
        <v>7</v>
      </c>
      <c r="J3971">
        <v>0</v>
      </c>
      <c r="K3971">
        <v>0</v>
      </c>
      <c r="L3971">
        <v>0</v>
      </c>
      <c r="M3971">
        <v>1</v>
      </c>
      <c r="N3971">
        <v>0</v>
      </c>
      <c r="O3971">
        <v>7</v>
      </c>
      <c r="P3971">
        <v>0</v>
      </c>
      <c r="Q3971">
        <v>0</v>
      </c>
      <c r="R3971">
        <v>0</v>
      </c>
      <c r="S3971">
        <v>1</v>
      </c>
      <c r="T3971">
        <v>0</v>
      </c>
      <c r="U3971">
        <v>7</v>
      </c>
      <c r="V3971">
        <v>0</v>
      </c>
      <c r="W3971">
        <v>0</v>
      </c>
      <c r="X3971">
        <v>0</v>
      </c>
      <c r="Y3971" t="s">
        <v>51</v>
      </c>
      <c r="Z3971">
        <v>55</v>
      </c>
      <c r="AA3971">
        <v>0</v>
      </c>
    </row>
    <row r="3972" spans="1:27" x14ac:dyDescent="0.2">
      <c r="A3972" t="s">
        <v>1959</v>
      </c>
      <c r="B3972">
        <v>2022</v>
      </c>
      <c r="C3972" t="s">
        <v>2096</v>
      </c>
      <c r="D3972" t="s">
        <v>2097</v>
      </c>
      <c r="E3972" t="s">
        <v>29</v>
      </c>
      <c r="F3972" t="s">
        <v>30</v>
      </c>
      <c r="G3972">
        <v>100</v>
      </c>
      <c r="H3972">
        <v>0</v>
      </c>
      <c r="I3972">
        <v>50</v>
      </c>
      <c r="J3972">
        <v>0</v>
      </c>
      <c r="K3972">
        <v>0</v>
      </c>
      <c r="L3972">
        <v>0</v>
      </c>
      <c r="M3972">
        <v>0</v>
      </c>
      <c r="N3972">
        <v>0</v>
      </c>
      <c r="O3972">
        <v>0</v>
      </c>
      <c r="P3972">
        <v>0</v>
      </c>
      <c r="Q3972">
        <v>0</v>
      </c>
      <c r="R3972">
        <v>0</v>
      </c>
      <c r="S3972">
        <v>0</v>
      </c>
      <c r="T3972">
        <v>0</v>
      </c>
      <c r="U3972">
        <v>0</v>
      </c>
      <c r="V3972">
        <v>0</v>
      </c>
      <c r="W3972">
        <v>0</v>
      </c>
      <c r="X3972">
        <v>0</v>
      </c>
      <c r="Y3972" t="s">
        <v>51</v>
      </c>
      <c r="Z3972">
        <v>1000</v>
      </c>
      <c r="AA3972">
        <v>0</v>
      </c>
    </row>
    <row r="3973" spans="1:27" x14ac:dyDescent="0.2">
      <c r="A3973" t="s">
        <v>321</v>
      </c>
      <c r="B3973">
        <v>2023</v>
      </c>
      <c r="C3973" t="s">
        <v>5008</v>
      </c>
      <c r="D3973" t="s">
        <v>5009</v>
      </c>
      <c r="E3973" t="s">
        <v>29</v>
      </c>
      <c r="F3973" t="s">
        <v>30</v>
      </c>
      <c r="G3973">
        <v>8</v>
      </c>
      <c r="H3973">
        <v>0</v>
      </c>
      <c r="I3973">
        <v>0</v>
      </c>
      <c r="J3973">
        <v>0</v>
      </c>
      <c r="K3973">
        <v>0</v>
      </c>
      <c r="L3973">
        <v>0</v>
      </c>
      <c r="M3973">
        <v>0</v>
      </c>
      <c r="N3973">
        <v>0</v>
      </c>
      <c r="O3973">
        <v>0</v>
      </c>
      <c r="P3973">
        <v>0</v>
      </c>
      <c r="Q3973">
        <v>0</v>
      </c>
      <c r="R3973">
        <v>0</v>
      </c>
      <c r="S3973">
        <v>0</v>
      </c>
      <c r="T3973">
        <v>0</v>
      </c>
      <c r="U3973">
        <v>0</v>
      </c>
      <c r="V3973">
        <v>0</v>
      </c>
      <c r="W3973">
        <v>0</v>
      </c>
      <c r="X3973">
        <v>0</v>
      </c>
      <c r="Y3973" t="s">
        <v>51</v>
      </c>
      <c r="Z3973">
        <v>55</v>
      </c>
      <c r="AA3973">
        <v>0</v>
      </c>
    </row>
    <row r="3974" spans="1:27" x14ac:dyDescent="0.2">
      <c r="A3974" t="s">
        <v>321</v>
      </c>
      <c r="B3974">
        <v>2023</v>
      </c>
      <c r="C3974">
        <v>4289019019</v>
      </c>
      <c r="D3974" t="s">
        <v>3626</v>
      </c>
      <c r="E3974" t="s">
        <v>29</v>
      </c>
      <c r="F3974" t="s">
        <v>30</v>
      </c>
      <c r="G3974">
        <v>19</v>
      </c>
      <c r="H3974">
        <v>0</v>
      </c>
      <c r="I3974">
        <v>0</v>
      </c>
      <c r="J3974">
        <v>0</v>
      </c>
      <c r="K3974">
        <v>0</v>
      </c>
      <c r="L3974">
        <v>0</v>
      </c>
      <c r="M3974">
        <v>0</v>
      </c>
      <c r="N3974">
        <v>0</v>
      </c>
      <c r="O3974">
        <v>0</v>
      </c>
      <c r="P3974">
        <v>0</v>
      </c>
      <c r="Q3974">
        <v>0</v>
      </c>
      <c r="R3974">
        <v>0</v>
      </c>
      <c r="S3974">
        <v>0</v>
      </c>
      <c r="T3974">
        <v>0</v>
      </c>
      <c r="U3974">
        <v>0</v>
      </c>
      <c r="V3974">
        <v>0</v>
      </c>
      <c r="W3974">
        <v>0</v>
      </c>
      <c r="X3974">
        <v>0</v>
      </c>
      <c r="Y3974" t="s">
        <v>31</v>
      </c>
      <c r="Z3974">
        <v>55</v>
      </c>
      <c r="AA3974">
        <v>50</v>
      </c>
    </row>
    <row r="3975" spans="1:27" x14ac:dyDescent="0.2">
      <c r="A3975" t="s">
        <v>321</v>
      </c>
      <c r="B3975">
        <v>2023</v>
      </c>
      <c r="C3975" t="s">
        <v>5010</v>
      </c>
      <c r="D3975" t="s">
        <v>5011</v>
      </c>
      <c r="E3975" t="s">
        <v>29</v>
      </c>
      <c r="F3975" t="s">
        <v>30</v>
      </c>
      <c r="G3975">
        <v>53</v>
      </c>
      <c r="H3975">
        <v>0</v>
      </c>
      <c r="I3975">
        <v>0</v>
      </c>
      <c r="J3975">
        <v>0</v>
      </c>
      <c r="K3975">
        <v>0</v>
      </c>
      <c r="L3975">
        <v>0</v>
      </c>
      <c r="M3975">
        <v>0</v>
      </c>
      <c r="N3975">
        <v>0</v>
      </c>
      <c r="O3975">
        <v>0</v>
      </c>
      <c r="P3975">
        <v>0</v>
      </c>
      <c r="Q3975">
        <v>0</v>
      </c>
      <c r="R3975">
        <v>0</v>
      </c>
      <c r="S3975">
        <v>0</v>
      </c>
      <c r="T3975">
        <v>0</v>
      </c>
      <c r="U3975">
        <v>0</v>
      </c>
      <c r="V3975">
        <v>0</v>
      </c>
      <c r="W3975">
        <v>0</v>
      </c>
      <c r="X3975">
        <v>0</v>
      </c>
      <c r="Y3975" t="s">
        <v>31</v>
      </c>
      <c r="Z3975">
        <v>55</v>
      </c>
      <c r="AA3975">
        <v>50</v>
      </c>
    </row>
    <row r="3976" spans="1:27" x14ac:dyDescent="0.2">
      <c r="A3976" t="s">
        <v>321</v>
      </c>
      <c r="B3976">
        <v>2023</v>
      </c>
      <c r="C3976" t="s">
        <v>5012</v>
      </c>
      <c r="D3976" t="s">
        <v>5013</v>
      </c>
      <c r="E3976" t="s">
        <v>29</v>
      </c>
      <c r="F3976" t="s">
        <v>30</v>
      </c>
      <c r="G3976">
        <v>0</v>
      </c>
      <c r="H3976">
        <v>0</v>
      </c>
      <c r="I3976">
        <v>0</v>
      </c>
      <c r="J3976">
        <v>0</v>
      </c>
      <c r="K3976">
        <v>0</v>
      </c>
      <c r="L3976">
        <v>0</v>
      </c>
      <c r="M3976">
        <v>6</v>
      </c>
      <c r="N3976">
        <v>0</v>
      </c>
      <c r="O3976">
        <v>5</v>
      </c>
      <c r="P3976">
        <v>0</v>
      </c>
      <c r="Q3976">
        <v>7</v>
      </c>
      <c r="R3976">
        <v>0</v>
      </c>
      <c r="S3976">
        <v>0</v>
      </c>
      <c r="T3976">
        <v>0</v>
      </c>
      <c r="U3976">
        <v>0</v>
      </c>
      <c r="V3976">
        <v>0</v>
      </c>
      <c r="W3976">
        <v>0</v>
      </c>
      <c r="X3976">
        <v>0</v>
      </c>
      <c r="Y3976" t="s">
        <v>51</v>
      </c>
      <c r="Z3976">
        <v>55</v>
      </c>
      <c r="AA3976">
        <v>0</v>
      </c>
    </row>
    <row r="3977" spans="1:27" x14ac:dyDescent="0.2">
      <c r="A3977" t="s">
        <v>1116</v>
      </c>
      <c r="B3977">
        <v>2019</v>
      </c>
      <c r="C3977" t="s">
        <v>3093</v>
      </c>
      <c r="D3977" t="s">
        <v>5014</v>
      </c>
      <c r="E3977" t="s">
        <v>29</v>
      </c>
      <c r="F3977" t="s">
        <v>30</v>
      </c>
      <c r="G3977">
        <v>0</v>
      </c>
      <c r="H3977">
        <v>0</v>
      </c>
      <c r="I3977">
        <v>0</v>
      </c>
      <c r="J3977">
        <v>0</v>
      </c>
      <c r="K3977">
        <v>0</v>
      </c>
      <c r="L3977">
        <v>0</v>
      </c>
      <c r="M3977">
        <v>0</v>
      </c>
      <c r="N3977">
        <v>0</v>
      </c>
      <c r="O3977">
        <v>0</v>
      </c>
      <c r="P3977">
        <v>0</v>
      </c>
      <c r="Q3977">
        <v>0</v>
      </c>
      <c r="R3977">
        <v>0</v>
      </c>
      <c r="S3977">
        <v>4</v>
      </c>
      <c r="T3977">
        <v>0</v>
      </c>
      <c r="U3977">
        <v>2</v>
      </c>
      <c r="V3977">
        <v>0</v>
      </c>
      <c r="W3977">
        <v>0</v>
      </c>
      <c r="X3977">
        <v>0</v>
      </c>
      <c r="Y3977" t="s">
        <v>31</v>
      </c>
      <c r="AA3977">
        <v>0</v>
      </c>
    </row>
    <row r="3978" spans="1:27" x14ac:dyDescent="0.2">
      <c r="A3978" t="s">
        <v>1116</v>
      </c>
      <c r="B3978">
        <v>2019</v>
      </c>
      <c r="C3978" t="s">
        <v>3093</v>
      </c>
      <c r="D3978" t="s">
        <v>5015</v>
      </c>
      <c r="E3978" t="s">
        <v>29</v>
      </c>
      <c r="F3978" t="s">
        <v>30</v>
      </c>
      <c r="G3978">
        <v>0</v>
      </c>
      <c r="H3978">
        <v>0</v>
      </c>
      <c r="I3978">
        <v>0</v>
      </c>
      <c r="J3978">
        <v>0</v>
      </c>
      <c r="K3978">
        <v>0</v>
      </c>
      <c r="L3978">
        <v>0</v>
      </c>
      <c r="M3978">
        <v>0</v>
      </c>
      <c r="N3978">
        <v>0</v>
      </c>
      <c r="O3978">
        <v>0</v>
      </c>
      <c r="P3978">
        <v>0</v>
      </c>
      <c r="Q3978">
        <v>0</v>
      </c>
      <c r="R3978">
        <v>0</v>
      </c>
      <c r="S3978">
        <v>4</v>
      </c>
      <c r="T3978">
        <v>0</v>
      </c>
      <c r="U3978">
        <v>2</v>
      </c>
      <c r="V3978">
        <v>0</v>
      </c>
      <c r="W3978">
        <v>0</v>
      </c>
      <c r="X3978">
        <v>0</v>
      </c>
      <c r="Y3978" t="s">
        <v>31</v>
      </c>
      <c r="AA3978">
        <v>0</v>
      </c>
    </row>
    <row r="3979" spans="1:27" x14ac:dyDescent="0.2">
      <c r="A3979" t="s">
        <v>1116</v>
      </c>
      <c r="B3979">
        <v>2019</v>
      </c>
      <c r="C3979" t="s">
        <v>3093</v>
      </c>
      <c r="D3979" t="s">
        <v>5016</v>
      </c>
      <c r="E3979" t="s">
        <v>29</v>
      </c>
      <c r="F3979" t="s">
        <v>30</v>
      </c>
      <c r="G3979">
        <v>0</v>
      </c>
      <c r="H3979">
        <v>0</v>
      </c>
      <c r="I3979">
        <v>0</v>
      </c>
      <c r="J3979">
        <v>0</v>
      </c>
      <c r="K3979">
        <v>0</v>
      </c>
      <c r="L3979">
        <v>0</v>
      </c>
      <c r="M3979">
        <v>0</v>
      </c>
      <c r="N3979">
        <v>0</v>
      </c>
      <c r="O3979">
        <v>0</v>
      </c>
      <c r="P3979">
        <v>0</v>
      </c>
      <c r="Q3979">
        <v>0</v>
      </c>
      <c r="R3979">
        <v>0</v>
      </c>
      <c r="S3979">
        <v>5</v>
      </c>
      <c r="T3979">
        <v>0</v>
      </c>
      <c r="U3979">
        <v>2</v>
      </c>
      <c r="V3979">
        <v>0</v>
      </c>
      <c r="W3979">
        <v>0</v>
      </c>
      <c r="X3979">
        <v>0</v>
      </c>
      <c r="Y3979" t="s">
        <v>31</v>
      </c>
      <c r="AA3979">
        <v>0</v>
      </c>
    </row>
    <row r="3980" spans="1:27" x14ac:dyDescent="0.2">
      <c r="A3980" t="s">
        <v>1116</v>
      </c>
      <c r="B3980">
        <v>2019</v>
      </c>
      <c r="C3980" t="s">
        <v>3093</v>
      </c>
      <c r="D3980" t="s">
        <v>5017</v>
      </c>
      <c r="E3980" t="s">
        <v>29</v>
      </c>
      <c r="F3980" t="s">
        <v>30</v>
      </c>
      <c r="G3980">
        <v>0</v>
      </c>
      <c r="H3980">
        <v>0</v>
      </c>
      <c r="I3980">
        <v>0</v>
      </c>
      <c r="J3980">
        <v>0</v>
      </c>
      <c r="K3980">
        <v>0</v>
      </c>
      <c r="L3980">
        <v>0</v>
      </c>
      <c r="M3980">
        <v>0</v>
      </c>
      <c r="N3980">
        <v>0</v>
      </c>
      <c r="O3980">
        <v>0</v>
      </c>
      <c r="P3980">
        <v>0</v>
      </c>
      <c r="Q3980">
        <v>0</v>
      </c>
      <c r="R3980">
        <v>0</v>
      </c>
      <c r="S3980">
        <v>5</v>
      </c>
      <c r="T3980">
        <v>0</v>
      </c>
      <c r="U3980">
        <v>2</v>
      </c>
      <c r="V3980">
        <v>0</v>
      </c>
      <c r="W3980">
        <v>0</v>
      </c>
      <c r="X3980">
        <v>0</v>
      </c>
      <c r="Y3980" t="s">
        <v>31</v>
      </c>
      <c r="AA3980">
        <v>0</v>
      </c>
    </row>
    <row r="3981" spans="1:27" x14ac:dyDescent="0.2">
      <c r="A3981" t="s">
        <v>170</v>
      </c>
      <c r="B3981">
        <v>2020</v>
      </c>
      <c r="C3981">
        <v>63603306</v>
      </c>
      <c r="D3981" t="s">
        <v>5018</v>
      </c>
      <c r="E3981" t="s">
        <v>29</v>
      </c>
      <c r="F3981" t="s">
        <v>30</v>
      </c>
      <c r="G3981">
        <v>0</v>
      </c>
      <c r="H3981">
        <v>0</v>
      </c>
      <c r="I3981">
        <v>0</v>
      </c>
      <c r="J3981">
        <v>0</v>
      </c>
      <c r="K3981">
        <v>0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0</v>
      </c>
      <c r="R3981">
        <v>0</v>
      </c>
      <c r="S3981">
        <v>14</v>
      </c>
      <c r="T3981">
        <v>0</v>
      </c>
      <c r="U3981">
        <v>0</v>
      </c>
      <c r="V3981">
        <v>0</v>
      </c>
      <c r="W3981">
        <v>0</v>
      </c>
      <c r="X3981">
        <v>0</v>
      </c>
      <c r="Y3981" t="s">
        <v>31</v>
      </c>
      <c r="Z3981">
        <v>30</v>
      </c>
      <c r="AA3981">
        <v>0</v>
      </c>
    </row>
    <row r="3982" spans="1:27" x14ac:dyDescent="0.2">
      <c r="A3982" t="s">
        <v>406</v>
      </c>
      <c r="B3982">
        <v>2020</v>
      </c>
      <c r="C3982" t="s">
        <v>4906</v>
      </c>
      <c r="D3982" t="s">
        <v>5019</v>
      </c>
      <c r="E3982" t="s">
        <v>29</v>
      </c>
      <c r="F3982" t="s">
        <v>30</v>
      </c>
      <c r="G3982">
        <v>0</v>
      </c>
      <c r="H3982">
        <v>0</v>
      </c>
      <c r="I3982">
        <v>0</v>
      </c>
      <c r="J3982">
        <v>0</v>
      </c>
      <c r="K3982">
        <v>0</v>
      </c>
      <c r="L3982">
        <v>0</v>
      </c>
      <c r="M3982">
        <v>0</v>
      </c>
      <c r="N3982">
        <v>0</v>
      </c>
      <c r="O3982">
        <v>0</v>
      </c>
      <c r="P3982">
        <v>0</v>
      </c>
      <c r="Q3982">
        <v>0</v>
      </c>
      <c r="R3982">
        <v>0</v>
      </c>
      <c r="S3982">
        <v>9</v>
      </c>
      <c r="T3982">
        <v>0</v>
      </c>
      <c r="U3982">
        <v>0</v>
      </c>
      <c r="V3982">
        <v>0</v>
      </c>
      <c r="W3982">
        <v>0</v>
      </c>
      <c r="X3982">
        <v>0</v>
      </c>
      <c r="Y3982" t="s">
        <v>51</v>
      </c>
      <c r="AA3982">
        <v>0</v>
      </c>
    </row>
    <row r="3983" spans="1:27" x14ac:dyDescent="0.2">
      <c r="A3983" t="s">
        <v>2411</v>
      </c>
      <c r="B3983">
        <v>2020</v>
      </c>
      <c r="C3983" t="s">
        <v>5020</v>
      </c>
      <c r="D3983" t="s">
        <v>5021</v>
      </c>
      <c r="E3983" t="s">
        <v>29</v>
      </c>
      <c r="F3983" t="s">
        <v>41</v>
      </c>
      <c r="G3983">
        <v>1</v>
      </c>
      <c r="H3983">
        <v>0</v>
      </c>
      <c r="I3983">
        <v>0</v>
      </c>
      <c r="J3983">
        <v>0</v>
      </c>
      <c r="K3983">
        <v>3</v>
      </c>
      <c r="L3983">
        <v>0</v>
      </c>
      <c r="M3983">
        <v>0</v>
      </c>
      <c r="N3983">
        <v>0</v>
      </c>
      <c r="O3983">
        <v>0</v>
      </c>
      <c r="P3983">
        <v>0</v>
      </c>
      <c r="Q3983">
        <v>0</v>
      </c>
      <c r="R3983">
        <v>0</v>
      </c>
      <c r="S3983">
        <v>0</v>
      </c>
      <c r="T3983">
        <v>0</v>
      </c>
      <c r="U3983">
        <v>0</v>
      </c>
      <c r="V3983">
        <v>0</v>
      </c>
      <c r="W3983">
        <v>0</v>
      </c>
      <c r="X3983">
        <v>0</v>
      </c>
      <c r="Y3983" t="s">
        <v>31</v>
      </c>
      <c r="Z3983">
        <v>1000</v>
      </c>
      <c r="AA3983">
        <v>0</v>
      </c>
    </row>
    <row r="3984" spans="1:27" x14ac:dyDescent="0.2">
      <c r="A3984" t="s">
        <v>2411</v>
      </c>
      <c r="B3984">
        <v>2020</v>
      </c>
      <c r="C3984" t="s">
        <v>5022</v>
      </c>
      <c r="D3984" t="s">
        <v>5023</v>
      </c>
      <c r="E3984" t="s">
        <v>29</v>
      </c>
      <c r="F3984" t="s">
        <v>30</v>
      </c>
      <c r="G3984">
        <v>1</v>
      </c>
      <c r="H3984">
        <v>0</v>
      </c>
      <c r="I3984">
        <v>0</v>
      </c>
      <c r="J3984">
        <v>0</v>
      </c>
      <c r="K3984">
        <v>0</v>
      </c>
      <c r="L3984">
        <v>0</v>
      </c>
      <c r="M3984">
        <v>0</v>
      </c>
      <c r="N3984">
        <v>0</v>
      </c>
      <c r="O3984">
        <v>0</v>
      </c>
      <c r="P3984">
        <v>0</v>
      </c>
      <c r="Q3984">
        <v>0</v>
      </c>
      <c r="R3984">
        <v>0</v>
      </c>
      <c r="S3984">
        <v>0</v>
      </c>
      <c r="T3984">
        <v>0</v>
      </c>
      <c r="U3984">
        <v>0</v>
      </c>
      <c r="V3984">
        <v>0</v>
      </c>
      <c r="W3984">
        <v>0</v>
      </c>
      <c r="X3984">
        <v>0</v>
      </c>
      <c r="Y3984" t="s">
        <v>31</v>
      </c>
      <c r="Z3984">
        <v>1000</v>
      </c>
      <c r="AA3984">
        <v>0</v>
      </c>
    </row>
    <row r="3985" spans="1:27" x14ac:dyDescent="0.2">
      <c r="A3985" t="s">
        <v>271</v>
      </c>
      <c r="B3985">
        <v>2020</v>
      </c>
      <c r="C3985">
        <v>8601034</v>
      </c>
      <c r="D3985" t="s">
        <v>5024</v>
      </c>
      <c r="E3985" t="s">
        <v>29</v>
      </c>
      <c r="F3985" t="s">
        <v>30</v>
      </c>
      <c r="G3985">
        <v>15</v>
      </c>
      <c r="H3985">
        <v>0</v>
      </c>
      <c r="I3985">
        <v>41</v>
      </c>
      <c r="J3985">
        <v>0</v>
      </c>
      <c r="K3985">
        <v>0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0</v>
      </c>
      <c r="W3985">
        <v>0</v>
      </c>
      <c r="X3985">
        <v>0</v>
      </c>
      <c r="Y3985" t="s">
        <v>51</v>
      </c>
      <c r="Z3985">
        <v>55</v>
      </c>
      <c r="AA3985">
        <v>0</v>
      </c>
    </row>
    <row r="3986" spans="1:27" x14ac:dyDescent="0.2">
      <c r="A3986" t="s">
        <v>2411</v>
      </c>
      <c r="B3986">
        <v>2019</v>
      </c>
      <c r="C3986" t="s">
        <v>5025</v>
      </c>
      <c r="D3986" t="s">
        <v>5026</v>
      </c>
      <c r="E3986" t="s">
        <v>29</v>
      </c>
      <c r="F3986" t="s">
        <v>30</v>
      </c>
      <c r="G3986">
        <v>77</v>
      </c>
      <c r="H3986">
        <v>0</v>
      </c>
      <c r="I3986">
        <v>32</v>
      </c>
      <c r="J3986">
        <v>0</v>
      </c>
      <c r="K3986">
        <v>0</v>
      </c>
      <c r="L3986">
        <v>0</v>
      </c>
      <c r="M3986">
        <v>0</v>
      </c>
      <c r="N3986">
        <v>0</v>
      </c>
      <c r="O3986">
        <v>0</v>
      </c>
      <c r="P3986">
        <v>0</v>
      </c>
      <c r="Q3986">
        <v>0</v>
      </c>
      <c r="R3986">
        <v>0</v>
      </c>
      <c r="S3986">
        <v>0</v>
      </c>
      <c r="T3986">
        <v>0</v>
      </c>
      <c r="U3986">
        <v>0</v>
      </c>
      <c r="V3986">
        <v>0</v>
      </c>
      <c r="W3986">
        <v>0</v>
      </c>
      <c r="X3986">
        <v>0</v>
      </c>
      <c r="Y3986" t="s">
        <v>31</v>
      </c>
      <c r="Z3986">
        <v>55</v>
      </c>
      <c r="AA3986">
        <v>0</v>
      </c>
    </row>
    <row r="3987" spans="1:27" x14ac:dyDescent="0.2">
      <c r="A3987" t="s">
        <v>622</v>
      </c>
      <c r="B3987">
        <v>2020</v>
      </c>
      <c r="C3987" t="s">
        <v>623</v>
      </c>
      <c r="D3987" t="s">
        <v>1123</v>
      </c>
      <c r="E3987" t="s">
        <v>29</v>
      </c>
      <c r="F3987" t="s">
        <v>30</v>
      </c>
      <c r="G3987">
        <v>0</v>
      </c>
      <c r="H3987">
        <v>0</v>
      </c>
      <c r="I3987">
        <v>0</v>
      </c>
      <c r="J3987">
        <v>0</v>
      </c>
      <c r="K3987">
        <v>0</v>
      </c>
      <c r="L3987">
        <v>0</v>
      </c>
      <c r="M3987">
        <v>10</v>
      </c>
      <c r="N3987">
        <v>0</v>
      </c>
      <c r="O3987">
        <v>0</v>
      </c>
      <c r="P3987">
        <v>0</v>
      </c>
      <c r="Q3987">
        <v>0</v>
      </c>
      <c r="R3987">
        <v>0</v>
      </c>
      <c r="S3987">
        <v>0</v>
      </c>
      <c r="T3987">
        <v>0</v>
      </c>
      <c r="U3987">
        <v>0</v>
      </c>
      <c r="V3987">
        <v>0</v>
      </c>
      <c r="W3987">
        <v>0</v>
      </c>
      <c r="X3987">
        <v>0</v>
      </c>
      <c r="Y3987" t="s">
        <v>51</v>
      </c>
      <c r="Z3987">
        <v>55</v>
      </c>
      <c r="AA3987">
        <v>0</v>
      </c>
    </row>
    <row r="3988" spans="1:27" x14ac:dyDescent="0.2">
      <c r="A3988" t="s">
        <v>622</v>
      </c>
      <c r="B3988">
        <v>2020</v>
      </c>
      <c r="C3988" t="s">
        <v>623</v>
      </c>
      <c r="D3988" t="s">
        <v>626</v>
      </c>
      <c r="E3988" t="s">
        <v>29</v>
      </c>
      <c r="F3988" t="s">
        <v>30</v>
      </c>
      <c r="G3988">
        <v>0</v>
      </c>
      <c r="H3988">
        <v>0</v>
      </c>
      <c r="I3988">
        <v>0</v>
      </c>
      <c r="J3988">
        <v>0</v>
      </c>
      <c r="K3988">
        <v>0</v>
      </c>
      <c r="L3988">
        <v>0</v>
      </c>
      <c r="M3988">
        <v>10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0</v>
      </c>
      <c r="T3988">
        <v>0</v>
      </c>
      <c r="U3988">
        <v>0</v>
      </c>
      <c r="V3988">
        <v>0</v>
      </c>
      <c r="W3988">
        <v>0</v>
      </c>
      <c r="X3988">
        <v>0</v>
      </c>
      <c r="Y3988" t="s">
        <v>51</v>
      </c>
      <c r="Z3988">
        <v>55</v>
      </c>
      <c r="AA3988">
        <v>0</v>
      </c>
    </row>
    <row r="3989" spans="1:27" x14ac:dyDescent="0.2">
      <c r="A3989" t="s">
        <v>622</v>
      </c>
      <c r="B3989">
        <v>2020</v>
      </c>
      <c r="C3989" t="s">
        <v>623</v>
      </c>
      <c r="D3989" t="s">
        <v>1179</v>
      </c>
      <c r="E3989" t="s">
        <v>29</v>
      </c>
      <c r="F3989" t="s">
        <v>30</v>
      </c>
      <c r="G3989">
        <v>0</v>
      </c>
      <c r="H3989">
        <v>0</v>
      </c>
      <c r="I3989">
        <v>0</v>
      </c>
      <c r="J3989">
        <v>0</v>
      </c>
      <c r="K3989">
        <v>0</v>
      </c>
      <c r="L3989">
        <v>0</v>
      </c>
      <c r="M3989">
        <v>1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0</v>
      </c>
      <c r="T3989">
        <v>0</v>
      </c>
      <c r="U3989">
        <v>0</v>
      </c>
      <c r="V3989">
        <v>0</v>
      </c>
      <c r="W3989">
        <v>0</v>
      </c>
      <c r="X3989">
        <v>0</v>
      </c>
      <c r="Y3989" t="s">
        <v>51</v>
      </c>
      <c r="Z3989">
        <v>55</v>
      </c>
      <c r="AA3989">
        <v>0</v>
      </c>
    </row>
    <row r="3990" spans="1:27" x14ac:dyDescent="0.2">
      <c r="A3990" t="s">
        <v>43</v>
      </c>
      <c r="B3990">
        <v>2020</v>
      </c>
      <c r="C3990">
        <v>5529019019</v>
      </c>
      <c r="D3990" t="s">
        <v>5027</v>
      </c>
      <c r="E3990" t="s">
        <v>29</v>
      </c>
      <c r="F3990" t="s">
        <v>30</v>
      </c>
      <c r="G3990">
        <v>0</v>
      </c>
      <c r="H3990">
        <v>0</v>
      </c>
      <c r="I3990">
        <v>1</v>
      </c>
      <c r="J3990">
        <v>0</v>
      </c>
      <c r="K3990">
        <v>0</v>
      </c>
      <c r="L3990">
        <v>0</v>
      </c>
      <c r="M3990">
        <v>0</v>
      </c>
      <c r="N3990">
        <v>0</v>
      </c>
      <c r="O3990">
        <v>1</v>
      </c>
      <c r="P3990">
        <v>0</v>
      </c>
      <c r="Q3990">
        <v>0</v>
      </c>
      <c r="R3990">
        <v>0</v>
      </c>
      <c r="S3990">
        <v>0</v>
      </c>
      <c r="T3990">
        <v>0</v>
      </c>
      <c r="U3990">
        <v>0</v>
      </c>
      <c r="V3990">
        <v>0</v>
      </c>
      <c r="W3990">
        <v>0</v>
      </c>
      <c r="X3990">
        <v>0</v>
      </c>
      <c r="Y3990" t="s">
        <v>31</v>
      </c>
      <c r="Z3990">
        <v>1000</v>
      </c>
      <c r="AA3990">
        <v>0</v>
      </c>
    </row>
    <row r="3991" spans="1:27" x14ac:dyDescent="0.2">
      <c r="A3991" t="s">
        <v>43</v>
      </c>
      <c r="B3991">
        <v>2020</v>
      </c>
      <c r="C3991">
        <v>4340013025</v>
      </c>
      <c r="D3991" t="s">
        <v>5028</v>
      </c>
      <c r="E3991" t="s">
        <v>29</v>
      </c>
      <c r="F3991" t="s">
        <v>30</v>
      </c>
      <c r="G3991">
        <v>2</v>
      </c>
      <c r="H3991">
        <v>0</v>
      </c>
      <c r="I3991">
        <v>4</v>
      </c>
      <c r="J3991">
        <v>0</v>
      </c>
      <c r="K3991">
        <v>6</v>
      </c>
      <c r="L3991">
        <v>0</v>
      </c>
      <c r="M3991">
        <v>2</v>
      </c>
      <c r="N3991">
        <v>0</v>
      </c>
      <c r="O3991">
        <v>4</v>
      </c>
      <c r="P3991">
        <v>0</v>
      </c>
      <c r="Q3991">
        <v>6</v>
      </c>
      <c r="R3991">
        <v>0</v>
      </c>
      <c r="S3991">
        <v>2</v>
      </c>
      <c r="T3991">
        <v>0</v>
      </c>
      <c r="U3991">
        <v>4</v>
      </c>
      <c r="V3991">
        <v>0</v>
      </c>
      <c r="W3991">
        <v>6</v>
      </c>
      <c r="X3991">
        <v>0</v>
      </c>
      <c r="Y3991" t="s">
        <v>31</v>
      </c>
      <c r="Z3991">
        <v>1000</v>
      </c>
      <c r="AA3991">
        <v>0</v>
      </c>
    </row>
    <row r="3992" spans="1:27" x14ac:dyDescent="0.2">
      <c r="A3992" t="s">
        <v>418</v>
      </c>
      <c r="B3992">
        <v>2020</v>
      </c>
      <c r="C3992">
        <v>27414152</v>
      </c>
      <c r="D3992" t="s">
        <v>5029</v>
      </c>
      <c r="E3992" t="s">
        <v>29</v>
      </c>
      <c r="F3992" t="s">
        <v>30</v>
      </c>
      <c r="G3992">
        <v>14</v>
      </c>
      <c r="H3992">
        <v>0</v>
      </c>
      <c r="I3992">
        <v>0</v>
      </c>
      <c r="J3992">
        <v>0</v>
      </c>
      <c r="K3992">
        <v>20</v>
      </c>
      <c r="L3992">
        <v>0</v>
      </c>
      <c r="M3992">
        <v>0</v>
      </c>
      <c r="N3992">
        <v>0</v>
      </c>
      <c r="O3992">
        <v>0</v>
      </c>
      <c r="P3992">
        <v>0</v>
      </c>
      <c r="Q3992">
        <v>0</v>
      </c>
      <c r="R3992">
        <v>0</v>
      </c>
      <c r="S3992">
        <v>0</v>
      </c>
      <c r="T3992">
        <v>0</v>
      </c>
      <c r="U3992">
        <v>0</v>
      </c>
      <c r="V3992">
        <v>0</v>
      </c>
      <c r="W3992">
        <v>0</v>
      </c>
      <c r="X3992">
        <v>0</v>
      </c>
      <c r="Y3992" t="s">
        <v>51</v>
      </c>
      <c r="Z3992">
        <v>55</v>
      </c>
      <c r="AA3992">
        <v>0</v>
      </c>
    </row>
    <row r="3993" spans="1:27" x14ac:dyDescent="0.2">
      <c r="A3993" t="s">
        <v>1116</v>
      </c>
      <c r="B3993">
        <v>2019</v>
      </c>
      <c r="C3993" t="s">
        <v>3093</v>
      </c>
      <c r="D3993" t="s">
        <v>5030</v>
      </c>
      <c r="E3993" t="s">
        <v>29</v>
      </c>
      <c r="F3993" t="s">
        <v>30</v>
      </c>
      <c r="G3993">
        <v>0</v>
      </c>
      <c r="H3993">
        <v>0</v>
      </c>
      <c r="I3993">
        <v>0</v>
      </c>
      <c r="J3993">
        <v>0</v>
      </c>
      <c r="K3993">
        <v>0</v>
      </c>
      <c r="L3993">
        <v>0</v>
      </c>
      <c r="M3993">
        <v>0</v>
      </c>
      <c r="N3993">
        <v>0</v>
      </c>
      <c r="O3993">
        <v>0</v>
      </c>
      <c r="P3993">
        <v>0</v>
      </c>
      <c r="Q3993">
        <v>0</v>
      </c>
      <c r="R3993">
        <v>0</v>
      </c>
      <c r="S3993">
        <v>3</v>
      </c>
      <c r="T3993">
        <v>0</v>
      </c>
      <c r="U3993">
        <v>1</v>
      </c>
      <c r="V3993">
        <v>0</v>
      </c>
      <c r="W3993">
        <v>0</v>
      </c>
      <c r="X3993">
        <v>0</v>
      </c>
      <c r="Y3993" t="s">
        <v>31</v>
      </c>
      <c r="AA3993">
        <v>0</v>
      </c>
    </row>
    <row r="3994" spans="1:27" x14ac:dyDescent="0.2">
      <c r="A3994" t="s">
        <v>2561</v>
      </c>
      <c r="B3994">
        <v>2020</v>
      </c>
      <c r="C3994">
        <v>31710106</v>
      </c>
      <c r="D3994" t="s">
        <v>5031</v>
      </c>
      <c r="E3994" t="s">
        <v>29</v>
      </c>
      <c r="F3994" t="s">
        <v>30</v>
      </c>
      <c r="G3994">
        <v>0</v>
      </c>
      <c r="H3994">
        <v>0</v>
      </c>
      <c r="I3994">
        <v>0</v>
      </c>
      <c r="J3994">
        <v>0</v>
      </c>
      <c r="K3994">
        <v>0</v>
      </c>
      <c r="L3994">
        <v>0</v>
      </c>
      <c r="M3994">
        <v>14</v>
      </c>
      <c r="N3994">
        <v>0</v>
      </c>
      <c r="O3994">
        <v>29</v>
      </c>
      <c r="P3994">
        <v>0</v>
      </c>
      <c r="Q3994">
        <v>0</v>
      </c>
      <c r="R3994">
        <v>1</v>
      </c>
      <c r="S3994">
        <v>0</v>
      </c>
      <c r="T3994">
        <v>0</v>
      </c>
      <c r="U3994">
        <v>0</v>
      </c>
      <c r="V3994">
        <v>0</v>
      </c>
      <c r="W3994">
        <v>0</v>
      </c>
      <c r="X3994">
        <v>0</v>
      </c>
      <c r="Y3994" t="s">
        <v>31</v>
      </c>
      <c r="Z3994">
        <v>55</v>
      </c>
      <c r="AA3994">
        <v>0</v>
      </c>
    </row>
    <row r="3995" spans="1:27" x14ac:dyDescent="0.2">
      <c r="A3995" t="s">
        <v>2614</v>
      </c>
      <c r="B3995">
        <v>2023</v>
      </c>
      <c r="C3995" t="s">
        <v>5032</v>
      </c>
      <c r="D3995" t="s">
        <v>5033</v>
      </c>
      <c r="E3995" t="s">
        <v>29</v>
      </c>
      <c r="F3995" t="s">
        <v>41</v>
      </c>
      <c r="G3995">
        <v>0</v>
      </c>
      <c r="H3995">
        <v>0</v>
      </c>
      <c r="I3995">
        <v>14</v>
      </c>
      <c r="J3995">
        <v>0</v>
      </c>
      <c r="K3995">
        <v>0</v>
      </c>
      <c r="L3995">
        <v>0</v>
      </c>
      <c r="M3995">
        <v>0</v>
      </c>
      <c r="N3995">
        <v>0</v>
      </c>
      <c r="O3995">
        <v>0</v>
      </c>
      <c r="P3995">
        <v>0</v>
      </c>
      <c r="Q3995">
        <v>0</v>
      </c>
      <c r="R3995">
        <v>0</v>
      </c>
      <c r="S3995">
        <v>0</v>
      </c>
      <c r="T3995">
        <v>0</v>
      </c>
      <c r="U3995">
        <v>0</v>
      </c>
      <c r="V3995">
        <v>0</v>
      </c>
      <c r="W3995">
        <v>0</v>
      </c>
      <c r="X3995">
        <v>0</v>
      </c>
      <c r="Y3995" t="s">
        <v>31</v>
      </c>
      <c r="Z3995">
        <v>1000</v>
      </c>
      <c r="AA3995">
        <v>0.5</v>
      </c>
    </row>
    <row r="3996" spans="1:27" x14ac:dyDescent="0.2">
      <c r="A3996" t="s">
        <v>2614</v>
      </c>
      <c r="B3996">
        <v>2023</v>
      </c>
      <c r="C3996">
        <v>2546121400</v>
      </c>
      <c r="D3996" t="s">
        <v>4999</v>
      </c>
      <c r="E3996" t="s">
        <v>29</v>
      </c>
      <c r="F3996" t="s">
        <v>30</v>
      </c>
      <c r="G3996">
        <v>0</v>
      </c>
      <c r="H3996">
        <v>0</v>
      </c>
      <c r="I3996">
        <v>0</v>
      </c>
      <c r="J3996">
        <v>0</v>
      </c>
      <c r="K3996">
        <v>0</v>
      </c>
      <c r="L3996">
        <v>0</v>
      </c>
      <c r="M3996">
        <v>1</v>
      </c>
      <c r="N3996">
        <v>0</v>
      </c>
      <c r="O3996">
        <v>0</v>
      </c>
      <c r="P3996">
        <v>0</v>
      </c>
      <c r="Q3996">
        <v>0</v>
      </c>
      <c r="R3996">
        <v>0</v>
      </c>
      <c r="S3996">
        <v>0</v>
      </c>
      <c r="T3996">
        <v>0</v>
      </c>
      <c r="U3996">
        <v>0</v>
      </c>
      <c r="V3996">
        <v>0</v>
      </c>
      <c r="W3996">
        <v>0</v>
      </c>
      <c r="X3996">
        <v>0</v>
      </c>
      <c r="Y3996" t="s">
        <v>31</v>
      </c>
      <c r="Z3996">
        <v>1000</v>
      </c>
      <c r="AA3996">
        <v>0</v>
      </c>
    </row>
    <row r="3997" spans="1:27" x14ac:dyDescent="0.2">
      <c r="A3997" t="s">
        <v>1316</v>
      </c>
      <c r="B3997">
        <v>2021</v>
      </c>
      <c r="C3997">
        <v>43514239</v>
      </c>
      <c r="D3997" t="s">
        <v>5034</v>
      </c>
      <c r="E3997" t="s">
        <v>29</v>
      </c>
      <c r="F3997" t="s">
        <v>30</v>
      </c>
      <c r="G3997">
        <v>20</v>
      </c>
      <c r="H3997">
        <v>0</v>
      </c>
      <c r="I3997">
        <v>39</v>
      </c>
      <c r="J3997">
        <v>0</v>
      </c>
      <c r="K3997">
        <v>0</v>
      </c>
      <c r="L3997">
        <v>0</v>
      </c>
      <c r="M3997">
        <v>0</v>
      </c>
      <c r="N3997">
        <v>0</v>
      </c>
      <c r="O3997">
        <v>0</v>
      </c>
      <c r="P3997">
        <v>0</v>
      </c>
      <c r="Q3997">
        <v>0</v>
      </c>
      <c r="R3997">
        <v>0</v>
      </c>
      <c r="S3997">
        <v>0</v>
      </c>
      <c r="T3997">
        <v>0</v>
      </c>
      <c r="U3997">
        <v>0</v>
      </c>
      <c r="V3997">
        <v>0</v>
      </c>
      <c r="W3997">
        <v>0</v>
      </c>
      <c r="X3997">
        <v>0</v>
      </c>
      <c r="Y3997" t="s">
        <v>31</v>
      </c>
      <c r="Z3997" s="4">
        <v>1000</v>
      </c>
      <c r="AA3997">
        <v>35</v>
      </c>
    </row>
    <row r="3998" spans="1:27" x14ac:dyDescent="0.2">
      <c r="A3998" t="s">
        <v>2499</v>
      </c>
      <c r="B3998">
        <v>2024</v>
      </c>
      <c r="C3998">
        <v>513371005</v>
      </c>
      <c r="D3998" t="s">
        <v>5035</v>
      </c>
      <c r="E3998" t="s">
        <v>29</v>
      </c>
      <c r="F3998" t="s">
        <v>30</v>
      </c>
      <c r="G3998">
        <v>0</v>
      </c>
      <c r="H3998">
        <v>0</v>
      </c>
      <c r="I3998">
        <v>73</v>
      </c>
      <c r="J3998">
        <v>0</v>
      </c>
      <c r="K3998">
        <v>15</v>
      </c>
      <c r="L3998">
        <v>0</v>
      </c>
      <c r="M3998">
        <v>0</v>
      </c>
      <c r="N3998">
        <v>0</v>
      </c>
      <c r="O3998">
        <v>0</v>
      </c>
      <c r="P3998">
        <v>0</v>
      </c>
      <c r="Q3998">
        <v>0</v>
      </c>
      <c r="R3998">
        <v>0</v>
      </c>
      <c r="S3998">
        <v>0</v>
      </c>
      <c r="T3998">
        <v>0</v>
      </c>
      <c r="U3998">
        <v>0</v>
      </c>
      <c r="V3998">
        <v>0</v>
      </c>
      <c r="W3998">
        <v>0</v>
      </c>
      <c r="X3998">
        <v>0</v>
      </c>
      <c r="Y3998" t="s">
        <v>31</v>
      </c>
      <c r="AA3998" s="2" t="s">
        <v>5036</v>
      </c>
    </row>
    <row r="3999" spans="1:27" x14ac:dyDescent="0.2">
      <c r="A3999" t="s">
        <v>5037</v>
      </c>
      <c r="B3999">
        <v>2020</v>
      </c>
      <c r="C3999" t="s">
        <v>5038</v>
      </c>
      <c r="D3999" t="s">
        <v>5039</v>
      </c>
      <c r="E3999" t="s">
        <v>29</v>
      </c>
      <c r="F3999" t="s">
        <v>30</v>
      </c>
      <c r="G3999">
        <v>20</v>
      </c>
      <c r="H3999">
        <v>0</v>
      </c>
      <c r="I3999">
        <v>30</v>
      </c>
      <c r="J3999">
        <v>0</v>
      </c>
      <c r="K3999">
        <v>30</v>
      </c>
      <c r="L3999">
        <v>0</v>
      </c>
      <c r="M3999">
        <v>0</v>
      </c>
      <c r="N3999">
        <v>0</v>
      </c>
      <c r="O3999">
        <v>0</v>
      </c>
      <c r="P3999">
        <v>0</v>
      </c>
      <c r="Q3999">
        <v>0</v>
      </c>
      <c r="R3999">
        <v>0</v>
      </c>
      <c r="S3999">
        <v>0</v>
      </c>
      <c r="T3999">
        <v>0</v>
      </c>
      <c r="U3999">
        <v>0</v>
      </c>
      <c r="V3999">
        <v>0</v>
      </c>
      <c r="W3999">
        <v>0</v>
      </c>
      <c r="X3999">
        <v>0</v>
      </c>
      <c r="Y3999" t="s">
        <v>31</v>
      </c>
      <c r="Z3999">
        <v>55</v>
      </c>
      <c r="AA3999">
        <v>0</v>
      </c>
    </row>
    <row r="4000" spans="1:27" x14ac:dyDescent="0.2">
      <c r="A4000" t="s">
        <v>1316</v>
      </c>
      <c r="B4000">
        <v>2020</v>
      </c>
      <c r="C4000">
        <v>44503110</v>
      </c>
      <c r="D4000" t="s">
        <v>5040</v>
      </c>
      <c r="E4000" t="s">
        <v>29</v>
      </c>
      <c r="F4000" t="s">
        <v>30</v>
      </c>
      <c r="G4000">
        <v>0</v>
      </c>
      <c r="H4000">
        <v>0</v>
      </c>
      <c r="I4000">
        <v>0</v>
      </c>
      <c r="J4000">
        <v>0</v>
      </c>
      <c r="K4000">
        <v>0</v>
      </c>
      <c r="L4000">
        <v>0</v>
      </c>
      <c r="M4000">
        <v>0</v>
      </c>
      <c r="N4000">
        <v>0</v>
      </c>
      <c r="O4000">
        <v>0</v>
      </c>
      <c r="P4000">
        <v>0</v>
      </c>
      <c r="Q4000">
        <v>0</v>
      </c>
      <c r="R4000">
        <v>0</v>
      </c>
      <c r="S4000">
        <v>19</v>
      </c>
      <c r="T4000">
        <v>0</v>
      </c>
      <c r="U4000">
        <v>0</v>
      </c>
      <c r="V4000">
        <v>0</v>
      </c>
      <c r="W4000">
        <v>20</v>
      </c>
      <c r="X4000">
        <v>0</v>
      </c>
      <c r="Y4000" t="s">
        <v>31</v>
      </c>
      <c r="Z4000">
        <v>30</v>
      </c>
      <c r="AA4000">
        <v>0</v>
      </c>
    </row>
    <row r="4001" spans="1:27" x14ac:dyDescent="0.2">
      <c r="A4001" t="s">
        <v>894</v>
      </c>
      <c r="B4001">
        <v>2022</v>
      </c>
      <c r="C4001" t="s">
        <v>4956</v>
      </c>
      <c r="D4001" t="s">
        <v>4957</v>
      </c>
      <c r="E4001" t="s">
        <v>29</v>
      </c>
      <c r="F4001" t="s">
        <v>30</v>
      </c>
      <c r="G4001">
        <v>0</v>
      </c>
      <c r="H4001">
        <v>0</v>
      </c>
      <c r="I4001">
        <v>0</v>
      </c>
      <c r="J4001">
        <v>0</v>
      </c>
      <c r="K4001">
        <v>0</v>
      </c>
      <c r="L4001">
        <v>0</v>
      </c>
      <c r="M4001">
        <v>1</v>
      </c>
      <c r="N4001">
        <v>0</v>
      </c>
      <c r="O4001">
        <v>19</v>
      </c>
      <c r="P4001">
        <v>0</v>
      </c>
      <c r="Q4001">
        <v>0</v>
      </c>
      <c r="R4001">
        <v>0</v>
      </c>
      <c r="S4001">
        <v>0</v>
      </c>
      <c r="T4001">
        <v>0</v>
      </c>
      <c r="U4001">
        <v>0</v>
      </c>
      <c r="V4001">
        <v>0</v>
      </c>
      <c r="W4001">
        <v>0</v>
      </c>
      <c r="X4001">
        <v>0</v>
      </c>
      <c r="Y4001" t="s">
        <v>31</v>
      </c>
      <c r="Z4001">
        <v>1000</v>
      </c>
      <c r="AA4001">
        <v>20</v>
      </c>
    </row>
    <row r="4002" spans="1:27" x14ac:dyDescent="0.2">
      <c r="A4002" t="s">
        <v>1316</v>
      </c>
      <c r="B4002">
        <v>2021</v>
      </c>
      <c r="C4002">
        <v>10458447</v>
      </c>
      <c r="D4002" t="s">
        <v>5041</v>
      </c>
      <c r="E4002" t="s">
        <v>29</v>
      </c>
      <c r="F4002" t="s">
        <v>30</v>
      </c>
      <c r="G4002">
        <v>0</v>
      </c>
      <c r="H4002">
        <v>0</v>
      </c>
      <c r="I4002">
        <v>0</v>
      </c>
      <c r="J4002">
        <v>0</v>
      </c>
      <c r="K4002">
        <v>0</v>
      </c>
      <c r="L4002">
        <v>0</v>
      </c>
      <c r="M4002">
        <v>0</v>
      </c>
      <c r="N4002">
        <v>0</v>
      </c>
      <c r="O4002">
        <v>0</v>
      </c>
      <c r="P4002">
        <v>0</v>
      </c>
      <c r="Q4002">
        <v>0</v>
      </c>
      <c r="R4002">
        <v>0</v>
      </c>
      <c r="S4002">
        <v>24</v>
      </c>
      <c r="T4002">
        <v>0</v>
      </c>
      <c r="U4002">
        <v>0</v>
      </c>
      <c r="V4002">
        <v>0</v>
      </c>
      <c r="W4002">
        <v>0</v>
      </c>
      <c r="X4002">
        <v>0</v>
      </c>
      <c r="Y4002" t="s">
        <v>31</v>
      </c>
      <c r="Z4002" s="4">
        <v>1000</v>
      </c>
      <c r="AA4002">
        <v>0</v>
      </c>
    </row>
    <row r="4003" spans="1:27" x14ac:dyDescent="0.2">
      <c r="A4003" t="s">
        <v>1048</v>
      </c>
      <c r="B4003">
        <v>2022</v>
      </c>
      <c r="C4003" t="s">
        <v>3336</v>
      </c>
      <c r="D4003" t="s">
        <v>5042</v>
      </c>
      <c r="E4003" t="s">
        <v>29</v>
      </c>
      <c r="F4003" t="s">
        <v>30</v>
      </c>
      <c r="G4003">
        <v>0</v>
      </c>
      <c r="H4003">
        <v>0</v>
      </c>
      <c r="I4003">
        <v>0</v>
      </c>
      <c r="J4003">
        <v>0</v>
      </c>
      <c r="K4003">
        <v>0</v>
      </c>
      <c r="L4003">
        <v>0</v>
      </c>
      <c r="M4003">
        <v>0</v>
      </c>
      <c r="N4003">
        <v>0</v>
      </c>
      <c r="O4003">
        <v>8</v>
      </c>
      <c r="P4003">
        <v>0</v>
      </c>
      <c r="Q4003">
        <v>0</v>
      </c>
      <c r="R4003">
        <v>0</v>
      </c>
      <c r="S4003">
        <v>0</v>
      </c>
      <c r="T4003">
        <v>0</v>
      </c>
      <c r="U4003">
        <v>8</v>
      </c>
      <c r="V4003">
        <v>0</v>
      </c>
      <c r="W4003">
        <v>0</v>
      </c>
      <c r="X4003">
        <v>0</v>
      </c>
      <c r="Y4003" t="s">
        <v>51</v>
      </c>
      <c r="Z4003">
        <v>55</v>
      </c>
      <c r="AA4003">
        <v>0</v>
      </c>
    </row>
    <row r="4004" spans="1:27" x14ac:dyDescent="0.2">
      <c r="A4004" t="s">
        <v>1048</v>
      </c>
      <c r="B4004">
        <v>2022</v>
      </c>
      <c r="C4004" t="s">
        <v>3336</v>
      </c>
      <c r="D4004" t="s">
        <v>5043</v>
      </c>
      <c r="E4004" t="s">
        <v>29</v>
      </c>
      <c r="F4004" t="s">
        <v>30</v>
      </c>
      <c r="G4004">
        <v>0</v>
      </c>
      <c r="H4004">
        <v>0</v>
      </c>
      <c r="I4004">
        <v>0</v>
      </c>
      <c r="J4004">
        <v>0</v>
      </c>
      <c r="K4004">
        <v>0</v>
      </c>
      <c r="L4004">
        <v>0</v>
      </c>
      <c r="M4004">
        <v>0</v>
      </c>
      <c r="N4004">
        <v>0</v>
      </c>
      <c r="O4004">
        <v>7</v>
      </c>
      <c r="P4004">
        <v>0</v>
      </c>
      <c r="Q4004">
        <v>0</v>
      </c>
      <c r="R4004">
        <v>1</v>
      </c>
      <c r="S4004">
        <v>0</v>
      </c>
      <c r="T4004">
        <v>0</v>
      </c>
      <c r="U4004">
        <v>7</v>
      </c>
      <c r="V4004">
        <v>0</v>
      </c>
      <c r="W4004">
        <v>0</v>
      </c>
      <c r="X4004">
        <v>1</v>
      </c>
      <c r="Y4004" t="s">
        <v>51</v>
      </c>
      <c r="Z4004">
        <v>55</v>
      </c>
      <c r="AA4004">
        <v>0</v>
      </c>
    </row>
    <row r="4005" spans="1:27" x14ac:dyDescent="0.2">
      <c r="A4005" t="s">
        <v>1624</v>
      </c>
      <c r="B4005">
        <v>2022</v>
      </c>
      <c r="C4005" t="s">
        <v>5044</v>
      </c>
      <c r="D4005" t="s">
        <v>2741</v>
      </c>
      <c r="E4005" t="s">
        <v>29</v>
      </c>
      <c r="F4005" t="s">
        <v>30</v>
      </c>
      <c r="G4005">
        <v>0</v>
      </c>
      <c r="H4005">
        <v>0</v>
      </c>
      <c r="I4005">
        <v>0</v>
      </c>
      <c r="J4005">
        <v>0</v>
      </c>
      <c r="K4005">
        <v>0</v>
      </c>
      <c r="L4005">
        <v>0</v>
      </c>
      <c r="M4005">
        <v>0</v>
      </c>
      <c r="N4005">
        <v>0</v>
      </c>
      <c r="O4005">
        <v>0</v>
      </c>
      <c r="P4005">
        <v>0</v>
      </c>
      <c r="Q4005">
        <v>0</v>
      </c>
      <c r="R4005">
        <v>0</v>
      </c>
      <c r="S4005">
        <v>42</v>
      </c>
      <c r="T4005">
        <v>0</v>
      </c>
      <c r="U4005">
        <v>28</v>
      </c>
      <c r="V4005">
        <v>0</v>
      </c>
      <c r="W4005">
        <v>1</v>
      </c>
      <c r="X4005">
        <v>0</v>
      </c>
      <c r="Y4005" t="s">
        <v>31</v>
      </c>
      <c r="Z4005">
        <v>55</v>
      </c>
      <c r="AA4005">
        <v>0</v>
      </c>
    </row>
    <row r="4006" spans="1:27" x14ac:dyDescent="0.2">
      <c r="A4006" t="s">
        <v>5045</v>
      </c>
      <c r="B4006">
        <v>2022</v>
      </c>
      <c r="C4006" t="s">
        <v>5046</v>
      </c>
      <c r="D4006" t="s">
        <v>5047</v>
      </c>
      <c r="E4006" t="s">
        <v>29</v>
      </c>
      <c r="F4006" t="s">
        <v>30</v>
      </c>
      <c r="G4006">
        <v>16</v>
      </c>
      <c r="H4006">
        <v>0</v>
      </c>
      <c r="I4006">
        <v>0</v>
      </c>
      <c r="J4006">
        <v>0</v>
      </c>
      <c r="K4006">
        <v>0</v>
      </c>
      <c r="L4006">
        <v>0</v>
      </c>
      <c r="M4006">
        <v>0</v>
      </c>
      <c r="N4006">
        <v>0</v>
      </c>
      <c r="O4006">
        <v>0</v>
      </c>
      <c r="P4006">
        <v>0</v>
      </c>
      <c r="Q4006">
        <v>0</v>
      </c>
      <c r="R4006">
        <v>0</v>
      </c>
      <c r="S4006">
        <v>0</v>
      </c>
      <c r="T4006">
        <v>0</v>
      </c>
      <c r="U4006">
        <v>0</v>
      </c>
      <c r="V4006">
        <v>0</v>
      </c>
      <c r="W4006">
        <v>0</v>
      </c>
      <c r="X4006">
        <v>0</v>
      </c>
      <c r="Y4006" t="s">
        <v>31</v>
      </c>
      <c r="AA4006">
        <v>5</v>
      </c>
    </row>
    <row r="4007" spans="1:27" x14ac:dyDescent="0.2">
      <c r="A4007" t="s">
        <v>928</v>
      </c>
      <c r="B4007">
        <v>2023</v>
      </c>
      <c r="C4007" t="s">
        <v>3103</v>
      </c>
      <c r="D4007" t="s">
        <v>5048</v>
      </c>
      <c r="E4007" t="s">
        <v>29</v>
      </c>
      <c r="F4007" t="s">
        <v>41</v>
      </c>
      <c r="G4007">
        <v>0</v>
      </c>
      <c r="H4007">
        <v>0</v>
      </c>
      <c r="I4007">
        <v>0</v>
      </c>
      <c r="J4007">
        <v>0</v>
      </c>
      <c r="K4007">
        <v>0</v>
      </c>
      <c r="L4007">
        <v>0</v>
      </c>
      <c r="M4007">
        <v>0</v>
      </c>
      <c r="N4007">
        <v>0</v>
      </c>
      <c r="O4007">
        <v>0</v>
      </c>
      <c r="P4007">
        <v>0</v>
      </c>
      <c r="Q4007">
        <v>1</v>
      </c>
      <c r="R4007">
        <v>0</v>
      </c>
      <c r="S4007">
        <v>0</v>
      </c>
      <c r="T4007">
        <v>0</v>
      </c>
      <c r="U4007">
        <v>0</v>
      </c>
      <c r="V4007">
        <v>0</v>
      </c>
      <c r="W4007">
        <v>0</v>
      </c>
      <c r="X4007">
        <v>0</v>
      </c>
      <c r="Y4007" t="s">
        <v>51</v>
      </c>
      <c r="Z4007">
        <v>55</v>
      </c>
      <c r="AA4007">
        <v>0</v>
      </c>
    </row>
    <row r="4008" spans="1:27" x14ac:dyDescent="0.2">
      <c r="A4008" t="s">
        <v>318</v>
      </c>
      <c r="B4008">
        <v>2021</v>
      </c>
      <c r="C4008">
        <v>-4625</v>
      </c>
      <c r="D4008" t="s">
        <v>5049</v>
      </c>
      <c r="E4008" t="s">
        <v>29</v>
      </c>
      <c r="F4008" t="s">
        <v>30</v>
      </c>
      <c r="G4008">
        <v>0</v>
      </c>
      <c r="H4008">
        <v>0</v>
      </c>
      <c r="I4008">
        <v>0</v>
      </c>
      <c r="J4008">
        <v>0</v>
      </c>
      <c r="K4008">
        <v>0</v>
      </c>
      <c r="L4008">
        <v>0</v>
      </c>
      <c r="M4008">
        <v>10</v>
      </c>
      <c r="N4008">
        <v>0</v>
      </c>
      <c r="O4008">
        <v>0</v>
      </c>
      <c r="P4008">
        <v>0</v>
      </c>
      <c r="Q4008">
        <v>0</v>
      </c>
      <c r="R4008">
        <v>0</v>
      </c>
      <c r="S4008">
        <v>0</v>
      </c>
      <c r="T4008">
        <v>0</v>
      </c>
      <c r="U4008">
        <v>0</v>
      </c>
      <c r="V4008">
        <v>0</v>
      </c>
      <c r="W4008">
        <v>0</v>
      </c>
      <c r="X4008">
        <v>0</v>
      </c>
      <c r="Y4008" t="s">
        <v>31</v>
      </c>
      <c r="Z4008">
        <v>55</v>
      </c>
      <c r="AA4008">
        <v>4</v>
      </c>
    </row>
    <row r="4009" spans="1:27" x14ac:dyDescent="0.2">
      <c r="A4009" t="s">
        <v>318</v>
      </c>
      <c r="B4009">
        <v>2021</v>
      </c>
      <c r="C4009">
        <v>20550046</v>
      </c>
      <c r="D4009" t="s">
        <v>5050</v>
      </c>
      <c r="E4009" t="s">
        <v>29</v>
      </c>
      <c r="F4009" t="s">
        <v>30</v>
      </c>
      <c r="G4009">
        <v>0</v>
      </c>
      <c r="H4009">
        <v>0</v>
      </c>
      <c r="I4009">
        <v>0</v>
      </c>
      <c r="J4009">
        <v>0</v>
      </c>
      <c r="K4009">
        <v>0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0</v>
      </c>
      <c r="S4009">
        <v>0</v>
      </c>
      <c r="T4009">
        <v>0</v>
      </c>
      <c r="U4009">
        <v>40</v>
      </c>
      <c r="V4009">
        <v>0</v>
      </c>
      <c r="W4009">
        <v>0</v>
      </c>
      <c r="X4009">
        <v>0</v>
      </c>
      <c r="Y4009" t="s">
        <v>51</v>
      </c>
      <c r="Z4009">
        <v>55</v>
      </c>
      <c r="AA4009">
        <v>0</v>
      </c>
    </row>
    <row r="4010" spans="1:27" x14ac:dyDescent="0.2">
      <c r="A4010" t="s">
        <v>318</v>
      </c>
      <c r="B4010">
        <v>2021</v>
      </c>
      <c r="C4010">
        <v>20934019</v>
      </c>
      <c r="D4010" t="s">
        <v>523</v>
      </c>
      <c r="E4010" t="s">
        <v>29</v>
      </c>
      <c r="F4010" t="s">
        <v>30</v>
      </c>
      <c r="G4010">
        <v>0</v>
      </c>
      <c r="H4010">
        <v>0</v>
      </c>
      <c r="I4010">
        <v>0</v>
      </c>
      <c r="J4010">
        <v>0</v>
      </c>
      <c r="K4010">
        <v>0</v>
      </c>
      <c r="L4010">
        <v>0</v>
      </c>
      <c r="M4010">
        <v>0</v>
      </c>
      <c r="N4010">
        <v>0</v>
      </c>
      <c r="O4010">
        <v>0</v>
      </c>
      <c r="P4010">
        <v>0</v>
      </c>
      <c r="Q4010">
        <v>0</v>
      </c>
      <c r="R4010">
        <v>0</v>
      </c>
      <c r="S4010">
        <v>0</v>
      </c>
      <c r="T4010">
        <v>0</v>
      </c>
      <c r="U4010">
        <v>9</v>
      </c>
      <c r="V4010">
        <v>0</v>
      </c>
      <c r="W4010">
        <v>0</v>
      </c>
      <c r="X4010">
        <v>0</v>
      </c>
      <c r="Y4010" t="s">
        <v>51</v>
      </c>
      <c r="Z4010">
        <v>55</v>
      </c>
      <c r="AA4010">
        <v>0</v>
      </c>
    </row>
    <row r="4011" spans="1:27" x14ac:dyDescent="0.2">
      <c r="A4011" t="s">
        <v>2808</v>
      </c>
      <c r="B4011">
        <v>2023</v>
      </c>
      <c r="C4011" t="s">
        <v>5051</v>
      </c>
      <c r="D4011" t="s">
        <v>5052</v>
      </c>
      <c r="E4011" t="s">
        <v>29</v>
      </c>
      <c r="F4011" t="s">
        <v>30</v>
      </c>
      <c r="G4011">
        <v>50</v>
      </c>
      <c r="H4011">
        <v>0</v>
      </c>
      <c r="I4011">
        <v>50</v>
      </c>
      <c r="J4011">
        <v>0</v>
      </c>
      <c r="K4011">
        <v>0</v>
      </c>
      <c r="L4011">
        <v>0</v>
      </c>
      <c r="M4011">
        <v>0</v>
      </c>
      <c r="N4011">
        <v>0</v>
      </c>
      <c r="O4011">
        <v>0</v>
      </c>
      <c r="P4011">
        <v>0</v>
      </c>
      <c r="Q4011">
        <v>0</v>
      </c>
      <c r="R4011">
        <v>0</v>
      </c>
      <c r="S4011">
        <v>0</v>
      </c>
      <c r="T4011">
        <v>0</v>
      </c>
      <c r="U4011">
        <v>0</v>
      </c>
      <c r="V4011">
        <v>0</v>
      </c>
      <c r="W4011">
        <v>0</v>
      </c>
      <c r="X4011">
        <v>0</v>
      </c>
      <c r="Y4011" t="s">
        <v>31</v>
      </c>
      <c r="Z4011">
        <v>55</v>
      </c>
      <c r="AA4011">
        <v>0</v>
      </c>
    </row>
    <row r="4012" spans="1:27" x14ac:dyDescent="0.2">
      <c r="A4012" t="s">
        <v>2808</v>
      </c>
      <c r="B4012">
        <v>2023</v>
      </c>
      <c r="C4012" t="s">
        <v>5053</v>
      </c>
      <c r="D4012" t="s">
        <v>5054</v>
      </c>
      <c r="E4012" t="s">
        <v>29</v>
      </c>
      <c r="F4012" t="s">
        <v>30</v>
      </c>
      <c r="G4012">
        <v>0</v>
      </c>
      <c r="H4012">
        <v>0</v>
      </c>
      <c r="I4012">
        <v>50</v>
      </c>
      <c r="J4012">
        <v>0</v>
      </c>
      <c r="K4012">
        <v>0</v>
      </c>
      <c r="L4012">
        <v>0</v>
      </c>
      <c r="M4012">
        <v>0</v>
      </c>
      <c r="N4012">
        <v>0</v>
      </c>
      <c r="O4012">
        <v>0</v>
      </c>
      <c r="P4012">
        <v>0</v>
      </c>
      <c r="Q4012">
        <v>0</v>
      </c>
      <c r="R4012">
        <v>0</v>
      </c>
      <c r="S4012">
        <v>0</v>
      </c>
      <c r="T4012">
        <v>0</v>
      </c>
      <c r="U4012">
        <v>0</v>
      </c>
      <c r="V4012">
        <v>0</v>
      </c>
      <c r="W4012">
        <v>0</v>
      </c>
      <c r="X4012">
        <v>0</v>
      </c>
      <c r="Y4012" t="s">
        <v>31</v>
      </c>
      <c r="Z4012">
        <v>55</v>
      </c>
      <c r="AA4012">
        <v>80</v>
      </c>
    </row>
    <row r="4013" spans="1:27" x14ac:dyDescent="0.2">
      <c r="A4013" t="s">
        <v>1165</v>
      </c>
      <c r="B4013">
        <v>2021</v>
      </c>
      <c r="C4013" t="s">
        <v>4582</v>
      </c>
      <c r="D4013" t="s">
        <v>4583</v>
      </c>
      <c r="E4013" t="s">
        <v>29</v>
      </c>
      <c r="F4013" t="s">
        <v>41</v>
      </c>
      <c r="G4013">
        <v>0</v>
      </c>
      <c r="H4013">
        <v>0</v>
      </c>
      <c r="I4013">
        <v>2</v>
      </c>
      <c r="J4013">
        <v>0</v>
      </c>
      <c r="K4013">
        <v>0</v>
      </c>
      <c r="L4013">
        <v>0</v>
      </c>
      <c r="M4013">
        <v>0</v>
      </c>
      <c r="N4013">
        <v>0</v>
      </c>
      <c r="O4013">
        <v>2</v>
      </c>
      <c r="P4013">
        <v>0</v>
      </c>
      <c r="Q4013">
        <v>0</v>
      </c>
      <c r="R4013">
        <v>0</v>
      </c>
      <c r="S4013">
        <v>0</v>
      </c>
      <c r="T4013">
        <v>0</v>
      </c>
      <c r="U4013">
        <v>2</v>
      </c>
      <c r="V4013">
        <v>0</v>
      </c>
      <c r="W4013">
        <v>0</v>
      </c>
      <c r="X4013">
        <v>0</v>
      </c>
      <c r="Y4013" t="s">
        <v>51</v>
      </c>
      <c r="Z4013">
        <v>55</v>
      </c>
      <c r="AA4013">
        <v>0</v>
      </c>
    </row>
    <row r="4014" spans="1:27" x14ac:dyDescent="0.2">
      <c r="A4014" t="s">
        <v>1116</v>
      </c>
      <c r="B4014">
        <v>2019</v>
      </c>
      <c r="C4014" t="s">
        <v>3093</v>
      </c>
      <c r="D4014" t="s">
        <v>5055</v>
      </c>
      <c r="E4014" t="s">
        <v>29</v>
      </c>
      <c r="F4014" t="s">
        <v>30</v>
      </c>
      <c r="G4014">
        <v>0</v>
      </c>
      <c r="H4014">
        <v>0</v>
      </c>
      <c r="I4014">
        <v>0</v>
      </c>
      <c r="J4014">
        <v>0</v>
      </c>
      <c r="K4014">
        <v>0</v>
      </c>
      <c r="L4014">
        <v>0</v>
      </c>
      <c r="M4014">
        <v>0</v>
      </c>
      <c r="N4014">
        <v>0</v>
      </c>
      <c r="O4014">
        <v>0</v>
      </c>
      <c r="P4014">
        <v>0</v>
      </c>
      <c r="Q4014">
        <v>0</v>
      </c>
      <c r="R4014">
        <v>0</v>
      </c>
      <c r="S4014">
        <v>6</v>
      </c>
      <c r="T4014">
        <v>0</v>
      </c>
      <c r="U4014">
        <v>2</v>
      </c>
      <c r="V4014">
        <v>0</v>
      </c>
      <c r="W4014">
        <v>0</v>
      </c>
      <c r="X4014">
        <v>0</v>
      </c>
      <c r="Y4014" t="s">
        <v>31</v>
      </c>
      <c r="AA4014">
        <v>0</v>
      </c>
    </row>
    <row r="4015" spans="1:27" x14ac:dyDescent="0.2">
      <c r="A4015" t="s">
        <v>1658</v>
      </c>
      <c r="B4015">
        <v>2023</v>
      </c>
      <c r="C4015" t="s">
        <v>2320</v>
      </c>
      <c r="D4015" t="s">
        <v>5056</v>
      </c>
      <c r="E4015" t="s">
        <v>29</v>
      </c>
      <c r="F4015" t="s">
        <v>41</v>
      </c>
      <c r="G4015">
        <v>0</v>
      </c>
      <c r="H4015">
        <v>0</v>
      </c>
      <c r="I4015">
        <v>0</v>
      </c>
      <c r="J4015">
        <v>0</v>
      </c>
      <c r="K4015">
        <v>0</v>
      </c>
      <c r="L4015">
        <v>0</v>
      </c>
      <c r="M4015">
        <v>0</v>
      </c>
      <c r="N4015">
        <v>0</v>
      </c>
      <c r="O4015">
        <v>0</v>
      </c>
      <c r="P4015">
        <v>0</v>
      </c>
      <c r="Q4015">
        <v>0</v>
      </c>
      <c r="R4015">
        <v>0</v>
      </c>
      <c r="S4015">
        <v>1</v>
      </c>
      <c r="T4015">
        <v>0</v>
      </c>
      <c r="U4015">
        <v>0</v>
      </c>
      <c r="V4015">
        <v>0</v>
      </c>
      <c r="W4015">
        <v>0</v>
      </c>
      <c r="X4015">
        <v>0</v>
      </c>
      <c r="Y4015" t="s">
        <v>51</v>
      </c>
      <c r="Z4015">
        <v>55</v>
      </c>
      <c r="AA4015">
        <v>0</v>
      </c>
    </row>
    <row r="4016" spans="1:27" x14ac:dyDescent="0.2">
      <c r="A4016" t="s">
        <v>1116</v>
      </c>
      <c r="B4016">
        <v>2019</v>
      </c>
      <c r="C4016" t="s">
        <v>3093</v>
      </c>
      <c r="D4016" t="s">
        <v>5057</v>
      </c>
      <c r="E4016" t="s">
        <v>29</v>
      </c>
      <c r="F4016" t="s">
        <v>30</v>
      </c>
      <c r="G4016">
        <v>0</v>
      </c>
      <c r="H4016">
        <v>0</v>
      </c>
      <c r="I4016">
        <v>0</v>
      </c>
      <c r="J4016">
        <v>0</v>
      </c>
      <c r="K4016">
        <v>0</v>
      </c>
      <c r="L4016">
        <v>0</v>
      </c>
      <c r="M4016">
        <v>0</v>
      </c>
      <c r="N4016">
        <v>0</v>
      </c>
      <c r="O4016">
        <v>0</v>
      </c>
      <c r="P4016">
        <v>0</v>
      </c>
      <c r="Q4016">
        <v>0</v>
      </c>
      <c r="R4016">
        <v>0</v>
      </c>
      <c r="S4016">
        <v>3</v>
      </c>
      <c r="T4016">
        <v>0</v>
      </c>
      <c r="U4016">
        <v>1</v>
      </c>
      <c r="V4016">
        <v>0</v>
      </c>
      <c r="W4016">
        <v>0</v>
      </c>
      <c r="X4016">
        <v>0</v>
      </c>
      <c r="Y4016" t="s">
        <v>31</v>
      </c>
      <c r="AA4016">
        <v>0</v>
      </c>
    </row>
    <row r="4017" spans="1:27" x14ac:dyDescent="0.2">
      <c r="A4017" t="s">
        <v>1048</v>
      </c>
      <c r="B4017">
        <v>2023</v>
      </c>
      <c r="C4017" t="s">
        <v>5058</v>
      </c>
      <c r="D4017" t="s">
        <v>2040</v>
      </c>
      <c r="E4017" t="s">
        <v>29</v>
      </c>
      <c r="F4017" t="s">
        <v>30</v>
      </c>
      <c r="G4017">
        <v>0</v>
      </c>
      <c r="H4017">
        <v>0</v>
      </c>
      <c r="I4017">
        <v>0</v>
      </c>
      <c r="J4017">
        <v>0</v>
      </c>
      <c r="K4017">
        <v>0</v>
      </c>
      <c r="L4017">
        <v>0</v>
      </c>
      <c r="M4017">
        <v>0</v>
      </c>
      <c r="N4017">
        <v>0</v>
      </c>
      <c r="O4017">
        <v>0</v>
      </c>
      <c r="P4017">
        <v>0</v>
      </c>
      <c r="Q4017">
        <v>0</v>
      </c>
      <c r="R4017">
        <v>0</v>
      </c>
      <c r="S4017">
        <v>8</v>
      </c>
      <c r="T4017">
        <v>0</v>
      </c>
      <c r="U4017">
        <v>0</v>
      </c>
      <c r="V4017">
        <v>0</v>
      </c>
      <c r="W4017">
        <v>0</v>
      </c>
      <c r="X4017">
        <v>1</v>
      </c>
      <c r="Y4017" t="s">
        <v>31</v>
      </c>
      <c r="Z4017">
        <v>30</v>
      </c>
      <c r="AA4017">
        <v>0.16</v>
      </c>
    </row>
    <row r="4018" spans="1:27" x14ac:dyDescent="0.2">
      <c r="A4018" t="s">
        <v>1247</v>
      </c>
      <c r="B4018">
        <v>2019</v>
      </c>
      <c r="C4018">
        <v>125061026</v>
      </c>
      <c r="D4018" t="s">
        <v>5059</v>
      </c>
      <c r="E4018" t="s">
        <v>29</v>
      </c>
      <c r="F4018" t="s">
        <v>30</v>
      </c>
      <c r="G4018">
        <v>26</v>
      </c>
      <c r="H4018">
        <v>0</v>
      </c>
      <c r="I4018">
        <v>14</v>
      </c>
      <c r="J4018">
        <v>0</v>
      </c>
      <c r="K4018">
        <v>0</v>
      </c>
      <c r="L4018">
        <v>0</v>
      </c>
      <c r="M4018">
        <v>0</v>
      </c>
      <c r="N4018">
        <v>0</v>
      </c>
      <c r="O4018">
        <v>0</v>
      </c>
      <c r="P4018">
        <v>0</v>
      </c>
      <c r="Q4018">
        <v>0</v>
      </c>
      <c r="R4018">
        <v>0</v>
      </c>
      <c r="S4018">
        <v>0</v>
      </c>
      <c r="T4018">
        <v>0</v>
      </c>
      <c r="U4018">
        <v>0</v>
      </c>
      <c r="V4018">
        <v>0</v>
      </c>
      <c r="W4018">
        <v>0</v>
      </c>
      <c r="X4018">
        <v>0</v>
      </c>
      <c r="Y4018" t="s">
        <v>31</v>
      </c>
      <c r="Z4018">
        <v>55</v>
      </c>
      <c r="AA4018">
        <v>0</v>
      </c>
    </row>
    <row r="4019" spans="1:27" x14ac:dyDescent="0.2">
      <c r="A4019" t="s">
        <v>1802</v>
      </c>
      <c r="B4019">
        <v>2021</v>
      </c>
      <c r="C4019" t="s">
        <v>1957</v>
      </c>
      <c r="D4019" t="s">
        <v>5060</v>
      </c>
      <c r="E4019" t="s">
        <v>29</v>
      </c>
      <c r="F4019" t="s">
        <v>30</v>
      </c>
      <c r="G4019">
        <v>3</v>
      </c>
      <c r="H4019">
        <v>0</v>
      </c>
      <c r="I4019">
        <v>0</v>
      </c>
      <c r="J4019">
        <v>0</v>
      </c>
      <c r="K4019">
        <v>2</v>
      </c>
      <c r="L4019">
        <v>0</v>
      </c>
      <c r="M4019">
        <v>0</v>
      </c>
      <c r="N4019">
        <v>0</v>
      </c>
      <c r="O4019">
        <v>0</v>
      </c>
      <c r="P4019">
        <v>0</v>
      </c>
      <c r="Q4019">
        <v>0</v>
      </c>
      <c r="R4019">
        <v>0</v>
      </c>
      <c r="S4019">
        <v>0</v>
      </c>
      <c r="T4019">
        <v>0</v>
      </c>
      <c r="U4019">
        <v>0</v>
      </c>
      <c r="V4019">
        <v>0</v>
      </c>
      <c r="W4019">
        <v>0</v>
      </c>
      <c r="X4019">
        <v>0</v>
      </c>
      <c r="Y4019" t="s">
        <v>51</v>
      </c>
      <c r="Z4019">
        <v>1000</v>
      </c>
      <c r="AA4019">
        <v>0</v>
      </c>
    </row>
    <row r="4020" spans="1:27" x14ac:dyDescent="0.2">
      <c r="A4020" t="s">
        <v>619</v>
      </c>
      <c r="B4020">
        <v>2019</v>
      </c>
      <c r="C4020" t="s">
        <v>5061</v>
      </c>
      <c r="D4020" t="s">
        <v>5062</v>
      </c>
      <c r="E4020" t="s">
        <v>29</v>
      </c>
      <c r="F4020" t="s">
        <v>41</v>
      </c>
      <c r="G4020">
        <v>0</v>
      </c>
      <c r="H4020">
        <v>0</v>
      </c>
      <c r="I4020">
        <v>0</v>
      </c>
      <c r="J4020">
        <v>0</v>
      </c>
      <c r="K4020">
        <v>0</v>
      </c>
      <c r="L4020">
        <v>0</v>
      </c>
      <c r="M4020">
        <v>0</v>
      </c>
      <c r="N4020">
        <v>0</v>
      </c>
      <c r="O4020">
        <v>0</v>
      </c>
      <c r="P4020">
        <v>0</v>
      </c>
      <c r="Q4020">
        <v>1</v>
      </c>
      <c r="R4020">
        <v>0</v>
      </c>
      <c r="S4020">
        <v>0</v>
      </c>
      <c r="T4020">
        <v>0</v>
      </c>
      <c r="U4020">
        <v>0</v>
      </c>
      <c r="V4020">
        <v>0</v>
      </c>
      <c r="W4020">
        <v>0</v>
      </c>
      <c r="X4020">
        <v>0</v>
      </c>
      <c r="Y4020" t="s">
        <v>51</v>
      </c>
      <c r="Z4020">
        <v>50</v>
      </c>
      <c r="AA4020">
        <v>0</v>
      </c>
    </row>
    <row r="4021" spans="1:27" x14ac:dyDescent="0.2">
      <c r="A4021" t="s">
        <v>619</v>
      </c>
      <c r="B4021">
        <v>2019</v>
      </c>
      <c r="C4021" t="s">
        <v>5061</v>
      </c>
      <c r="D4021" t="s">
        <v>5063</v>
      </c>
      <c r="E4021" t="s">
        <v>29</v>
      </c>
      <c r="F4021" t="s">
        <v>41</v>
      </c>
      <c r="G4021">
        <v>0</v>
      </c>
      <c r="H4021">
        <v>0</v>
      </c>
      <c r="I4021">
        <v>0</v>
      </c>
      <c r="J4021">
        <v>0</v>
      </c>
      <c r="K4021">
        <v>0</v>
      </c>
      <c r="L4021">
        <v>0</v>
      </c>
      <c r="M4021">
        <v>0</v>
      </c>
      <c r="N4021">
        <v>0</v>
      </c>
      <c r="O4021">
        <v>0</v>
      </c>
      <c r="P4021">
        <v>0</v>
      </c>
      <c r="Q4021">
        <v>1</v>
      </c>
      <c r="R4021">
        <v>0</v>
      </c>
      <c r="S4021">
        <v>0</v>
      </c>
      <c r="T4021">
        <v>0</v>
      </c>
      <c r="U4021">
        <v>0</v>
      </c>
      <c r="V4021">
        <v>0</v>
      </c>
      <c r="W4021">
        <v>0</v>
      </c>
      <c r="X4021">
        <v>0</v>
      </c>
      <c r="Y4021" t="s">
        <v>51</v>
      </c>
      <c r="Z4021">
        <v>50</v>
      </c>
      <c r="AA4021">
        <v>0</v>
      </c>
    </row>
    <row r="4022" spans="1:27" x14ac:dyDescent="0.2">
      <c r="A4022" t="s">
        <v>1040</v>
      </c>
      <c r="B4022">
        <v>2023</v>
      </c>
      <c r="C4022" t="s">
        <v>5064</v>
      </c>
      <c r="D4022" t="s">
        <v>5065</v>
      </c>
      <c r="E4022" t="s">
        <v>29</v>
      </c>
      <c r="F4022" t="s">
        <v>30</v>
      </c>
      <c r="G4022">
        <v>9</v>
      </c>
      <c r="H4022">
        <v>0</v>
      </c>
      <c r="I4022">
        <v>0</v>
      </c>
      <c r="J4022">
        <v>0</v>
      </c>
      <c r="K4022">
        <v>10</v>
      </c>
      <c r="L4022">
        <v>0</v>
      </c>
      <c r="M4022">
        <v>9</v>
      </c>
      <c r="N4022">
        <v>0</v>
      </c>
      <c r="O4022">
        <v>0</v>
      </c>
      <c r="P4022">
        <v>0</v>
      </c>
      <c r="Q4022">
        <v>10</v>
      </c>
      <c r="R4022">
        <v>0</v>
      </c>
      <c r="S4022">
        <v>0</v>
      </c>
      <c r="T4022">
        <v>0</v>
      </c>
      <c r="U4022">
        <v>0</v>
      </c>
      <c r="V4022">
        <v>0</v>
      </c>
      <c r="W4022">
        <v>0</v>
      </c>
      <c r="X4022">
        <v>0</v>
      </c>
      <c r="Y4022" t="s">
        <v>51</v>
      </c>
      <c r="AA4022">
        <v>0</v>
      </c>
    </row>
    <row r="4023" spans="1:27" x14ac:dyDescent="0.2">
      <c r="A4023" t="s">
        <v>711</v>
      </c>
      <c r="B4023">
        <v>2020</v>
      </c>
      <c r="C4023" t="s">
        <v>2851</v>
      </c>
      <c r="D4023" t="s">
        <v>5066</v>
      </c>
      <c r="E4023" t="s">
        <v>29</v>
      </c>
      <c r="F4023" t="s">
        <v>30</v>
      </c>
      <c r="G4023">
        <v>0</v>
      </c>
      <c r="H4023">
        <v>0</v>
      </c>
      <c r="I4023">
        <v>0</v>
      </c>
      <c r="J4023">
        <v>0</v>
      </c>
      <c r="K4023">
        <v>0</v>
      </c>
      <c r="L4023">
        <v>0</v>
      </c>
      <c r="M4023">
        <v>0</v>
      </c>
      <c r="N4023">
        <v>0</v>
      </c>
      <c r="O4023">
        <v>0</v>
      </c>
      <c r="P4023">
        <v>0</v>
      </c>
      <c r="Q4023">
        <v>22</v>
      </c>
      <c r="R4023">
        <v>0</v>
      </c>
      <c r="S4023">
        <v>0</v>
      </c>
      <c r="T4023">
        <v>0</v>
      </c>
      <c r="U4023">
        <v>0</v>
      </c>
      <c r="V4023">
        <v>0</v>
      </c>
      <c r="W4023">
        <v>0</v>
      </c>
      <c r="X4023">
        <v>0</v>
      </c>
      <c r="Y4023" t="s">
        <v>51</v>
      </c>
      <c r="Z4023">
        <v>55</v>
      </c>
      <c r="AA4023">
        <v>0</v>
      </c>
    </row>
    <row r="4024" spans="1:27" x14ac:dyDescent="0.2">
      <c r="A4024" t="s">
        <v>1247</v>
      </c>
      <c r="B4024">
        <v>2021</v>
      </c>
      <c r="C4024">
        <v>10510021</v>
      </c>
      <c r="D4024" t="s">
        <v>5067</v>
      </c>
      <c r="E4024" t="s">
        <v>29</v>
      </c>
      <c r="F4024" t="s">
        <v>30</v>
      </c>
      <c r="G4024">
        <v>0</v>
      </c>
      <c r="H4024">
        <v>0</v>
      </c>
      <c r="I4024">
        <v>0</v>
      </c>
      <c r="J4024">
        <v>136</v>
      </c>
      <c r="K4024">
        <v>0</v>
      </c>
      <c r="L4024">
        <v>0</v>
      </c>
      <c r="M4024">
        <v>0</v>
      </c>
      <c r="N4024">
        <v>0</v>
      </c>
      <c r="O4024">
        <v>0</v>
      </c>
      <c r="P4024">
        <v>0</v>
      </c>
      <c r="Q4024">
        <v>0</v>
      </c>
      <c r="R4024">
        <v>0</v>
      </c>
      <c r="S4024">
        <v>0</v>
      </c>
      <c r="T4024">
        <v>0</v>
      </c>
      <c r="U4024">
        <v>0</v>
      </c>
      <c r="V4024">
        <v>0</v>
      </c>
      <c r="W4024">
        <v>0</v>
      </c>
      <c r="X4024">
        <v>0</v>
      </c>
      <c r="Y4024" t="s">
        <v>31</v>
      </c>
      <c r="AA4024" s="2" t="s">
        <v>5068</v>
      </c>
    </row>
    <row r="4025" spans="1:27" x14ac:dyDescent="0.2">
      <c r="A4025" t="s">
        <v>48</v>
      </c>
      <c r="B4025">
        <v>2019</v>
      </c>
      <c r="C4025" t="s">
        <v>309</v>
      </c>
      <c r="D4025" t="s">
        <v>310</v>
      </c>
      <c r="E4025" t="s">
        <v>29</v>
      </c>
      <c r="F4025" t="s">
        <v>30</v>
      </c>
      <c r="G4025">
        <v>0</v>
      </c>
      <c r="H4025">
        <v>0</v>
      </c>
      <c r="I4025">
        <v>0</v>
      </c>
      <c r="J4025">
        <v>0</v>
      </c>
      <c r="K4025">
        <v>0</v>
      </c>
      <c r="L4025">
        <v>0</v>
      </c>
      <c r="M4025">
        <v>0</v>
      </c>
      <c r="N4025">
        <v>0</v>
      </c>
      <c r="O4025">
        <v>2</v>
      </c>
      <c r="P4025">
        <v>0</v>
      </c>
      <c r="Q4025">
        <v>0</v>
      </c>
      <c r="R4025">
        <v>0</v>
      </c>
      <c r="S4025">
        <v>0</v>
      </c>
      <c r="T4025">
        <v>0</v>
      </c>
      <c r="U4025">
        <v>0</v>
      </c>
      <c r="V4025">
        <v>0</v>
      </c>
      <c r="W4025">
        <v>0</v>
      </c>
      <c r="X4025">
        <v>0</v>
      </c>
      <c r="Y4025" t="s">
        <v>51</v>
      </c>
      <c r="Z4025">
        <v>55</v>
      </c>
      <c r="AA4025">
        <v>0</v>
      </c>
    </row>
    <row r="4026" spans="1:27" x14ac:dyDescent="0.2">
      <c r="A4026" t="s">
        <v>88</v>
      </c>
      <c r="B4026">
        <v>2018</v>
      </c>
      <c r="C4026" t="s">
        <v>5069</v>
      </c>
      <c r="D4026" t="s">
        <v>5070</v>
      </c>
      <c r="E4026" t="s">
        <v>29</v>
      </c>
      <c r="F4026" t="s">
        <v>41</v>
      </c>
      <c r="G4026">
        <v>0</v>
      </c>
      <c r="H4026">
        <v>0</v>
      </c>
      <c r="I4026">
        <v>0</v>
      </c>
      <c r="J4026">
        <v>0</v>
      </c>
      <c r="K4026">
        <v>0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0</v>
      </c>
      <c r="T4026">
        <v>0</v>
      </c>
      <c r="U4026">
        <v>0</v>
      </c>
      <c r="V4026">
        <v>0</v>
      </c>
      <c r="W4026">
        <v>1</v>
      </c>
      <c r="X4026">
        <v>0</v>
      </c>
      <c r="Y4026" t="s">
        <v>51</v>
      </c>
      <c r="Z4026">
        <v>20</v>
      </c>
      <c r="AA4026">
        <v>0</v>
      </c>
    </row>
    <row r="4027" spans="1:27" x14ac:dyDescent="0.2">
      <c r="A4027" t="s">
        <v>1802</v>
      </c>
      <c r="B4027">
        <v>2021</v>
      </c>
      <c r="C4027" t="s">
        <v>5071</v>
      </c>
      <c r="D4027" t="s">
        <v>5072</v>
      </c>
      <c r="E4027" t="s">
        <v>29</v>
      </c>
      <c r="F4027" t="s">
        <v>30</v>
      </c>
      <c r="G4027">
        <v>70</v>
      </c>
      <c r="H4027">
        <v>0</v>
      </c>
      <c r="I4027">
        <v>0</v>
      </c>
      <c r="J4027">
        <v>0</v>
      </c>
      <c r="K4027">
        <v>0</v>
      </c>
      <c r="L4027">
        <v>0</v>
      </c>
      <c r="M4027">
        <v>0</v>
      </c>
      <c r="N4027">
        <v>0</v>
      </c>
      <c r="O4027">
        <v>0</v>
      </c>
      <c r="P4027">
        <v>0</v>
      </c>
      <c r="Q4027">
        <v>0</v>
      </c>
      <c r="R4027">
        <v>0</v>
      </c>
      <c r="S4027">
        <v>0</v>
      </c>
      <c r="T4027">
        <v>0</v>
      </c>
      <c r="U4027">
        <v>0</v>
      </c>
      <c r="V4027">
        <v>0</v>
      </c>
      <c r="W4027">
        <v>0</v>
      </c>
      <c r="X4027">
        <v>0</v>
      </c>
      <c r="Y4027" t="s">
        <v>51</v>
      </c>
      <c r="Z4027">
        <v>1000</v>
      </c>
      <c r="AA4027">
        <v>0</v>
      </c>
    </row>
    <row r="4028" spans="1:27" x14ac:dyDescent="0.2">
      <c r="A4028" t="s">
        <v>1509</v>
      </c>
      <c r="B4028">
        <v>2024</v>
      </c>
      <c r="C4028">
        <v>1560180485</v>
      </c>
      <c r="D4028" t="s">
        <v>5073</v>
      </c>
      <c r="E4028" t="s">
        <v>29</v>
      </c>
      <c r="F4028" t="s">
        <v>30</v>
      </c>
      <c r="G4028">
        <v>0</v>
      </c>
      <c r="H4028">
        <v>0</v>
      </c>
      <c r="I4028">
        <v>0</v>
      </c>
      <c r="J4028">
        <v>0</v>
      </c>
      <c r="K4028">
        <v>0</v>
      </c>
      <c r="L4028">
        <v>0</v>
      </c>
      <c r="M4028">
        <v>0</v>
      </c>
      <c r="N4028">
        <v>0</v>
      </c>
      <c r="O4028">
        <v>0</v>
      </c>
      <c r="P4028">
        <v>0</v>
      </c>
      <c r="Q4028">
        <v>0</v>
      </c>
      <c r="R4028">
        <v>0</v>
      </c>
      <c r="S4028">
        <v>0</v>
      </c>
      <c r="T4028">
        <v>0</v>
      </c>
      <c r="U4028">
        <v>12</v>
      </c>
      <c r="V4028">
        <v>0</v>
      </c>
      <c r="W4028">
        <v>0</v>
      </c>
      <c r="X4028">
        <v>0</v>
      </c>
      <c r="Y4028" t="s">
        <v>51</v>
      </c>
      <c r="Z4028">
        <v>1000</v>
      </c>
      <c r="AA4028">
        <v>0</v>
      </c>
    </row>
    <row r="4029" spans="1:27" x14ac:dyDescent="0.2">
      <c r="A4029" t="s">
        <v>1509</v>
      </c>
      <c r="B4029">
        <v>2024</v>
      </c>
      <c r="C4029">
        <v>1560180485</v>
      </c>
      <c r="D4029" t="s">
        <v>5074</v>
      </c>
      <c r="E4029" t="s">
        <v>29</v>
      </c>
      <c r="F4029" t="s">
        <v>30</v>
      </c>
      <c r="G4029">
        <v>0</v>
      </c>
      <c r="H4029">
        <v>0</v>
      </c>
      <c r="I4029">
        <v>0</v>
      </c>
      <c r="J4029">
        <v>0</v>
      </c>
      <c r="K4029">
        <v>0</v>
      </c>
      <c r="L4029">
        <v>0</v>
      </c>
      <c r="M4029">
        <v>0</v>
      </c>
      <c r="N4029">
        <v>0</v>
      </c>
      <c r="O4029">
        <v>0</v>
      </c>
      <c r="P4029">
        <v>0</v>
      </c>
      <c r="Q4029">
        <v>0</v>
      </c>
      <c r="R4029">
        <v>0</v>
      </c>
      <c r="S4029">
        <v>0</v>
      </c>
      <c r="T4029">
        <v>0</v>
      </c>
      <c r="U4029">
        <v>12</v>
      </c>
      <c r="V4029">
        <v>0</v>
      </c>
      <c r="W4029">
        <v>0</v>
      </c>
      <c r="X4029">
        <v>0</v>
      </c>
      <c r="Y4029" t="s">
        <v>51</v>
      </c>
      <c r="Z4029">
        <v>1000</v>
      </c>
      <c r="AA4029">
        <v>0</v>
      </c>
    </row>
    <row r="4030" spans="1:27" x14ac:dyDescent="0.2">
      <c r="A4030" t="s">
        <v>1509</v>
      </c>
      <c r="B4030">
        <v>2024</v>
      </c>
      <c r="C4030">
        <v>1560180485</v>
      </c>
      <c r="D4030" t="s">
        <v>5075</v>
      </c>
      <c r="E4030" t="s">
        <v>29</v>
      </c>
      <c r="F4030" t="s">
        <v>30</v>
      </c>
      <c r="G4030">
        <v>0</v>
      </c>
      <c r="H4030">
        <v>0</v>
      </c>
      <c r="I4030">
        <v>0</v>
      </c>
      <c r="J4030">
        <v>0</v>
      </c>
      <c r="K4030">
        <v>0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0</v>
      </c>
      <c r="U4030">
        <v>12</v>
      </c>
      <c r="V4030">
        <v>0</v>
      </c>
      <c r="W4030">
        <v>0</v>
      </c>
      <c r="X4030">
        <v>0</v>
      </c>
      <c r="Y4030" t="s">
        <v>51</v>
      </c>
      <c r="Z4030">
        <v>1000</v>
      </c>
      <c r="AA4030">
        <v>0</v>
      </c>
    </row>
    <row r="4031" spans="1:27" x14ac:dyDescent="0.2">
      <c r="A4031" t="s">
        <v>1509</v>
      </c>
      <c r="B4031">
        <v>2024</v>
      </c>
      <c r="C4031">
        <v>1560180485</v>
      </c>
      <c r="D4031" t="s">
        <v>5076</v>
      </c>
      <c r="E4031" t="s">
        <v>29</v>
      </c>
      <c r="F4031" t="s">
        <v>30</v>
      </c>
      <c r="G4031">
        <v>0</v>
      </c>
      <c r="H4031">
        <v>0</v>
      </c>
      <c r="I4031">
        <v>0</v>
      </c>
      <c r="J4031">
        <v>0</v>
      </c>
      <c r="K4031">
        <v>0</v>
      </c>
      <c r="L4031">
        <v>0</v>
      </c>
      <c r="M4031">
        <v>0</v>
      </c>
      <c r="N4031">
        <v>0</v>
      </c>
      <c r="O4031">
        <v>0</v>
      </c>
      <c r="P4031">
        <v>0</v>
      </c>
      <c r="Q4031">
        <v>0</v>
      </c>
      <c r="R4031">
        <v>0</v>
      </c>
      <c r="S4031">
        <v>6</v>
      </c>
      <c r="T4031">
        <v>0</v>
      </c>
      <c r="U4031">
        <v>0</v>
      </c>
      <c r="V4031">
        <v>0</v>
      </c>
      <c r="W4031">
        <v>0</v>
      </c>
      <c r="X4031">
        <v>0</v>
      </c>
      <c r="Y4031" t="s">
        <v>51</v>
      </c>
      <c r="Z4031">
        <v>1000</v>
      </c>
      <c r="AA4031">
        <v>0</v>
      </c>
    </row>
    <row r="4032" spans="1:27" x14ac:dyDescent="0.2">
      <c r="A4032" t="s">
        <v>2411</v>
      </c>
      <c r="B4032">
        <v>2019</v>
      </c>
      <c r="C4032" t="s">
        <v>5077</v>
      </c>
      <c r="D4032" t="s">
        <v>5078</v>
      </c>
      <c r="E4032" t="s">
        <v>29</v>
      </c>
      <c r="F4032" t="s">
        <v>30</v>
      </c>
      <c r="G4032">
        <v>26</v>
      </c>
      <c r="H4032">
        <v>0</v>
      </c>
      <c r="I4032">
        <v>113</v>
      </c>
      <c r="J4032">
        <v>0</v>
      </c>
      <c r="K4032">
        <v>0</v>
      </c>
      <c r="L4032">
        <v>0</v>
      </c>
      <c r="M4032">
        <v>0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0</v>
      </c>
      <c r="T4032">
        <v>0</v>
      </c>
      <c r="U4032">
        <v>0</v>
      </c>
      <c r="V4032">
        <v>0</v>
      </c>
      <c r="W4032">
        <v>0</v>
      </c>
      <c r="X4032">
        <v>0</v>
      </c>
      <c r="Y4032" t="s">
        <v>31</v>
      </c>
      <c r="Z4032">
        <v>55</v>
      </c>
      <c r="AA4032">
        <v>0</v>
      </c>
    </row>
    <row r="4033" spans="1:27" x14ac:dyDescent="0.2">
      <c r="A4033" t="s">
        <v>928</v>
      </c>
      <c r="B4033">
        <v>2023</v>
      </c>
      <c r="C4033" t="s">
        <v>5079</v>
      </c>
      <c r="D4033" t="s">
        <v>5080</v>
      </c>
      <c r="E4033" t="s">
        <v>29</v>
      </c>
      <c r="F4033" t="s">
        <v>41</v>
      </c>
      <c r="G4033">
        <v>0</v>
      </c>
      <c r="H4033">
        <v>0</v>
      </c>
      <c r="I4033">
        <v>0</v>
      </c>
      <c r="J4033">
        <v>0</v>
      </c>
      <c r="K4033">
        <v>0</v>
      </c>
      <c r="L4033">
        <v>0</v>
      </c>
      <c r="M4033">
        <v>1</v>
      </c>
      <c r="N4033">
        <v>0</v>
      </c>
      <c r="O4033">
        <v>0</v>
      </c>
      <c r="P4033">
        <v>0</v>
      </c>
      <c r="Q4033">
        <v>0</v>
      </c>
      <c r="R4033">
        <v>0</v>
      </c>
      <c r="S4033">
        <v>0</v>
      </c>
      <c r="T4033">
        <v>0</v>
      </c>
      <c r="U4033">
        <v>0</v>
      </c>
      <c r="V4033">
        <v>0</v>
      </c>
      <c r="W4033">
        <v>0</v>
      </c>
      <c r="X4033">
        <v>0</v>
      </c>
      <c r="Y4033" t="s">
        <v>51</v>
      </c>
      <c r="Z4033">
        <v>55</v>
      </c>
      <c r="AA4033">
        <v>0</v>
      </c>
    </row>
    <row r="4034" spans="1:27" x14ac:dyDescent="0.2">
      <c r="A4034" t="s">
        <v>318</v>
      </c>
      <c r="B4034">
        <v>2021</v>
      </c>
      <c r="C4034">
        <v>20550013</v>
      </c>
      <c r="D4034" t="s">
        <v>5081</v>
      </c>
      <c r="E4034" t="s">
        <v>29</v>
      </c>
      <c r="F4034" t="s">
        <v>30</v>
      </c>
      <c r="G4034">
        <v>55</v>
      </c>
      <c r="H4034">
        <v>0</v>
      </c>
      <c r="I4034">
        <v>119</v>
      </c>
      <c r="J4034">
        <v>0</v>
      </c>
      <c r="K4034">
        <v>0</v>
      </c>
      <c r="L4034">
        <v>0</v>
      </c>
      <c r="M4034">
        <v>0</v>
      </c>
      <c r="N4034">
        <v>0</v>
      </c>
      <c r="O4034">
        <v>0</v>
      </c>
      <c r="P4034">
        <v>0</v>
      </c>
      <c r="Q4034">
        <v>0</v>
      </c>
      <c r="R4034">
        <v>0</v>
      </c>
      <c r="S4034">
        <v>0</v>
      </c>
      <c r="T4034">
        <v>0</v>
      </c>
      <c r="U4034">
        <v>0</v>
      </c>
      <c r="V4034">
        <v>0</v>
      </c>
      <c r="W4034">
        <v>0</v>
      </c>
      <c r="X4034">
        <v>0</v>
      </c>
      <c r="Y4034" t="s">
        <v>31</v>
      </c>
      <c r="Z4034">
        <v>55</v>
      </c>
      <c r="AA4034">
        <v>0</v>
      </c>
    </row>
    <row r="4035" spans="1:27" x14ac:dyDescent="0.2">
      <c r="A4035" t="s">
        <v>318</v>
      </c>
      <c r="B4035">
        <v>2021</v>
      </c>
      <c r="C4035">
        <v>-4624</v>
      </c>
      <c r="D4035" t="s">
        <v>5082</v>
      </c>
      <c r="E4035" t="s">
        <v>29</v>
      </c>
      <c r="F4035" t="s">
        <v>30</v>
      </c>
      <c r="G4035">
        <v>0</v>
      </c>
      <c r="H4035">
        <v>0</v>
      </c>
      <c r="I4035">
        <v>0</v>
      </c>
      <c r="J4035">
        <v>0</v>
      </c>
      <c r="K4035">
        <v>0</v>
      </c>
      <c r="L4035">
        <v>0</v>
      </c>
      <c r="M4035">
        <v>10</v>
      </c>
      <c r="N4035">
        <v>0</v>
      </c>
      <c r="O4035">
        <v>0</v>
      </c>
      <c r="P4035">
        <v>0</v>
      </c>
      <c r="Q4035">
        <v>0</v>
      </c>
      <c r="R4035">
        <v>0</v>
      </c>
      <c r="S4035">
        <v>0</v>
      </c>
      <c r="T4035">
        <v>0</v>
      </c>
      <c r="U4035">
        <v>0</v>
      </c>
      <c r="V4035">
        <v>0</v>
      </c>
      <c r="W4035">
        <v>0</v>
      </c>
      <c r="X4035">
        <v>0</v>
      </c>
      <c r="Y4035" t="s">
        <v>31</v>
      </c>
      <c r="Z4035">
        <v>55</v>
      </c>
      <c r="AA4035">
        <v>4</v>
      </c>
    </row>
    <row r="4036" spans="1:27" x14ac:dyDescent="0.2">
      <c r="A4036" t="s">
        <v>1309</v>
      </c>
      <c r="B4036">
        <v>2023</v>
      </c>
      <c r="C4036" t="s">
        <v>1656</v>
      </c>
      <c r="E4036" t="s">
        <v>29</v>
      </c>
      <c r="F4036" t="s">
        <v>30</v>
      </c>
      <c r="G4036">
        <v>50</v>
      </c>
      <c r="H4036">
        <v>0</v>
      </c>
      <c r="I4036">
        <v>25</v>
      </c>
      <c r="J4036">
        <v>0</v>
      </c>
      <c r="K4036">
        <v>0</v>
      </c>
      <c r="L4036">
        <v>0</v>
      </c>
      <c r="M4036">
        <v>50</v>
      </c>
      <c r="N4036">
        <v>0</v>
      </c>
      <c r="O4036">
        <v>25</v>
      </c>
      <c r="P4036">
        <v>0</v>
      </c>
      <c r="Q4036">
        <v>0</v>
      </c>
      <c r="R4036">
        <v>0</v>
      </c>
      <c r="S4036">
        <v>0</v>
      </c>
      <c r="T4036">
        <v>0</v>
      </c>
      <c r="U4036">
        <v>0</v>
      </c>
      <c r="V4036">
        <v>0</v>
      </c>
      <c r="W4036">
        <v>0</v>
      </c>
      <c r="X4036">
        <v>0</v>
      </c>
      <c r="Y4036" t="s">
        <v>31</v>
      </c>
      <c r="Z4036">
        <v>55</v>
      </c>
      <c r="AA4036">
        <v>0</v>
      </c>
    </row>
    <row r="4037" spans="1:27" x14ac:dyDescent="0.2">
      <c r="A4037" t="s">
        <v>1658</v>
      </c>
      <c r="B4037">
        <v>2023</v>
      </c>
      <c r="C4037" t="s">
        <v>2320</v>
      </c>
      <c r="D4037" t="s">
        <v>5083</v>
      </c>
      <c r="E4037" t="s">
        <v>29</v>
      </c>
      <c r="F4037" t="s">
        <v>41</v>
      </c>
      <c r="G4037">
        <v>0</v>
      </c>
      <c r="H4037">
        <v>0</v>
      </c>
      <c r="I4037">
        <v>0</v>
      </c>
      <c r="J4037">
        <v>0</v>
      </c>
      <c r="K4037">
        <v>0</v>
      </c>
      <c r="L4037">
        <v>0</v>
      </c>
      <c r="M4037">
        <v>0</v>
      </c>
      <c r="N4037">
        <v>0</v>
      </c>
      <c r="O4037">
        <v>0</v>
      </c>
      <c r="P4037">
        <v>0</v>
      </c>
      <c r="Q4037">
        <v>0</v>
      </c>
      <c r="R4037">
        <v>0</v>
      </c>
      <c r="S4037">
        <v>1</v>
      </c>
      <c r="T4037">
        <v>0</v>
      </c>
      <c r="U4037">
        <v>0</v>
      </c>
      <c r="V4037">
        <v>0</v>
      </c>
      <c r="W4037">
        <v>0</v>
      </c>
      <c r="X4037">
        <v>0</v>
      </c>
      <c r="Y4037" t="s">
        <v>51</v>
      </c>
      <c r="Z4037">
        <v>55</v>
      </c>
      <c r="AA4037">
        <v>0</v>
      </c>
    </row>
    <row r="4038" spans="1:27" x14ac:dyDescent="0.2">
      <c r="A4038" t="s">
        <v>1658</v>
      </c>
      <c r="B4038">
        <v>2023</v>
      </c>
      <c r="C4038" t="s">
        <v>3061</v>
      </c>
      <c r="D4038" t="s">
        <v>4019</v>
      </c>
      <c r="E4038" t="s">
        <v>29</v>
      </c>
      <c r="F4038" t="s">
        <v>41</v>
      </c>
      <c r="G4038">
        <v>0</v>
      </c>
      <c r="H4038">
        <v>0</v>
      </c>
      <c r="I4038">
        <v>0</v>
      </c>
      <c r="J4038">
        <v>0</v>
      </c>
      <c r="K4038">
        <v>0</v>
      </c>
      <c r="L4038">
        <v>0</v>
      </c>
      <c r="M4038">
        <v>0</v>
      </c>
      <c r="N4038">
        <v>0</v>
      </c>
      <c r="O4038">
        <v>0</v>
      </c>
      <c r="P4038">
        <v>0</v>
      </c>
      <c r="Q4038">
        <v>0</v>
      </c>
      <c r="R4038">
        <v>0</v>
      </c>
      <c r="S4038">
        <v>0</v>
      </c>
      <c r="T4038">
        <v>0</v>
      </c>
      <c r="U4038">
        <v>1</v>
      </c>
      <c r="V4038">
        <v>0</v>
      </c>
      <c r="W4038">
        <v>0</v>
      </c>
      <c r="X4038">
        <v>0</v>
      </c>
      <c r="Y4038" t="s">
        <v>51</v>
      </c>
      <c r="Z4038">
        <v>55</v>
      </c>
      <c r="AA4038">
        <v>0</v>
      </c>
    </row>
    <row r="4039" spans="1:27" x14ac:dyDescent="0.2">
      <c r="A4039" t="s">
        <v>1658</v>
      </c>
      <c r="B4039">
        <v>2023</v>
      </c>
      <c r="C4039" t="s">
        <v>3061</v>
      </c>
      <c r="D4039" t="s">
        <v>5084</v>
      </c>
      <c r="E4039" t="s">
        <v>29</v>
      </c>
      <c r="F4039" t="s">
        <v>41</v>
      </c>
      <c r="G4039">
        <v>0</v>
      </c>
      <c r="H4039">
        <v>0</v>
      </c>
      <c r="I4039">
        <v>0</v>
      </c>
      <c r="J4039">
        <v>0</v>
      </c>
      <c r="K4039">
        <v>0</v>
      </c>
      <c r="L4039">
        <v>0</v>
      </c>
      <c r="M4039">
        <v>0</v>
      </c>
      <c r="N4039">
        <v>0</v>
      </c>
      <c r="O4039">
        <v>0</v>
      </c>
      <c r="P4039">
        <v>0</v>
      </c>
      <c r="Q4039">
        <v>0</v>
      </c>
      <c r="R4039">
        <v>0</v>
      </c>
      <c r="S4039">
        <v>0</v>
      </c>
      <c r="T4039">
        <v>0</v>
      </c>
      <c r="U4039">
        <v>1</v>
      </c>
      <c r="V4039">
        <v>0</v>
      </c>
      <c r="W4039">
        <v>0</v>
      </c>
      <c r="X4039">
        <v>0</v>
      </c>
      <c r="Y4039" t="s">
        <v>51</v>
      </c>
      <c r="Z4039">
        <v>55</v>
      </c>
      <c r="AA4039">
        <v>0</v>
      </c>
    </row>
    <row r="4040" spans="1:27" x14ac:dyDescent="0.2">
      <c r="A4040" t="s">
        <v>1658</v>
      </c>
      <c r="B4040">
        <v>2023</v>
      </c>
      <c r="C4040" t="s">
        <v>2320</v>
      </c>
      <c r="D4040" t="s">
        <v>5085</v>
      </c>
      <c r="E4040" t="s">
        <v>29</v>
      </c>
      <c r="F4040" t="s">
        <v>41</v>
      </c>
      <c r="G4040">
        <v>0</v>
      </c>
      <c r="H4040">
        <v>0</v>
      </c>
      <c r="I4040">
        <v>0</v>
      </c>
      <c r="J4040">
        <v>0</v>
      </c>
      <c r="K4040">
        <v>0</v>
      </c>
      <c r="L4040">
        <v>0</v>
      </c>
      <c r="M4040">
        <v>0</v>
      </c>
      <c r="N4040">
        <v>0</v>
      </c>
      <c r="O4040">
        <v>0</v>
      </c>
      <c r="P4040">
        <v>0</v>
      </c>
      <c r="Q4040">
        <v>0</v>
      </c>
      <c r="R4040">
        <v>0</v>
      </c>
      <c r="S4040">
        <v>1</v>
      </c>
      <c r="T4040">
        <v>0</v>
      </c>
      <c r="U4040">
        <v>0</v>
      </c>
      <c r="V4040">
        <v>0</v>
      </c>
      <c r="W4040">
        <v>0</v>
      </c>
      <c r="X4040">
        <v>0</v>
      </c>
      <c r="Y4040" t="s">
        <v>51</v>
      </c>
      <c r="Z4040">
        <v>55</v>
      </c>
      <c r="AA4040">
        <v>0</v>
      </c>
    </row>
    <row r="4041" spans="1:27" x14ac:dyDescent="0.2">
      <c r="A4041" t="s">
        <v>1658</v>
      </c>
      <c r="B4041">
        <v>2023</v>
      </c>
      <c r="C4041" t="s">
        <v>2320</v>
      </c>
      <c r="D4041" t="s">
        <v>5086</v>
      </c>
      <c r="E4041" t="s">
        <v>29</v>
      </c>
      <c r="F4041" t="s">
        <v>41</v>
      </c>
      <c r="G4041">
        <v>0</v>
      </c>
      <c r="H4041">
        <v>0</v>
      </c>
      <c r="I4041">
        <v>0</v>
      </c>
      <c r="J4041">
        <v>0</v>
      </c>
      <c r="K4041">
        <v>0</v>
      </c>
      <c r="L4041">
        <v>0</v>
      </c>
      <c r="M4041">
        <v>0</v>
      </c>
      <c r="N4041">
        <v>0</v>
      </c>
      <c r="O4041">
        <v>0</v>
      </c>
      <c r="P4041">
        <v>0</v>
      </c>
      <c r="Q4041">
        <v>0</v>
      </c>
      <c r="R4041">
        <v>0</v>
      </c>
      <c r="S4041">
        <v>0</v>
      </c>
      <c r="T4041">
        <v>0</v>
      </c>
      <c r="U4041">
        <v>1</v>
      </c>
      <c r="V4041">
        <v>0</v>
      </c>
      <c r="W4041">
        <v>0</v>
      </c>
      <c r="X4041">
        <v>0</v>
      </c>
      <c r="Y4041" t="s">
        <v>51</v>
      </c>
      <c r="Z4041">
        <v>55</v>
      </c>
      <c r="AA4041">
        <v>0</v>
      </c>
    </row>
    <row r="4042" spans="1:27" x14ac:dyDescent="0.2">
      <c r="A4042" t="s">
        <v>1959</v>
      </c>
      <c r="B4042">
        <v>2022</v>
      </c>
      <c r="C4042" t="s">
        <v>2260</v>
      </c>
      <c r="D4042" t="s">
        <v>2261</v>
      </c>
      <c r="E4042" t="s">
        <v>29</v>
      </c>
      <c r="F4042" t="s">
        <v>30</v>
      </c>
      <c r="G4042">
        <v>19</v>
      </c>
      <c r="H4042">
        <v>0</v>
      </c>
      <c r="I4042">
        <v>19</v>
      </c>
      <c r="J4042">
        <v>0</v>
      </c>
      <c r="K4042">
        <v>0</v>
      </c>
      <c r="L4042">
        <v>0</v>
      </c>
      <c r="M4042">
        <v>19</v>
      </c>
      <c r="N4042">
        <v>0</v>
      </c>
      <c r="O4042">
        <v>19</v>
      </c>
      <c r="P4042">
        <v>0</v>
      </c>
      <c r="Q4042">
        <v>0</v>
      </c>
      <c r="R4042">
        <v>0</v>
      </c>
      <c r="S4042">
        <v>19</v>
      </c>
      <c r="T4042">
        <v>0</v>
      </c>
      <c r="U4042">
        <v>19</v>
      </c>
      <c r="V4042">
        <v>0</v>
      </c>
      <c r="W4042">
        <v>0</v>
      </c>
      <c r="X4042">
        <v>0</v>
      </c>
      <c r="Y4042" t="s">
        <v>51</v>
      </c>
      <c r="Z4042">
        <v>1000</v>
      </c>
      <c r="AA4042">
        <v>0</v>
      </c>
    </row>
    <row r="4043" spans="1:27" x14ac:dyDescent="0.2">
      <c r="A4043" t="s">
        <v>5087</v>
      </c>
      <c r="B4043">
        <v>2018</v>
      </c>
      <c r="C4043" t="s">
        <v>5088</v>
      </c>
      <c r="D4043" t="s">
        <v>5089</v>
      </c>
      <c r="E4043" t="s">
        <v>29</v>
      </c>
      <c r="F4043" t="s">
        <v>30</v>
      </c>
      <c r="G4043">
        <v>0</v>
      </c>
      <c r="H4043">
        <v>0</v>
      </c>
      <c r="I4043">
        <v>0</v>
      </c>
      <c r="J4043">
        <v>0</v>
      </c>
      <c r="K4043">
        <v>0</v>
      </c>
      <c r="L4043">
        <v>0</v>
      </c>
      <c r="M4043">
        <v>0</v>
      </c>
      <c r="N4043">
        <v>0</v>
      </c>
      <c r="O4043">
        <v>6</v>
      </c>
      <c r="P4043">
        <v>0</v>
      </c>
      <c r="Q4043">
        <v>0</v>
      </c>
      <c r="R4043">
        <v>54</v>
      </c>
      <c r="S4043">
        <v>0</v>
      </c>
      <c r="T4043">
        <v>0</v>
      </c>
      <c r="U4043">
        <v>6</v>
      </c>
      <c r="V4043">
        <v>0</v>
      </c>
      <c r="W4043">
        <v>0</v>
      </c>
      <c r="X4043">
        <v>54</v>
      </c>
      <c r="Y4043" t="s">
        <v>31</v>
      </c>
      <c r="Z4043">
        <v>55</v>
      </c>
      <c r="AA4043">
        <v>0</v>
      </c>
    </row>
    <row r="4044" spans="1:27" x14ac:dyDescent="0.2">
      <c r="A4044" t="s">
        <v>1316</v>
      </c>
      <c r="B4044">
        <v>2021</v>
      </c>
      <c r="C4044">
        <v>52748127</v>
      </c>
      <c r="D4044" t="s">
        <v>5090</v>
      </c>
      <c r="E4044" t="s">
        <v>29</v>
      </c>
      <c r="F4044" t="s">
        <v>30</v>
      </c>
      <c r="G4044">
        <v>0</v>
      </c>
      <c r="H4044">
        <v>0</v>
      </c>
      <c r="I4044">
        <v>0</v>
      </c>
      <c r="J4044">
        <v>0</v>
      </c>
      <c r="K4044">
        <v>0</v>
      </c>
      <c r="L4044">
        <v>0</v>
      </c>
      <c r="M4044">
        <v>15</v>
      </c>
      <c r="N4044">
        <v>0</v>
      </c>
      <c r="O4044">
        <v>0</v>
      </c>
      <c r="P4044">
        <v>0</v>
      </c>
      <c r="Q4044">
        <v>10</v>
      </c>
      <c r="R4044">
        <v>0</v>
      </c>
      <c r="S4044">
        <v>0</v>
      </c>
      <c r="T4044">
        <v>0</v>
      </c>
      <c r="U4044">
        <v>0</v>
      </c>
      <c r="V4044">
        <v>0</v>
      </c>
      <c r="W4044">
        <v>0</v>
      </c>
      <c r="X4044">
        <v>0</v>
      </c>
      <c r="Y4044" t="s">
        <v>31</v>
      </c>
      <c r="Z4044">
        <v>55</v>
      </c>
      <c r="AA4044">
        <v>25</v>
      </c>
    </row>
    <row r="4045" spans="1:27" x14ac:dyDescent="0.2">
      <c r="A4045" t="s">
        <v>460</v>
      </c>
      <c r="B4045">
        <v>2024</v>
      </c>
      <c r="C4045" t="s">
        <v>461</v>
      </c>
      <c r="D4045" t="s">
        <v>714</v>
      </c>
      <c r="E4045" t="s">
        <v>29</v>
      </c>
      <c r="F4045" t="s">
        <v>30</v>
      </c>
      <c r="G4045">
        <v>0</v>
      </c>
      <c r="H4045">
        <v>0</v>
      </c>
      <c r="I4045">
        <v>0</v>
      </c>
      <c r="J4045">
        <v>0</v>
      </c>
      <c r="K4045">
        <v>0</v>
      </c>
      <c r="L4045">
        <v>0</v>
      </c>
      <c r="M4045">
        <v>0</v>
      </c>
      <c r="N4045">
        <v>0</v>
      </c>
      <c r="O4045">
        <v>0</v>
      </c>
      <c r="P4045">
        <v>0</v>
      </c>
      <c r="Q4045">
        <v>0</v>
      </c>
      <c r="R4045">
        <v>0</v>
      </c>
      <c r="S4045">
        <v>4</v>
      </c>
      <c r="T4045">
        <v>0</v>
      </c>
      <c r="U4045">
        <v>14</v>
      </c>
      <c r="V4045">
        <v>0</v>
      </c>
      <c r="W4045">
        <v>0</v>
      </c>
      <c r="X4045">
        <v>0</v>
      </c>
      <c r="Y4045" t="s">
        <v>31</v>
      </c>
      <c r="Z4045">
        <v>55</v>
      </c>
      <c r="AA4045" s="2" t="s">
        <v>5091</v>
      </c>
    </row>
    <row r="4046" spans="1:27" x14ac:dyDescent="0.2">
      <c r="A4046" t="s">
        <v>460</v>
      </c>
      <c r="B4046">
        <v>2024</v>
      </c>
      <c r="C4046" t="s">
        <v>461</v>
      </c>
      <c r="D4046" t="s">
        <v>462</v>
      </c>
      <c r="E4046" t="s">
        <v>29</v>
      </c>
      <c r="F4046" t="s">
        <v>30</v>
      </c>
      <c r="G4046">
        <v>0</v>
      </c>
      <c r="H4046">
        <v>0</v>
      </c>
      <c r="I4046">
        <v>0</v>
      </c>
      <c r="J4046">
        <v>0</v>
      </c>
      <c r="K4046">
        <v>0</v>
      </c>
      <c r="L4046">
        <v>0</v>
      </c>
      <c r="M4046">
        <v>0</v>
      </c>
      <c r="N4046">
        <v>0</v>
      </c>
      <c r="O4046">
        <v>0</v>
      </c>
      <c r="P4046">
        <v>0</v>
      </c>
      <c r="Q4046">
        <v>0</v>
      </c>
      <c r="R4046">
        <v>0</v>
      </c>
      <c r="S4046">
        <v>5</v>
      </c>
      <c r="T4046">
        <v>0</v>
      </c>
      <c r="U4046">
        <v>19</v>
      </c>
      <c r="V4046">
        <v>0</v>
      </c>
      <c r="W4046">
        <v>0</v>
      </c>
      <c r="X4046">
        <v>0</v>
      </c>
      <c r="Y4046" t="s">
        <v>31</v>
      </c>
      <c r="Z4046">
        <v>55</v>
      </c>
      <c r="AA4046" s="2" t="s">
        <v>5091</v>
      </c>
    </row>
    <row r="4047" spans="1:27" x14ac:dyDescent="0.2">
      <c r="A4047" t="s">
        <v>460</v>
      </c>
      <c r="B4047">
        <v>2024</v>
      </c>
      <c r="C4047" t="s">
        <v>461</v>
      </c>
      <c r="D4047" t="s">
        <v>662</v>
      </c>
      <c r="E4047" t="s">
        <v>29</v>
      </c>
      <c r="F4047" t="s">
        <v>30</v>
      </c>
      <c r="G4047">
        <v>0</v>
      </c>
      <c r="H4047">
        <v>0</v>
      </c>
      <c r="I4047">
        <v>0</v>
      </c>
      <c r="J4047">
        <v>0</v>
      </c>
      <c r="K4047">
        <v>0</v>
      </c>
      <c r="L4047">
        <v>0</v>
      </c>
      <c r="M4047">
        <v>0</v>
      </c>
      <c r="N4047">
        <v>0</v>
      </c>
      <c r="O4047">
        <v>0</v>
      </c>
      <c r="P4047">
        <v>0</v>
      </c>
      <c r="Q4047">
        <v>0</v>
      </c>
      <c r="R4047">
        <v>0</v>
      </c>
      <c r="S4047">
        <v>4</v>
      </c>
      <c r="T4047">
        <v>0</v>
      </c>
      <c r="U4047">
        <v>14</v>
      </c>
      <c r="V4047">
        <v>0</v>
      </c>
      <c r="W4047">
        <v>0</v>
      </c>
      <c r="X4047">
        <v>0</v>
      </c>
      <c r="Y4047" t="s">
        <v>31</v>
      </c>
      <c r="Z4047">
        <v>55</v>
      </c>
      <c r="AA4047" s="2" t="s">
        <v>5091</v>
      </c>
    </row>
    <row r="4048" spans="1:27" x14ac:dyDescent="0.2">
      <c r="A4048" t="s">
        <v>278</v>
      </c>
      <c r="B4048">
        <v>2018</v>
      </c>
      <c r="C4048" t="s">
        <v>5092</v>
      </c>
      <c r="D4048" t="s">
        <v>5093</v>
      </c>
      <c r="E4048" t="s">
        <v>29</v>
      </c>
      <c r="F4048" t="s">
        <v>30</v>
      </c>
      <c r="G4048">
        <v>2</v>
      </c>
      <c r="H4048">
        <v>0</v>
      </c>
      <c r="I4048">
        <v>0</v>
      </c>
      <c r="J4048">
        <v>0</v>
      </c>
      <c r="K4048">
        <v>0</v>
      </c>
      <c r="L4048">
        <v>0</v>
      </c>
      <c r="M4048">
        <v>0</v>
      </c>
      <c r="N4048">
        <v>0</v>
      </c>
      <c r="O4048">
        <v>0</v>
      </c>
      <c r="P4048">
        <v>0</v>
      </c>
      <c r="Q4048">
        <v>0</v>
      </c>
      <c r="R4048">
        <v>0</v>
      </c>
      <c r="S4048">
        <v>0</v>
      </c>
      <c r="T4048">
        <v>0</v>
      </c>
      <c r="U4048">
        <v>0</v>
      </c>
      <c r="V4048">
        <v>0</v>
      </c>
      <c r="W4048">
        <v>0</v>
      </c>
      <c r="X4048">
        <v>0</v>
      </c>
      <c r="Y4048" t="s">
        <v>31</v>
      </c>
      <c r="Z4048">
        <v>55</v>
      </c>
      <c r="AA4048">
        <v>0</v>
      </c>
    </row>
    <row r="4049" spans="1:27" x14ac:dyDescent="0.2">
      <c r="A4049" t="s">
        <v>418</v>
      </c>
      <c r="B4049">
        <v>2018</v>
      </c>
      <c r="C4049">
        <v>47723043</v>
      </c>
      <c r="D4049" t="s">
        <v>5094</v>
      </c>
      <c r="E4049" t="s">
        <v>29</v>
      </c>
      <c r="F4049" t="s">
        <v>30</v>
      </c>
      <c r="G4049">
        <v>0</v>
      </c>
      <c r="H4049">
        <v>0</v>
      </c>
      <c r="I4049">
        <v>0</v>
      </c>
      <c r="J4049">
        <v>0</v>
      </c>
      <c r="K4049">
        <v>0</v>
      </c>
      <c r="L4049">
        <v>0</v>
      </c>
      <c r="M4049">
        <v>0</v>
      </c>
      <c r="N4049">
        <v>0</v>
      </c>
      <c r="O4049">
        <v>0</v>
      </c>
      <c r="P4049">
        <v>0</v>
      </c>
      <c r="Q4049">
        <v>0</v>
      </c>
      <c r="R4049">
        <v>0</v>
      </c>
      <c r="S4049">
        <v>30</v>
      </c>
      <c r="T4049">
        <v>0</v>
      </c>
      <c r="U4049">
        <v>0</v>
      </c>
      <c r="V4049">
        <v>0</v>
      </c>
      <c r="W4049">
        <v>0</v>
      </c>
      <c r="X4049">
        <v>0</v>
      </c>
      <c r="Y4049" t="s">
        <v>51</v>
      </c>
      <c r="Z4049">
        <v>55</v>
      </c>
      <c r="AA4049">
        <v>0</v>
      </c>
    </row>
    <row r="4050" spans="1:27" x14ac:dyDescent="0.2">
      <c r="A4050" t="s">
        <v>48</v>
      </c>
      <c r="B4050">
        <v>2019</v>
      </c>
      <c r="C4050" t="s">
        <v>5095</v>
      </c>
      <c r="D4050" t="s">
        <v>5096</v>
      </c>
      <c r="E4050" t="s">
        <v>29</v>
      </c>
      <c r="F4050" t="s">
        <v>30</v>
      </c>
      <c r="G4050">
        <v>29</v>
      </c>
      <c r="H4050">
        <v>0</v>
      </c>
      <c r="I4050">
        <v>38</v>
      </c>
      <c r="J4050">
        <v>0</v>
      </c>
      <c r="K4050">
        <v>1</v>
      </c>
      <c r="L4050">
        <v>0</v>
      </c>
      <c r="M4050">
        <v>0</v>
      </c>
      <c r="N4050">
        <v>0</v>
      </c>
      <c r="O4050">
        <v>0</v>
      </c>
      <c r="P4050">
        <v>0</v>
      </c>
      <c r="Q4050">
        <v>0</v>
      </c>
      <c r="R4050">
        <v>0</v>
      </c>
      <c r="S4050">
        <v>0</v>
      </c>
      <c r="T4050">
        <v>0</v>
      </c>
      <c r="U4050">
        <v>0</v>
      </c>
      <c r="V4050">
        <v>0</v>
      </c>
      <c r="W4050">
        <v>0</v>
      </c>
      <c r="X4050">
        <v>0</v>
      </c>
      <c r="Y4050" t="s">
        <v>31</v>
      </c>
      <c r="Z4050">
        <v>55</v>
      </c>
      <c r="AA4050">
        <v>0</v>
      </c>
    </row>
    <row r="4051" spans="1:27" x14ac:dyDescent="0.2">
      <c r="A4051" t="s">
        <v>48</v>
      </c>
      <c r="B4051">
        <v>2019</v>
      </c>
      <c r="C4051" t="s">
        <v>307</v>
      </c>
      <c r="D4051" t="s">
        <v>5097</v>
      </c>
      <c r="E4051" t="s">
        <v>29</v>
      </c>
      <c r="F4051" t="s">
        <v>30</v>
      </c>
      <c r="G4051">
        <v>2</v>
      </c>
      <c r="H4051">
        <v>0</v>
      </c>
      <c r="I4051">
        <v>0</v>
      </c>
      <c r="J4051">
        <v>0</v>
      </c>
      <c r="K4051">
        <v>0</v>
      </c>
      <c r="L4051">
        <v>0</v>
      </c>
      <c r="M4051">
        <v>0</v>
      </c>
      <c r="N4051">
        <v>0</v>
      </c>
      <c r="O4051">
        <v>0</v>
      </c>
      <c r="P4051">
        <v>0</v>
      </c>
      <c r="Q4051">
        <v>0</v>
      </c>
      <c r="R4051">
        <v>0</v>
      </c>
      <c r="S4051">
        <v>0</v>
      </c>
      <c r="T4051">
        <v>0</v>
      </c>
      <c r="U4051">
        <v>0</v>
      </c>
      <c r="V4051">
        <v>0</v>
      </c>
      <c r="W4051">
        <v>0</v>
      </c>
      <c r="X4051">
        <v>0</v>
      </c>
      <c r="Y4051" t="s">
        <v>31</v>
      </c>
      <c r="Z4051">
        <v>55</v>
      </c>
      <c r="AA4051">
        <v>0</v>
      </c>
    </row>
    <row r="4052" spans="1:27" x14ac:dyDescent="0.2">
      <c r="A4052" t="s">
        <v>48</v>
      </c>
      <c r="B4052">
        <v>2019</v>
      </c>
      <c r="C4052" t="s">
        <v>338</v>
      </c>
      <c r="D4052" t="s">
        <v>641</v>
      </c>
      <c r="E4052" t="s">
        <v>29</v>
      </c>
      <c r="F4052" t="s">
        <v>30</v>
      </c>
      <c r="G4052">
        <v>0</v>
      </c>
      <c r="H4052">
        <v>0</v>
      </c>
      <c r="I4052">
        <v>0</v>
      </c>
      <c r="J4052">
        <v>0</v>
      </c>
      <c r="K4052">
        <v>0</v>
      </c>
      <c r="L4052">
        <v>0</v>
      </c>
      <c r="M4052">
        <v>0</v>
      </c>
      <c r="N4052">
        <v>0</v>
      </c>
      <c r="O4052">
        <v>0</v>
      </c>
      <c r="P4052">
        <v>0</v>
      </c>
      <c r="Q4052">
        <v>1</v>
      </c>
      <c r="R4052">
        <v>0</v>
      </c>
      <c r="S4052">
        <v>0</v>
      </c>
      <c r="T4052">
        <v>0</v>
      </c>
      <c r="U4052">
        <v>0</v>
      </c>
      <c r="V4052">
        <v>0</v>
      </c>
      <c r="W4052">
        <v>0</v>
      </c>
      <c r="X4052">
        <v>0</v>
      </c>
      <c r="Y4052" t="s">
        <v>51</v>
      </c>
      <c r="Z4052">
        <v>55</v>
      </c>
      <c r="AA4052">
        <v>0</v>
      </c>
    </row>
    <row r="4053" spans="1:27" x14ac:dyDescent="0.2">
      <c r="A4053" t="s">
        <v>418</v>
      </c>
      <c r="B4053">
        <v>2020</v>
      </c>
      <c r="C4053" t="s">
        <v>5098</v>
      </c>
      <c r="D4053" t="s">
        <v>5099</v>
      </c>
      <c r="E4053" t="s">
        <v>29</v>
      </c>
      <c r="F4053" t="s">
        <v>30</v>
      </c>
      <c r="G4053">
        <v>0</v>
      </c>
      <c r="H4053">
        <v>0</v>
      </c>
      <c r="I4053">
        <v>233</v>
      </c>
      <c r="J4053">
        <v>0</v>
      </c>
      <c r="K4053">
        <v>0</v>
      </c>
      <c r="L4053">
        <v>0</v>
      </c>
      <c r="M4053">
        <v>0</v>
      </c>
      <c r="N4053">
        <v>0</v>
      </c>
      <c r="O4053">
        <v>0</v>
      </c>
      <c r="P4053">
        <v>0</v>
      </c>
      <c r="Q4053">
        <v>0</v>
      </c>
      <c r="R4053">
        <v>0</v>
      </c>
      <c r="S4053">
        <v>0</v>
      </c>
      <c r="T4053">
        <v>0</v>
      </c>
      <c r="U4053">
        <v>0</v>
      </c>
      <c r="V4053">
        <v>0</v>
      </c>
      <c r="W4053">
        <v>0</v>
      </c>
      <c r="X4053">
        <v>0</v>
      </c>
      <c r="Y4053" t="s">
        <v>31</v>
      </c>
      <c r="Z4053">
        <v>55</v>
      </c>
      <c r="AA4053">
        <v>0</v>
      </c>
    </row>
    <row r="4054" spans="1:27" x14ac:dyDescent="0.2">
      <c r="A4054" t="s">
        <v>1449</v>
      </c>
      <c r="B4054">
        <v>2024</v>
      </c>
      <c r="C4054" t="s">
        <v>2004</v>
      </c>
      <c r="D4054" t="s">
        <v>5100</v>
      </c>
      <c r="E4054" t="s">
        <v>29</v>
      </c>
      <c r="F4054" t="s">
        <v>30</v>
      </c>
      <c r="G4054">
        <v>0</v>
      </c>
      <c r="H4054">
        <v>0</v>
      </c>
      <c r="I4054">
        <v>0</v>
      </c>
      <c r="J4054">
        <v>0</v>
      </c>
      <c r="K4054">
        <v>0</v>
      </c>
      <c r="L4054">
        <v>0</v>
      </c>
      <c r="M4054">
        <v>0</v>
      </c>
      <c r="N4054">
        <v>0</v>
      </c>
      <c r="O4054">
        <v>0</v>
      </c>
      <c r="P4054">
        <v>0</v>
      </c>
      <c r="Q4054">
        <v>0</v>
      </c>
      <c r="R4054">
        <v>0</v>
      </c>
      <c r="S4054">
        <v>5</v>
      </c>
      <c r="T4054">
        <v>0</v>
      </c>
      <c r="U4054">
        <v>0</v>
      </c>
      <c r="V4054">
        <v>0</v>
      </c>
      <c r="W4054">
        <v>0</v>
      </c>
      <c r="X4054">
        <v>0</v>
      </c>
      <c r="Y4054" t="s">
        <v>31</v>
      </c>
      <c r="AA4054" s="2" t="s">
        <v>3316</v>
      </c>
    </row>
    <row r="4055" spans="1:27" x14ac:dyDescent="0.2">
      <c r="A4055" t="s">
        <v>1449</v>
      </c>
      <c r="B4055">
        <v>2024</v>
      </c>
      <c r="C4055" t="s">
        <v>5101</v>
      </c>
      <c r="D4055" t="s">
        <v>5102</v>
      </c>
      <c r="E4055" t="s">
        <v>29</v>
      </c>
      <c r="F4055" t="s">
        <v>30</v>
      </c>
      <c r="G4055">
        <v>40</v>
      </c>
      <c r="H4055">
        <v>0</v>
      </c>
      <c r="I4055">
        <v>0</v>
      </c>
      <c r="J4055">
        <v>0</v>
      </c>
      <c r="K4055">
        <v>0</v>
      </c>
      <c r="L4055">
        <v>0</v>
      </c>
      <c r="M4055">
        <v>0</v>
      </c>
      <c r="N4055">
        <v>0</v>
      </c>
      <c r="O4055">
        <v>0</v>
      </c>
      <c r="P4055">
        <v>0</v>
      </c>
      <c r="Q4055">
        <v>0</v>
      </c>
      <c r="R4055">
        <v>0</v>
      </c>
      <c r="S4055">
        <v>0</v>
      </c>
      <c r="T4055">
        <v>0</v>
      </c>
      <c r="U4055">
        <v>0</v>
      </c>
      <c r="V4055">
        <v>0</v>
      </c>
      <c r="W4055">
        <v>0</v>
      </c>
      <c r="X4055">
        <v>0</v>
      </c>
      <c r="Y4055" t="s">
        <v>31</v>
      </c>
      <c r="AA4055" s="2" t="s">
        <v>5103</v>
      </c>
    </row>
    <row r="4056" spans="1:27" x14ac:dyDescent="0.2">
      <c r="A4056" t="s">
        <v>1449</v>
      </c>
      <c r="B4056">
        <v>2024</v>
      </c>
      <c r="C4056" t="s">
        <v>5104</v>
      </c>
      <c r="D4056" t="s">
        <v>5105</v>
      </c>
      <c r="E4056" t="s">
        <v>29</v>
      </c>
      <c r="F4056" t="s">
        <v>30</v>
      </c>
      <c r="G4056">
        <v>10</v>
      </c>
      <c r="H4056">
        <v>0</v>
      </c>
      <c r="I4056">
        <v>0</v>
      </c>
      <c r="J4056">
        <v>0</v>
      </c>
      <c r="K4056">
        <v>0</v>
      </c>
      <c r="L4056">
        <v>0</v>
      </c>
      <c r="M4056">
        <v>0</v>
      </c>
      <c r="N4056">
        <v>0</v>
      </c>
      <c r="O4056">
        <v>0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  <c r="V4056">
        <v>0</v>
      </c>
      <c r="W4056">
        <v>0</v>
      </c>
      <c r="X4056">
        <v>0</v>
      </c>
      <c r="Y4056" t="s">
        <v>31</v>
      </c>
      <c r="AA4056" s="2" t="s">
        <v>3920</v>
      </c>
    </row>
    <row r="4057" spans="1:27" x14ac:dyDescent="0.2">
      <c r="A4057" t="s">
        <v>1449</v>
      </c>
      <c r="B4057">
        <v>2024</v>
      </c>
      <c r="C4057" t="s">
        <v>5106</v>
      </c>
      <c r="D4057" t="s">
        <v>5107</v>
      </c>
      <c r="E4057" t="s">
        <v>29</v>
      </c>
      <c r="F4057" t="s">
        <v>30</v>
      </c>
      <c r="G4057">
        <v>11</v>
      </c>
      <c r="H4057">
        <v>0</v>
      </c>
      <c r="I4057">
        <v>0</v>
      </c>
      <c r="J4057">
        <v>0</v>
      </c>
      <c r="K4057">
        <v>0</v>
      </c>
      <c r="L4057">
        <v>0</v>
      </c>
      <c r="M4057">
        <v>0</v>
      </c>
      <c r="N4057">
        <v>0</v>
      </c>
      <c r="O4057">
        <v>0</v>
      </c>
      <c r="P4057">
        <v>0</v>
      </c>
      <c r="Q4057">
        <v>0</v>
      </c>
      <c r="R4057">
        <v>0</v>
      </c>
      <c r="S4057">
        <v>0</v>
      </c>
      <c r="T4057">
        <v>0</v>
      </c>
      <c r="U4057">
        <v>0</v>
      </c>
      <c r="V4057">
        <v>0</v>
      </c>
      <c r="W4057">
        <v>0</v>
      </c>
      <c r="X4057">
        <v>0</v>
      </c>
      <c r="Y4057" t="s">
        <v>31</v>
      </c>
      <c r="AA4057">
        <v>0.5</v>
      </c>
    </row>
    <row r="4058" spans="1:27" x14ac:dyDescent="0.2">
      <c r="A4058" t="s">
        <v>1449</v>
      </c>
      <c r="B4058">
        <v>2024</v>
      </c>
      <c r="C4058" t="s">
        <v>1468</v>
      </c>
      <c r="D4058" t="s">
        <v>1469</v>
      </c>
      <c r="E4058" t="s">
        <v>29</v>
      </c>
      <c r="F4058" t="s">
        <v>30</v>
      </c>
      <c r="G4058">
        <v>0</v>
      </c>
      <c r="H4058">
        <v>0</v>
      </c>
      <c r="I4058">
        <v>0</v>
      </c>
      <c r="J4058">
        <v>0</v>
      </c>
      <c r="K4058">
        <v>0</v>
      </c>
      <c r="L4058">
        <v>0</v>
      </c>
      <c r="M4058">
        <v>1</v>
      </c>
      <c r="N4058">
        <v>0</v>
      </c>
      <c r="O4058">
        <v>0</v>
      </c>
      <c r="P4058">
        <v>0</v>
      </c>
      <c r="Q4058">
        <v>0</v>
      </c>
      <c r="R4058">
        <v>0</v>
      </c>
      <c r="S4058">
        <v>0</v>
      </c>
      <c r="T4058">
        <v>0</v>
      </c>
      <c r="U4058">
        <v>0</v>
      </c>
      <c r="V4058">
        <v>0</v>
      </c>
      <c r="W4058">
        <v>0</v>
      </c>
      <c r="X4058">
        <v>0</v>
      </c>
      <c r="Y4058" t="s">
        <v>31</v>
      </c>
      <c r="AA4058" s="2" t="s">
        <v>5108</v>
      </c>
    </row>
    <row r="4059" spans="1:27" x14ac:dyDescent="0.2">
      <c r="A4059" t="s">
        <v>533</v>
      </c>
      <c r="B4059">
        <v>2024</v>
      </c>
      <c r="C4059" t="s">
        <v>1494</v>
      </c>
      <c r="D4059" t="s">
        <v>1495</v>
      </c>
      <c r="E4059" t="s">
        <v>29</v>
      </c>
      <c r="F4059" t="s">
        <v>41</v>
      </c>
      <c r="G4059">
        <v>1</v>
      </c>
      <c r="H4059">
        <v>0</v>
      </c>
      <c r="I4059">
        <v>0</v>
      </c>
      <c r="J4059">
        <v>0</v>
      </c>
      <c r="K4059">
        <v>0</v>
      </c>
      <c r="L4059">
        <v>0</v>
      </c>
      <c r="M4059">
        <v>1</v>
      </c>
      <c r="N4059">
        <v>0</v>
      </c>
      <c r="O4059">
        <v>0</v>
      </c>
      <c r="P4059">
        <v>0</v>
      </c>
      <c r="Q4059">
        <v>0</v>
      </c>
      <c r="R4059">
        <v>0</v>
      </c>
      <c r="S4059">
        <v>1</v>
      </c>
      <c r="T4059">
        <v>0</v>
      </c>
      <c r="U4059">
        <v>0</v>
      </c>
      <c r="V4059">
        <v>0</v>
      </c>
      <c r="W4059">
        <v>0</v>
      </c>
      <c r="X4059">
        <v>0</v>
      </c>
      <c r="Y4059" t="s">
        <v>31</v>
      </c>
      <c r="Z4059">
        <v>55</v>
      </c>
      <c r="AA4059" s="2" t="s">
        <v>3299</v>
      </c>
    </row>
    <row r="4060" spans="1:27" x14ac:dyDescent="0.2">
      <c r="A4060" t="s">
        <v>533</v>
      </c>
      <c r="B4060">
        <v>2024</v>
      </c>
      <c r="C4060" t="s">
        <v>5109</v>
      </c>
      <c r="D4060" t="s">
        <v>5110</v>
      </c>
      <c r="E4060" t="s">
        <v>29</v>
      </c>
      <c r="F4060" t="s">
        <v>41</v>
      </c>
      <c r="G4060">
        <v>1</v>
      </c>
      <c r="H4060">
        <v>0</v>
      </c>
      <c r="I4060">
        <v>0</v>
      </c>
      <c r="J4060">
        <v>0</v>
      </c>
      <c r="K4060">
        <v>1</v>
      </c>
      <c r="L4060">
        <v>0</v>
      </c>
      <c r="M4060">
        <v>1</v>
      </c>
      <c r="N4060">
        <v>0</v>
      </c>
      <c r="O4060">
        <v>0</v>
      </c>
      <c r="P4060">
        <v>0</v>
      </c>
      <c r="Q4060">
        <v>1</v>
      </c>
      <c r="R4060">
        <v>0</v>
      </c>
      <c r="S4060">
        <v>0</v>
      </c>
      <c r="T4060">
        <v>0</v>
      </c>
      <c r="U4060">
        <v>0</v>
      </c>
      <c r="V4060">
        <v>0</v>
      </c>
      <c r="W4060">
        <v>0</v>
      </c>
      <c r="X4060">
        <v>0</v>
      </c>
      <c r="Y4060" t="s">
        <v>31</v>
      </c>
      <c r="Z4060">
        <v>59</v>
      </c>
      <c r="AA4060" s="2" t="s">
        <v>3299</v>
      </c>
    </row>
    <row r="4061" spans="1:27" x14ac:dyDescent="0.2">
      <c r="A4061" t="s">
        <v>1959</v>
      </c>
      <c r="B4061">
        <v>2024</v>
      </c>
      <c r="C4061" t="s">
        <v>2260</v>
      </c>
      <c r="D4061" t="s">
        <v>2261</v>
      </c>
      <c r="E4061" t="s">
        <v>29</v>
      </c>
      <c r="F4061" t="s">
        <v>30</v>
      </c>
      <c r="G4061">
        <v>19</v>
      </c>
      <c r="H4061">
        <v>0</v>
      </c>
      <c r="I4061">
        <v>19</v>
      </c>
      <c r="J4061">
        <v>0</v>
      </c>
      <c r="K4061">
        <v>0</v>
      </c>
      <c r="L4061">
        <v>0</v>
      </c>
      <c r="M4061">
        <v>19</v>
      </c>
      <c r="N4061">
        <v>0</v>
      </c>
      <c r="O4061">
        <v>19</v>
      </c>
      <c r="P4061">
        <v>0</v>
      </c>
      <c r="Q4061">
        <v>0</v>
      </c>
      <c r="R4061">
        <v>0</v>
      </c>
      <c r="S4061">
        <v>19</v>
      </c>
      <c r="T4061">
        <v>0</v>
      </c>
      <c r="U4061">
        <v>19</v>
      </c>
      <c r="V4061">
        <v>0</v>
      </c>
      <c r="W4061">
        <v>0</v>
      </c>
      <c r="X4061">
        <v>0</v>
      </c>
      <c r="Y4061" t="s">
        <v>51</v>
      </c>
      <c r="Z4061">
        <v>1000</v>
      </c>
      <c r="AA4061">
        <v>0</v>
      </c>
    </row>
    <row r="4062" spans="1:27" x14ac:dyDescent="0.2">
      <c r="A4062" t="s">
        <v>4269</v>
      </c>
      <c r="B4062">
        <v>2024</v>
      </c>
      <c r="C4062" t="s">
        <v>5111</v>
      </c>
      <c r="D4062" t="s">
        <v>5112</v>
      </c>
      <c r="E4062" t="s">
        <v>29</v>
      </c>
      <c r="F4062" t="s">
        <v>30</v>
      </c>
      <c r="G4062">
        <v>0</v>
      </c>
      <c r="H4062">
        <v>0</v>
      </c>
      <c r="I4062">
        <v>0</v>
      </c>
      <c r="J4062">
        <v>0</v>
      </c>
      <c r="K4062">
        <v>0</v>
      </c>
      <c r="L4062">
        <v>0</v>
      </c>
      <c r="M4062">
        <v>0</v>
      </c>
      <c r="N4062">
        <v>0</v>
      </c>
      <c r="O4062">
        <v>32</v>
      </c>
      <c r="P4062">
        <v>0</v>
      </c>
      <c r="Q4062">
        <v>0</v>
      </c>
      <c r="R4062">
        <v>0</v>
      </c>
      <c r="S4062">
        <v>0</v>
      </c>
      <c r="T4062">
        <v>0</v>
      </c>
      <c r="U4062">
        <v>0</v>
      </c>
      <c r="V4062">
        <v>0</v>
      </c>
      <c r="W4062">
        <v>0</v>
      </c>
      <c r="X4062">
        <v>0</v>
      </c>
      <c r="Y4062" t="s">
        <v>31</v>
      </c>
      <c r="Z4062">
        <v>55</v>
      </c>
      <c r="AA4062">
        <v>0.25</v>
      </c>
    </row>
    <row r="4063" spans="1:27" x14ac:dyDescent="0.2">
      <c r="A4063" t="s">
        <v>894</v>
      </c>
      <c r="B4063">
        <v>2022</v>
      </c>
      <c r="C4063" t="s">
        <v>4956</v>
      </c>
      <c r="D4063" t="s">
        <v>4957</v>
      </c>
      <c r="E4063" t="s">
        <v>29</v>
      </c>
      <c r="F4063" t="s">
        <v>30</v>
      </c>
      <c r="G4063">
        <v>0</v>
      </c>
      <c r="H4063">
        <v>0</v>
      </c>
      <c r="I4063">
        <v>0</v>
      </c>
      <c r="J4063">
        <v>0</v>
      </c>
      <c r="K4063">
        <v>0</v>
      </c>
      <c r="L4063">
        <v>0</v>
      </c>
      <c r="M4063">
        <v>13</v>
      </c>
      <c r="N4063">
        <v>0</v>
      </c>
      <c r="O4063">
        <v>0</v>
      </c>
      <c r="P4063">
        <v>0</v>
      </c>
      <c r="Q4063">
        <v>0</v>
      </c>
      <c r="R4063">
        <v>0</v>
      </c>
      <c r="S4063">
        <v>0</v>
      </c>
      <c r="T4063">
        <v>0</v>
      </c>
      <c r="U4063">
        <v>0</v>
      </c>
      <c r="V4063">
        <v>0</v>
      </c>
      <c r="W4063">
        <v>0</v>
      </c>
      <c r="X4063">
        <v>0</v>
      </c>
      <c r="Y4063" t="s">
        <v>31</v>
      </c>
      <c r="Z4063">
        <v>1000</v>
      </c>
      <c r="AA4063">
        <v>20</v>
      </c>
    </row>
    <row r="4064" spans="1:27" x14ac:dyDescent="0.2">
      <c r="A4064" t="s">
        <v>894</v>
      </c>
      <c r="B4064">
        <v>2022</v>
      </c>
      <c r="C4064" t="s">
        <v>4956</v>
      </c>
      <c r="D4064" t="s">
        <v>4957</v>
      </c>
      <c r="E4064" t="s">
        <v>29</v>
      </c>
      <c r="F4064" t="s">
        <v>30</v>
      </c>
      <c r="G4064">
        <v>0</v>
      </c>
      <c r="H4064">
        <v>0</v>
      </c>
      <c r="I4064">
        <v>0</v>
      </c>
      <c r="J4064">
        <v>0</v>
      </c>
      <c r="K4064">
        <v>0</v>
      </c>
      <c r="L4064">
        <v>0</v>
      </c>
      <c r="M4064">
        <v>17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0</v>
      </c>
      <c r="U4064">
        <v>0</v>
      </c>
      <c r="V4064">
        <v>0</v>
      </c>
      <c r="W4064">
        <v>0</v>
      </c>
      <c r="X4064">
        <v>0</v>
      </c>
      <c r="Y4064" t="s">
        <v>31</v>
      </c>
      <c r="Z4064">
        <v>1000</v>
      </c>
      <c r="AA4064">
        <v>20</v>
      </c>
    </row>
    <row r="4065" spans="1:27" x14ac:dyDescent="0.2">
      <c r="A4065" t="s">
        <v>43</v>
      </c>
      <c r="B4065">
        <v>2020</v>
      </c>
      <c r="C4065">
        <v>5530011037</v>
      </c>
      <c r="D4065" t="s">
        <v>5113</v>
      </c>
      <c r="E4065" t="s">
        <v>29</v>
      </c>
      <c r="F4065" t="s">
        <v>30</v>
      </c>
      <c r="G4065">
        <v>6</v>
      </c>
      <c r="H4065">
        <v>0</v>
      </c>
      <c r="I4065">
        <v>0</v>
      </c>
      <c r="J4065">
        <v>0</v>
      </c>
      <c r="K4065">
        <v>5</v>
      </c>
      <c r="L4065">
        <v>0</v>
      </c>
      <c r="M4065">
        <v>6</v>
      </c>
      <c r="N4065">
        <v>0</v>
      </c>
      <c r="O4065">
        <v>0</v>
      </c>
      <c r="P4065">
        <v>0</v>
      </c>
      <c r="Q4065">
        <v>5</v>
      </c>
      <c r="R4065">
        <v>0</v>
      </c>
      <c r="S4065">
        <v>0</v>
      </c>
      <c r="T4065">
        <v>0</v>
      </c>
      <c r="U4065">
        <v>0</v>
      </c>
      <c r="V4065">
        <v>0</v>
      </c>
      <c r="W4065">
        <v>0</v>
      </c>
      <c r="X4065">
        <v>0</v>
      </c>
      <c r="Y4065" t="s">
        <v>31</v>
      </c>
      <c r="Z4065">
        <v>1000</v>
      </c>
      <c r="AA4065">
        <v>0</v>
      </c>
    </row>
    <row r="4066" spans="1:27" x14ac:dyDescent="0.2">
      <c r="A4066" t="s">
        <v>43</v>
      </c>
      <c r="B4066">
        <v>2020</v>
      </c>
      <c r="C4066">
        <v>5554011011</v>
      </c>
      <c r="D4066" t="s">
        <v>5114</v>
      </c>
      <c r="E4066" t="s">
        <v>29</v>
      </c>
      <c r="F4066" t="s">
        <v>30</v>
      </c>
      <c r="G4066">
        <v>0</v>
      </c>
      <c r="H4066">
        <v>0</v>
      </c>
      <c r="I4066">
        <v>1</v>
      </c>
      <c r="J4066">
        <v>0</v>
      </c>
      <c r="K4066">
        <v>0</v>
      </c>
      <c r="L4066">
        <v>0</v>
      </c>
      <c r="M4066">
        <v>0</v>
      </c>
      <c r="N4066">
        <v>0</v>
      </c>
      <c r="O4066">
        <v>1</v>
      </c>
      <c r="P4066">
        <v>0</v>
      </c>
      <c r="Q4066">
        <v>0</v>
      </c>
      <c r="R4066">
        <v>0</v>
      </c>
      <c r="S4066">
        <v>0</v>
      </c>
      <c r="T4066">
        <v>0</v>
      </c>
      <c r="U4066">
        <v>0</v>
      </c>
      <c r="V4066">
        <v>0</v>
      </c>
      <c r="W4066">
        <v>0</v>
      </c>
      <c r="X4066">
        <v>0</v>
      </c>
      <c r="Y4066" t="s">
        <v>31</v>
      </c>
      <c r="Z4066">
        <v>1000</v>
      </c>
      <c r="AA4066">
        <v>0</v>
      </c>
    </row>
    <row r="4067" spans="1:27" x14ac:dyDescent="0.2">
      <c r="A4067" t="s">
        <v>5115</v>
      </c>
      <c r="B4067">
        <v>2023</v>
      </c>
      <c r="C4067" t="s">
        <v>5116</v>
      </c>
      <c r="D4067" t="s">
        <v>5117</v>
      </c>
      <c r="E4067" t="s">
        <v>29</v>
      </c>
      <c r="F4067" t="s">
        <v>41</v>
      </c>
      <c r="G4067">
        <v>0</v>
      </c>
      <c r="H4067">
        <v>0</v>
      </c>
      <c r="I4067">
        <v>2</v>
      </c>
      <c r="J4067">
        <v>0</v>
      </c>
      <c r="K4067">
        <v>2</v>
      </c>
      <c r="L4067">
        <v>0</v>
      </c>
      <c r="M4067">
        <v>0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0</v>
      </c>
      <c r="V4067">
        <v>0</v>
      </c>
      <c r="W4067">
        <v>0</v>
      </c>
      <c r="X4067">
        <v>0</v>
      </c>
      <c r="Y4067" t="s">
        <v>31</v>
      </c>
      <c r="Z4067">
        <v>1000</v>
      </c>
      <c r="AA4067">
        <v>0</v>
      </c>
    </row>
    <row r="4068" spans="1:27" x14ac:dyDescent="0.2">
      <c r="A4068" t="s">
        <v>1802</v>
      </c>
      <c r="B4068">
        <v>2021</v>
      </c>
      <c r="C4068" t="s">
        <v>5118</v>
      </c>
      <c r="D4068" t="s">
        <v>5119</v>
      </c>
      <c r="E4068" t="s">
        <v>29</v>
      </c>
      <c r="F4068" t="s">
        <v>30</v>
      </c>
      <c r="G4068">
        <v>10</v>
      </c>
      <c r="H4068">
        <v>0</v>
      </c>
      <c r="I4068">
        <v>0</v>
      </c>
      <c r="J4068">
        <v>0</v>
      </c>
      <c r="K4068">
        <v>170</v>
      </c>
      <c r="L4068">
        <v>0</v>
      </c>
      <c r="M4068">
        <v>10</v>
      </c>
      <c r="N4068">
        <v>0</v>
      </c>
      <c r="O4068">
        <v>0</v>
      </c>
      <c r="P4068">
        <v>0</v>
      </c>
      <c r="Q4068">
        <v>170</v>
      </c>
      <c r="R4068">
        <v>0</v>
      </c>
      <c r="S4068">
        <v>0</v>
      </c>
      <c r="T4068">
        <v>0</v>
      </c>
      <c r="U4068">
        <v>0</v>
      </c>
      <c r="V4068">
        <v>0</v>
      </c>
      <c r="W4068">
        <v>0</v>
      </c>
      <c r="X4068">
        <v>0</v>
      </c>
      <c r="Y4068" t="s">
        <v>51</v>
      </c>
      <c r="Z4068">
        <v>1000</v>
      </c>
      <c r="AA4068">
        <v>0</v>
      </c>
    </row>
    <row r="4069" spans="1:27" x14ac:dyDescent="0.2">
      <c r="A4069" t="s">
        <v>1802</v>
      </c>
      <c r="B4069">
        <v>2021</v>
      </c>
      <c r="C4069" t="s">
        <v>5120</v>
      </c>
      <c r="D4069" t="s">
        <v>5121</v>
      </c>
      <c r="E4069" t="s">
        <v>29</v>
      </c>
      <c r="F4069" t="s">
        <v>30</v>
      </c>
      <c r="G4069">
        <v>0</v>
      </c>
      <c r="H4069">
        <v>0</v>
      </c>
      <c r="I4069">
        <v>0</v>
      </c>
      <c r="J4069">
        <v>0</v>
      </c>
      <c r="K4069">
        <v>0</v>
      </c>
      <c r="L4069">
        <v>0</v>
      </c>
      <c r="M4069">
        <v>65</v>
      </c>
      <c r="N4069">
        <v>0</v>
      </c>
      <c r="O4069">
        <v>0</v>
      </c>
      <c r="P4069">
        <v>0</v>
      </c>
      <c r="Q4069">
        <v>0</v>
      </c>
      <c r="R4069">
        <v>0</v>
      </c>
      <c r="S4069">
        <v>0</v>
      </c>
      <c r="T4069">
        <v>0</v>
      </c>
      <c r="U4069">
        <v>0</v>
      </c>
      <c r="V4069">
        <v>0</v>
      </c>
      <c r="W4069">
        <v>0</v>
      </c>
      <c r="X4069">
        <v>0</v>
      </c>
      <c r="Y4069" t="s">
        <v>31</v>
      </c>
      <c r="Z4069">
        <v>1000</v>
      </c>
      <c r="AA4069">
        <v>118</v>
      </c>
    </row>
    <row r="4070" spans="1:27" x14ac:dyDescent="0.2">
      <c r="A4070" t="s">
        <v>622</v>
      </c>
      <c r="B4070">
        <v>2020</v>
      </c>
      <c r="C4070" t="s">
        <v>623</v>
      </c>
      <c r="D4070" t="s">
        <v>624</v>
      </c>
      <c r="E4070" t="s">
        <v>29</v>
      </c>
      <c r="F4070" t="s">
        <v>30</v>
      </c>
      <c r="G4070">
        <v>0</v>
      </c>
      <c r="H4070">
        <v>0</v>
      </c>
      <c r="I4070">
        <v>0</v>
      </c>
      <c r="J4070">
        <v>0</v>
      </c>
      <c r="K4070">
        <v>0</v>
      </c>
      <c r="L4070">
        <v>0</v>
      </c>
      <c r="M4070">
        <v>1</v>
      </c>
      <c r="N4070">
        <v>0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0</v>
      </c>
      <c r="V4070">
        <v>0</v>
      </c>
      <c r="W4070">
        <v>0</v>
      </c>
      <c r="X4070">
        <v>0</v>
      </c>
      <c r="Y4070" t="s">
        <v>51</v>
      </c>
      <c r="Z4070">
        <v>55</v>
      </c>
      <c r="AA4070">
        <v>0</v>
      </c>
    </row>
    <row r="4071" spans="1:27" x14ac:dyDescent="0.2">
      <c r="A4071" t="s">
        <v>622</v>
      </c>
      <c r="B4071">
        <v>2020</v>
      </c>
      <c r="C4071" t="s">
        <v>623</v>
      </c>
      <c r="D4071" t="s">
        <v>1125</v>
      </c>
      <c r="E4071" t="s">
        <v>29</v>
      </c>
      <c r="F4071" t="s">
        <v>30</v>
      </c>
      <c r="G4071">
        <v>0</v>
      </c>
      <c r="H4071">
        <v>0</v>
      </c>
      <c r="I4071">
        <v>0</v>
      </c>
      <c r="J4071">
        <v>0</v>
      </c>
      <c r="K4071">
        <v>0</v>
      </c>
      <c r="L4071">
        <v>0</v>
      </c>
      <c r="M4071">
        <v>1</v>
      </c>
      <c r="N4071">
        <v>0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0</v>
      </c>
      <c r="V4071">
        <v>0</v>
      </c>
      <c r="W4071">
        <v>0</v>
      </c>
      <c r="X4071">
        <v>0</v>
      </c>
      <c r="Y4071" t="s">
        <v>51</v>
      </c>
      <c r="Z4071">
        <v>55</v>
      </c>
      <c r="AA4071">
        <v>0</v>
      </c>
    </row>
    <row r="4072" spans="1:27" x14ac:dyDescent="0.2">
      <c r="A4072" t="s">
        <v>622</v>
      </c>
      <c r="B4072">
        <v>2020</v>
      </c>
      <c r="C4072" t="s">
        <v>623</v>
      </c>
      <c r="D4072" t="s">
        <v>997</v>
      </c>
      <c r="E4072" t="s">
        <v>29</v>
      </c>
      <c r="F4072" t="s">
        <v>30</v>
      </c>
      <c r="G4072">
        <v>0</v>
      </c>
      <c r="H4072">
        <v>0</v>
      </c>
      <c r="I4072">
        <v>0</v>
      </c>
      <c r="J4072">
        <v>0</v>
      </c>
      <c r="K4072">
        <v>0</v>
      </c>
      <c r="L4072">
        <v>0</v>
      </c>
      <c r="M4072">
        <v>2</v>
      </c>
      <c r="N4072">
        <v>0</v>
      </c>
      <c r="O4072">
        <v>0</v>
      </c>
      <c r="P4072">
        <v>0</v>
      </c>
      <c r="Q4072">
        <v>0</v>
      </c>
      <c r="R4072">
        <v>0</v>
      </c>
      <c r="S4072">
        <v>0</v>
      </c>
      <c r="T4072">
        <v>0</v>
      </c>
      <c r="U4072">
        <v>0</v>
      </c>
      <c r="V4072">
        <v>0</v>
      </c>
      <c r="W4072">
        <v>0</v>
      </c>
      <c r="X4072">
        <v>0</v>
      </c>
      <c r="Y4072" t="s">
        <v>51</v>
      </c>
      <c r="Z4072">
        <v>55</v>
      </c>
      <c r="AA4072">
        <v>0</v>
      </c>
    </row>
    <row r="4073" spans="1:27" x14ac:dyDescent="0.2">
      <c r="A4073" t="s">
        <v>524</v>
      </c>
      <c r="B4073">
        <v>2024</v>
      </c>
      <c r="C4073">
        <v>71103420</v>
      </c>
      <c r="D4073" t="s">
        <v>5122</v>
      </c>
      <c r="E4073" t="s">
        <v>29</v>
      </c>
      <c r="F4073" t="s">
        <v>41</v>
      </c>
      <c r="G4073">
        <v>0</v>
      </c>
      <c r="H4073">
        <v>0</v>
      </c>
      <c r="I4073">
        <v>1</v>
      </c>
      <c r="J4073">
        <v>0</v>
      </c>
      <c r="K4073">
        <v>0</v>
      </c>
      <c r="L4073">
        <v>0</v>
      </c>
      <c r="M4073">
        <v>0</v>
      </c>
      <c r="N4073">
        <v>0</v>
      </c>
      <c r="O4073">
        <v>0</v>
      </c>
      <c r="P4073">
        <v>0</v>
      </c>
      <c r="Q4073">
        <v>0</v>
      </c>
      <c r="R4073">
        <v>0</v>
      </c>
      <c r="S4073">
        <v>0</v>
      </c>
      <c r="T4073">
        <v>0</v>
      </c>
      <c r="U4073">
        <v>0</v>
      </c>
      <c r="V4073">
        <v>0</v>
      </c>
      <c r="W4073">
        <v>0</v>
      </c>
      <c r="X4073">
        <v>0</v>
      </c>
      <c r="Y4073" t="s">
        <v>31</v>
      </c>
      <c r="Z4073">
        <v>55</v>
      </c>
      <c r="AA4073" s="2" t="s">
        <v>2716</v>
      </c>
    </row>
    <row r="4074" spans="1:27" x14ac:dyDescent="0.2">
      <c r="A4074" t="s">
        <v>1624</v>
      </c>
      <c r="B4074">
        <v>2022</v>
      </c>
      <c r="C4074" t="s">
        <v>5123</v>
      </c>
      <c r="D4074" t="s">
        <v>5124</v>
      </c>
      <c r="E4074" t="s">
        <v>29</v>
      </c>
      <c r="F4074" t="s">
        <v>30</v>
      </c>
      <c r="G4074">
        <v>0</v>
      </c>
      <c r="H4074">
        <v>0</v>
      </c>
      <c r="I4074">
        <v>0</v>
      </c>
      <c r="J4074">
        <v>0</v>
      </c>
      <c r="K4074">
        <v>0</v>
      </c>
      <c r="L4074">
        <v>0</v>
      </c>
      <c r="M4074">
        <v>24</v>
      </c>
      <c r="N4074">
        <v>0</v>
      </c>
      <c r="O4074">
        <v>64</v>
      </c>
      <c r="P4074">
        <v>0</v>
      </c>
      <c r="Q4074">
        <v>23</v>
      </c>
      <c r="R4074">
        <v>0</v>
      </c>
      <c r="S4074">
        <v>0</v>
      </c>
      <c r="T4074">
        <v>0</v>
      </c>
      <c r="U4074">
        <v>0</v>
      </c>
      <c r="V4074">
        <v>0</v>
      </c>
      <c r="W4074">
        <v>0</v>
      </c>
      <c r="X4074">
        <v>0</v>
      </c>
      <c r="Y4074" t="s">
        <v>31</v>
      </c>
      <c r="Z4074">
        <v>55</v>
      </c>
      <c r="AA4074">
        <v>17</v>
      </c>
    </row>
    <row r="4075" spans="1:27" x14ac:dyDescent="0.2">
      <c r="A4075" t="s">
        <v>1624</v>
      </c>
      <c r="B4075">
        <v>2022</v>
      </c>
      <c r="C4075" t="s">
        <v>5125</v>
      </c>
      <c r="D4075" t="s">
        <v>5126</v>
      </c>
      <c r="E4075" t="s">
        <v>29</v>
      </c>
      <c r="F4075" t="s">
        <v>30</v>
      </c>
      <c r="G4075">
        <v>0</v>
      </c>
      <c r="H4075">
        <v>0</v>
      </c>
      <c r="I4075">
        <v>127</v>
      </c>
      <c r="J4075">
        <v>0</v>
      </c>
      <c r="K4075">
        <v>0</v>
      </c>
      <c r="L4075">
        <v>0</v>
      </c>
      <c r="M4075">
        <v>0</v>
      </c>
      <c r="N4075">
        <v>0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0</v>
      </c>
      <c r="V4075">
        <v>0</v>
      </c>
      <c r="W4075">
        <v>0</v>
      </c>
      <c r="X4075">
        <v>0</v>
      </c>
      <c r="Y4075" t="s">
        <v>31</v>
      </c>
      <c r="Z4075">
        <v>55</v>
      </c>
      <c r="AA4075">
        <v>0</v>
      </c>
    </row>
    <row r="4076" spans="1:27" x14ac:dyDescent="0.2">
      <c r="A4076" t="s">
        <v>1624</v>
      </c>
      <c r="B4076">
        <v>2022</v>
      </c>
      <c r="C4076" t="s">
        <v>2109</v>
      </c>
      <c r="D4076" t="s">
        <v>2110</v>
      </c>
      <c r="E4076" t="s">
        <v>29</v>
      </c>
      <c r="F4076" t="s">
        <v>30</v>
      </c>
      <c r="G4076">
        <v>20</v>
      </c>
      <c r="H4076">
        <v>0</v>
      </c>
      <c r="I4076">
        <v>79</v>
      </c>
      <c r="J4076">
        <v>0</v>
      </c>
      <c r="K4076">
        <v>0</v>
      </c>
      <c r="L4076">
        <v>0</v>
      </c>
      <c r="M4076">
        <v>0</v>
      </c>
      <c r="N4076">
        <v>0</v>
      </c>
      <c r="O4076">
        <v>0</v>
      </c>
      <c r="P4076">
        <v>0</v>
      </c>
      <c r="Q4076">
        <v>0</v>
      </c>
      <c r="R4076">
        <v>0</v>
      </c>
      <c r="S4076">
        <v>0</v>
      </c>
      <c r="T4076">
        <v>0</v>
      </c>
      <c r="U4076">
        <v>0</v>
      </c>
      <c r="V4076">
        <v>0</v>
      </c>
      <c r="W4076">
        <v>0</v>
      </c>
      <c r="X4076">
        <v>0</v>
      </c>
      <c r="Y4076" t="s">
        <v>31</v>
      </c>
      <c r="Z4076">
        <v>55</v>
      </c>
      <c r="AA4076">
        <v>46</v>
      </c>
    </row>
    <row r="4077" spans="1:27" x14ac:dyDescent="0.2">
      <c r="A4077" t="s">
        <v>5127</v>
      </c>
      <c r="B4077">
        <v>2018</v>
      </c>
      <c r="C4077" t="s">
        <v>5128</v>
      </c>
      <c r="D4077" t="s">
        <v>5129</v>
      </c>
      <c r="E4077" t="s">
        <v>29</v>
      </c>
      <c r="F4077" t="s">
        <v>30</v>
      </c>
      <c r="G4077">
        <v>0</v>
      </c>
      <c r="H4077">
        <v>0</v>
      </c>
      <c r="I4077">
        <v>1</v>
      </c>
      <c r="J4077">
        <v>0</v>
      </c>
      <c r="K4077">
        <v>0</v>
      </c>
      <c r="L4077">
        <v>0</v>
      </c>
      <c r="M4077">
        <v>0</v>
      </c>
      <c r="N4077">
        <v>0</v>
      </c>
      <c r="O4077">
        <v>0</v>
      </c>
      <c r="P4077">
        <v>0</v>
      </c>
      <c r="Q4077">
        <v>0</v>
      </c>
      <c r="R4077">
        <v>0</v>
      </c>
      <c r="S4077">
        <v>0</v>
      </c>
      <c r="T4077">
        <v>0</v>
      </c>
      <c r="U4077">
        <v>0</v>
      </c>
      <c r="V4077">
        <v>0</v>
      </c>
      <c r="W4077">
        <v>0</v>
      </c>
      <c r="X4077">
        <v>0</v>
      </c>
      <c r="Y4077" t="s">
        <v>31</v>
      </c>
      <c r="Z4077">
        <v>55</v>
      </c>
      <c r="AA4077">
        <v>0</v>
      </c>
    </row>
    <row r="4078" spans="1:27" x14ac:dyDescent="0.2">
      <c r="A4078" t="s">
        <v>1802</v>
      </c>
      <c r="B4078">
        <v>2021</v>
      </c>
      <c r="C4078" t="s">
        <v>2077</v>
      </c>
      <c r="D4078" t="s">
        <v>5130</v>
      </c>
      <c r="E4078" t="s">
        <v>29</v>
      </c>
      <c r="F4078" t="s">
        <v>41</v>
      </c>
      <c r="G4078">
        <v>0</v>
      </c>
      <c r="H4078">
        <v>0</v>
      </c>
      <c r="I4078">
        <v>0</v>
      </c>
      <c r="J4078">
        <v>0</v>
      </c>
      <c r="K4078">
        <v>27</v>
      </c>
      <c r="L4078">
        <v>0</v>
      </c>
      <c r="M4078">
        <v>0</v>
      </c>
      <c r="N4078">
        <v>0</v>
      </c>
      <c r="O4078">
        <v>0</v>
      </c>
      <c r="P4078">
        <v>0</v>
      </c>
      <c r="Q4078">
        <v>0</v>
      </c>
      <c r="R4078">
        <v>0</v>
      </c>
      <c r="S4078">
        <v>0</v>
      </c>
      <c r="T4078">
        <v>0</v>
      </c>
      <c r="U4078">
        <v>0</v>
      </c>
      <c r="V4078">
        <v>0</v>
      </c>
      <c r="W4078">
        <v>0</v>
      </c>
      <c r="X4078">
        <v>0</v>
      </c>
      <c r="Y4078" t="s">
        <v>31</v>
      </c>
      <c r="Z4078">
        <v>1000</v>
      </c>
      <c r="AA4078">
        <v>26</v>
      </c>
    </row>
    <row r="4079" spans="1:27" x14ac:dyDescent="0.2">
      <c r="A4079" t="s">
        <v>433</v>
      </c>
      <c r="B4079">
        <v>2024</v>
      </c>
      <c r="C4079">
        <v>16741019</v>
      </c>
      <c r="D4079" t="s">
        <v>5131</v>
      </c>
      <c r="E4079" t="s">
        <v>29</v>
      </c>
      <c r="F4079" t="s">
        <v>41</v>
      </c>
      <c r="G4079">
        <v>0</v>
      </c>
      <c r="H4079">
        <v>0</v>
      </c>
      <c r="I4079">
        <v>0</v>
      </c>
      <c r="J4079">
        <v>0</v>
      </c>
      <c r="K4079">
        <v>0</v>
      </c>
      <c r="L4079">
        <v>0</v>
      </c>
      <c r="M4079">
        <v>0</v>
      </c>
      <c r="N4079">
        <v>0</v>
      </c>
      <c r="O4079">
        <v>0</v>
      </c>
      <c r="P4079">
        <v>0</v>
      </c>
      <c r="Q4079">
        <v>0</v>
      </c>
      <c r="R4079">
        <v>0</v>
      </c>
      <c r="S4079">
        <v>0</v>
      </c>
      <c r="T4079">
        <v>0</v>
      </c>
      <c r="U4079">
        <v>1</v>
      </c>
      <c r="V4079">
        <v>0</v>
      </c>
      <c r="W4079">
        <v>0</v>
      </c>
      <c r="X4079">
        <v>0</v>
      </c>
      <c r="Y4079" t="s">
        <v>51</v>
      </c>
      <c r="Z4079">
        <v>55</v>
      </c>
      <c r="AA4079">
        <v>0</v>
      </c>
    </row>
    <row r="4080" spans="1:27" x14ac:dyDescent="0.2">
      <c r="A4080" t="s">
        <v>883</v>
      </c>
      <c r="B4080">
        <v>2024</v>
      </c>
      <c r="C4080">
        <v>41650480</v>
      </c>
      <c r="D4080" t="s">
        <v>5132</v>
      </c>
      <c r="E4080" t="s">
        <v>29</v>
      </c>
      <c r="F4080" t="s">
        <v>41</v>
      </c>
      <c r="G4080">
        <v>0</v>
      </c>
      <c r="H4080">
        <v>0</v>
      </c>
      <c r="I4080">
        <v>0</v>
      </c>
      <c r="J4080">
        <v>0</v>
      </c>
      <c r="K4080">
        <v>0</v>
      </c>
      <c r="L4080">
        <v>0</v>
      </c>
      <c r="M4080">
        <v>0</v>
      </c>
      <c r="N4080">
        <v>0</v>
      </c>
      <c r="O4080">
        <v>0</v>
      </c>
      <c r="P4080">
        <v>0</v>
      </c>
      <c r="Q4080">
        <v>0</v>
      </c>
      <c r="R4080">
        <v>0</v>
      </c>
      <c r="S4080">
        <v>0</v>
      </c>
      <c r="T4080">
        <v>0</v>
      </c>
      <c r="U4080">
        <v>0</v>
      </c>
      <c r="V4080">
        <v>0</v>
      </c>
      <c r="W4080">
        <v>0</v>
      </c>
      <c r="X4080">
        <v>0</v>
      </c>
      <c r="Y4080" t="s">
        <v>31</v>
      </c>
      <c r="Z4080">
        <v>1000</v>
      </c>
      <c r="AA4080">
        <v>0</v>
      </c>
    </row>
    <row r="4081" spans="1:27" x14ac:dyDescent="0.2">
      <c r="A4081" t="s">
        <v>883</v>
      </c>
      <c r="B4081">
        <v>2024</v>
      </c>
      <c r="C4081">
        <v>41650500</v>
      </c>
      <c r="D4081" t="s">
        <v>5133</v>
      </c>
      <c r="E4081" t="s">
        <v>29</v>
      </c>
      <c r="F4081" t="s">
        <v>41</v>
      </c>
      <c r="G4081">
        <v>0</v>
      </c>
      <c r="H4081">
        <v>0</v>
      </c>
      <c r="I4081">
        <v>0</v>
      </c>
      <c r="J4081">
        <v>0</v>
      </c>
      <c r="K4081">
        <v>0</v>
      </c>
      <c r="L4081">
        <v>0</v>
      </c>
      <c r="M4081">
        <v>0</v>
      </c>
      <c r="N4081">
        <v>0</v>
      </c>
      <c r="O4081">
        <v>0</v>
      </c>
      <c r="P4081">
        <v>0</v>
      </c>
      <c r="Q4081">
        <v>0</v>
      </c>
      <c r="R4081">
        <v>0</v>
      </c>
      <c r="S4081">
        <v>0</v>
      </c>
      <c r="T4081">
        <v>0</v>
      </c>
      <c r="U4081">
        <v>0</v>
      </c>
      <c r="V4081">
        <v>0</v>
      </c>
      <c r="W4081">
        <v>0</v>
      </c>
      <c r="X4081">
        <v>0</v>
      </c>
      <c r="Y4081" t="s">
        <v>31</v>
      </c>
      <c r="Z4081">
        <v>1000</v>
      </c>
      <c r="AA4081">
        <v>0</v>
      </c>
    </row>
    <row r="4082" spans="1:27" x14ac:dyDescent="0.2">
      <c r="A4082" t="s">
        <v>883</v>
      </c>
      <c r="B4082">
        <v>2024</v>
      </c>
      <c r="C4082">
        <v>40031040</v>
      </c>
      <c r="D4082" t="s">
        <v>5134</v>
      </c>
      <c r="E4082" t="s">
        <v>29</v>
      </c>
      <c r="F4082" t="s">
        <v>30</v>
      </c>
      <c r="G4082">
        <v>0</v>
      </c>
      <c r="H4082">
        <v>0</v>
      </c>
      <c r="I4082">
        <v>0</v>
      </c>
      <c r="J4082">
        <v>0</v>
      </c>
      <c r="K4082">
        <v>0</v>
      </c>
      <c r="L4082">
        <v>0</v>
      </c>
      <c r="M4082">
        <v>0</v>
      </c>
      <c r="N4082">
        <v>0</v>
      </c>
      <c r="O4082">
        <v>0</v>
      </c>
      <c r="P4082">
        <v>0</v>
      </c>
      <c r="Q4082">
        <v>0</v>
      </c>
      <c r="R4082">
        <v>0</v>
      </c>
      <c r="S4082">
        <v>0</v>
      </c>
      <c r="T4082">
        <v>0</v>
      </c>
      <c r="U4082">
        <v>5</v>
      </c>
      <c r="V4082">
        <v>0</v>
      </c>
      <c r="W4082">
        <v>0</v>
      </c>
      <c r="X4082">
        <v>0</v>
      </c>
      <c r="Y4082" t="s">
        <v>51</v>
      </c>
      <c r="Z4082">
        <v>1000</v>
      </c>
      <c r="AA4082">
        <v>0</v>
      </c>
    </row>
    <row r="4083" spans="1:27" x14ac:dyDescent="0.2">
      <c r="A4083" t="s">
        <v>1515</v>
      </c>
      <c r="B4083">
        <v>2024</v>
      </c>
      <c r="C4083">
        <v>1600093295</v>
      </c>
      <c r="D4083" t="s">
        <v>5135</v>
      </c>
      <c r="E4083" t="s">
        <v>29</v>
      </c>
      <c r="F4083" t="s">
        <v>30</v>
      </c>
      <c r="G4083">
        <v>1</v>
      </c>
      <c r="H4083">
        <v>0</v>
      </c>
      <c r="I4083">
        <v>0</v>
      </c>
      <c r="J4083">
        <v>0</v>
      </c>
      <c r="K4083">
        <v>2</v>
      </c>
      <c r="L4083">
        <v>0</v>
      </c>
      <c r="M4083">
        <v>1</v>
      </c>
      <c r="N4083">
        <v>0</v>
      </c>
      <c r="O4083">
        <v>0</v>
      </c>
      <c r="P4083">
        <v>0</v>
      </c>
      <c r="Q4083">
        <v>2</v>
      </c>
      <c r="R4083">
        <v>0</v>
      </c>
      <c r="S4083">
        <v>0</v>
      </c>
      <c r="T4083">
        <v>0</v>
      </c>
      <c r="U4083">
        <v>0</v>
      </c>
      <c r="V4083">
        <v>0</v>
      </c>
      <c r="W4083">
        <v>0</v>
      </c>
      <c r="X4083">
        <v>0</v>
      </c>
      <c r="Y4083" t="s">
        <v>31</v>
      </c>
      <c r="Z4083">
        <v>55</v>
      </c>
      <c r="AA4083">
        <v>0</v>
      </c>
    </row>
    <row r="4084" spans="1:27" x14ac:dyDescent="0.2">
      <c r="A4084" t="s">
        <v>1515</v>
      </c>
      <c r="B4084">
        <v>2024</v>
      </c>
      <c r="C4084">
        <v>1600093295</v>
      </c>
      <c r="D4084" t="s">
        <v>5136</v>
      </c>
      <c r="E4084" t="s">
        <v>29</v>
      </c>
      <c r="F4084" t="s">
        <v>30</v>
      </c>
      <c r="G4084">
        <v>0</v>
      </c>
      <c r="H4084">
        <v>0</v>
      </c>
      <c r="I4084">
        <v>0</v>
      </c>
      <c r="J4084">
        <v>0</v>
      </c>
      <c r="K4084">
        <v>3</v>
      </c>
      <c r="L4084">
        <v>0</v>
      </c>
      <c r="M4084">
        <v>0</v>
      </c>
      <c r="N4084">
        <v>0</v>
      </c>
      <c r="O4084">
        <v>0</v>
      </c>
      <c r="P4084">
        <v>0</v>
      </c>
      <c r="Q4084">
        <v>3</v>
      </c>
      <c r="R4084">
        <v>0</v>
      </c>
      <c r="S4084">
        <v>0</v>
      </c>
      <c r="T4084">
        <v>0</v>
      </c>
      <c r="U4084">
        <v>0</v>
      </c>
      <c r="V4084">
        <v>0</v>
      </c>
      <c r="W4084">
        <v>0</v>
      </c>
      <c r="X4084">
        <v>0</v>
      </c>
      <c r="Y4084" t="s">
        <v>31</v>
      </c>
      <c r="Z4084">
        <v>55</v>
      </c>
      <c r="AA4084">
        <v>0</v>
      </c>
    </row>
    <row r="4085" spans="1:27" x14ac:dyDescent="0.2">
      <c r="A4085" t="s">
        <v>1071</v>
      </c>
      <c r="B4085">
        <v>2019</v>
      </c>
      <c r="C4085">
        <v>76709029</v>
      </c>
      <c r="D4085" t="s">
        <v>5137</v>
      </c>
      <c r="E4085" t="s">
        <v>29</v>
      </c>
      <c r="F4085" t="s">
        <v>30</v>
      </c>
      <c r="G4085">
        <v>0</v>
      </c>
      <c r="H4085">
        <v>0</v>
      </c>
      <c r="I4085">
        <v>0</v>
      </c>
      <c r="J4085">
        <v>0</v>
      </c>
      <c r="K4085">
        <v>0</v>
      </c>
      <c r="L4085">
        <v>0</v>
      </c>
      <c r="M4085">
        <v>0</v>
      </c>
      <c r="N4085">
        <v>0</v>
      </c>
      <c r="O4085">
        <v>0</v>
      </c>
      <c r="P4085">
        <v>0</v>
      </c>
      <c r="Q4085">
        <v>0</v>
      </c>
      <c r="R4085">
        <v>0</v>
      </c>
      <c r="S4085">
        <v>2</v>
      </c>
      <c r="T4085">
        <v>0</v>
      </c>
      <c r="U4085">
        <v>6</v>
      </c>
      <c r="V4085">
        <v>0</v>
      </c>
      <c r="W4085">
        <v>0</v>
      </c>
      <c r="X4085">
        <v>0</v>
      </c>
      <c r="Y4085" t="s">
        <v>31</v>
      </c>
      <c r="AA4085">
        <v>0</v>
      </c>
    </row>
    <row r="4086" spans="1:27" x14ac:dyDescent="0.2">
      <c r="A4086" t="s">
        <v>318</v>
      </c>
      <c r="B4086">
        <v>2021</v>
      </c>
      <c r="C4086">
        <v>11012093</v>
      </c>
      <c r="D4086" t="s">
        <v>5138</v>
      </c>
      <c r="E4086" t="s">
        <v>29</v>
      </c>
      <c r="F4086" t="s">
        <v>30</v>
      </c>
      <c r="G4086">
        <v>87</v>
      </c>
      <c r="H4086">
        <v>0</v>
      </c>
      <c r="I4086">
        <v>34</v>
      </c>
      <c r="J4086">
        <v>0</v>
      </c>
      <c r="K4086">
        <v>0</v>
      </c>
      <c r="L4086">
        <v>0</v>
      </c>
      <c r="M4086">
        <v>0</v>
      </c>
      <c r="N4086">
        <v>0</v>
      </c>
      <c r="O4086">
        <v>0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0</v>
      </c>
      <c r="V4086">
        <v>0</v>
      </c>
      <c r="W4086">
        <v>0</v>
      </c>
      <c r="X4086">
        <v>0</v>
      </c>
      <c r="Y4086" t="s">
        <v>31</v>
      </c>
      <c r="Z4086">
        <v>55</v>
      </c>
      <c r="AA4086" s="2" t="s">
        <v>5139</v>
      </c>
    </row>
    <row r="4087" spans="1:27" x14ac:dyDescent="0.2">
      <c r="A4087" t="s">
        <v>1071</v>
      </c>
      <c r="B4087">
        <v>2019</v>
      </c>
      <c r="C4087">
        <v>81701080</v>
      </c>
      <c r="D4087" t="s">
        <v>5140</v>
      </c>
      <c r="E4087" t="s">
        <v>29</v>
      </c>
      <c r="F4087" t="s">
        <v>30</v>
      </c>
      <c r="G4087">
        <v>0</v>
      </c>
      <c r="H4087">
        <v>0</v>
      </c>
      <c r="I4087">
        <v>0</v>
      </c>
      <c r="J4087">
        <v>0</v>
      </c>
      <c r="K4087">
        <v>0</v>
      </c>
      <c r="L4087">
        <v>0</v>
      </c>
      <c r="M4087">
        <v>0</v>
      </c>
      <c r="N4087">
        <v>0</v>
      </c>
      <c r="O4087">
        <v>0</v>
      </c>
      <c r="P4087">
        <v>0</v>
      </c>
      <c r="Q4087">
        <v>0</v>
      </c>
      <c r="R4087">
        <v>0</v>
      </c>
      <c r="S4087">
        <v>12</v>
      </c>
      <c r="T4087">
        <v>0</v>
      </c>
      <c r="U4087">
        <v>2</v>
      </c>
      <c r="V4087">
        <v>0</v>
      </c>
      <c r="W4087">
        <v>0</v>
      </c>
      <c r="X4087">
        <v>0</v>
      </c>
      <c r="Y4087" t="s">
        <v>31</v>
      </c>
      <c r="AA4087">
        <v>0</v>
      </c>
    </row>
    <row r="4088" spans="1:27" x14ac:dyDescent="0.2">
      <c r="A4088" t="s">
        <v>883</v>
      </c>
      <c r="B4088">
        <v>2018</v>
      </c>
      <c r="C4088" t="s">
        <v>5141</v>
      </c>
      <c r="D4088" t="s">
        <v>5142</v>
      </c>
      <c r="E4088" t="s">
        <v>29</v>
      </c>
      <c r="F4088" t="s">
        <v>41</v>
      </c>
      <c r="G4088">
        <v>0</v>
      </c>
      <c r="H4088">
        <v>0</v>
      </c>
      <c r="I4088">
        <v>0</v>
      </c>
      <c r="J4088">
        <v>0</v>
      </c>
      <c r="K4088">
        <v>0</v>
      </c>
      <c r="L4088">
        <v>0</v>
      </c>
      <c r="M4088">
        <v>0</v>
      </c>
      <c r="N4088">
        <v>0</v>
      </c>
      <c r="O4088">
        <v>0</v>
      </c>
      <c r="P4088">
        <v>0</v>
      </c>
      <c r="Q4088">
        <v>0</v>
      </c>
      <c r="R4088">
        <v>0</v>
      </c>
      <c r="S4088">
        <v>0</v>
      </c>
      <c r="T4088">
        <v>0</v>
      </c>
      <c r="U4088">
        <v>3</v>
      </c>
      <c r="V4088">
        <v>0</v>
      </c>
      <c r="W4088">
        <v>0</v>
      </c>
      <c r="X4088">
        <v>0</v>
      </c>
      <c r="Y4088" t="s">
        <v>51</v>
      </c>
      <c r="Z4088">
        <v>45</v>
      </c>
      <c r="AA4088">
        <v>0</v>
      </c>
    </row>
    <row r="4089" spans="1:27" x14ac:dyDescent="0.2">
      <c r="A4089" t="s">
        <v>409</v>
      </c>
      <c r="B4089">
        <v>2020</v>
      </c>
      <c r="C4089" s="2" t="s">
        <v>410</v>
      </c>
      <c r="D4089" t="s">
        <v>5143</v>
      </c>
      <c r="E4089" t="s">
        <v>29</v>
      </c>
      <c r="F4089" t="s">
        <v>30</v>
      </c>
      <c r="G4089">
        <v>156</v>
      </c>
      <c r="H4089">
        <v>0</v>
      </c>
      <c r="I4089">
        <v>2</v>
      </c>
      <c r="J4089">
        <v>0</v>
      </c>
      <c r="K4089">
        <v>0</v>
      </c>
      <c r="L4089">
        <v>0</v>
      </c>
      <c r="M4089">
        <v>0</v>
      </c>
      <c r="N4089">
        <v>0</v>
      </c>
      <c r="O4089">
        <v>0</v>
      </c>
      <c r="P4089">
        <v>0</v>
      </c>
      <c r="Q4089">
        <v>0</v>
      </c>
      <c r="R4089">
        <v>0</v>
      </c>
      <c r="S4089">
        <v>0</v>
      </c>
      <c r="T4089">
        <v>0</v>
      </c>
      <c r="U4089">
        <v>0</v>
      </c>
      <c r="V4089">
        <v>0</v>
      </c>
      <c r="W4089">
        <v>0</v>
      </c>
      <c r="X4089">
        <v>0</v>
      </c>
      <c r="Y4089" t="s">
        <v>31</v>
      </c>
      <c r="Z4089">
        <v>55</v>
      </c>
      <c r="AA4089">
        <v>0</v>
      </c>
    </row>
    <row r="4090" spans="1:27" x14ac:dyDescent="0.2">
      <c r="A4090" t="s">
        <v>48</v>
      </c>
      <c r="B4090">
        <v>2019</v>
      </c>
      <c r="C4090" t="s">
        <v>5144</v>
      </c>
      <c r="D4090" t="s">
        <v>5145</v>
      </c>
      <c r="E4090" t="s">
        <v>29</v>
      </c>
      <c r="F4090" t="s">
        <v>30</v>
      </c>
      <c r="G4090">
        <v>1</v>
      </c>
      <c r="H4090">
        <v>0</v>
      </c>
      <c r="I4090">
        <v>0</v>
      </c>
      <c r="J4090">
        <v>0</v>
      </c>
      <c r="K4090">
        <v>0</v>
      </c>
      <c r="L4090">
        <v>0</v>
      </c>
      <c r="M4090">
        <v>0</v>
      </c>
      <c r="N4090">
        <v>0</v>
      </c>
      <c r="O4090">
        <v>0</v>
      </c>
      <c r="P4090">
        <v>0</v>
      </c>
      <c r="Q4090">
        <v>0</v>
      </c>
      <c r="R4090">
        <v>0</v>
      </c>
      <c r="S4090">
        <v>0</v>
      </c>
      <c r="T4090">
        <v>0</v>
      </c>
      <c r="U4090">
        <v>0</v>
      </c>
      <c r="V4090">
        <v>0</v>
      </c>
      <c r="W4090">
        <v>0</v>
      </c>
      <c r="X4090">
        <v>0</v>
      </c>
      <c r="Y4090" t="s">
        <v>51</v>
      </c>
      <c r="Z4090">
        <v>55</v>
      </c>
      <c r="AA4090">
        <v>0</v>
      </c>
    </row>
    <row r="4091" spans="1:27" x14ac:dyDescent="0.2">
      <c r="A4091" t="s">
        <v>1527</v>
      </c>
      <c r="B4091">
        <v>2024</v>
      </c>
      <c r="C4091" s="2" t="s">
        <v>5146</v>
      </c>
      <c r="D4091" t="s">
        <v>5147</v>
      </c>
      <c r="E4091" t="s">
        <v>29</v>
      </c>
      <c r="F4091" t="s">
        <v>30</v>
      </c>
      <c r="G4091">
        <v>0</v>
      </c>
      <c r="H4091">
        <v>0</v>
      </c>
      <c r="I4091">
        <v>0</v>
      </c>
      <c r="J4091">
        <v>0</v>
      </c>
      <c r="K4091">
        <v>0</v>
      </c>
      <c r="L4091">
        <v>0</v>
      </c>
      <c r="M4091">
        <v>0</v>
      </c>
      <c r="N4091">
        <v>0</v>
      </c>
      <c r="O4091">
        <v>30</v>
      </c>
      <c r="P4091">
        <v>0</v>
      </c>
      <c r="Q4091">
        <v>0</v>
      </c>
      <c r="R4091">
        <v>0</v>
      </c>
      <c r="S4091">
        <v>0</v>
      </c>
      <c r="T4091">
        <v>0</v>
      </c>
      <c r="U4091">
        <v>0</v>
      </c>
      <c r="V4091">
        <v>0</v>
      </c>
      <c r="W4091">
        <v>0</v>
      </c>
      <c r="X4091">
        <v>0</v>
      </c>
      <c r="Y4091" t="s">
        <v>31</v>
      </c>
      <c r="AA4091">
        <v>0</v>
      </c>
    </row>
    <row r="4092" spans="1:27" x14ac:dyDescent="0.2">
      <c r="A4092" t="s">
        <v>278</v>
      </c>
      <c r="B4092">
        <v>2024</v>
      </c>
      <c r="C4092">
        <v>16060013</v>
      </c>
      <c r="D4092" t="s">
        <v>5148</v>
      </c>
      <c r="E4092" t="s">
        <v>29</v>
      </c>
      <c r="F4092" t="s">
        <v>30</v>
      </c>
      <c r="G4092">
        <v>102</v>
      </c>
      <c r="H4092">
        <v>0</v>
      </c>
      <c r="I4092">
        <v>48</v>
      </c>
      <c r="J4092">
        <v>0</v>
      </c>
      <c r="K4092">
        <v>0</v>
      </c>
      <c r="L4092">
        <v>0</v>
      </c>
      <c r="M4092">
        <v>0</v>
      </c>
      <c r="N4092">
        <v>0</v>
      </c>
      <c r="O4092">
        <v>0</v>
      </c>
      <c r="P4092">
        <v>0</v>
      </c>
      <c r="Q4092">
        <v>0</v>
      </c>
      <c r="R4092">
        <v>0</v>
      </c>
      <c r="S4092">
        <v>0</v>
      </c>
      <c r="T4092">
        <v>0</v>
      </c>
      <c r="U4092">
        <v>0</v>
      </c>
      <c r="V4092">
        <v>0</v>
      </c>
      <c r="W4092">
        <v>0</v>
      </c>
      <c r="X4092">
        <v>0</v>
      </c>
      <c r="Y4092" t="s">
        <v>51</v>
      </c>
      <c r="Z4092">
        <v>1000</v>
      </c>
      <c r="AA4092">
        <v>0</v>
      </c>
    </row>
    <row r="4093" spans="1:27" x14ac:dyDescent="0.2">
      <c r="A4093" t="s">
        <v>278</v>
      </c>
      <c r="B4093">
        <v>2024</v>
      </c>
      <c r="C4093" t="s">
        <v>5149</v>
      </c>
      <c r="D4093" t="s">
        <v>5150</v>
      </c>
      <c r="E4093" t="s">
        <v>29</v>
      </c>
      <c r="F4093" t="s">
        <v>41</v>
      </c>
      <c r="G4093">
        <v>4</v>
      </c>
      <c r="H4093">
        <v>0</v>
      </c>
      <c r="I4093">
        <v>10</v>
      </c>
      <c r="J4093">
        <v>0</v>
      </c>
      <c r="K4093">
        <v>0</v>
      </c>
      <c r="L4093">
        <v>0</v>
      </c>
      <c r="M4093">
        <v>0</v>
      </c>
      <c r="N4093">
        <v>0</v>
      </c>
      <c r="O4093">
        <v>0</v>
      </c>
      <c r="P4093">
        <v>0</v>
      </c>
      <c r="Q4093">
        <v>0</v>
      </c>
      <c r="R4093">
        <v>0</v>
      </c>
      <c r="S4093">
        <v>0</v>
      </c>
      <c r="T4093">
        <v>0</v>
      </c>
      <c r="U4093">
        <v>0</v>
      </c>
      <c r="V4093">
        <v>0</v>
      </c>
      <c r="W4093">
        <v>0</v>
      </c>
      <c r="X4093">
        <v>0</v>
      </c>
      <c r="Y4093" t="s">
        <v>51</v>
      </c>
      <c r="Z4093">
        <v>1000</v>
      </c>
      <c r="AA4093">
        <v>0</v>
      </c>
    </row>
    <row r="4094" spans="1:27" x14ac:dyDescent="0.2">
      <c r="A4094" t="s">
        <v>38</v>
      </c>
      <c r="B4094">
        <v>2024</v>
      </c>
      <c r="C4094">
        <v>5637003054</v>
      </c>
      <c r="D4094" t="s">
        <v>392</v>
      </c>
      <c r="E4094" t="s">
        <v>29</v>
      </c>
      <c r="F4094" t="s">
        <v>30</v>
      </c>
      <c r="G4094">
        <v>0</v>
      </c>
      <c r="H4094">
        <v>0</v>
      </c>
      <c r="I4094">
        <v>3</v>
      </c>
      <c r="J4094">
        <v>0</v>
      </c>
      <c r="K4094">
        <v>0</v>
      </c>
      <c r="L4094">
        <v>0</v>
      </c>
      <c r="M4094">
        <v>0</v>
      </c>
      <c r="N4094">
        <v>0</v>
      </c>
      <c r="O4094">
        <v>3</v>
      </c>
      <c r="P4094">
        <v>0</v>
      </c>
      <c r="Q4094">
        <v>0</v>
      </c>
      <c r="R4094">
        <v>0</v>
      </c>
      <c r="S4094">
        <v>0</v>
      </c>
      <c r="T4094">
        <v>0</v>
      </c>
      <c r="U4094">
        <v>3</v>
      </c>
      <c r="V4094">
        <v>0</v>
      </c>
      <c r="W4094">
        <v>0</v>
      </c>
      <c r="X4094">
        <v>0</v>
      </c>
      <c r="Y4094" t="s">
        <v>31</v>
      </c>
      <c r="AA4094" s="2" t="s">
        <v>3316</v>
      </c>
    </row>
    <row r="4095" spans="1:27" x14ac:dyDescent="0.2">
      <c r="A4095" t="s">
        <v>48</v>
      </c>
      <c r="B4095">
        <v>2019</v>
      </c>
      <c r="C4095" t="s">
        <v>338</v>
      </c>
      <c r="D4095" t="s">
        <v>509</v>
      </c>
      <c r="E4095" t="s">
        <v>29</v>
      </c>
      <c r="F4095" t="s">
        <v>30</v>
      </c>
      <c r="G4095">
        <v>0</v>
      </c>
      <c r="H4095">
        <v>0</v>
      </c>
      <c r="I4095">
        <v>0</v>
      </c>
      <c r="J4095">
        <v>0</v>
      </c>
      <c r="K4095">
        <v>0</v>
      </c>
      <c r="L4095">
        <v>0</v>
      </c>
      <c r="M4095">
        <v>0</v>
      </c>
      <c r="N4095">
        <v>0</v>
      </c>
      <c r="O4095">
        <v>1</v>
      </c>
      <c r="P4095">
        <v>0</v>
      </c>
      <c r="Q4095">
        <v>1</v>
      </c>
      <c r="R4095">
        <v>0</v>
      </c>
      <c r="S4095">
        <v>0</v>
      </c>
      <c r="T4095">
        <v>0</v>
      </c>
      <c r="U4095">
        <v>0</v>
      </c>
      <c r="V4095">
        <v>0</v>
      </c>
      <c r="W4095">
        <v>0</v>
      </c>
      <c r="X4095">
        <v>0</v>
      </c>
      <c r="Y4095" t="s">
        <v>51</v>
      </c>
      <c r="Z4095">
        <v>55</v>
      </c>
      <c r="AA4095">
        <v>0</v>
      </c>
    </row>
    <row r="4096" spans="1:27" x14ac:dyDescent="0.2">
      <c r="A4096" t="s">
        <v>48</v>
      </c>
      <c r="B4096">
        <v>2019</v>
      </c>
      <c r="C4096" t="s">
        <v>5151</v>
      </c>
      <c r="D4096" t="s">
        <v>5152</v>
      </c>
      <c r="E4096" t="s">
        <v>29</v>
      </c>
      <c r="F4096" t="s">
        <v>30</v>
      </c>
      <c r="G4096">
        <v>0</v>
      </c>
      <c r="H4096">
        <v>0</v>
      </c>
      <c r="I4096">
        <v>0</v>
      </c>
      <c r="J4096">
        <v>0</v>
      </c>
      <c r="K4096">
        <v>0</v>
      </c>
      <c r="L4096">
        <v>0</v>
      </c>
      <c r="M4096">
        <v>0</v>
      </c>
      <c r="N4096">
        <v>0</v>
      </c>
      <c r="O4096">
        <v>0</v>
      </c>
      <c r="P4096">
        <v>0</v>
      </c>
      <c r="Q4096">
        <v>0</v>
      </c>
      <c r="R4096">
        <v>0</v>
      </c>
      <c r="S4096">
        <v>4</v>
      </c>
      <c r="T4096">
        <v>0</v>
      </c>
      <c r="U4096">
        <v>0</v>
      </c>
      <c r="V4096">
        <v>0</v>
      </c>
      <c r="W4096">
        <v>0</v>
      </c>
      <c r="X4096">
        <v>0</v>
      </c>
      <c r="Y4096" t="s">
        <v>31</v>
      </c>
      <c r="Z4096">
        <v>55</v>
      </c>
      <c r="AA4096">
        <v>0</v>
      </c>
    </row>
    <row r="4097" spans="1:27" x14ac:dyDescent="0.2">
      <c r="A4097" t="s">
        <v>1658</v>
      </c>
      <c r="B4097">
        <v>2023</v>
      </c>
      <c r="C4097" t="s">
        <v>2320</v>
      </c>
      <c r="D4097" t="s">
        <v>5153</v>
      </c>
      <c r="E4097" t="s">
        <v>29</v>
      </c>
      <c r="F4097" t="s">
        <v>41</v>
      </c>
      <c r="G4097">
        <v>0</v>
      </c>
      <c r="H4097">
        <v>0</v>
      </c>
      <c r="I4097">
        <v>0</v>
      </c>
      <c r="J4097">
        <v>0</v>
      </c>
      <c r="K4097">
        <v>0</v>
      </c>
      <c r="L4097">
        <v>0</v>
      </c>
      <c r="M4097">
        <v>0</v>
      </c>
      <c r="N4097">
        <v>0</v>
      </c>
      <c r="O4097">
        <v>0</v>
      </c>
      <c r="P4097">
        <v>0</v>
      </c>
      <c r="Q4097">
        <v>0</v>
      </c>
      <c r="R4097">
        <v>0</v>
      </c>
      <c r="S4097">
        <v>1</v>
      </c>
      <c r="T4097">
        <v>0</v>
      </c>
      <c r="U4097">
        <v>0</v>
      </c>
      <c r="V4097">
        <v>0</v>
      </c>
      <c r="W4097">
        <v>0</v>
      </c>
      <c r="X4097">
        <v>0</v>
      </c>
      <c r="Y4097" t="s">
        <v>51</v>
      </c>
      <c r="Z4097">
        <v>55</v>
      </c>
      <c r="AA4097">
        <v>0</v>
      </c>
    </row>
    <row r="4098" spans="1:27" x14ac:dyDescent="0.2">
      <c r="A4098" t="s">
        <v>1247</v>
      </c>
      <c r="B4098">
        <v>2021</v>
      </c>
      <c r="C4098">
        <v>44041096</v>
      </c>
      <c r="D4098" t="s">
        <v>3255</v>
      </c>
      <c r="E4098" t="s">
        <v>29</v>
      </c>
      <c r="F4098" t="s">
        <v>30</v>
      </c>
      <c r="G4098">
        <v>0</v>
      </c>
      <c r="H4098">
        <v>0</v>
      </c>
      <c r="I4098">
        <v>0</v>
      </c>
      <c r="J4098">
        <v>0</v>
      </c>
      <c r="K4098">
        <v>0</v>
      </c>
      <c r="L4098">
        <v>0</v>
      </c>
      <c r="M4098">
        <v>0</v>
      </c>
      <c r="N4098">
        <v>67</v>
      </c>
      <c r="O4098">
        <v>33</v>
      </c>
      <c r="P4098">
        <v>34</v>
      </c>
      <c r="Q4098">
        <v>15</v>
      </c>
      <c r="R4098">
        <v>2</v>
      </c>
      <c r="S4098">
        <v>0</v>
      </c>
      <c r="T4098">
        <v>0</v>
      </c>
      <c r="U4098">
        <v>0</v>
      </c>
      <c r="V4098">
        <v>0</v>
      </c>
      <c r="W4098">
        <v>0</v>
      </c>
      <c r="X4098">
        <v>0</v>
      </c>
      <c r="Y4098" t="s">
        <v>31</v>
      </c>
      <c r="Z4098">
        <v>55</v>
      </c>
      <c r="AA4098">
        <v>35</v>
      </c>
    </row>
    <row r="4099" spans="1:27" x14ac:dyDescent="0.2">
      <c r="A4099" t="s">
        <v>1247</v>
      </c>
      <c r="B4099">
        <v>2021</v>
      </c>
      <c r="C4099">
        <v>125111037</v>
      </c>
      <c r="D4099" t="s">
        <v>5154</v>
      </c>
      <c r="E4099" t="s">
        <v>29</v>
      </c>
      <c r="F4099" t="s">
        <v>30</v>
      </c>
      <c r="G4099">
        <v>0</v>
      </c>
      <c r="H4099">
        <v>0</v>
      </c>
      <c r="I4099">
        <v>0</v>
      </c>
      <c r="J4099">
        <v>0</v>
      </c>
      <c r="K4099">
        <v>0</v>
      </c>
      <c r="L4099">
        <v>0</v>
      </c>
      <c r="M4099">
        <v>0</v>
      </c>
      <c r="N4099">
        <v>0</v>
      </c>
      <c r="O4099">
        <v>0</v>
      </c>
      <c r="P4099">
        <v>0</v>
      </c>
      <c r="Q4099">
        <v>0</v>
      </c>
      <c r="R4099">
        <v>0</v>
      </c>
      <c r="S4099">
        <v>0</v>
      </c>
      <c r="T4099">
        <v>0</v>
      </c>
      <c r="U4099">
        <v>0</v>
      </c>
      <c r="V4099">
        <v>0</v>
      </c>
      <c r="W4099">
        <v>0</v>
      </c>
      <c r="X4099">
        <v>0</v>
      </c>
      <c r="Y4099" t="s">
        <v>31</v>
      </c>
      <c r="Z4099">
        <v>55</v>
      </c>
      <c r="AA4099">
        <v>32</v>
      </c>
    </row>
    <row r="4100" spans="1:27" x14ac:dyDescent="0.2">
      <c r="A4100" t="s">
        <v>1247</v>
      </c>
      <c r="B4100">
        <v>2021</v>
      </c>
      <c r="C4100">
        <v>15492019</v>
      </c>
      <c r="D4100" t="s">
        <v>5155</v>
      </c>
      <c r="E4100" t="s">
        <v>29</v>
      </c>
      <c r="F4100" t="s">
        <v>30</v>
      </c>
      <c r="G4100">
        <v>0</v>
      </c>
      <c r="H4100">
        <v>0</v>
      </c>
      <c r="I4100">
        <v>0</v>
      </c>
      <c r="J4100">
        <v>0</v>
      </c>
      <c r="K4100">
        <v>0</v>
      </c>
      <c r="L4100">
        <v>0</v>
      </c>
      <c r="M4100">
        <v>1</v>
      </c>
      <c r="N4100">
        <v>0</v>
      </c>
      <c r="O4100">
        <v>0</v>
      </c>
      <c r="P4100">
        <v>0</v>
      </c>
      <c r="Q4100">
        <v>0</v>
      </c>
      <c r="R4100">
        <v>0</v>
      </c>
      <c r="S4100">
        <v>0</v>
      </c>
      <c r="T4100">
        <v>0</v>
      </c>
      <c r="U4100">
        <v>0</v>
      </c>
      <c r="V4100">
        <v>0</v>
      </c>
      <c r="W4100">
        <v>0</v>
      </c>
      <c r="X4100">
        <v>0</v>
      </c>
      <c r="Y4100" t="s">
        <v>31</v>
      </c>
      <c r="Z4100">
        <v>55</v>
      </c>
      <c r="AA4100">
        <v>32</v>
      </c>
    </row>
    <row r="4101" spans="1:27" x14ac:dyDescent="0.2">
      <c r="A4101" t="s">
        <v>1247</v>
      </c>
      <c r="B4101">
        <v>2021</v>
      </c>
      <c r="C4101">
        <v>9333009</v>
      </c>
      <c r="D4101" t="s">
        <v>5156</v>
      </c>
      <c r="E4101" t="s">
        <v>29</v>
      </c>
      <c r="F4101" t="s">
        <v>30</v>
      </c>
      <c r="G4101">
        <v>61</v>
      </c>
      <c r="H4101">
        <v>0</v>
      </c>
      <c r="I4101">
        <v>0</v>
      </c>
      <c r="J4101">
        <v>0</v>
      </c>
      <c r="K4101">
        <v>0</v>
      </c>
      <c r="L4101">
        <v>0</v>
      </c>
      <c r="M4101">
        <v>0</v>
      </c>
      <c r="N4101">
        <v>0</v>
      </c>
      <c r="O4101">
        <v>0</v>
      </c>
      <c r="P4101">
        <v>0</v>
      </c>
      <c r="Q4101">
        <v>0</v>
      </c>
      <c r="R4101">
        <v>0</v>
      </c>
      <c r="S4101">
        <v>0</v>
      </c>
      <c r="T4101">
        <v>0</v>
      </c>
      <c r="U4101">
        <v>0</v>
      </c>
      <c r="V4101">
        <v>0</v>
      </c>
      <c r="W4101">
        <v>0</v>
      </c>
      <c r="X4101">
        <v>0</v>
      </c>
      <c r="Y4101" t="s">
        <v>31</v>
      </c>
      <c r="Z4101">
        <v>55</v>
      </c>
      <c r="AA4101">
        <v>80</v>
      </c>
    </row>
    <row r="4102" spans="1:27" x14ac:dyDescent="0.2">
      <c r="A4102" t="s">
        <v>1247</v>
      </c>
      <c r="B4102">
        <v>2021</v>
      </c>
      <c r="C4102">
        <v>125551016</v>
      </c>
      <c r="D4102" t="s">
        <v>5157</v>
      </c>
      <c r="E4102" t="s">
        <v>29</v>
      </c>
      <c r="F4102" t="s">
        <v>30</v>
      </c>
      <c r="G4102">
        <v>0</v>
      </c>
      <c r="H4102">
        <v>56</v>
      </c>
      <c r="I4102">
        <v>15</v>
      </c>
      <c r="J4102">
        <v>69</v>
      </c>
      <c r="K4102">
        <v>0</v>
      </c>
      <c r="L4102">
        <v>0</v>
      </c>
      <c r="M4102">
        <v>0</v>
      </c>
      <c r="N4102">
        <v>0</v>
      </c>
      <c r="O4102">
        <v>0</v>
      </c>
      <c r="P4102">
        <v>0</v>
      </c>
      <c r="Q4102">
        <v>0</v>
      </c>
      <c r="R4102">
        <v>0</v>
      </c>
      <c r="S4102">
        <v>0</v>
      </c>
      <c r="T4102">
        <v>0</v>
      </c>
      <c r="U4102">
        <v>0</v>
      </c>
      <c r="V4102">
        <v>0</v>
      </c>
      <c r="W4102">
        <v>0</v>
      </c>
      <c r="X4102">
        <v>0</v>
      </c>
      <c r="Y4102" t="s">
        <v>31</v>
      </c>
      <c r="Z4102">
        <v>55</v>
      </c>
      <c r="AA4102">
        <v>20</v>
      </c>
    </row>
    <row r="4103" spans="1:27" x14ac:dyDescent="0.2">
      <c r="A4103" t="s">
        <v>3129</v>
      </c>
      <c r="B4103">
        <v>2018</v>
      </c>
      <c r="C4103" t="s">
        <v>3130</v>
      </c>
      <c r="D4103" t="s">
        <v>5158</v>
      </c>
      <c r="E4103" t="s">
        <v>29</v>
      </c>
      <c r="F4103" t="s">
        <v>30</v>
      </c>
      <c r="G4103">
        <v>0</v>
      </c>
      <c r="H4103">
        <v>0</v>
      </c>
      <c r="I4103">
        <v>0</v>
      </c>
      <c r="J4103">
        <v>0</v>
      </c>
      <c r="K4103">
        <v>0</v>
      </c>
      <c r="L4103">
        <v>0</v>
      </c>
      <c r="M4103">
        <v>0</v>
      </c>
      <c r="N4103">
        <v>0</v>
      </c>
      <c r="O4103">
        <v>8</v>
      </c>
      <c r="P4103">
        <v>0</v>
      </c>
      <c r="Q4103">
        <v>0</v>
      </c>
      <c r="R4103">
        <v>0</v>
      </c>
      <c r="S4103">
        <v>0</v>
      </c>
      <c r="T4103">
        <v>0</v>
      </c>
      <c r="U4103">
        <v>0</v>
      </c>
      <c r="V4103">
        <v>0</v>
      </c>
      <c r="W4103">
        <v>0</v>
      </c>
      <c r="X4103">
        <v>0</v>
      </c>
      <c r="Y4103" t="s">
        <v>51</v>
      </c>
      <c r="Z4103">
        <v>30</v>
      </c>
      <c r="AA4103">
        <v>0</v>
      </c>
    </row>
    <row r="4104" spans="1:27" x14ac:dyDescent="0.2">
      <c r="A4104" t="s">
        <v>3129</v>
      </c>
      <c r="B4104">
        <v>2018</v>
      </c>
      <c r="C4104" t="s">
        <v>3130</v>
      </c>
      <c r="D4104" t="s">
        <v>5159</v>
      </c>
      <c r="E4104" t="s">
        <v>29</v>
      </c>
      <c r="F4104" t="s">
        <v>30</v>
      </c>
      <c r="G4104">
        <v>0</v>
      </c>
      <c r="H4104">
        <v>0</v>
      </c>
      <c r="I4104">
        <v>0</v>
      </c>
      <c r="J4104">
        <v>0</v>
      </c>
      <c r="K4104">
        <v>0</v>
      </c>
      <c r="L4104">
        <v>0</v>
      </c>
      <c r="M4104">
        <v>0</v>
      </c>
      <c r="N4104">
        <v>0</v>
      </c>
      <c r="O4104">
        <v>8</v>
      </c>
      <c r="P4104">
        <v>0</v>
      </c>
      <c r="Q4104">
        <v>0</v>
      </c>
      <c r="R4104">
        <v>0</v>
      </c>
      <c r="S4104">
        <v>0</v>
      </c>
      <c r="T4104">
        <v>0</v>
      </c>
      <c r="U4104">
        <v>0</v>
      </c>
      <c r="V4104">
        <v>0</v>
      </c>
      <c r="W4104">
        <v>0</v>
      </c>
      <c r="X4104">
        <v>0</v>
      </c>
      <c r="Y4104" t="s">
        <v>51</v>
      </c>
      <c r="Z4104">
        <v>30</v>
      </c>
      <c r="AA4104">
        <v>0</v>
      </c>
    </row>
    <row r="4105" spans="1:27" x14ac:dyDescent="0.2">
      <c r="A4105" t="s">
        <v>3097</v>
      </c>
      <c r="B4105">
        <v>2022</v>
      </c>
      <c r="C4105" t="s">
        <v>5160</v>
      </c>
      <c r="D4105" t="s">
        <v>5161</v>
      </c>
      <c r="E4105" t="s">
        <v>29</v>
      </c>
      <c r="F4105" t="s">
        <v>30</v>
      </c>
      <c r="G4105">
        <v>54</v>
      </c>
      <c r="H4105">
        <v>0</v>
      </c>
      <c r="I4105">
        <v>20</v>
      </c>
      <c r="J4105">
        <v>0</v>
      </c>
      <c r="K4105">
        <v>0</v>
      </c>
      <c r="L4105">
        <v>0</v>
      </c>
      <c r="M4105">
        <v>0</v>
      </c>
      <c r="N4105">
        <v>0</v>
      </c>
      <c r="O4105">
        <v>0</v>
      </c>
      <c r="P4105">
        <v>0</v>
      </c>
      <c r="Q4105">
        <v>0</v>
      </c>
      <c r="R4105">
        <v>0</v>
      </c>
      <c r="S4105">
        <v>0</v>
      </c>
      <c r="T4105">
        <v>0</v>
      </c>
      <c r="U4105">
        <v>0</v>
      </c>
      <c r="V4105">
        <v>0</v>
      </c>
      <c r="W4105">
        <v>0</v>
      </c>
      <c r="X4105">
        <v>0</v>
      </c>
      <c r="Y4105" t="s">
        <v>31</v>
      </c>
      <c r="Z4105">
        <v>55</v>
      </c>
      <c r="AA4105">
        <v>13</v>
      </c>
    </row>
    <row r="4106" spans="1:27" x14ac:dyDescent="0.2">
      <c r="A4106" t="s">
        <v>1805</v>
      </c>
      <c r="B4106">
        <v>2024</v>
      </c>
      <c r="C4106">
        <v>8303026011</v>
      </c>
      <c r="D4106" t="s">
        <v>5162</v>
      </c>
      <c r="E4106" t="s">
        <v>29</v>
      </c>
      <c r="F4106" t="s">
        <v>30</v>
      </c>
      <c r="G4106">
        <v>74</v>
      </c>
      <c r="H4106">
        <v>0</v>
      </c>
      <c r="I4106">
        <v>0</v>
      </c>
      <c r="J4106">
        <v>0</v>
      </c>
      <c r="K4106">
        <v>0</v>
      </c>
      <c r="L4106">
        <v>0</v>
      </c>
      <c r="M4106">
        <v>0</v>
      </c>
      <c r="N4106">
        <v>0</v>
      </c>
      <c r="O4106">
        <v>0</v>
      </c>
      <c r="P4106">
        <v>0</v>
      </c>
      <c r="Q4106">
        <v>0</v>
      </c>
      <c r="R4106">
        <v>0</v>
      </c>
      <c r="S4106">
        <v>0</v>
      </c>
      <c r="T4106">
        <v>0</v>
      </c>
      <c r="U4106">
        <v>0</v>
      </c>
      <c r="V4106">
        <v>0</v>
      </c>
      <c r="W4106">
        <v>0</v>
      </c>
      <c r="X4106">
        <v>0</v>
      </c>
      <c r="Y4106" t="s">
        <v>31</v>
      </c>
      <c r="AA4106" s="2" t="s">
        <v>5163</v>
      </c>
    </row>
    <row r="4107" spans="1:27" x14ac:dyDescent="0.2">
      <c r="A4107" t="s">
        <v>283</v>
      </c>
      <c r="B4107">
        <v>2024</v>
      </c>
      <c r="C4107" t="s">
        <v>5164</v>
      </c>
      <c r="D4107" t="s">
        <v>5165</v>
      </c>
      <c r="E4107" t="s">
        <v>29</v>
      </c>
      <c r="F4107" t="s">
        <v>41</v>
      </c>
      <c r="G4107">
        <v>0</v>
      </c>
      <c r="H4107">
        <v>0</v>
      </c>
      <c r="I4107">
        <v>0</v>
      </c>
      <c r="J4107">
        <v>0</v>
      </c>
      <c r="K4107">
        <v>0</v>
      </c>
      <c r="L4107">
        <v>0</v>
      </c>
      <c r="M4107">
        <v>0</v>
      </c>
      <c r="N4107">
        <v>0</v>
      </c>
      <c r="O4107">
        <v>0</v>
      </c>
      <c r="P4107">
        <v>0</v>
      </c>
      <c r="Q4107">
        <v>1</v>
      </c>
      <c r="R4107">
        <v>0</v>
      </c>
      <c r="S4107">
        <v>0</v>
      </c>
      <c r="T4107">
        <v>0</v>
      </c>
      <c r="U4107">
        <v>0</v>
      </c>
      <c r="V4107">
        <v>0</v>
      </c>
      <c r="W4107">
        <v>0</v>
      </c>
      <c r="X4107">
        <v>0</v>
      </c>
      <c r="Y4107" t="s">
        <v>51</v>
      </c>
      <c r="Z4107">
        <v>1000</v>
      </c>
      <c r="AA4107">
        <v>0</v>
      </c>
    </row>
    <row r="4108" spans="1:27" x14ac:dyDescent="0.2">
      <c r="A4108" t="s">
        <v>1418</v>
      </c>
      <c r="B4108">
        <v>2024</v>
      </c>
      <c r="C4108">
        <v>2130090275</v>
      </c>
      <c r="D4108" t="s">
        <v>5166</v>
      </c>
      <c r="E4108" t="s">
        <v>29</v>
      </c>
      <c r="F4108" t="s">
        <v>30</v>
      </c>
      <c r="G4108">
        <v>8</v>
      </c>
      <c r="H4108">
        <v>0</v>
      </c>
      <c r="I4108">
        <v>30</v>
      </c>
      <c r="J4108">
        <v>0</v>
      </c>
      <c r="K4108">
        <v>0</v>
      </c>
      <c r="L4108">
        <v>0</v>
      </c>
      <c r="M4108">
        <v>0</v>
      </c>
      <c r="N4108">
        <v>0</v>
      </c>
      <c r="O4108">
        <v>0</v>
      </c>
      <c r="P4108">
        <v>0</v>
      </c>
      <c r="Q4108">
        <v>0</v>
      </c>
      <c r="R4108">
        <v>0</v>
      </c>
      <c r="S4108">
        <v>0</v>
      </c>
      <c r="T4108">
        <v>0</v>
      </c>
      <c r="U4108">
        <v>0</v>
      </c>
      <c r="V4108">
        <v>0</v>
      </c>
      <c r="W4108">
        <v>0</v>
      </c>
      <c r="X4108">
        <v>0</v>
      </c>
      <c r="Y4108" t="s">
        <v>31</v>
      </c>
      <c r="Z4108">
        <v>55</v>
      </c>
      <c r="AA4108">
        <v>0.5</v>
      </c>
    </row>
    <row r="4109" spans="1:27" x14ac:dyDescent="0.2">
      <c r="A4109" t="s">
        <v>271</v>
      </c>
      <c r="B4109">
        <v>2018</v>
      </c>
      <c r="C4109" t="s">
        <v>5167</v>
      </c>
      <c r="D4109" t="s">
        <v>5168</v>
      </c>
      <c r="E4109" t="s">
        <v>29</v>
      </c>
      <c r="F4109" t="s">
        <v>30</v>
      </c>
      <c r="G4109">
        <v>85</v>
      </c>
      <c r="H4109">
        <v>0</v>
      </c>
      <c r="I4109">
        <v>16</v>
      </c>
      <c r="J4109">
        <v>0</v>
      </c>
      <c r="K4109">
        <v>0</v>
      </c>
      <c r="L4109">
        <v>0</v>
      </c>
      <c r="M4109">
        <v>0</v>
      </c>
      <c r="N4109">
        <v>0</v>
      </c>
      <c r="O4109">
        <v>0</v>
      </c>
      <c r="P4109">
        <v>0</v>
      </c>
      <c r="Q4109">
        <v>0</v>
      </c>
      <c r="R4109">
        <v>0</v>
      </c>
      <c r="S4109">
        <v>0</v>
      </c>
      <c r="T4109">
        <v>0</v>
      </c>
      <c r="U4109">
        <v>0</v>
      </c>
      <c r="V4109">
        <v>0</v>
      </c>
      <c r="W4109">
        <v>0</v>
      </c>
      <c r="X4109">
        <v>0</v>
      </c>
      <c r="Y4109" t="s">
        <v>31</v>
      </c>
      <c r="AA4109">
        <v>0</v>
      </c>
    </row>
    <row r="4110" spans="1:27" x14ac:dyDescent="0.2">
      <c r="A4110" t="s">
        <v>2907</v>
      </c>
      <c r="B4110">
        <v>2018</v>
      </c>
      <c r="C4110" t="s">
        <v>5169</v>
      </c>
      <c r="D4110" t="s">
        <v>5170</v>
      </c>
      <c r="E4110" t="s">
        <v>29</v>
      </c>
      <c r="F4110" t="s">
        <v>30</v>
      </c>
      <c r="G4110">
        <v>30</v>
      </c>
      <c r="H4110">
        <v>0</v>
      </c>
      <c r="I4110">
        <v>0</v>
      </c>
      <c r="J4110">
        <v>0</v>
      </c>
      <c r="K4110">
        <v>0</v>
      </c>
      <c r="L4110">
        <v>0</v>
      </c>
      <c r="M4110">
        <v>0</v>
      </c>
      <c r="N4110">
        <v>0</v>
      </c>
      <c r="O4110">
        <v>0</v>
      </c>
      <c r="P4110">
        <v>0</v>
      </c>
      <c r="Q4110">
        <v>0</v>
      </c>
      <c r="R4110">
        <v>0</v>
      </c>
      <c r="S4110">
        <v>0</v>
      </c>
      <c r="T4110">
        <v>0</v>
      </c>
      <c r="U4110">
        <v>0</v>
      </c>
      <c r="V4110">
        <v>0</v>
      </c>
      <c r="W4110">
        <v>0</v>
      </c>
      <c r="X4110">
        <v>0</v>
      </c>
      <c r="Y4110" t="s">
        <v>31</v>
      </c>
      <c r="Z4110">
        <v>55</v>
      </c>
      <c r="AA4110">
        <v>0</v>
      </c>
    </row>
    <row r="4111" spans="1:27" x14ac:dyDescent="0.2">
      <c r="A4111" t="s">
        <v>278</v>
      </c>
      <c r="B4111">
        <v>2018</v>
      </c>
      <c r="C4111" t="s">
        <v>5171</v>
      </c>
      <c r="D4111" t="s">
        <v>5172</v>
      </c>
      <c r="E4111" t="s">
        <v>29</v>
      </c>
      <c r="F4111" t="s">
        <v>30</v>
      </c>
      <c r="G4111">
        <v>50</v>
      </c>
      <c r="H4111">
        <v>0</v>
      </c>
      <c r="I4111">
        <v>0</v>
      </c>
      <c r="J4111">
        <v>0</v>
      </c>
      <c r="K4111">
        <v>0</v>
      </c>
      <c r="L4111">
        <v>0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0</v>
      </c>
      <c r="V4111">
        <v>0</v>
      </c>
      <c r="W4111">
        <v>0</v>
      </c>
      <c r="X4111">
        <v>0</v>
      </c>
      <c r="Y4111" t="s">
        <v>51</v>
      </c>
      <c r="Z4111">
        <v>55</v>
      </c>
      <c r="AA4111">
        <v>0</v>
      </c>
    </row>
    <row r="4112" spans="1:27" x14ac:dyDescent="0.2">
      <c r="A4112" t="s">
        <v>278</v>
      </c>
      <c r="B4112">
        <v>2018</v>
      </c>
      <c r="C4112" t="s">
        <v>5173</v>
      </c>
      <c r="D4112" t="s">
        <v>5174</v>
      </c>
      <c r="E4112" t="s">
        <v>29</v>
      </c>
      <c r="F4112" t="s">
        <v>30</v>
      </c>
      <c r="G4112">
        <v>0</v>
      </c>
      <c r="H4112">
        <v>0</v>
      </c>
      <c r="I4112">
        <v>0</v>
      </c>
      <c r="J4112">
        <v>0</v>
      </c>
      <c r="K4112">
        <v>0</v>
      </c>
      <c r="L4112">
        <v>0</v>
      </c>
      <c r="M4112">
        <v>0</v>
      </c>
      <c r="N4112">
        <v>0</v>
      </c>
      <c r="O4112">
        <v>10</v>
      </c>
      <c r="P4112">
        <v>0</v>
      </c>
      <c r="Q4112">
        <v>0</v>
      </c>
      <c r="R4112">
        <v>0</v>
      </c>
      <c r="S4112">
        <v>0</v>
      </c>
      <c r="T4112">
        <v>0</v>
      </c>
      <c r="U4112">
        <v>0</v>
      </c>
      <c r="V4112">
        <v>0</v>
      </c>
      <c r="W4112">
        <v>0</v>
      </c>
      <c r="X4112">
        <v>0</v>
      </c>
      <c r="Y4112" t="s">
        <v>51</v>
      </c>
      <c r="Z4112">
        <v>55</v>
      </c>
      <c r="AA4112">
        <v>0</v>
      </c>
    </row>
    <row r="4113" spans="1:27" x14ac:dyDescent="0.2">
      <c r="A4113" t="s">
        <v>278</v>
      </c>
      <c r="B4113">
        <v>2018</v>
      </c>
      <c r="C4113" t="s">
        <v>5175</v>
      </c>
      <c r="D4113" t="s">
        <v>5176</v>
      </c>
      <c r="E4113" t="s">
        <v>29</v>
      </c>
      <c r="F4113" t="s">
        <v>41</v>
      </c>
      <c r="G4113">
        <v>0</v>
      </c>
      <c r="H4113">
        <v>0</v>
      </c>
      <c r="I4113">
        <v>0</v>
      </c>
      <c r="J4113">
        <v>0</v>
      </c>
      <c r="K4113">
        <v>0</v>
      </c>
      <c r="L4113">
        <v>0</v>
      </c>
      <c r="M4113">
        <v>0</v>
      </c>
      <c r="N4113">
        <v>0</v>
      </c>
      <c r="O4113">
        <v>0</v>
      </c>
      <c r="P4113">
        <v>0</v>
      </c>
      <c r="Q4113">
        <v>0</v>
      </c>
      <c r="R4113">
        <v>0</v>
      </c>
      <c r="S4113">
        <v>5</v>
      </c>
      <c r="T4113">
        <v>0</v>
      </c>
      <c r="U4113">
        <v>0</v>
      </c>
      <c r="V4113">
        <v>0</v>
      </c>
      <c r="W4113">
        <v>0</v>
      </c>
      <c r="X4113">
        <v>0</v>
      </c>
      <c r="Y4113" t="s">
        <v>31</v>
      </c>
      <c r="Z4113">
        <v>55</v>
      </c>
      <c r="AA4113">
        <v>0</v>
      </c>
    </row>
    <row r="4114" spans="1:27" x14ac:dyDescent="0.2">
      <c r="A4114" t="s">
        <v>278</v>
      </c>
      <c r="B4114">
        <v>2018</v>
      </c>
      <c r="C4114" t="s">
        <v>5177</v>
      </c>
      <c r="D4114" t="s">
        <v>5178</v>
      </c>
      <c r="E4114" t="s">
        <v>29</v>
      </c>
      <c r="F4114" t="s">
        <v>30</v>
      </c>
      <c r="G4114">
        <v>0</v>
      </c>
      <c r="H4114">
        <v>0</v>
      </c>
      <c r="I4114">
        <v>0</v>
      </c>
      <c r="J4114">
        <v>0</v>
      </c>
      <c r="K4114">
        <v>0</v>
      </c>
      <c r="L4114">
        <v>0</v>
      </c>
      <c r="M4114">
        <v>0</v>
      </c>
      <c r="N4114">
        <v>0</v>
      </c>
      <c r="O4114">
        <v>0</v>
      </c>
      <c r="P4114">
        <v>0</v>
      </c>
      <c r="Q4114">
        <v>0</v>
      </c>
      <c r="R4114">
        <v>0</v>
      </c>
      <c r="S4114">
        <v>0</v>
      </c>
      <c r="T4114">
        <v>0</v>
      </c>
      <c r="U4114">
        <v>5</v>
      </c>
      <c r="V4114">
        <v>0</v>
      </c>
      <c r="W4114">
        <v>0</v>
      </c>
      <c r="X4114">
        <v>0</v>
      </c>
      <c r="Y4114" t="s">
        <v>51</v>
      </c>
      <c r="Z4114">
        <v>55</v>
      </c>
      <c r="AA4114">
        <v>0</v>
      </c>
    </row>
    <row r="4115" spans="1:27" x14ac:dyDescent="0.2">
      <c r="A4115" t="s">
        <v>530</v>
      </c>
      <c r="B4115">
        <v>2021</v>
      </c>
      <c r="C4115" t="s">
        <v>5179</v>
      </c>
      <c r="D4115" t="s">
        <v>5180</v>
      </c>
      <c r="E4115" t="s">
        <v>29</v>
      </c>
      <c r="F4115" t="s">
        <v>30</v>
      </c>
      <c r="G4115">
        <v>9</v>
      </c>
      <c r="H4115">
        <v>0</v>
      </c>
      <c r="I4115">
        <v>0</v>
      </c>
      <c r="J4115">
        <v>0</v>
      </c>
      <c r="K4115">
        <v>0</v>
      </c>
      <c r="L4115">
        <v>0</v>
      </c>
      <c r="M4115">
        <v>0</v>
      </c>
      <c r="N4115">
        <v>0</v>
      </c>
      <c r="O4115">
        <v>0</v>
      </c>
      <c r="P4115">
        <v>0</v>
      </c>
      <c r="Q4115">
        <v>0</v>
      </c>
      <c r="R4115">
        <v>0</v>
      </c>
      <c r="S4115">
        <v>0</v>
      </c>
      <c r="T4115">
        <v>0</v>
      </c>
      <c r="U4115">
        <v>0</v>
      </c>
      <c r="V4115">
        <v>0</v>
      </c>
      <c r="W4115">
        <v>0</v>
      </c>
      <c r="X4115">
        <v>0</v>
      </c>
      <c r="Y4115" t="s">
        <v>31</v>
      </c>
      <c r="Z4115">
        <v>1000</v>
      </c>
      <c r="AA4115">
        <v>33</v>
      </c>
    </row>
    <row r="4116" spans="1:27" x14ac:dyDescent="0.2">
      <c r="A4116" t="s">
        <v>876</v>
      </c>
      <c r="B4116">
        <v>2021</v>
      </c>
      <c r="C4116">
        <v>30534061</v>
      </c>
      <c r="D4116" t="s">
        <v>980</v>
      </c>
      <c r="E4116" t="s">
        <v>29</v>
      </c>
      <c r="F4116" t="s">
        <v>30</v>
      </c>
      <c r="G4116">
        <v>0</v>
      </c>
      <c r="H4116">
        <v>0</v>
      </c>
      <c r="I4116">
        <v>0</v>
      </c>
      <c r="J4116">
        <v>0</v>
      </c>
      <c r="K4116">
        <v>0</v>
      </c>
      <c r="L4116">
        <v>0</v>
      </c>
      <c r="M4116">
        <v>0</v>
      </c>
      <c r="N4116">
        <v>0</v>
      </c>
      <c r="O4116">
        <v>0</v>
      </c>
      <c r="P4116">
        <v>0</v>
      </c>
      <c r="Q4116">
        <v>0</v>
      </c>
      <c r="R4116">
        <v>0</v>
      </c>
      <c r="S4116">
        <v>2</v>
      </c>
      <c r="T4116">
        <v>0</v>
      </c>
      <c r="U4116">
        <v>0</v>
      </c>
      <c r="V4116">
        <v>0</v>
      </c>
      <c r="W4116">
        <v>0</v>
      </c>
      <c r="X4116">
        <v>0</v>
      </c>
      <c r="Y4116" t="s">
        <v>31</v>
      </c>
      <c r="Z4116">
        <v>55</v>
      </c>
      <c r="AA4116">
        <v>0</v>
      </c>
    </row>
    <row r="4117" spans="1:27" x14ac:dyDescent="0.2">
      <c r="A4117" t="s">
        <v>876</v>
      </c>
      <c r="B4117">
        <v>2021</v>
      </c>
      <c r="C4117">
        <v>41208061</v>
      </c>
      <c r="D4117" t="s">
        <v>1160</v>
      </c>
      <c r="E4117" t="s">
        <v>29</v>
      </c>
      <c r="F4117" t="s">
        <v>41</v>
      </c>
      <c r="G4117">
        <v>0</v>
      </c>
      <c r="H4117">
        <v>0</v>
      </c>
      <c r="I4117">
        <v>0</v>
      </c>
      <c r="J4117">
        <v>0</v>
      </c>
      <c r="K4117">
        <v>0</v>
      </c>
      <c r="L4117">
        <v>0</v>
      </c>
      <c r="M4117">
        <v>0</v>
      </c>
      <c r="N4117">
        <v>0</v>
      </c>
      <c r="O4117">
        <v>0</v>
      </c>
      <c r="P4117">
        <v>0</v>
      </c>
      <c r="Q4117">
        <v>0</v>
      </c>
      <c r="R4117">
        <v>0</v>
      </c>
      <c r="S4117">
        <v>0</v>
      </c>
      <c r="T4117">
        <v>0</v>
      </c>
      <c r="U4117">
        <v>0</v>
      </c>
      <c r="V4117">
        <v>0</v>
      </c>
      <c r="W4117">
        <v>1</v>
      </c>
      <c r="X4117">
        <v>0</v>
      </c>
      <c r="Y4117" t="s">
        <v>51</v>
      </c>
      <c r="Z4117">
        <v>45</v>
      </c>
      <c r="AA4117">
        <v>0</v>
      </c>
    </row>
    <row r="4118" spans="1:27" x14ac:dyDescent="0.2">
      <c r="A4118" t="s">
        <v>2499</v>
      </c>
      <c r="B4118">
        <v>2022</v>
      </c>
      <c r="C4118">
        <v>513372035</v>
      </c>
      <c r="D4118" t="s">
        <v>5181</v>
      </c>
      <c r="E4118" t="s">
        <v>29</v>
      </c>
      <c r="F4118" t="s">
        <v>30</v>
      </c>
      <c r="G4118">
        <v>0</v>
      </c>
      <c r="H4118">
        <v>0</v>
      </c>
      <c r="I4118">
        <v>0</v>
      </c>
      <c r="J4118">
        <v>0</v>
      </c>
      <c r="K4118">
        <v>0</v>
      </c>
      <c r="L4118">
        <v>0</v>
      </c>
      <c r="M4118">
        <v>0</v>
      </c>
      <c r="N4118">
        <v>0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  <c r="U4118">
        <v>0</v>
      </c>
      <c r="V4118">
        <v>0</v>
      </c>
      <c r="W4118">
        <v>0</v>
      </c>
      <c r="X4118">
        <v>0</v>
      </c>
      <c r="Y4118" t="s">
        <v>51</v>
      </c>
      <c r="AA4118">
        <v>0</v>
      </c>
    </row>
    <row r="4119" spans="1:27" x14ac:dyDescent="0.2">
      <c r="A4119" t="s">
        <v>2499</v>
      </c>
      <c r="B4119">
        <v>2022</v>
      </c>
      <c r="C4119">
        <v>502112038</v>
      </c>
      <c r="D4119" t="s">
        <v>5182</v>
      </c>
      <c r="E4119" t="s">
        <v>29</v>
      </c>
      <c r="F4119" t="s">
        <v>30</v>
      </c>
      <c r="G4119">
        <v>0</v>
      </c>
      <c r="H4119">
        <v>0</v>
      </c>
      <c r="I4119">
        <v>0</v>
      </c>
      <c r="J4119">
        <v>0</v>
      </c>
      <c r="K4119">
        <v>0</v>
      </c>
      <c r="L4119">
        <v>0</v>
      </c>
      <c r="M4119">
        <v>0</v>
      </c>
      <c r="N4119">
        <v>0</v>
      </c>
      <c r="O4119">
        <v>0</v>
      </c>
      <c r="P4119">
        <v>0</v>
      </c>
      <c r="Q4119">
        <v>0</v>
      </c>
      <c r="R4119">
        <v>0</v>
      </c>
      <c r="S4119">
        <v>0</v>
      </c>
      <c r="T4119">
        <v>0</v>
      </c>
      <c r="U4119">
        <v>0</v>
      </c>
      <c r="V4119">
        <v>0</v>
      </c>
      <c r="W4119">
        <v>0</v>
      </c>
      <c r="X4119">
        <v>0</v>
      </c>
      <c r="Y4119" t="s">
        <v>51</v>
      </c>
      <c r="AA4119">
        <v>0</v>
      </c>
    </row>
    <row r="4120" spans="1:27" x14ac:dyDescent="0.2">
      <c r="A4120" t="s">
        <v>5127</v>
      </c>
      <c r="B4120">
        <v>2018</v>
      </c>
      <c r="C4120" t="s">
        <v>5183</v>
      </c>
      <c r="D4120" t="s">
        <v>5184</v>
      </c>
      <c r="E4120" t="s">
        <v>29</v>
      </c>
      <c r="F4120" t="s">
        <v>30</v>
      </c>
      <c r="G4120">
        <v>0</v>
      </c>
      <c r="H4120">
        <v>0</v>
      </c>
      <c r="I4120">
        <v>1</v>
      </c>
      <c r="J4120">
        <v>0</v>
      </c>
      <c r="K4120">
        <v>0</v>
      </c>
      <c r="L4120">
        <v>0</v>
      </c>
      <c r="M4120">
        <v>0</v>
      </c>
      <c r="N4120">
        <v>0</v>
      </c>
      <c r="O4120">
        <v>0</v>
      </c>
      <c r="P4120">
        <v>0</v>
      </c>
      <c r="Q4120">
        <v>0</v>
      </c>
      <c r="R4120">
        <v>0</v>
      </c>
      <c r="S4120">
        <v>0</v>
      </c>
      <c r="T4120">
        <v>0</v>
      </c>
      <c r="U4120">
        <v>0</v>
      </c>
      <c r="V4120">
        <v>0</v>
      </c>
      <c r="W4120">
        <v>0</v>
      </c>
      <c r="X4120">
        <v>0</v>
      </c>
      <c r="Y4120" t="s">
        <v>31</v>
      </c>
      <c r="Z4120">
        <v>55</v>
      </c>
      <c r="AA4120">
        <v>0</v>
      </c>
    </row>
    <row r="4121" spans="1:27" x14ac:dyDescent="0.2">
      <c r="A4121" t="s">
        <v>1418</v>
      </c>
      <c r="B4121">
        <v>2024</v>
      </c>
      <c r="C4121" t="s">
        <v>5185</v>
      </c>
      <c r="D4121" t="s">
        <v>5186</v>
      </c>
      <c r="E4121" t="s">
        <v>29</v>
      </c>
      <c r="F4121" t="s">
        <v>30</v>
      </c>
      <c r="G4121">
        <v>0</v>
      </c>
      <c r="H4121">
        <v>0</v>
      </c>
      <c r="I4121">
        <v>0</v>
      </c>
      <c r="J4121">
        <v>0</v>
      </c>
      <c r="K4121">
        <v>0</v>
      </c>
      <c r="L4121">
        <v>0</v>
      </c>
      <c r="M4121">
        <v>0</v>
      </c>
      <c r="N4121">
        <v>0</v>
      </c>
      <c r="O4121">
        <v>89</v>
      </c>
      <c r="P4121">
        <v>0</v>
      </c>
      <c r="Q4121">
        <v>0</v>
      </c>
      <c r="R4121">
        <v>0</v>
      </c>
      <c r="S4121">
        <v>0</v>
      </c>
      <c r="T4121">
        <v>0</v>
      </c>
      <c r="U4121">
        <v>0</v>
      </c>
      <c r="V4121">
        <v>0</v>
      </c>
      <c r="W4121">
        <v>0</v>
      </c>
      <c r="X4121">
        <v>0</v>
      </c>
      <c r="Y4121" t="s">
        <v>31</v>
      </c>
      <c r="AA4121">
        <v>50</v>
      </c>
    </row>
    <row r="4122" spans="1:27" x14ac:dyDescent="0.2">
      <c r="A4122" t="s">
        <v>2419</v>
      </c>
      <c r="B4122">
        <v>2024</v>
      </c>
      <c r="C4122">
        <v>60237018</v>
      </c>
      <c r="D4122" t="s">
        <v>2420</v>
      </c>
      <c r="E4122" t="s">
        <v>29</v>
      </c>
      <c r="F4122" t="s">
        <v>30</v>
      </c>
      <c r="G4122">
        <v>0</v>
      </c>
      <c r="H4122">
        <v>0</v>
      </c>
      <c r="I4122">
        <v>3</v>
      </c>
      <c r="J4122">
        <v>0</v>
      </c>
      <c r="K4122">
        <v>0</v>
      </c>
      <c r="L4122">
        <v>0</v>
      </c>
      <c r="M4122">
        <v>0</v>
      </c>
      <c r="N4122">
        <v>0</v>
      </c>
      <c r="O4122">
        <v>3</v>
      </c>
      <c r="P4122">
        <v>0</v>
      </c>
      <c r="Q4122">
        <v>0</v>
      </c>
      <c r="R4122">
        <v>16</v>
      </c>
      <c r="S4122">
        <v>0</v>
      </c>
      <c r="T4122">
        <v>0</v>
      </c>
      <c r="U4122">
        <v>0</v>
      </c>
      <c r="V4122">
        <v>0</v>
      </c>
      <c r="W4122">
        <v>0</v>
      </c>
      <c r="X4122">
        <v>0</v>
      </c>
      <c r="Y4122" t="s">
        <v>31</v>
      </c>
      <c r="AA4122" s="2" t="s">
        <v>3316</v>
      </c>
    </row>
    <row r="4123" spans="1:27" x14ac:dyDescent="0.2">
      <c r="A4123" t="s">
        <v>4819</v>
      </c>
      <c r="B4123">
        <v>2018</v>
      </c>
      <c r="C4123" s="2" t="s">
        <v>5187</v>
      </c>
      <c r="D4123" t="s">
        <v>5188</v>
      </c>
      <c r="E4123" t="s">
        <v>29</v>
      </c>
      <c r="F4123" t="s">
        <v>41</v>
      </c>
      <c r="G4123">
        <v>0</v>
      </c>
      <c r="H4123">
        <v>0</v>
      </c>
      <c r="I4123">
        <v>0</v>
      </c>
      <c r="J4123">
        <v>0</v>
      </c>
      <c r="K4123">
        <v>0</v>
      </c>
      <c r="L4123">
        <v>0</v>
      </c>
      <c r="M4123">
        <v>0</v>
      </c>
      <c r="N4123">
        <v>0</v>
      </c>
      <c r="O4123">
        <v>0</v>
      </c>
      <c r="P4123">
        <v>0</v>
      </c>
      <c r="Q4123">
        <v>0</v>
      </c>
      <c r="R4123">
        <v>0</v>
      </c>
      <c r="S4123">
        <v>0</v>
      </c>
      <c r="T4123">
        <v>0</v>
      </c>
      <c r="U4123">
        <v>1</v>
      </c>
      <c r="V4123">
        <v>0</v>
      </c>
      <c r="W4123">
        <v>0</v>
      </c>
      <c r="X4123">
        <v>0</v>
      </c>
      <c r="Y4123" t="s">
        <v>51</v>
      </c>
      <c r="Z4123">
        <v>55</v>
      </c>
      <c r="AA4123">
        <v>0</v>
      </c>
    </row>
    <row r="4124" spans="1:27" x14ac:dyDescent="0.2">
      <c r="A4124" t="s">
        <v>27</v>
      </c>
      <c r="B4124">
        <v>2022</v>
      </c>
      <c r="C4124">
        <v>7208010024</v>
      </c>
      <c r="D4124" t="s">
        <v>5189</v>
      </c>
      <c r="E4124" t="s">
        <v>29</v>
      </c>
      <c r="F4124" t="s">
        <v>30</v>
      </c>
      <c r="G4124">
        <v>0</v>
      </c>
      <c r="H4124">
        <v>0</v>
      </c>
      <c r="I4124">
        <v>0</v>
      </c>
      <c r="J4124">
        <v>0</v>
      </c>
      <c r="K4124">
        <v>0</v>
      </c>
      <c r="L4124">
        <v>0</v>
      </c>
      <c r="M4124">
        <v>11</v>
      </c>
      <c r="N4124">
        <v>0</v>
      </c>
      <c r="O4124">
        <v>83</v>
      </c>
      <c r="P4124">
        <v>0</v>
      </c>
      <c r="Q4124">
        <v>0</v>
      </c>
      <c r="R4124">
        <v>0</v>
      </c>
      <c r="S4124">
        <v>0</v>
      </c>
      <c r="T4124">
        <v>0</v>
      </c>
      <c r="U4124">
        <v>0</v>
      </c>
      <c r="V4124">
        <v>0</v>
      </c>
      <c r="W4124">
        <v>0</v>
      </c>
      <c r="X4124">
        <v>0</v>
      </c>
      <c r="Y4124" t="s">
        <v>31</v>
      </c>
      <c r="Z4124">
        <v>55</v>
      </c>
      <c r="AA4124">
        <v>0</v>
      </c>
    </row>
    <row r="4125" spans="1:27" x14ac:dyDescent="0.2">
      <c r="A4125" t="s">
        <v>5190</v>
      </c>
      <c r="B4125">
        <v>2024</v>
      </c>
      <c r="C4125" t="s">
        <v>5191</v>
      </c>
      <c r="D4125" t="s">
        <v>5192</v>
      </c>
      <c r="E4125" t="s">
        <v>29</v>
      </c>
      <c r="F4125" t="s">
        <v>30</v>
      </c>
      <c r="G4125">
        <v>0</v>
      </c>
      <c r="H4125">
        <v>0</v>
      </c>
      <c r="I4125">
        <v>0</v>
      </c>
      <c r="J4125">
        <v>0</v>
      </c>
      <c r="K4125">
        <v>9</v>
      </c>
      <c r="L4125">
        <v>0</v>
      </c>
      <c r="M4125">
        <v>0</v>
      </c>
      <c r="N4125">
        <v>0</v>
      </c>
      <c r="O4125">
        <v>0</v>
      </c>
      <c r="P4125">
        <v>0</v>
      </c>
      <c r="Q4125">
        <v>0</v>
      </c>
      <c r="R4125">
        <v>0</v>
      </c>
      <c r="S4125">
        <v>0</v>
      </c>
      <c r="T4125">
        <v>0</v>
      </c>
      <c r="U4125">
        <v>0</v>
      </c>
      <c r="V4125">
        <v>0</v>
      </c>
      <c r="W4125">
        <v>0</v>
      </c>
      <c r="X4125">
        <v>0</v>
      </c>
      <c r="Y4125" t="s">
        <v>31</v>
      </c>
      <c r="AA4125" s="2" t="s">
        <v>5193</v>
      </c>
    </row>
    <row r="4126" spans="1:27" ht="85" x14ac:dyDescent="0.2">
      <c r="A4126" t="s">
        <v>1678</v>
      </c>
      <c r="B4126">
        <v>2024</v>
      </c>
      <c r="C4126">
        <v>52261680</v>
      </c>
      <c r="D4126" s="1" t="s">
        <v>5194</v>
      </c>
      <c r="E4126" t="s">
        <v>29</v>
      </c>
      <c r="F4126" t="s">
        <v>41</v>
      </c>
      <c r="G4126">
        <v>10</v>
      </c>
      <c r="H4126">
        <v>0</v>
      </c>
      <c r="I4126">
        <v>0</v>
      </c>
      <c r="J4126">
        <v>0</v>
      </c>
      <c r="K4126">
        <v>0</v>
      </c>
      <c r="L4126">
        <v>0</v>
      </c>
      <c r="M4126">
        <v>0</v>
      </c>
      <c r="N4126">
        <v>0</v>
      </c>
      <c r="O4126">
        <v>0</v>
      </c>
      <c r="P4126">
        <v>0</v>
      </c>
      <c r="Q4126">
        <v>0</v>
      </c>
      <c r="R4126">
        <v>0</v>
      </c>
      <c r="S4126">
        <v>0</v>
      </c>
      <c r="T4126">
        <v>0</v>
      </c>
      <c r="U4126">
        <v>0</v>
      </c>
      <c r="V4126">
        <v>0</v>
      </c>
      <c r="W4126">
        <v>0</v>
      </c>
      <c r="X4126">
        <v>0</v>
      </c>
      <c r="Y4126" t="s">
        <v>31</v>
      </c>
      <c r="Z4126">
        <v>30</v>
      </c>
      <c r="AA4126">
        <v>0.5</v>
      </c>
    </row>
    <row r="4127" spans="1:27" x14ac:dyDescent="0.2">
      <c r="A4127" t="s">
        <v>353</v>
      </c>
      <c r="B4127">
        <v>2024</v>
      </c>
      <c r="C4127">
        <v>2031021500</v>
      </c>
      <c r="D4127" t="s">
        <v>5195</v>
      </c>
      <c r="E4127" t="s">
        <v>29</v>
      </c>
      <c r="F4127" t="s">
        <v>41</v>
      </c>
      <c r="G4127">
        <v>0</v>
      </c>
      <c r="H4127">
        <v>0</v>
      </c>
      <c r="I4127">
        <v>0</v>
      </c>
      <c r="J4127">
        <v>0</v>
      </c>
      <c r="K4127">
        <v>0</v>
      </c>
      <c r="L4127">
        <v>0</v>
      </c>
      <c r="M4127">
        <v>0</v>
      </c>
      <c r="N4127">
        <v>0</v>
      </c>
      <c r="O4127">
        <v>1</v>
      </c>
      <c r="P4127">
        <v>0</v>
      </c>
      <c r="Q4127">
        <v>0</v>
      </c>
      <c r="R4127">
        <v>0</v>
      </c>
      <c r="S4127">
        <v>0</v>
      </c>
      <c r="T4127">
        <v>0</v>
      </c>
      <c r="U4127">
        <v>0</v>
      </c>
      <c r="V4127">
        <v>0</v>
      </c>
      <c r="W4127">
        <v>0</v>
      </c>
      <c r="X4127">
        <v>0</v>
      </c>
      <c r="Y4127" t="s">
        <v>51</v>
      </c>
      <c r="Z4127">
        <v>55</v>
      </c>
      <c r="AA4127">
        <v>0</v>
      </c>
    </row>
    <row r="4128" spans="1:27" x14ac:dyDescent="0.2">
      <c r="A4128" t="s">
        <v>2411</v>
      </c>
      <c r="B4128">
        <v>2019</v>
      </c>
      <c r="C4128" t="s">
        <v>5196</v>
      </c>
      <c r="D4128" t="s">
        <v>5197</v>
      </c>
      <c r="E4128" t="s">
        <v>29</v>
      </c>
      <c r="F4128" t="s">
        <v>41</v>
      </c>
      <c r="G4128">
        <v>0</v>
      </c>
      <c r="H4128">
        <v>0</v>
      </c>
      <c r="I4128">
        <v>0</v>
      </c>
      <c r="J4128">
        <v>0</v>
      </c>
      <c r="K4128">
        <v>20</v>
      </c>
      <c r="L4128">
        <v>0</v>
      </c>
      <c r="M4128">
        <v>0</v>
      </c>
      <c r="N4128">
        <v>0</v>
      </c>
      <c r="O4128">
        <v>0</v>
      </c>
      <c r="P4128">
        <v>0</v>
      </c>
      <c r="Q4128">
        <v>0</v>
      </c>
      <c r="R4128">
        <v>0</v>
      </c>
      <c r="S4128">
        <v>0</v>
      </c>
      <c r="T4128">
        <v>0</v>
      </c>
      <c r="U4128">
        <v>0</v>
      </c>
      <c r="V4128">
        <v>0</v>
      </c>
      <c r="W4128">
        <v>0</v>
      </c>
      <c r="X4128">
        <v>0</v>
      </c>
      <c r="Y4128" t="s">
        <v>51</v>
      </c>
      <c r="Z4128">
        <v>1000</v>
      </c>
      <c r="AA4128">
        <v>0</v>
      </c>
    </row>
    <row r="4129" spans="1:27" x14ac:dyDescent="0.2">
      <c r="A4129" t="s">
        <v>2529</v>
      </c>
      <c r="B4129">
        <v>2023</v>
      </c>
      <c r="C4129" t="s">
        <v>5198</v>
      </c>
      <c r="D4129" t="s">
        <v>5199</v>
      </c>
      <c r="E4129" t="s">
        <v>29</v>
      </c>
      <c r="F4129" t="s">
        <v>41</v>
      </c>
      <c r="G4129">
        <v>4</v>
      </c>
      <c r="H4129">
        <v>0</v>
      </c>
      <c r="I4129">
        <v>6</v>
      </c>
      <c r="J4129">
        <v>0</v>
      </c>
      <c r="K4129">
        <v>0</v>
      </c>
      <c r="L4129">
        <v>0</v>
      </c>
      <c r="M4129">
        <v>0</v>
      </c>
      <c r="N4129">
        <v>0</v>
      </c>
      <c r="O4129">
        <v>0</v>
      </c>
      <c r="P4129">
        <v>0</v>
      </c>
      <c r="Q4129">
        <v>0</v>
      </c>
      <c r="R4129">
        <v>0</v>
      </c>
      <c r="S4129">
        <v>0</v>
      </c>
      <c r="T4129">
        <v>0</v>
      </c>
      <c r="U4129">
        <v>0</v>
      </c>
      <c r="V4129">
        <v>0</v>
      </c>
      <c r="W4129">
        <v>0</v>
      </c>
      <c r="X4129">
        <v>0</v>
      </c>
      <c r="Y4129" t="s">
        <v>31</v>
      </c>
      <c r="AA4129">
        <v>0</v>
      </c>
    </row>
    <row r="4130" spans="1:27" x14ac:dyDescent="0.2">
      <c r="A4130" t="s">
        <v>1197</v>
      </c>
      <c r="B4130">
        <v>2021</v>
      </c>
      <c r="C4130" t="s">
        <v>5200</v>
      </c>
      <c r="D4130" t="s">
        <v>5201</v>
      </c>
      <c r="E4130" t="s">
        <v>29</v>
      </c>
      <c r="F4130" t="s">
        <v>30</v>
      </c>
      <c r="G4130">
        <v>0</v>
      </c>
      <c r="H4130">
        <v>0</v>
      </c>
      <c r="I4130">
        <v>1</v>
      </c>
      <c r="J4130">
        <v>0</v>
      </c>
      <c r="K4130">
        <v>2</v>
      </c>
      <c r="L4130">
        <v>0</v>
      </c>
      <c r="M4130">
        <v>0</v>
      </c>
      <c r="N4130">
        <v>0</v>
      </c>
      <c r="O4130">
        <v>0</v>
      </c>
      <c r="P4130">
        <v>0</v>
      </c>
      <c r="Q4130">
        <v>0</v>
      </c>
      <c r="R4130">
        <v>0</v>
      </c>
      <c r="S4130">
        <v>0</v>
      </c>
      <c r="T4130">
        <v>0</v>
      </c>
      <c r="U4130">
        <v>0</v>
      </c>
      <c r="V4130">
        <v>0</v>
      </c>
      <c r="W4130">
        <v>0</v>
      </c>
      <c r="X4130">
        <v>0</v>
      </c>
      <c r="Y4130" t="s">
        <v>51</v>
      </c>
      <c r="Z4130">
        <v>55</v>
      </c>
      <c r="AA4130">
        <v>0</v>
      </c>
    </row>
    <row r="4131" spans="1:27" x14ac:dyDescent="0.2">
      <c r="A4131" t="s">
        <v>883</v>
      </c>
      <c r="B4131">
        <v>2018</v>
      </c>
      <c r="C4131">
        <v>34200240</v>
      </c>
      <c r="D4131" t="s">
        <v>5202</v>
      </c>
      <c r="E4131" t="s">
        <v>29</v>
      </c>
      <c r="F4131" t="s">
        <v>30</v>
      </c>
      <c r="G4131">
        <v>0</v>
      </c>
      <c r="H4131">
        <v>0</v>
      </c>
      <c r="I4131">
        <v>0</v>
      </c>
      <c r="J4131">
        <v>0</v>
      </c>
      <c r="K4131">
        <v>0</v>
      </c>
      <c r="L4131">
        <v>0</v>
      </c>
      <c r="M4131">
        <v>5</v>
      </c>
      <c r="N4131">
        <v>0</v>
      </c>
      <c r="O4131">
        <v>0</v>
      </c>
      <c r="P4131">
        <v>0</v>
      </c>
      <c r="Q4131">
        <v>0</v>
      </c>
      <c r="R4131">
        <v>0</v>
      </c>
      <c r="S4131">
        <v>0</v>
      </c>
      <c r="T4131">
        <v>0</v>
      </c>
      <c r="U4131">
        <v>0</v>
      </c>
      <c r="V4131">
        <v>0</v>
      </c>
      <c r="W4131">
        <v>0</v>
      </c>
      <c r="X4131">
        <v>0</v>
      </c>
      <c r="Y4131" t="s">
        <v>51</v>
      </c>
      <c r="Z4131">
        <v>1000</v>
      </c>
      <c r="AA4131">
        <v>0</v>
      </c>
    </row>
    <row r="4132" spans="1:27" x14ac:dyDescent="0.2">
      <c r="A4132" t="s">
        <v>883</v>
      </c>
      <c r="B4132">
        <v>2018</v>
      </c>
      <c r="C4132">
        <v>34182160</v>
      </c>
      <c r="D4132" t="s">
        <v>5203</v>
      </c>
      <c r="E4132" t="s">
        <v>29</v>
      </c>
      <c r="F4132" t="s">
        <v>30</v>
      </c>
      <c r="G4132">
        <v>0</v>
      </c>
      <c r="H4132">
        <v>0</v>
      </c>
      <c r="I4132">
        <v>0</v>
      </c>
      <c r="J4132">
        <v>0</v>
      </c>
      <c r="K4132">
        <v>0</v>
      </c>
      <c r="L4132">
        <v>0</v>
      </c>
      <c r="M4132">
        <v>2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0</v>
      </c>
      <c r="T4132">
        <v>0</v>
      </c>
      <c r="U4132">
        <v>0</v>
      </c>
      <c r="V4132">
        <v>0</v>
      </c>
      <c r="W4132">
        <v>0</v>
      </c>
      <c r="X4132">
        <v>0</v>
      </c>
      <c r="Y4132" t="s">
        <v>51</v>
      </c>
      <c r="Z4132">
        <v>1000</v>
      </c>
      <c r="AA4132">
        <v>0</v>
      </c>
    </row>
    <row r="4133" spans="1:27" x14ac:dyDescent="0.2">
      <c r="A4133" t="s">
        <v>1624</v>
      </c>
      <c r="B4133">
        <v>2022</v>
      </c>
      <c r="C4133" t="s">
        <v>5204</v>
      </c>
      <c r="D4133" t="s">
        <v>5205</v>
      </c>
      <c r="E4133" t="s">
        <v>29</v>
      </c>
      <c r="F4133" t="s">
        <v>30</v>
      </c>
      <c r="G4133">
        <v>0</v>
      </c>
      <c r="H4133">
        <v>0</v>
      </c>
      <c r="I4133">
        <v>0</v>
      </c>
      <c r="J4133">
        <v>0</v>
      </c>
      <c r="K4133">
        <v>0</v>
      </c>
      <c r="L4133">
        <v>0</v>
      </c>
      <c r="M4133">
        <v>43</v>
      </c>
      <c r="N4133">
        <v>0</v>
      </c>
      <c r="O4133">
        <v>10</v>
      </c>
      <c r="P4133">
        <v>0</v>
      </c>
      <c r="Q4133">
        <v>0</v>
      </c>
      <c r="R4133">
        <v>0</v>
      </c>
      <c r="S4133">
        <v>0</v>
      </c>
      <c r="T4133">
        <v>0</v>
      </c>
      <c r="U4133">
        <v>0</v>
      </c>
      <c r="V4133">
        <v>0</v>
      </c>
      <c r="W4133">
        <v>0</v>
      </c>
      <c r="X4133">
        <v>0</v>
      </c>
      <c r="Y4133" t="s">
        <v>31</v>
      </c>
      <c r="Z4133">
        <v>55</v>
      </c>
      <c r="AA4133">
        <v>35</v>
      </c>
    </row>
    <row r="4134" spans="1:27" x14ac:dyDescent="0.2">
      <c r="A4134" t="s">
        <v>43</v>
      </c>
      <c r="B4134">
        <v>2020</v>
      </c>
      <c r="C4134">
        <v>4340011013</v>
      </c>
      <c r="D4134" t="s">
        <v>4190</v>
      </c>
      <c r="E4134" t="s">
        <v>29</v>
      </c>
      <c r="F4134" t="s">
        <v>30</v>
      </c>
      <c r="G4134">
        <v>0</v>
      </c>
      <c r="H4134">
        <v>0</v>
      </c>
      <c r="I4134">
        <v>4</v>
      </c>
      <c r="J4134">
        <v>0</v>
      </c>
      <c r="K4134">
        <v>4</v>
      </c>
      <c r="L4134">
        <v>0</v>
      </c>
      <c r="M4134">
        <v>0</v>
      </c>
      <c r="N4134">
        <v>0</v>
      </c>
      <c r="O4134">
        <v>4</v>
      </c>
      <c r="P4134">
        <v>0</v>
      </c>
      <c r="Q4134">
        <v>4</v>
      </c>
      <c r="R4134">
        <v>0</v>
      </c>
      <c r="S4134">
        <v>0</v>
      </c>
      <c r="T4134">
        <v>0</v>
      </c>
      <c r="U4134">
        <v>0</v>
      </c>
      <c r="V4134">
        <v>0</v>
      </c>
      <c r="W4134">
        <v>0</v>
      </c>
      <c r="X4134">
        <v>0</v>
      </c>
      <c r="Y4134" t="s">
        <v>31</v>
      </c>
      <c r="Z4134">
        <v>1000</v>
      </c>
      <c r="AA4134">
        <v>0</v>
      </c>
    </row>
    <row r="4135" spans="1:27" x14ac:dyDescent="0.2">
      <c r="A4135" t="s">
        <v>43</v>
      </c>
      <c r="B4135">
        <v>2020</v>
      </c>
      <c r="C4135">
        <v>4340013025</v>
      </c>
      <c r="D4135" t="s">
        <v>5028</v>
      </c>
      <c r="E4135" t="s">
        <v>29</v>
      </c>
      <c r="F4135" t="s">
        <v>30</v>
      </c>
      <c r="G4135">
        <v>2</v>
      </c>
      <c r="H4135">
        <v>0</v>
      </c>
      <c r="I4135">
        <v>4</v>
      </c>
      <c r="J4135">
        <v>0</v>
      </c>
      <c r="K4135">
        <v>6</v>
      </c>
      <c r="L4135">
        <v>0</v>
      </c>
      <c r="M4135">
        <v>2</v>
      </c>
      <c r="N4135">
        <v>0</v>
      </c>
      <c r="O4135">
        <v>4</v>
      </c>
      <c r="P4135">
        <v>0</v>
      </c>
      <c r="Q4135">
        <v>6</v>
      </c>
      <c r="R4135">
        <v>0</v>
      </c>
      <c r="S4135">
        <v>2</v>
      </c>
      <c r="T4135">
        <v>0</v>
      </c>
      <c r="U4135">
        <v>4</v>
      </c>
      <c r="V4135">
        <v>0</v>
      </c>
      <c r="W4135">
        <v>6</v>
      </c>
      <c r="X4135">
        <v>0</v>
      </c>
      <c r="Y4135" t="s">
        <v>31</v>
      </c>
      <c r="Z4135">
        <v>1000</v>
      </c>
      <c r="AA4135">
        <v>0</v>
      </c>
    </row>
    <row r="4136" spans="1:27" x14ac:dyDescent="0.2">
      <c r="A4136" t="s">
        <v>412</v>
      </c>
      <c r="B4136">
        <v>2019</v>
      </c>
      <c r="C4136" t="s">
        <v>413</v>
      </c>
      <c r="D4136" t="s">
        <v>414</v>
      </c>
      <c r="E4136" t="s">
        <v>29</v>
      </c>
      <c r="F4136" t="s">
        <v>30</v>
      </c>
      <c r="G4136">
        <v>7</v>
      </c>
      <c r="H4136">
        <v>0</v>
      </c>
      <c r="I4136">
        <v>1</v>
      </c>
      <c r="J4136">
        <v>0</v>
      </c>
      <c r="K4136">
        <v>0</v>
      </c>
      <c r="L4136">
        <v>0</v>
      </c>
      <c r="M4136">
        <v>1</v>
      </c>
      <c r="N4136">
        <v>0</v>
      </c>
      <c r="O4136">
        <v>1</v>
      </c>
      <c r="P4136">
        <v>0</v>
      </c>
      <c r="Q4136">
        <v>0</v>
      </c>
      <c r="R4136">
        <v>0</v>
      </c>
      <c r="S4136">
        <v>0</v>
      </c>
      <c r="T4136">
        <v>0</v>
      </c>
      <c r="U4136">
        <v>0</v>
      </c>
      <c r="V4136">
        <v>0</v>
      </c>
      <c r="W4136">
        <v>0</v>
      </c>
      <c r="X4136">
        <v>0</v>
      </c>
      <c r="Y4136" t="s">
        <v>31</v>
      </c>
      <c r="AA4136">
        <v>0</v>
      </c>
    </row>
    <row r="4137" spans="1:27" x14ac:dyDescent="0.2">
      <c r="A4137" t="s">
        <v>928</v>
      </c>
      <c r="B4137">
        <v>2023</v>
      </c>
      <c r="C4137" t="s">
        <v>5206</v>
      </c>
      <c r="D4137" t="s">
        <v>5207</v>
      </c>
      <c r="E4137" t="s">
        <v>29</v>
      </c>
      <c r="F4137" t="s">
        <v>41</v>
      </c>
      <c r="G4137">
        <v>0</v>
      </c>
      <c r="H4137">
        <v>0</v>
      </c>
      <c r="I4137">
        <v>0</v>
      </c>
      <c r="J4137">
        <v>0</v>
      </c>
      <c r="K4137">
        <v>0</v>
      </c>
      <c r="L4137">
        <v>0</v>
      </c>
      <c r="M4137">
        <v>0</v>
      </c>
      <c r="N4137">
        <v>0</v>
      </c>
      <c r="O4137">
        <v>0</v>
      </c>
      <c r="P4137">
        <v>0</v>
      </c>
      <c r="Q4137">
        <v>1</v>
      </c>
      <c r="R4137">
        <v>0</v>
      </c>
      <c r="S4137">
        <v>0</v>
      </c>
      <c r="T4137">
        <v>0</v>
      </c>
      <c r="U4137">
        <v>0</v>
      </c>
      <c r="V4137">
        <v>0</v>
      </c>
      <c r="W4137">
        <v>0</v>
      </c>
      <c r="X4137">
        <v>0</v>
      </c>
      <c r="Y4137" t="s">
        <v>51</v>
      </c>
      <c r="Z4137">
        <v>55</v>
      </c>
      <c r="AA4137">
        <v>0</v>
      </c>
    </row>
    <row r="4138" spans="1:27" x14ac:dyDescent="0.2">
      <c r="A4138" t="s">
        <v>318</v>
      </c>
      <c r="B4138">
        <v>2021</v>
      </c>
      <c r="C4138">
        <v>21301034</v>
      </c>
      <c r="D4138" t="s">
        <v>5208</v>
      </c>
      <c r="E4138" t="s">
        <v>29</v>
      </c>
      <c r="F4138" t="s">
        <v>30</v>
      </c>
      <c r="G4138">
        <v>0</v>
      </c>
      <c r="H4138">
        <v>0</v>
      </c>
      <c r="I4138">
        <v>0</v>
      </c>
      <c r="J4138">
        <v>0</v>
      </c>
      <c r="K4138">
        <v>0</v>
      </c>
      <c r="L4138">
        <v>0</v>
      </c>
      <c r="M4138">
        <v>0</v>
      </c>
      <c r="N4138">
        <v>0</v>
      </c>
      <c r="O4138">
        <v>41</v>
      </c>
      <c r="P4138">
        <v>0</v>
      </c>
      <c r="Q4138">
        <v>0</v>
      </c>
      <c r="R4138">
        <v>0</v>
      </c>
      <c r="S4138">
        <v>0</v>
      </c>
      <c r="T4138">
        <v>0</v>
      </c>
      <c r="U4138">
        <v>0</v>
      </c>
      <c r="V4138">
        <v>0</v>
      </c>
      <c r="W4138">
        <v>0</v>
      </c>
      <c r="X4138">
        <v>0</v>
      </c>
      <c r="Y4138" t="s">
        <v>51</v>
      </c>
      <c r="Z4138">
        <v>55</v>
      </c>
      <c r="AA4138">
        <v>0</v>
      </c>
    </row>
    <row r="4139" spans="1:27" x14ac:dyDescent="0.2">
      <c r="A4139" t="s">
        <v>318</v>
      </c>
      <c r="B4139">
        <v>2021</v>
      </c>
      <c r="C4139">
        <v>-4783</v>
      </c>
      <c r="D4139" t="s">
        <v>5209</v>
      </c>
      <c r="E4139" t="s">
        <v>29</v>
      </c>
      <c r="F4139" t="s">
        <v>30</v>
      </c>
      <c r="G4139">
        <v>0</v>
      </c>
      <c r="H4139">
        <v>0</v>
      </c>
      <c r="I4139">
        <v>0</v>
      </c>
      <c r="J4139">
        <v>0</v>
      </c>
      <c r="K4139">
        <v>0</v>
      </c>
      <c r="L4139">
        <v>0</v>
      </c>
      <c r="M4139">
        <v>78</v>
      </c>
      <c r="N4139">
        <v>0</v>
      </c>
      <c r="O4139">
        <v>4</v>
      </c>
      <c r="P4139">
        <v>0</v>
      </c>
      <c r="Q4139">
        <v>0</v>
      </c>
      <c r="R4139">
        <v>0</v>
      </c>
      <c r="S4139">
        <v>0</v>
      </c>
      <c r="T4139">
        <v>0</v>
      </c>
      <c r="U4139">
        <v>0</v>
      </c>
      <c r="V4139">
        <v>0</v>
      </c>
      <c r="W4139">
        <v>0</v>
      </c>
      <c r="X4139">
        <v>0</v>
      </c>
      <c r="Y4139" t="s">
        <v>31</v>
      </c>
      <c r="Z4139">
        <v>67</v>
      </c>
      <c r="AA4139" s="2" t="s">
        <v>4797</v>
      </c>
    </row>
    <row r="4140" spans="1:27" x14ac:dyDescent="0.2">
      <c r="A4140" t="s">
        <v>318</v>
      </c>
      <c r="B4140">
        <v>2021</v>
      </c>
      <c r="C4140">
        <v>20522034</v>
      </c>
      <c r="D4140" t="s">
        <v>5210</v>
      </c>
      <c r="E4140" t="s">
        <v>29</v>
      </c>
      <c r="F4140" t="s">
        <v>30</v>
      </c>
      <c r="G4140">
        <v>0</v>
      </c>
      <c r="H4140">
        <v>0</v>
      </c>
      <c r="I4140">
        <v>0</v>
      </c>
      <c r="J4140">
        <v>0</v>
      </c>
      <c r="K4140">
        <v>0</v>
      </c>
      <c r="L4140">
        <v>0</v>
      </c>
      <c r="M4140">
        <v>0</v>
      </c>
      <c r="N4140">
        <v>0</v>
      </c>
      <c r="O4140">
        <v>0</v>
      </c>
      <c r="P4140">
        <v>0</v>
      </c>
      <c r="Q4140">
        <v>0</v>
      </c>
      <c r="R4140">
        <v>0</v>
      </c>
      <c r="S4140">
        <v>1</v>
      </c>
      <c r="T4140">
        <v>0</v>
      </c>
      <c r="U4140">
        <v>0</v>
      </c>
      <c r="V4140">
        <v>0</v>
      </c>
      <c r="W4140">
        <v>0</v>
      </c>
      <c r="X4140">
        <v>0</v>
      </c>
      <c r="Y4140" t="s">
        <v>51</v>
      </c>
      <c r="Z4140">
        <v>55</v>
      </c>
      <c r="AA4140">
        <v>0</v>
      </c>
    </row>
    <row r="4141" spans="1:27" x14ac:dyDescent="0.2">
      <c r="A4141" t="s">
        <v>587</v>
      </c>
      <c r="B4141">
        <v>2021</v>
      </c>
      <c r="C4141" t="s">
        <v>588</v>
      </c>
      <c r="D4141" t="s">
        <v>1566</v>
      </c>
      <c r="E4141" t="s">
        <v>29</v>
      </c>
      <c r="F4141" t="s">
        <v>41</v>
      </c>
      <c r="G4141">
        <v>2</v>
      </c>
      <c r="H4141">
        <v>0</v>
      </c>
      <c r="I4141">
        <v>0</v>
      </c>
      <c r="J4141">
        <v>0</v>
      </c>
      <c r="K4141">
        <v>2</v>
      </c>
      <c r="L4141">
        <v>0</v>
      </c>
      <c r="M4141">
        <v>0</v>
      </c>
      <c r="N4141">
        <v>0</v>
      </c>
      <c r="O4141">
        <v>2</v>
      </c>
      <c r="P4141">
        <v>0</v>
      </c>
      <c r="Q4141">
        <v>2</v>
      </c>
      <c r="R4141">
        <v>0</v>
      </c>
      <c r="S4141">
        <v>0</v>
      </c>
      <c r="T4141">
        <v>0</v>
      </c>
      <c r="U4141">
        <v>0</v>
      </c>
      <c r="V4141">
        <v>0</v>
      </c>
      <c r="W4141">
        <v>0</v>
      </c>
      <c r="X4141">
        <v>0</v>
      </c>
      <c r="Y4141" t="s">
        <v>51</v>
      </c>
      <c r="Z4141">
        <v>45</v>
      </c>
      <c r="AA4141">
        <v>0</v>
      </c>
    </row>
    <row r="4142" spans="1:27" x14ac:dyDescent="0.2">
      <c r="A4142" t="s">
        <v>1769</v>
      </c>
      <c r="B4142">
        <v>2021</v>
      </c>
      <c r="C4142" t="s">
        <v>5211</v>
      </c>
      <c r="D4142" t="s">
        <v>5212</v>
      </c>
      <c r="E4142" t="s">
        <v>29</v>
      </c>
      <c r="F4142" t="s">
        <v>41</v>
      </c>
      <c r="G4142">
        <v>3</v>
      </c>
      <c r="H4142">
        <v>0</v>
      </c>
      <c r="I4142">
        <v>0</v>
      </c>
      <c r="J4142">
        <v>0</v>
      </c>
      <c r="K4142">
        <v>0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0</v>
      </c>
      <c r="T4142">
        <v>0</v>
      </c>
      <c r="U4142">
        <v>0</v>
      </c>
      <c r="V4142">
        <v>0</v>
      </c>
      <c r="W4142">
        <v>0</v>
      </c>
      <c r="X4142">
        <v>0</v>
      </c>
      <c r="Y4142" t="s">
        <v>31</v>
      </c>
      <c r="Z4142">
        <v>30</v>
      </c>
      <c r="AA4142">
        <v>35</v>
      </c>
    </row>
    <row r="4143" spans="1:27" x14ac:dyDescent="0.2">
      <c r="A4143" t="s">
        <v>1658</v>
      </c>
      <c r="B4143">
        <v>2023</v>
      </c>
      <c r="C4143" t="s">
        <v>3479</v>
      </c>
      <c r="D4143" t="s">
        <v>5213</v>
      </c>
      <c r="E4143" t="s">
        <v>29</v>
      </c>
      <c r="F4143" t="s">
        <v>41</v>
      </c>
      <c r="G4143">
        <v>0</v>
      </c>
      <c r="H4143">
        <v>0</v>
      </c>
      <c r="I4143">
        <v>0</v>
      </c>
      <c r="J4143">
        <v>0</v>
      </c>
      <c r="K4143">
        <v>0</v>
      </c>
      <c r="L4143">
        <v>0</v>
      </c>
      <c r="M4143">
        <v>0</v>
      </c>
      <c r="N4143">
        <v>0</v>
      </c>
      <c r="O4143">
        <v>0</v>
      </c>
      <c r="P4143">
        <v>0</v>
      </c>
      <c r="Q4143">
        <v>0</v>
      </c>
      <c r="R4143">
        <v>0</v>
      </c>
      <c r="S4143">
        <v>0</v>
      </c>
      <c r="T4143">
        <v>0</v>
      </c>
      <c r="U4143">
        <v>0</v>
      </c>
      <c r="V4143">
        <v>0</v>
      </c>
      <c r="W4143">
        <v>0</v>
      </c>
      <c r="X4143">
        <v>0</v>
      </c>
      <c r="Y4143" t="s">
        <v>51</v>
      </c>
      <c r="Z4143">
        <v>55</v>
      </c>
      <c r="AA4143">
        <v>0</v>
      </c>
    </row>
    <row r="4144" spans="1:27" x14ac:dyDescent="0.2">
      <c r="A4144" t="s">
        <v>1658</v>
      </c>
      <c r="B4144">
        <v>2023</v>
      </c>
      <c r="C4144" t="s">
        <v>3061</v>
      </c>
      <c r="D4144" t="s">
        <v>5214</v>
      </c>
      <c r="E4144" t="s">
        <v>29</v>
      </c>
      <c r="F4144" t="s">
        <v>41</v>
      </c>
      <c r="G4144">
        <v>0</v>
      </c>
      <c r="H4144">
        <v>0</v>
      </c>
      <c r="I4144">
        <v>0</v>
      </c>
      <c r="J4144">
        <v>0</v>
      </c>
      <c r="K4144">
        <v>0</v>
      </c>
      <c r="L4144">
        <v>0</v>
      </c>
      <c r="M4144">
        <v>0</v>
      </c>
      <c r="N4144">
        <v>0</v>
      </c>
      <c r="O4144">
        <v>0</v>
      </c>
      <c r="P4144">
        <v>0</v>
      </c>
      <c r="Q4144">
        <v>0</v>
      </c>
      <c r="R4144">
        <v>0</v>
      </c>
      <c r="S4144">
        <v>0</v>
      </c>
      <c r="T4144">
        <v>0</v>
      </c>
      <c r="U4144">
        <v>0</v>
      </c>
      <c r="V4144">
        <v>0</v>
      </c>
      <c r="W4144">
        <v>1</v>
      </c>
      <c r="X4144">
        <v>0</v>
      </c>
      <c r="Y4144" t="s">
        <v>51</v>
      </c>
      <c r="Z4144">
        <v>55</v>
      </c>
      <c r="AA4144">
        <v>0</v>
      </c>
    </row>
    <row r="4145" spans="1:27" x14ac:dyDescent="0.2">
      <c r="A4145" t="s">
        <v>1658</v>
      </c>
      <c r="B4145">
        <v>2023</v>
      </c>
      <c r="C4145" t="s">
        <v>3061</v>
      </c>
      <c r="D4145" t="s">
        <v>5215</v>
      </c>
      <c r="E4145" t="s">
        <v>29</v>
      </c>
      <c r="F4145" t="s">
        <v>41</v>
      </c>
      <c r="G4145">
        <v>0</v>
      </c>
      <c r="H4145">
        <v>0</v>
      </c>
      <c r="I4145">
        <v>0</v>
      </c>
      <c r="J4145">
        <v>0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v>0</v>
      </c>
      <c r="R4145">
        <v>0</v>
      </c>
      <c r="S4145">
        <v>0</v>
      </c>
      <c r="T4145">
        <v>0</v>
      </c>
      <c r="U4145">
        <v>1</v>
      </c>
      <c r="V4145">
        <v>0</v>
      </c>
      <c r="W4145">
        <v>0</v>
      </c>
      <c r="X4145">
        <v>0</v>
      </c>
      <c r="Y4145" t="s">
        <v>51</v>
      </c>
      <c r="Z4145">
        <v>55</v>
      </c>
      <c r="AA4145">
        <v>0</v>
      </c>
    </row>
    <row r="4146" spans="1:27" x14ac:dyDescent="0.2">
      <c r="A4146" t="s">
        <v>1658</v>
      </c>
      <c r="B4146">
        <v>2023</v>
      </c>
      <c r="C4146" t="s">
        <v>2320</v>
      </c>
      <c r="D4146" t="s">
        <v>5216</v>
      </c>
      <c r="E4146" t="s">
        <v>29</v>
      </c>
      <c r="F4146" t="s">
        <v>41</v>
      </c>
      <c r="G4146">
        <v>0</v>
      </c>
      <c r="H4146">
        <v>0</v>
      </c>
      <c r="I4146">
        <v>0</v>
      </c>
      <c r="J4146">
        <v>0</v>
      </c>
      <c r="K4146">
        <v>0</v>
      </c>
      <c r="L4146">
        <v>0</v>
      </c>
      <c r="M4146">
        <v>0</v>
      </c>
      <c r="N4146">
        <v>0</v>
      </c>
      <c r="O4146">
        <v>0</v>
      </c>
      <c r="P4146">
        <v>0</v>
      </c>
      <c r="Q4146">
        <v>0</v>
      </c>
      <c r="R4146">
        <v>0</v>
      </c>
      <c r="S4146">
        <v>1</v>
      </c>
      <c r="T4146">
        <v>0</v>
      </c>
      <c r="U4146">
        <v>0</v>
      </c>
      <c r="V4146">
        <v>0</v>
      </c>
      <c r="W4146">
        <v>0</v>
      </c>
      <c r="X4146">
        <v>0</v>
      </c>
      <c r="Y4146" t="s">
        <v>51</v>
      </c>
      <c r="Z4146">
        <v>55</v>
      </c>
      <c r="AA4146">
        <v>0</v>
      </c>
    </row>
    <row r="4147" spans="1:27" x14ac:dyDescent="0.2">
      <c r="A4147" t="s">
        <v>1231</v>
      </c>
      <c r="B4147">
        <v>2024</v>
      </c>
      <c r="C4147">
        <v>694190087</v>
      </c>
      <c r="D4147" t="s">
        <v>1831</v>
      </c>
      <c r="E4147" t="s">
        <v>29</v>
      </c>
      <c r="F4147" t="s">
        <v>30</v>
      </c>
      <c r="G4147">
        <v>0</v>
      </c>
      <c r="H4147">
        <v>0</v>
      </c>
      <c r="I4147">
        <v>0</v>
      </c>
      <c r="J4147">
        <v>0</v>
      </c>
      <c r="K4147">
        <v>0</v>
      </c>
      <c r="L4147">
        <v>0</v>
      </c>
      <c r="M4147">
        <v>2</v>
      </c>
      <c r="N4147">
        <v>0</v>
      </c>
      <c r="O4147">
        <v>2</v>
      </c>
      <c r="P4147">
        <v>0</v>
      </c>
      <c r="Q4147">
        <v>2</v>
      </c>
      <c r="R4147">
        <v>0</v>
      </c>
      <c r="S4147">
        <v>0</v>
      </c>
      <c r="T4147">
        <v>0</v>
      </c>
      <c r="U4147">
        <v>0</v>
      </c>
      <c r="V4147">
        <v>0</v>
      </c>
      <c r="W4147">
        <v>0</v>
      </c>
      <c r="X4147">
        <v>0</v>
      </c>
      <c r="Y4147" t="s">
        <v>51</v>
      </c>
      <c r="Z4147">
        <v>55</v>
      </c>
      <c r="AA4147">
        <v>0</v>
      </c>
    </row>
    <row r="4148" spans="1:27" x14ac:dyDescent="0.2">
      <c r="A4148" t="s">
        <v>1231</v>
      </c>
      <c r="B4148">
        <v>2024</v>
      </c>
      <c r="C4148">
        <v>694190087</v>
      </c>
      <c r="D4148" t="s">
        <v>1831</v>
      </c>
      <c r="E4148" t="s">
        <v>29</v>
      </c>
      <c r="F4148" t="s">
        <v>30</v>
      </c>
      <c r="G4148">
        <v>0</v>
      </c>
      <c r="H4148">
        <v>0</v>
      </c>
      <c r="I4148">
        <v>0</v>
      </c>
      <c r="J4148">
        <v>0</v>
      </c>
      <c r="K4148">
        <v>0</v>
      </c>
      <c r="L4148">
        <v>0</v>
      </c>
      <c r="M4148">
        <v>1</v>
      </c>
      <c r="N4148">
        <v>0</v>
      </c>
      <c r="O4148">
        <v>1</v>
      </c>
      <c r="P4148">
        <v>0</v>
      </c>
      <c r="Q4148">
        <v>1</v>
      </c>
      <c r="R4148">
        <v>0</v>
      </c>
      <c r="S4148">
        <v>0</v>
      </c>
      <c r="T4148">
        <v>0</v>
      </c>
      <c r="U4148">
        <v>0</v>
      </c>
      <c r="V4148">
        <v>0</v>
      </c>
      <c r="W4148">
        <v>0</v>
      </c>
      <c r="X4148">
        <v>0</v>
      </c>
      <c r="Y4148" t="s">
        <v>51</v>
      </c>
      <c r="Z4148">
        <v>55</v>
      </c>
      <c r="AA4148">
        <v>0</v>
      </c>
    </row>
    <row r="4149" spans="1:27" x14ac:dyDescent="0.2">
      <c r="A4149" t="s">
        <v>1231</v>
      </c>
      <c r="B4149">
        <v>2024</v>
      </c>
      <c r="C4149">
        <v>694190087</v>
      </c>
      <c r="D4149" t="s">
        <v>1831</v>
      </c>
      <c r="E4149" t="s">
        <v>29</v>
      </c>
      <c r="F4149" t="s">
        <v>30</v>
      </c>
      <c r="G4149">
        <v>0</v>
      </c>
      <c r="H4149">
        <v>0</v>
      </c>
      <c r="I4149">
        <v>0</v>
      </c>
      <c r="J4149">
        <v>0</v>
      </c>
      <c r="K4149">
        <v>0</v>
      </c>
      <c r="L4149">
        <v>0</v>
      </c>
      <c r="M4149">
        <v>2</v>
      </c>
      <c r="N4149">
        <v>0</v>
      </c>
      <c r="O4149">
        <v>2</v>
      </c>
      <c r="P4149">
        <v>0</v>
      </c>
      <c r="Q4149">
        <v>2</v>
      </c>
      <c r="R4149">
        <v>0</v>
      </c>
      <c r="S4149">
        <v>0</v>
      </c>
      <c r="T4149">
        <v>0</v>
      </c>
      <c r="U4149">
        <v>0</v>
      </c>
      <c r="V4149">
        <v>0</v>
      </c>
      <c r="W4149">
        <v>0</v>
      </c>
      <c r="X4149">
        <v>0</v>
      </c>
      <c r="Y4149" t="s">
        <v>51</v>
      </c>
      <c r="Z4149">
        <v>55</v>
      </c>
      <c r="AA4149">
        <v>0</v>
      </c>
    </row>
    <row r="4150" spans="1:27" x14ac:dyDescent="0.2">
      <c r="A4150" t="s">
        <v>1231</v>
      </c>
      <c r="B4150">
        <v>2024</v>
      </c>
      <c r="C4150">
        <v>694190087</v>
      </c>
      <c r="D4150" t="s">
        <v>1831</v>
      </c>
      <c r="E4150" t="s">
        <v>29</v>
      </c>
      <c r="F4150" t="s">
        <v>30</v>
      </c>
      <c r="G4150">
        <v>0</v>
      </c>
      <c r="H4150">
        <v>0</v>
      </c>
      <c r="I4150">
        <v>0</v>
      </c>
      <c r="J4150">
        <v>0</v>
      </c>
      <c r="K4150">
        <v>0</v>
      </c>
      <c r="L4150">
        <v>0</v>
      </c>
      <c r="M4150">
        <v>1</v>
      </c>
      <c r="N4150">
        <v>0</v>
      </c>
      <c r="O4150">
        <v>1</v>
      </c>
      <c r="P4150">
        <v>0</v>
      </c>
      <c r="Q4150">
        <v>1</v>
      </c>
      <c r="R4150">
        <v>0</v>
      </c>
      <c r="S4150">
        <v>0</v>
      </c>
      <c r="T4150">
        <v>0</v>
      </c>
      <c r="U4150">
        <v>0</v>
      </c>
      <c r="V4150">
        <v>0</v>
      </c>
      <c r="W4150">
        <v>0</v>
      </c>
      <c r="X4150">
        <v>0</v>
      </c>
      <c r="Y4150" t="s">
        <v>51</v>
      </c>
      <c r="Z4150">
        <v>55</v>
      </c>
      <c r="AA4150">
        <v>0</v>
      </c>
    </row>
    <row r="4151" spans="1:27" x14ac:dyDescent="0.2">
      <c r="A4151" t="s">
        <v>1231</v>
      </c>
      <c r="B4151">
        <v>2024</v>
      </c>
      <c r="C4151">
        <v>694190087</v>
      </c>
      <c r="D4151" t="s">
        <v>1831</v>
      </c>
      <c r="E4151" t="s">
        <v>29</v>
      </c>
      <c r="F4151" t="s">
        <v>30</v>
      </c>
      <c r="G4151">
        <v>0</v>
      </c>
      <c r="H4151">
        <v>0</v>
      </c>
      <c r="I4151">
        <v>0</v>
      </c>
      <c r="J4151">
        <v>0</v>
      </c>
      <c r="K4151">
        <v>0</v>
      </c>
      <c r="L4151">
        <v>0</v>
      </c>
      <c r="M4151">
        <v>2</v>
      </c>
      <c r="N4151">
        <v>0</v>
      </c>
      <c r="O4151">
        <v>2</v>
      </c>
      <c r="P4151">
        <v>0</v>
      </c>
      <c r="Q4151">
        <v>2</v>
      </c>
      <c r="R4151">
        <v>0</v>
      </c>
      <c r="S4151">
        <v>0</v>
      </c>
      <c r="T4151">
        <v>0</v>
      </c>
      <c r="U4151">
        <v>0</v>
      </c>
      <c r="V4151">
        <v>0</v>
      </c>
      <c r="W4151">
        <v>0</v>
      </c>
      <c r="X4151">
        <v>0</v>
      </c>
      <c r="Y4151" t="s">
        <v>51</v>
      </c>
      <c r="Z4151">
        <v>55</v>
      </c>
      <c r="AA4151">
        <v>0</v>
      </c>
    </row>
    <row r="4152" spans="1:27" x14ac:dyDescent="0.2">
      <c r="A4152" t="s">
        <v>1231</v>
      </c>
      <c r="B4152">
        <v>2024</v>
      </c>
      <c r="C4152">
        <v>694520019</v>
      </c>
      <c r="D4152" t="s">
        <v>1832</v>
      </c>
      <c r="E4152" t="s">
        <v>29</v>
      </c>
      <c r="F4152" t="s">
        <v>30</v>
      </c>
      <c r="G4152">
        <v>0</v>
      </c>
      <c r="H4152">
        <v>0</v>
      </c>
      <c r="I4152">
        <v>0</v>
      </c>
      <c r="J4152">
        <v>0</v>
      </c>
      <c r="K4152">
        <v>0</v>
      </c>
      <c r="L4152">
        <v>0</v>
      </c>
      <c r="M4152">
        <v>4</v>
      </c>
      <c r="N4152">
        <v>0</v>
      </c>
      <c r="O4152">
        <v>19</v>
      </c>
      <c r="P4152">
        <v>0</v>
      </c>
      <c r="Q4152">
        <v>0</v>
      </c>
      <c r="R4152">
        <v>0</v>
      </c>
      <c r="S4152">
        <v>4</v>
      </c>
      <c r="T4152">
        <v>0</v>
      </c>
      <c r="U4152">
        <v>19</v>
      </c>
      <c r="V4152">
        <v>0</v>
      </c>
      <c r="W4152">
        <v>0</v>
      </c>
      <c r="X4152">
        <v>0</v>
      </c>
      <c r="Y4152" t="s">
        <v>51</v>
      </c>
      <c r="Z4152">
        <v>55</v>
      </c>
      <c r="AA4152">
        <v>0</v>
      </c>
    </row>
    <row r="4153" spans="1:27" x14ac:dyDescent="0.2">
      <c r="A4153" t="s">
        <v>1231</v>
      </c>
      <c r="B4153">
        <v>2024</v>
      </c>
      <c r="C4153">
        <v>694520019</v>
      </c>
      <c r="D4153" t="s">
        <v>1832</v>
      </c>
      <c r="E4153" t="s">
        <v>29</v>
      </c>
      <c r="F4153" t="s">
        <v>30</v>
      </c>
      <c r="G4153">
        <v>0</v>
      </c>
      <c r="H4153">
        <v>0</v>
      </c>
      <c r="I4153">
        <v>0</v>
      </c>
      <c r="J4153">
        <v>0</v>
      </c>
      <c r="K4153">
        <v>0</v>
      </c>
      <c r="L4153">
        <v>0</v>
      </c>
      <c r="M4153">
        <v>2</v>
      </c>
      <c r="N4153">
        <v>0</v>
      </c>
      <c r="O4153">
        <v>20</v>
      </c>
      <c r="P4153">
        <v>0</v>
      </c>
      <c r="Q4153">
        <v>0</v>
      </c>
      <c r="R4153">
        <v>0</v>
      </c>
      <c r="S4153">
        <v>2</v>
      </c>
      <c r="T4153">
        <v>0</v>
      </c>
      <c r="U4153">
        <v>20</v>
      </c>
      <c r="V4153">
        <v>0</v>
      </c>
      <c r="W4153">
        <v>0</v>
      </c>
      <c r="X4153">
        <v>0</v>
      </c>
      <c r="Y4153" t="s">
        <v>51</v>
      </c>
      <c r="Z4153">
        <v>55</v>
      </c>
      <c r="AA4153">
        <v>0</v>
      </c>
    </row>
    <row r="4154" spans="1:27" x14ac:dyDescent="0.2">
      <c r="A4154" t="s">
        <v>1231</v>
      </c>
      <c r="B4154">
        <v>2024</v>
      </c>
      <c r="C4154">
        <v>694130017</v>
      </c>
      <c r="D4154" t="s">
        <v>1433</v>
      </c>
      <c r="E4154" t="s">
        <v>29</v>
      </c>
      <c r="F4154" t="s">
        <v>30</v>
      </c>
      <c r="G4154">
        <v>0</v>
      </c>
      <c r="H4154">
        <v>0</v>
      </c>
      <c r="I4154">
        <v>0</v>
      </c>
      <c r="J4154">
        <v>0</v>
      </c>
      <c r="K4154">
        <v>0</v>
      </c>
      <c r="L4154">
        <v>0</v>
      </c>
      <c r="M4154">
        <v>15</v>
      </c>
      <c r="N4154">
        <v>0</v>
      </c>
      <c r="O4154">
        <v>1</v>
      </c>
      <c r="P4154">
        <v>0</v>
      </c>
      <c r="Q4154">
        <v>0</v>
      </c>
      <c r="R4154">
        <v>0</v>
      </c>
      <c r="S4154">
        <v>0</v>
      </c>
      <c r="T4154">
        <v>0</v>
      </c>
      <c r="U4154">
        <v>0</v>
      </c>
      <c r="V4154">
        <v>0</v>
      </c>
      <c r="W4154">
        <v>0</v>
      </c>
      <c r="X4154">
        <v>0</v>
      </c>
      <c r="Y4154" t="s">
        <v>51</v>
      </c>
      <c r="Z4154">
        <v>55</v>
      </c>
      <c r="AA4154">
        <v>0</v>
      </c>
    </row>
    <row r="4155" spans="1:27" x14ac:dyDescent="0.2">
      <c r="A4155" t="s">
        <v>424</v>
      </c>
      <c r="B4155">
        <v>2024</v>
      </c>
      <c r="C4155">
        <v>357151002</v>
      </c>
      <c r="D4155" t="s">
        <v>4836</v>
      </c>
      <c r="E4155" t="s">
        <v>29</v>
      </c>
      <c r="F4155" t="s">
        <v>30</v>
      </c>
      <c r="G4155">
        <v>0</v>
      </c>
      <c r="H4155">
        <v>0</v>
      </c>
      <c r="I4155">
        <v>0</v>
      </c>
      <c r="J4155">
        <v>0</v>
      </c>
      <c r="K4155">
        <v>0</v>
      </c>
      <c r="L4155">
        <v>0</v>
      </c>
      <c r="M4155">
        <v>1</v>
      </c>
      <c r="N4155">
        <v>0</v>
      </c>
      <c r="O4155">
        <v>2</v>
      </c>
      <c r="P4155">
        <v>0</v>
      </c>
      <c r="Q4155">
        <v>0</v>
      </c>
      <c r="R4155">
        <v>0</v>
      </c>
      <c r="S4155">
        <v>0</v>
      </c>
      <c r="T4155">
        <v>0</v>
      </c>
      <c r="U4155">
        <v>0</v>
      </c>
      <c r="V4155">
        <v>0</v>
      </c>
      <c r="W4155">
        <v>0</v>
      </c>
      <c r="X4155">
        <v>0</v>
      </c>
      <c r="Y4155" t="s">
        <v>31</v>
      </c>
      <c r="Z4155">
        <v>55</v>
      </c>
      <c r="AA4155">
        <v>0.38</v>
      </c>
    </row>
    <row r="4156" spans="1:27" x14ac:dyDescent="0.2">
      <c r="A4156" t="s">
        <v>412</v>
      </c>
      <c r="B4156">
        <v>2019</v>
      </c>
      <c r="C4156" t="s">
        <v>413</v>
      </c>
      <c r="D4156" t="s">
        <v>414</v>
      </c>
      <c r="E4156" t="s">
        <v>29</v>
      </c>
      <c r="F4156" t="s">
        <v>30</v>
      </c>
      <c r="G4156">
        <v>7</v>
      </c>
      <c r="H4156">
        <v>0</v>
      </c>
      <c r="I4156">
        <v>1</v>
      </c>
      <c r="J4156">
        <v>0</v>
      </c>
      <c r="K4156">
        <v>0</v>
      </c>
      <c r="L4156">
        <v>0</v>
      </c>
      <c r="M4156">
        <v>1</v>
      </c>
      <c r="N4156">
        <v>0</v>
      </c>
      <c r="O4156">
        <v>1</v>
      </c>
      <c r="P4156">
        <v>0</v>
      </c>
      <c r="Q4156">
        <v>0</v>
      </c>
      <c r="R4156">
        <v>0</v>
      </c>
      <c r="S4156">
        <v>0</v>
      </c>
      <c r="T4156">
        <v>0</v>
      </c>
      <c r="U4156">
        <v>0</v>
      </c>
      <c r="V4156">
        <v>0</v>
      </c>
      <c r="W4156">
        <v>0</v>
      </c>
      <c r="X4156">
        <v>0</v>
      </c>
      <c r="Y4156" t="s">
        <v>31</v>
      </c>
      <c r="AA4156">
        <v>0</v>
      </c>
    </row>
    <row r="4157" spans="1:27" x14ac:dyDescent="0.2">
      <c r="A4157" t="s">
        <v>1678</v>
      </c>
      <c r="B4157">
        <v>2023</v>
      </c>
      <c r="C4157">
        <v>53148090</v>
      </c>
      <c r="D4157" t="s">
        <v>5217</v>
      </c>
      <c r="E4157" t="s">
        <v>29</v>
      </c>
      <c r="F4157" t="s">
        <v>30</v>
      </c>
      <c r="G4157">
        <v>1</v>
      </c>
      <c r="H4157">
        <v>0</v>
      </c>
      <c r="I4157">
        <v>2</v>
      </c>
      <c r="J4157">
        <v>0</v>
      </c>
      <c r="K4157">
        <v>1</v>
      </c>
      <c r="L4157">
        <v>0</v>
      </c>
      <c r="M4157">
        <v>0</v>
      </c>
      <c r="N4157">
        <v>0</v>
      </c>
      <c r="O4157">
        <v>0</v>
      </c>
      <c r="P4157">
        <v>0</v>
      </c>
      <c r="Q4157">
        <v>0</v>
      </c>
      <c r="R4157">
        <v>0</v>
      </c>
      <c r="S4157">
        <v>0</v>
      </c>
      <c r="T4157">
        <v>0</v>
      </c>
      <c r="U4157">
        <v>0</v>
      </c>
      <c r="V4157">
        <v>0</v>
      </c>
      <c r="W4157">
        <v>0</v>
      </c>
      <c r="X4157">
        <v>0</v>
      </c>
      <c r="Y4157" t="s">
        <v>51</v>
      </c>
      <c r="AA4157">
        <v>0</v>
      </c>
    </row>
    <row r="4158" spans="1:27" x14ac:dyDescent="0.2">
      <c r="A4158" t="s">
        <v>1678</v>
      </c>
      <c r="B4158">
        <v>2023</v>
      </c>
      <c r="C4158">
        <v>52520010</v>
      </c>
      <c r="D4158" t="s">
        <v>5218</v>
      </c>
      <c r="E4158" t="s">
        <v>29</v>
      </c>
      <c r="F4158" t="s">
        <v>41</v>
      </c>
      <c r="G4158">
        <v>0</v>
      </c>
      <c r="H4158">
        <v>0</v>
      </c>
      <c r="I4158">
        <v>0</v>
      </c>
      <c r="J4158">
        <v>0</v>
      </c>
      <c r="K4158">
        <v>8</v>
      </c>
      <c r="L4158">
        <v>0</v>
      </c>
      <c r="M4158">
        <v>0</v>
      </c>
      <c r="N4158">
        <v>0</v>
      </c>
      <c r="O4158">
        <v>0</v>
      </c>
      <c r="P4158">
        <v>0</v>
      </c>
      <c r="Q4158">
        <v>0</v>
      </c>
      <c r="R4158">
        <v>0</v>
      </c>
      <c r="S4158">
        <v>0</v>
      </c>
      <c r="T4158">
        <v>0</v>
      </c>
      <c r="U4158">
        <v>0</v>
      </c>
      <c r="V4158">
        <v>0</v>
      </c>
      <c r="W4158">
        <v>0</v>
      </c>
      <c r="X4158">
        <v>0</v>
      </c>
      <c r="Y4158" t="s">
        <v>51</v>
      </c>
      <c r="AA4158">
        <v>0</v>
      </c>
    </row>
    <row r="4159" spans="1:27" x14ac:dyDescent="0.2">
      <c r="A4159" t="s">
        <v>1678</v>
      </c>
      <c r="B4159">
        <v>2023</v>
      </c>
      <c r="C4159">
        <v>53063070</v>
      </c>
      <c r="D4159" t="s">
        <v>5219</v>
      </c>
      <c r="E4159" t="s">
        <v>29</v>
      </c>
      <c r="F4159" t="s">
        <v>30</v>
      </c>
      <c r="G4159">
        <v>0</v>
      </c>
      <c r="H4159">
        <v>0</v>
      </c>
      <c r="I4159">
        <v>0</v>
      </c>
      <c r="J4159">
        <v>0</v>
      </c>
      <c r="K4159">
        <v>0</v>
      </c>
      <c r="L4159">
        <v>0</v>
      </c>
      <c r="M4159">
        <v>0</v>
      </c>
      <c r="N4159">
        <v>0</v>
      </c>
      <c r="O4159">
        <v>0</v>
      </c>
      <c r="P4159">
        <v>0</v>
      </c>
      <c r="Q4159">
        <v>0</v>
      </c>
      <c r="R4159">
        <v>0</v>
      </c>
      <c r="S4159">
        <v>30</v>
      </c>
      <c r="T4159">
        <v>0</v>
      </c>
      <c r="U4159">
        <v>8</v>
      </c>
      <c r="V4159">
        <v>0</v>
      </c>
      <c r="W4159">
        <v>0</v>
      </c>
      <c r="X4159">
        <v>0</v>
      </c>
      <c r="Y4159" t="s">
        <v>51</v>
      </c>
      <c r="AA4159">
        <v>0</v>
      </c>
    </row>
    <row r="4160" spans="1:27" x14ac:dyDescent="0.2">
      <c r="A4160" t="s">
        <v>2862</v>
      </c>
      <c r="B4160">
        <v>2022</v>
      </c>
      <c r="C4160">
        <v>8907253</v>
      </c>
      <c r="D4160" t="s">
        <v>5220</v>
      </c>
      <c r="E4160" t="s">
        <v>29</v>
      </c>
      <c r="F4160" t="s">
        <v>30</v>
      </c>
      <c r="G4160">
        <v>3</v>
      </c>
      <c r="H4160">
        <v>0</v>
      </c>
      <c r="I4160">
        <v>0</v>
      </c>
      <c r="J4160">
        <v>0</v>
      </c>
      <c r="K4160">
        <v>0</v>
      </c>
      <c r="L4160">
        <v>0</v>
      </c>
      <c r="M4160">
        <v>0</v>
      </c>
      <c r="N4160">
        <v>0</v>
      </c>
      <c r="O4160">
        <v>0</v>
      </c>
      <c r="P4160">
        <v>0</v>
      </c>
      <c r="Q4160">
        <v>0</v>
      </c>
      <c r="R4160">
        <v>0</v>
      </c>
      <c r="S4160">
        <v>0</v>
      </c>
      <c r="T4160">
        <v>0</v>
      </c>
      <c r="U4160">
        <v>0</v>
      </c>
      <c r="V4160">
        <v>0</v>
      </c>
      <c r="W4160">
        <v>0</v>
      </c>
      <c r="X4160">
        <v>0</v>
      </c>
      <c r="Y4160" t="s">
        <v>31</v>
      </c>
      <c r="Z4160">
        <v>35</v>
      </c>
      <c r="AA4160">
        <v>22.5</v>
      </c>
    </row>
    <row r="4161" spans="1:27" x14ac:dyDescent="0.2">
      <c r="A4161" t="s">
        <v>433</v>
      </c>
      <c r="B4161">
        <v>2019</v>
      </c>
      <c r="C4161">
        <v>17003085</v>
      </c>
      <c r="D4161" t="s">
        <v>5221</v>
      </c>
      <c r="E4161" t="s">
        <v>29</v>
      </c>
      <c r="F4161" t="s">
        <v>41</v>
      </c>
      <c r="G4161">
        <v>2</v>
      </c>
      <c r="H4161">
        <v>0</v>
      </c>
      <c r="I4161">
        <v>2</v>
      </c>
      <c r="J4161">
        <v>0</v>
      </c>
      <c r="K4161">
        <v>2</v>
      </c>
      <c r="L4161">
        <v>0</v>
      </c>
      <c r="M4161">
        <v>0</v>
      </c>
      <c r="N4161">
        <v>0</v>
      </c>
      <c r="O4161">
        <v>0</v>
      </c>
      <c r="P4161">
        <v>0</v>
      </c>
      <c r="Q4161">
        <v>0</v>
      </c>
      <c r="R4161">
        <v>0</v>
      </c>
      <c r="S4161">
        <v>0</v>
      </c>
      <c r="T4161">
        <v>0</v>
      </c>
      <c r="U4161">
        <v>0</v>
      </c>
      <c r="V4161">
        <v>0</v>
      </c>
      <c r="W4161">
        <v>0</v>
      </c>
      <c r="X4161">
        <v>0</v>
      </c>
      <c r="Y4161" t="s">
        <v>51</v>
      </c>
      <c r="Z4161">
        <v>55</v>
      </c>
      <c r="AA4161">
        <v>0</v>
      </c>
    </row>
    <row r="4162" spans="1:27" x14ac:dyDescent="0.2">
      <c r="A4162" t="s">
        <v>433</v>
      </c>
      <c r="B4162">
        <v>2019</v>
      </c>
      <c r="C4162">
        <v>16741019</v>
      </c>
      <c r="D4162" t="s">
        <v>5222</v>
      </c>
      <c r="E4162" t="s">
        <v>29</v>
      </c>
      <c r="F4162" t="s">
        <v>41</v>
      </c>
      <c r="G4162">
        <v>0</v>
      </c>
      <c r="H4162">
        <v>0</v>
      </c>
      <c r="I4162">
        <v>1</v>
      </c>
      <c r="J4162">
        <v>0</v>
      </c>
      <c r="K4162">
        <v>2</v>
      </c>
      <c r="L4162">
        <v>0</v>
      </c>
      <c r="M4162">
        <v>0</v>
      </c>
      <c r="N4162">
        <v>0</v>
      </c>
      <c r="O4162">
        <v>0</v>
      </c>
      <c r="P4162">
        <v>0</v>
      </c>
      <c r="Q4162">
        <v>0</v>
      </c>
      <c r="R4162">
        <v>0</v>
      </c>
      <c r="S4162">
        <v>0</v>
      </c>
      <c r="T4162">
        <v>0</v>
      </c>
      <c r="U4162">
        <v>0</v>
      </c>
      <c r="V4162">
        <v>0</v>
      </c>
      <c r="W4162">
        <v>0</v>
      </c>
      <c r="X4162">
        <v>0</v>
      </c>
      <c r="Y4162" t="s">
        <v>51</v>
      </c>
      <c r="Z4162">
        <v>55</v>
      </c>
      <c r="AA4162">
        <v>0</v>
      </c>
    </row>
    <row r="4163" spans="1:27" x14ac:dyDescent="0.2">
      <c r="A4163" t="s">
        <v>1769</v>
      </c>
      <c r="B4163">
        <v>2021</v>
      </c>
      <c r="C4163" t="s">
        <v>5223</v>
      </c>
      <c r="D4163" t="s">
        <v>5224</v>
      </c>
      <c r="E4163" t="s">
        <v>29</v>
      </c>
      <c r="F4163" t="s">
        <v>30</v>
      </c>
      <c r="G4163">
        <v>13</v>
      </c>
      <c r="H4163">
        <v>0</v>
      </c>
      <c r="I4163">
        <v>0</v>
      </c>
      <c r="J4163">
        <v>0</v>
      </c>
      <c r="K4163">
        <v>0</v>
      </c>
      <c r="L4163">
        <v>0</v>
      </c>
      <c r="M4163">
        <v>0</v>
      </c>
      <c r="N4163">
        <v>0</v>
      </c>
      <c r="O4163">
        <v>0</v>
      </c>
      <c r="P4163">
        <v>0</v>
      </c>
      <c r="Q4163">
        <v>0</v>
      </c>
      <c r="R4163">
        <v>0</v>
      </c>
      <c r="S4163">
        <v>0</v>
      </c>
      <c r="T4163">
        <v>0</v>
      </c>
      <c r="U4163">
        <v>0</v>
      </c>
      <c r="V4163">
        <v>0</v>
      </c>
      <c r="W4163">
        <v>0</v>
      </c>
      <c r="X4163">
        <v>0</v>
      </c>
      <c r="Y4163" t="s">
        <v>31</v>
      </c>
      <c r="Z4163">
        <v>30</v>
      </c>
      <c r="AA4163">
        <v>20</v>
      </c>
    </row>
    <row r="4164" spans="1:27" x14ac:dyDescent="0.2">
      <c r="A4164" t="s">
        <v>260</v>
      </c>
      <c r="B4164">
        <v>2024</v>
      </c>
      <c r="C4164" t="s">
        <v>5225</v>
      </c>
      <c r="D4164" t="s">
        <v>5226</v>
      </c>
      <c r="E4164" t="s">
        <v>29</v>
      </c>
      <c r="F4164" t="s">
        <v>30</v>
      </c>
      <c r="G4164">
        <v>0</v>
      </c>
      <c r="H4164">
        <v>0</v>
      </c>
      <c r="I4164">
        <v>5</v>
      </c>
      <c r="J4164">
        <v>0</v>
      </c>
      <c r="K4164">
        <v>0</v>
      </c>
      <c r="L4164">
        <v>0</v>
      </c>
      <c r="M4164">
        <v>0</v>
      </c>
      <c r="N4164">
        <v>0</v>
      </c>
      <c r="O4164">
        <v>0</v>
      </c>
      <c r="P4164">
        <v>0</v>
      </c>
      <c r="Q4164">
        <v>0</v>
      </c>
      <c r="R4164">
        <v>0</v>
      </c>
      <c r="S4164">
        <v>0</v>
      </c>
      <c r="T4164">
        <v>0</v>
      </c>
      <c r="U4164">
        <v>0</v>
      </c>
      <c r="V4164">
        <v>0</v>
      </c>
      <c r="W4164">
        <v>0</v>
      </c>
      <c r="X4164">
        <v>0</v>
      </c>
      <c r="Y4164" t="s">
        <v>31</v>
      </c>
      <c r="Z4164">
        <v>1000</v>
      </c>
      <c r="AA4164">
        <v>0.13</v>
      </c>
    </row>
    <row r="4165" spans="1:27" x14ac:dyDescent="0.2">
      <c r="A4165" t="s">
        <v>2411</v>
      </c>
      <c r="B4165">
        <v>2019</v>
      </c>
      <c r="C4165" t="s">
        <v>5227</v>
      </c>
      <c r="D4165" t="s">
        <v>5228</v>
      </c>
      <c r="E4165" t="s">
        <v>29</v>
      </c>
      <c r="F4165" t="s">
        <v>30</v>
      </c>
      <c r="G4165">
        <v>0</v>
      </c>
      <c r="H4165">
        <v>0</v>
      </c>
      <c r="I4165">
        <v>0</v>
      </c>
      <c r="J4165">
        <v>0</v>
      </c>
      <c r="K4165">
        <v>4</v>
      </c>
      <c r="L4165">
        <v>0</v>
      </c>
      <c r="M4165">
        <v>0</v>
      </c>
      <c r="N4165">
        <v>0</v>
      </c>
      <c r="O4165">
        <v>0</v>
      </c>
      <c r="P4165">
        <v>0</v>
      </c>
      <c r="Q4165">
        <v>0</v>
      </c>
      <c r="R4165">
        <v>0</v>
      </c>
      <c r="S4165">
        <v>0</v>
      </c>
      <c r="T4165">
        <v>0</v>
      </c>
      <c r="U4165">
        <v>0</v>
      </c>
      <c r="V4165">
        <v>0</v>
      </c>
      <c r="W4165">
        <v>0</v>
      </c>
      <c r="X4165">
        <v>0</v>
      </c>
      <c r="Y4165" t="s">
        <v>51</v>
      </c>
      <c r="Z4165">
        <v>1000</v>
      </c>
      <c r="AA4165">
        <v>0</v>
      </c>
    </row>
    <row r="4166" spans="1:27" x14ac:dyDescent="0.2">
      <c r="A4166" t="s">
        <v>2862</v>
      </c>
      <c r="B4166">
        <v>2024</v>
      </c>
      <c r="C4166">
        <v>23138348</v>
      </c>
      <c r="D4166" t="s">
        <v>5229</v>
      </c>
      <c r="E4166" t="s">
        <v>29</v>
      </c>
      <c r="F4166" t="s">
        <v>41</v>
      </c>
      <c r="G4166">
        <v>2</v>
      </c>
      <c r="H4166">
        <v>0</v>
      </c>
      <c r="I4166">
        <v>0</v>
      </c>
      <c r="J4166">
        <v>0</v>
      </c>
      <c r="K4166">
        <v>0</v>
      </c>
      <c r="L4166">
        <v>0</v>
      </c>
      <c r="M4166">
        <v>0</v>
      </c>
      <c r="N4166">
        <v>0</v>
      </c>
      <c r="O4166">
        <v>0</v>
      </c>
      <c r="P4166">
        <v>0</v>
      </c>
      <c r="Q4166">
        <v>0</v>
      </c>
      <c r="R4166">
        <v>0</v>
      </c>
      <c r="S4166">
        <v>0</v>
      </c>
      <c r="T4166">
        <v>0</v>
      </c>
      <c r="U4166">
        <v>0</v>
      </c>
      <c r="V4166">
        <v>0</v>
      </c>
      <c r="W4166">
        <v>0</v>
      </c>
      <c r="X4166">
        <v>0</v>
      </c>
      <c r="Y4166" t="s">
        <v>31</v>
      </c>
      <c r="Z4166">
        <v>35</v>
      </c>
      <c r="AA4166" s="2" t="s">
        <v>3361</v>
      </c>
    </row>
    <row r="4167" spans="1:27" x14ac:dyDescent="0.2">
      <c r="A4167" t="s">
        <v>872</v>
      </c>
      <c r="B4167">
        <v>2021</v>
      </c>
      <c r="C4167" t="s">
        <v>873</v>
      </c>
      <c r="D4167" t="s">
        <v>5230</v>
      </c>
      <c r="E4167" t="s">
        <v>29</v>
      </c>
      <c r="F4167" t="s">
        <v>30</v>
      </c>
      <c r="G4167">
        <v>0</v>
      </c>
      <c r="H4167">
        <v>0</v>
      </c>
      <c r="I4167">
        <v>72</v>
      </c>
      <c r="J4167">
        <v>0</v>
      </c>
      <c r="K4167">
        <v>0</v>
      </c>
      <c r="L4167">
        <v>0</v>
      </c>
      <c r="M4167">
        <v>0</v>
      </c>
      <c r="N4167">
        <v>0</v>
      </c>
      <c r="O4167">
        <v>0</v>
      </c>
      <c r="P4167">
        <v>0</v>
      </c>
      <c r="Q4167">
        <v>0</v>
      </c>
      <c r="R4167">
        <v>0</v>
      </c>
      <c r="S4167">
        <v>0</v>
      </c>
      <c r="T4167">
        <v>0</v>
      </c>
      <c r="U4167">
        <v>0</v>
      </c>
      <c r="V4167">
        <v>0</v>
      </c>
      <c r="W4167">
        <v>0</v>
      </c>
      <c r="X4167">
        <v>0</v>
      </c>
      <c r="Y4167" t="s">
        <v>31</v>
      </c>
      <c r="Z4167">
        <v>55</v>
      </c>
      <c r="AA4167">
        <v>80</v>
      </c>
    </row>
    <row r="4168" spans="1:27" x14ac:dyDescent="0.2">
      <c r="A4168" t="s">
        <v>2862</v>
      </c>
      <c r="B4168">
        <v>2024</v>
      </c>
      <c r="C4168">
        <v>23159102</v>
      </c>
      <c r="D4168" t="s">
        <v>5231</v>
      </c>
      <c r="E4168" t="s">
        <v>29</v>
      </c>
      <c r="F4168" t="s">
        <v>30</v>
      </c>
      <c r="G4168">
        <v>8</v>
      </c>
      <c r="H4168">
        <v>0</v>
      </c>
      <c r="I4168">
        <v>0</v>
      </c>
      <c r="J4168">
        <v>0</v>
      </c>
      <c r="K4168">
        <v>0</v>
      </c>
      <c r="L4168">
        <v>0</v>
      </c>
      <c r="M4168">
        <v>0</v>
      </c>
      <c r="N4168">
        <v>0</v>
      </c>
      <c r="O4168">
        <v>0</v>
      </c>
      <c r="P4168">
        <v>0</v>
      </c>
      <c r="Q4168">
        <v>0</v>
      </c>
      <c r="R4168">
        <v>0</v>
      </c>
      <c r="S4168">
        <v>0</v>
      </c>
      <c r="T4168">
        <v>0</v>
      </c>
      <c r="U4168">
        <v>0</v>
      </c>
      <c r="V4168">
        <v>0</v>
      </c>
      <c r="W4168">
        <v>0</v>
      </c>
      <c r="X4168">
        <v>0</v>
      </c>
      <c r="Y4168" t="s">
        <v>31</v>
      </c>
      <c r="Z4168">
        <v>55</v>
      </c>
      <c r="AA4168" s="2" t="s">
        <v>3730</v>
      </c>
    </row>
    <row r="4169" spans="1:27" x14ac:dyDescent="0.2">
      <c r="A4169" t="s">
        <v>467</v>
      </c>
      <c r="B4169">
        <v>2019</v>
      </c>
      <c r="C4169" t="s">
        <v>5232</v>
      </c>
      <c r="D4169" t="s">
        <v>5233</v>
      </c>
      <c r="E4169" t="s">
        <v>29</v>
      </c>
      <c r="F4169" t="s">
        <v>30</v>
      </c>
      <c r="G4169">
        <v>0</v>
      </c>
      <c r="H4169">
        <v>0</v>
      </c>
      <c r="I4169">
        <v>0</v>
      </c>
      <c r="J4169">
        <v>0</v>
      </c>
      <c r="K4169">
        <v>0</v>
      </c>
      <c r="L4169">
        <v>0</v>
      </c>
      <c r="M4169">
        <v>0</v>
      </c>
      <c r="N4169">
        <v>0</v>
      </c>
      <c r="O4169">
        <v>0</v>
      </c>
      <c r="P4169">
        <v>0</v>
      </c>
      <c r="Q4169">
        <v>0</v>
      </c>
      <c r="R4169">
        <v>0</v>
      </c>
      <c r="S4169">
        <v>0</v>
      </c>
      <c r="T4169">
        <v>0</v>
      </c>
      <c r="U4169">
        <v>7</v>
      </c>
      <c r="V4169">
        <v>0</v>
      </c>
      <c r="W4169">
        <v>0</v>
      </c>
      <c r="X4169">
        <v>0</v>
      </c>
      <c r="Y4169" t="s">
        <v>31</v>
      </c>
      <c r="Z4169">
        <v>55</v>
      </c>
      <c r="AA4169">
        <v>0</v>
      </c>
    </row>
    <row r="4170" spans="1:27" x14ac:dyDescent="0.2">
      <c r="A4170" t="s">
        <v>172</v>
      </c>
      <c r="B4170">
        <v>2024</v>
      </c>
      <c r="C4170" t="s">
        <v>5234</v>
      </c>
      <c r="D4170" t="s">
        <v>372</v>
      </c>
      <c r="E4170" t="s">
        <v>29</v>
      </c>
      <c r="F4170" t="s">
        <v>30</v>
      </c>
      <c r="G4170">
        <v>13</v>
      </c>
      <c r="H4170">
        <v>0</v>
      </c>
      <c r="I4170">
        <v>0</v>
      </c>
      <c r="J4170">
        <v>0</v>
      </c>
      <c r="K4170">
        <v>43</v>
      </c>
      <c r="L4170">
        <v>0</v>
      </c>
      <c r="M4170">
        <v>0</v>
      </c>
      <c r="N4170">
        <v>0</v>
      </c>
      <c r="O4170">
        <v>0</v>
      </c>
      <c r="P4170">
        <v>0</v>
      </c>
      <c r="Q4170">
        <v>0</v>
      </c>
      <c r="R4170">
        <v>0</v>
      </c>
      <c r="S4170">
        <v>0</v>
      </c>
      <c r="T4170">
        <v>0</v>
      </c>
      <c r="U4170">
        <v>0</v>
      </c>
      <c r="V4170">
        <v>0</v>
      </c>
      <c r="W4170">
        <v>0</v>
      </c>
      <c r="X4170">
        <v>0</v>
      </c>
      <c r="Y4170" t="s">
        <v>31</v>
      </c>
      <c r="Z4170">
        <v>55</v>
      </c>
      <c r="AA4170">
        <v>0.5</v>
      </c>
    </row>
    <row r="4171" spans="1:27" x14ac:dyDescent="0.2">
      <c r="A4171" t="s">
        <v>172</v>
      </c>
      <c r="B4171">
        <v>2024</v>
      </c>
      <c r="C4171" t="s">
        <v>5235</v>
      </c>
      <c r="D4171" t="s">
        <v>5236</v>
      </c>
      <c r="E4171" t="s">
        <v>29</v>
      </c>
      <c r="F4171" t="s">
        <v>30</v>
      </c>
      <c r="G4171">
        <v>23</v>
      </c>
      <c r="H4171">
        <v>0</v>
      </c>
      <c r="I4171">
        <v>6</v>
      </c>
      <c r="J4171">
        <v>0</v>
      </c>
      <c r="K4171">
        <v>0</v>
      </c>
      <c r="L4171">
        <v>0</v>
      </c>
      <c r="M4171">
        <v>0</v>
      </c>
      <c r="N4171">
        <v>0</v>
      </c>
      <c r="O4171">
        <v>0</v>
      </c>
      <c r="P4171">
        <v>0</v>
      </c>
      <c r="Q4171">
        <v>0</v>
      </c>
      <c r="R4171">
        <v>0</v>
      </c>
      <c r="S4171">
        <v>0</v>
      </c>
      <c r="T4171">
        <v>0</v>
      </c>
      <c r="U4171">
        <v>0</v>
      </c>
      <c r="V4171">
        <v>0</v>
      </c>
      <c r="W4171">
        <v>0</v>
      </c>
      <c r="X4171">
        <v>0</v>
      </c>
      <c r="Y4171" t="s">
        <v>31</v>
      </c>
      <c r="Z4171">
        <v>55</v>
      </c>
      <c r="AA4171">
        <v>1</v>
      </c>
    </row>
    <row r="4172" spans="1:27" x14ac:dyDescent="0.2">
      <c r="A4172" t="s">
        <v>43</v>
      </c>
      <c r="B4172">
        <v>2020</v>
      </c>
      <c r="C4172">
        <v>4340028006</v>
      </c>
      <c r="D4172" t="s">
        <v>5237</v>
      </c>
      <c r="E4172" t="s">
        <v>29</v>
      </c>
      <c r="F4172" t="s">
        <v>41</v>
      </c>
      <c r="G4172">
        <v>0</v>
      </c>
      <c r="H4172">
        <v>0</v>
      </c>
      <c r="I4172">
        <v>1</v>
      </c>
      <c r="J4172">
        <v>0</v>
      </c>
      <c r="K4172">
        <v>0</v>
      </c>
      <c r="L4172">
        <v>0</v>
      </c>
      <c r="M4172">
        <v>0</v>
      </c>
      <c r="N4172">
        <v>0</v>
      </c>
      <c r="O4172">
        <v>1</v>
      </c>
      <c r="P4172">
        <v>0</v>
      </c>
      <c r="Q4172">
        <v>0</v>
      </c>
      <c r="R4172">
        <v>0</v>
      </c>
      <c r="S4172">
        <v>0</v>
      </c>
      <c r="T4172">
        <v>0</v>
      </c>
      <c r="U4172">
        <v>0</v>
      </c>
      <c r="V4172">
        <v>0</v>
      </c>
      <c r="W4172">
        <v>0</v>
      </c>
      <c r="X4172">
        <v>0</v>
      </c>
      <c r="Y4172" t="s">
        <v>31</v>
      </c>
      <c r="Z4172">
        <v>1000</v>
      </c>
      <c r="AA4172">
        <v>0</v>
      </c>
    </row>
    <row r="4173" spans="1:27" x14ac:dyDescent="0.2">
      <c r="A4173" t="s">
        <v>43</v>
      </c>
      <c r="B4173">
        <v>2020</v>
      </c>
      <c r="C4173">
        <v>5555004033</v>
      </c>
      <c r="D4173" t="s">
        <v>5238</v>
      </c>
      <c r="E4173" t="s">
        <v>29</v>
      </c>
      <c r="F4173" t="s">
        <v>41</v>
      </c>
      <c r="G4173">
        <v>2</v>
      </c>
      <c r="H4173">
        <v>0</v>
      </c>
      <c r="I4173">
        <v>0</v>
      </c>
      <c r="J4173">
        <v>0</v>
      </c>
      <c r="K4173">
        <v>2</v>
      </c>
      <c r="L4173">
        <v>0</v>
      </c>
      <c r="M4173">
        <v>2</v>
      </c>
      <c r="N4173">
        <v>0</v>
      </c>
      <c r="O4173">
        <v>0</v>
      </c>
      <c r="P4173">
        <v>0</v>
      </c>
      <c r="Q4173">
        <v>2</v>
      </c>
      <c r="R4173">
        <v>0</v>
      </c>
      <c r="S4173">
        <v>0</v>
      </c>
      <c r="T4173">
        <v>0</v>
      </c>
      <c r="U4173">
        <v>0</v>
      </c>
      <c r="V4173">
        <v>0</v>
      </c>
      <c r="W4173">
        <v>0</v>
      </c>
      <c r="X4173">
        <v>0</v>
      </c>
      <c r="Y4173" t="s">
        <v>31</v>
      </c>
      <c r="Z4173">
        <v>1000</v>
      </c>
      <c r="AA4173">
        <v>0</v>
      </c>
    </row>
    <row r="4174" spans="1:27" x14ac:dyDescent="0.2">
      <c r="A4174" t="s">
        <v>43</v>
      </c>
      <c r="B4174">
        <v>2020</v>
      </c>
      <c r="C4174">
        <v>5531003010</v>
      </c>
      <c r="D4174" t="s">
        <v>2996</v>
      </c>
      <c r="E4174" t="s">
        <v>29</v>
      </c>
      <c r="F4174" t="s">
        <v>30</v>
      </c>
      <c r="G4174">
        <v>0</v>
      </c>
      <c r="H4174">
        <v>0</v>
      </c>
      <c r="I4174">
        <v>1</v>
      </c>
      <c r="J4174">
        <v>0</v>
      </c>
      <c r="K4174">
        <v>0</v>
      </c>
      <c r="L4174">
        <v>0</v>
      </c>
      <c r="M4174">
        <v>0</v>
      </c>
      <c r="N4174">
        <v>0</v>
      </c>
      <c r="O4174">
        <v>1</v>
      </c>
      <c r="P4174">
        <v>0</v>
      </c>
      <c r="Q4174">
        <v>0</v>
      </c>
      <c r="R4174">
        <v>0</v>
      </c>
      <c r="S4174">
        <v>0</v>
      </c>
      <c r="T4174">
        <v>0</v>
      </c>
      <c r="U4174">
        <v>0</v>
      </c>
      <c r="V4174">
        <v>0</v>
      </c>
      <c r="W4174">
        <v>0</v>
      </c>
      <c r="X4174">
        <v>0</v>
      </c>
      <c r="Y4174" t="s">
        <v>31</v>
      </c>
      <c r="Z4174">
        <v>1000</v>
      </c>
      <c r="AA4174">
        <v>0</v>
      </c>
    </row>
    <row r="4175" spans="1:27" x14ac:dyDescent="0.2">
      <c r="A4175" t="s">
        <v>560</v>
      </c>
      <c r="B4175">
        <v>2020</v>
      </c>
      <c r="C4175" t="s">
        <v>1763</v>
      </c>
      <c r="D4175" t="s">
        <v>1764</v>
      </c>
      <c r="E4175" t="s">
        <v>29</v>
      </c>
      <c r="F4175" t="s">
        <v>30</v>
      </c>
      <c r="G4175">
        <v>0</v>
      </c>
      <c r="H4175">
        <v>0</v>
      </c>
      <c r="I4175">
        <v>0</v>
      </c>
      <c r="J4175">
        <v>0</v>
      </c>
      <c r="K4175">
        <v>0</v>
      </c>
      <c r="L4175">
        <v>0</v>
      </c>
      <c r="M4175">
        <v>1</v>
      </c>
      <c r="N4175">
        <v>0</v>
      </c>
      <c r="O4175">
        <v>0</v>
      </c>
      <c r="P4175">
        <v>0</v>
      </c>
      <c r="Q4175">
        <v>0</v>
      </c>
      <c r="R4175">
        <v>0</v>
      </c>
      <c r="S4175">
        <v>0</v>
      </c>
      <c r="T4175">
        <v>0</v>
      </c>
      <c r="U4175">
        <v>0</v>
      </c>
      <c r="V4175">
        <v>0</v>
      </c>
      <c r="W4175">
        <v>0</v>
      </c>
      <c r="X4175">
        <v>0</v>
      </c>
      <c r="Y4175" t="s">
        <v>31</v>
      </c>
      <c r="Z4175">
        <v>55</v>
      </c>
      <c r="AA4175">
        <v>0</v>
      </c>
    </row>
    <row r="4176" spans="1:27" x14ac:dyDescent="0.2">
      <c r="A4176" t="s">
        <v>1165</v>
      </c>
      <c r="B4176">
        <v>2021</v>
      </c>
      <c r="C4176" t="s">
        <v>5239</v>
      </c>
      <c r="D4176" t="s">
        <v>5240</v>
      </c>
      <c r="E4176" t="s">
        <v>29</v>
      </c>
      <c r="F4176" t="s">
        <v>30</v>
      </c>
      <c r="G4176">
        <v>0</v>
      </c>
      <c r="H4176">
        <v>0</v>
      </c>
      <c r="I4176">
        <v>0</v>
      </c>
      <c r="J4176">
        <v>0</v>
      </c>
      <c r="K4176">
        <v>16</v>
      </c>
      <c r="L4176">
        <v>0</v>
      </c>
      <c r="M4176">
        <v>0</v>
      </c>
      <c r="N4176">
        <v>0</v>
      </c>
      <c r="O4176">
        <v>0</v>
      </c>
      <c r="P4176">
        <v>0</v>
      </c>
      <c r="Q4176">
        <v>0</v>
      </c>
      <c r="R4176">
        <v>0</v>
      </c>
      <c r="S4176">
        <v>0</v>
      </c>
      <c r="T4176">
        <v>0</v>
      </c>
      <c r="U4176">
        <v>0</v>
      </c>
      <c r="V4176">
        <v>0</v>
      </c>
      <c r="W4176">
        <v>0</v>
      </c>
      <c r="X4176">
        <v>0</v>
      </c>
      <c r="Y4176" t="s">
        <v>51</v>
      </c>
      <c r="AA4176">
        <v>0</v>
      </c>
    </row>
    <row r="4177" spans="1:27" x14ac:dyDescent="0.2">
      <c r="A4177" t="s">
        <v>1316</v>
      </c>
      <c r="B4177">
        <v>2021</v>
      </c>
      <c r="C4177">
        <v>10458447</v>
      </c>
      <c r="D4177" t="s">
        <v>5241</v>
      </c>
      <c r="E4177" t="s">
        <v>29</v>
      </c>
      <c r="F4177" t="s">
        <v>30</v>
      </c>
      <c r="G4177">
        <v>0</v>
      </c>
      <c r="H4177">
        <v>0</v>
      </c>
      <c r="I4177">
        <v>0</v>
      </c>
      <c r="J4177">
        <v>0</v>
      </c>
      <c r="K4177">
        <v>0</v>
      </c>
      <c r="L4177">
        <v>0</v>
      </c>
      <c r="M4177">
        <v>0</v>
      </c>
      <c r="N4177">
        <v>0</v>
      </c>
      <c r="O4177">
        <v>0</v>
      </c>
      <c r="P4177">
        <v>0</v>
      </c>
      <c r="Q4177">
        <v>0</v>
      </c>
      <c r="R4177">
        <v>0</v>
      </c>
      <c r="S4177">
        <v>45</v>
      </c>
      <c r="T4177">
        <v>0</v>
      </c>
      <c r="U4177">
        <v>10</v>
      </c>
      <c r="V4177">
        <v>0</v>
      </c>
      <c r="W4177">
        <v>1</v>
      </c>
      <c r="X4177">
        <v>0</v>
      </c>
      <c r="Y4177" t="s">
        <v>31</v>
      </c>
      <c r="Z4177" s="4">
        <v>1000</v>
      </c>
      <c r="AA4177">
        <v>0</v>
      </c>
    </row>
    <row r="4178" spans="1:27" x14ac:dyDescent="0.2">
      <c r="A4178" t="s">
        <v>524</v>
      </c>
      <c r="B4178">
        <v>2021</v>
      </c>
      <c r="C4178" t="s">
        <v>5242</v>
      </c>
      <c r="D4178" t="s">
        <v>5243</v>
      </c>
      <c r="E4178" t="s">
        <v>29</v>
      </c>
      <c r="F4178" t="s">
        <v>30</v>
      </c>
      <c r="G4178">
        <v>3</v>
      </c>
      <c r="H4178">
        <v>0</v>
      </c>
      <c r="I4178">
        <v>14</v>
      </c>
      <c r="J4178">
        <v>0</v>
      </c>
      <c r="K4178">
        <v>31</v>
      </c>
      <c r="L4178">
        <v>0</v>
      </c>
      <c r="M4178">
        <v>0</v>
      </c>
      <c r="N4178">
        <v>0</v>
      </c>
      <c r="O4178">
        <v>0</v>
      </c>
      <c r="P4178">
        <v>0</v>
      </c>
      <c r="Q4178">
        <v>0</v>
      </c>
      <c r="R4178">
        <v>0</v>
      </c>
      <c r="S4178">
        <v>0</v>
      </c>
      <c r="T4178">
        <v>0</v>
      </c>
      <c r="U4178">
        <v>0</v>
      </c>
      <c r="V4178">
        <v>0</v>
      </c>
      <c r="W4178">
        <v>0</v>
      </c>
      <c r="X4178">
        <v>0</v>
      </c>
      <c r="Y4178" t="s">
        <v>31</v>
      </c>
      <c r="Z4178">
        <v>55</v>
      </c>
      <c r="AA4178" s="2" t="s">
        <v>681</v>
      </c>
    </row>
    <row r="4179" spans="1:27" x14ac:dyDescent="0.2">
      <c r="A4179" t="s">
        <v>524</v>
      </c>
      <c r="B4179">
        <v>2021</v>
      </c>
      <c r="C4179">
        <v>55236120</v>
      </c>
      <c r="D4179" t="s">
        <v>5244</v>
      </c>
      <c r="E4179" t="s">
        <v>29</v>
      </c>
      <c r="F4179" t="s">
        <v>30</v>
      </c>
      <c r="G4179">
        <v>4</v>
      </c>
      <c r="H4179">
        <v>0</v>
      </c>
      <c r="I4179">
        <v>9</v>
      </c>
      <c r="J4179">
        <v>0</v>
      </c>
      <c r="K4179">
        <v>5</v>
      </c>
      <c r="L4179">
        <v>0</v>
      </c>
      <c r="M4179">
        <v>0</v>
      </c>
      <c r="N4179">
        <v>0</v>
      </c>
      <c r="O4179">
        <v>0</v>
      </c>
      <c r="P4179">
        <v>0</v>
      </c>
      <c r="Q4179">
        <v>0</v>
      </c>
      <c r="R4179">
        <v>0</v>
      </c>
      <c r="S4179">
        <v>0</v>
      </c>
      <c r="T4179">
        <v>0</v>
      </c>
      <c r="U4179">
        <v>0</v>
      </c>
      <c r="V4179">
        <v>0</v>
      </c>
      <c r="W4179">
        <v>0</v>
      </c>
      <c r="X4179">
        <v>0</v>
      </c>
      <c r="Y4179" t="s">
        <v>31</v>
      </c>
      <c r="Z4179">
        <v>55</v>
      </c>
      <c r="AA4179">
        <v>14.1</v>
      </c>
    </row>
    <row r="4180" spans="1:27" x14ac:dyDescent="0.2">
      <c r="A4180" t="s">
        <v>48</v>
      </c>
      <c r="B4180">
        <v>2019</v>
      </c>
      <c r="C4180" t="s">
        <v>642</v>
      </c>
      <c r="D4180" t="s">
        <v>643</v>
      </c>
      <c r="E4180" t="s">
        <v>29</v>
      </c>
      <c r="F4180" t="s">
        <v>30</v>
      </c>
      <c r="G4180">
        <v>0</v>
      </c>
      <c r="H4180">
        <v>0</v>
      </c>
      <c r="I4180">
        <v>0</v>
      </c>
      <c r="J4180">
        <v>0</v>
      </c>
      <c r="K4180">
        <v>0</v>
      </c>
      <c r="L4180">
        <v>0</v>
      </c>
      <c r="M4180">
        <v>0</v>
      </c>
      <c r="N4180">
        <v>0</v>
      </c>
      <c r="O4180">
        <v>0</v>
      </c>
      <c r="P4180">
        <v>0</v>
      </c>
      <c r="Q4180">
        <v>1</v>
      </c>
      <c r="R4180">
        <v>0</v>
      </c>
      <c r="S4180">
        <v>0</v>
      </c>
      <c r="T4180">
        <v>0</v>
      </c>
      <c r="U4180">
        <v>0</v>
      </c>
      <c r="V4180">
        <v>0</v>
      </c>
      <c r="W4180">
        <v>0</v>
      </c>
      <c r="X4180">
        <v>0</v>
      </c>
      <c r="Y4180" t="s">
        <v>51</v>
      </c>
      <c r="Z4180">
        <v>55</v>
      </c>
      <c r="AA4180">
        <v>0</v>
      </c>
    </row>
    <row r="4181" spans="1:27" x14ac:dyDescent="0.2">
      <c r="A4181" t="s">
        <v>172</v>
      </c>
      <c r="B4181">
        <v>2024</v>
      </c>
      <c r="C4181" t="s">
        <v>4631</v>
      </c>
      <c r="D4181" t="s">
        <v>4670</v>
      </c>
      <c r="E4181" t="s">
        <v>29</v>
      </c>
      <c r="F4181" t="s">
        <v>30</v>
      </c>
      <c r="G4181">
        <v>0</v>
      </c>
      <c r="H4181">
        <v>0</v>
      </c>
      <c r="I4181">
        <v>0</v>
      </c>
      <c r="J4181">
        <v>0</v>
      </c>
      <c r="K4181">
        <v>0</v>
      </c>
      <c r="L4181">
        <v>0</v>
      </c>
      <c r="M4181">
        <v>0</v>
      </c>
      <c r="N4181">
        <v>0</v>
      </c>
      <c r="O4181">
        <v>0</v>
      </c>
      <c r="P4181">
        <v>0</v>
      </c>
      <c r="Q4181">
        <v>0</v>
      </c>
      <c r="R4181">
        <v>0</v>
      </c>
      <c r="S4181">
        <v>3</v>
      </c>
      <c r="T4181">
        <v>0</v>
      </c>
      <c r="U4181">
        <v>0</v>
      </c>
      <c r="V4181">
        <v>0</v>
      </c>
      <c r="W4181">
        <v>0</v>
      </c>
      <c r="X4181">
        <v>0</v>
      </c>
      <c r="Y4181" t="s">
        <v>31</v>
      </c>
      <c r="AA4181" s="2" t="s">
        <v>3316</v>
      </c>
    </row>
    <row r="4182" spans="1:27" x14ac:dyDescent="0.2">
      <c r="A4182" t="s">
        <v>172</v>
      </c>
      <c r="B4182">
        <v>2024</v>
      </c>
      <c r="C4182" t="s">
        <v>5245</v>
      </c>
      <c r="D4182" t="s">
        <v>4669</v>
      </c>
      <c r="E4182" t="s">
        <v>29</v>
      </c>
      <c r="F4182" t="s">
        <v>30</v>
      </c>
      <c r="G4182">
        <v>0</v>
      </c>
      <c r="H4182">
        <v>0</v>
      </c>
      <c r="I4182">
        <v>0</v>
      </c>
      <c r="J4182">
        <v>0</v>
      </c>
      <c r="K4182">
        <v>0</v>
      </c>
      <c r="L4182">
        <v>0</v>
      </c>
      <c r="M4182">
        <v>0</v>
      </c>
      <c r="N4182">
        <v>0</v>
      </c>
      <c r="O4182">
        <v>0</v>
      </c>
      <c r="P4182">
        <v>0</v>
      </c>
      <c r="Q4182">
        <v>0</v>
      </c>
      <c r="R4182">
        <v>0</v>
      </c>
      <c r="S4182">
        <v>0</v>
      </c>
      <c r="T4182">
        <v>0</v>
      </c>
      <c r="U4182">
        <v>0</v>
      </c>
      <c r="V4182">
        <v>0</v>
      </c>
      <c r="W4182">
        <v>9</v>
      </c>
      <c r="X4182">
        <v>0</v>
      </c>
      <c r="Y4182" t="s">
        <v>51</v>
      </c>
      <c r="Z4182">
        <v>55</v>
      </c>
      <c r="AA4182">
        <v>0</v>
      </c>
    </row>
    <row r="4183" spans="1:27" x14ac:dyDescent="0.2">
      <c r="A4183" t="s">
        <v>412</v>
      </c>
      <c r="B4183">
        <v>2019</v>
      </c>
      <c r="C4183" t="s">
        <v>413</v>
      </c>
      <c r="D4183" t="s">
        <v>414</v>
      </c>
      <c r="E4183" t="s">
        <v>29</v>
      </c>
      <c r="F4183" t="s">
        <v>30</v>
      </c>
      <c r="G4183">
        <v>5</v>
      </c>
      <c r="H4183">
        <v>0</v>
      </c>
      <c r="I4183">
        <v>1</v>
      </c>
      <c r="J4183">
        <v>0</v>
      </c>
      <c r="K4183">
        <v>0</v>
      </c>
      <c r="L4183">
        <v>0</v>
      </c>
      <c r="M4183">
        <v>1</v>
      </c>
      <c r="N4183">
        <v>0</v>
      </c>
      <c r="O4183">
        <v>1</v>
      </c>
      <c r="P4183">
        <v>0</v>
      </c>
      <c r="Q4183">
        <v>0</v>
      </c>
      <c r="R4183">
        <v>0</v>
      </c>
      <c r="S4183">
        <v>0</v>
      </c>
      <c r="T4183">
        <v>0</v>
      </c>
      <c r="U4183">
        <v>0</v>
      </c>
      <c r="V4183">
        <v>0</v>
      </c>
      <c r="W4183">
        <v>0</v>
      </c>
      <c r="X4183">
        <v>0</v>
      </c>
      <c r="Y4183" t="s">
        <v>31</v>
      </c>
      <c r="AA4183">
        <v>0</v>
      </c>
    </row>
    <row r="4184" spans="1:27" x14ac:dyDescent="0.2">
      <c r="A4184" t="s">
        <v>1678</v>
      </c>
      <c r="B4184">
        <v>2023</v>
      </c>
      <c r="C4184">
        <v>53145260</v>
      </c>
      <c r="D4184" t="s">
        <v>5246</v>
      </c>
      <c r="E4184" t="s">
        <v>29</v>
      </c>
      <c r="F4184" t="s">
        <v>30</v>
      </c>
      <c r="G4184">
        <v>0</v>
      </c>
      <c r="H4184">
        <v>0</v>
      </c>
      <c r="I4184">
        <v>92</v>
      </c>
      <c r="J4184">
        <v>0</v>
      </c>
      <c r="K4184">
        <v>0</v>
      </c>
      <c r="L4184">
        <v>0</v>
      </c>
      <c r="M4184">
        <v>0</v>
      </c>
      <c r="N4184">
        <v>0</v>
      </c>
      <c r="O4184">
        <v>0</v>
      </c>
      <c r="P4184">
        <v>0</v>
      </c>
      <c r="Q4184">
        <v>0</v>
      </c>
      <c r="R4184">
        <v>0</v>
      </c>
      <c r="S4184">
        <v>0</v>
      </c>
      <c r="T4184">
        <v>0</v>
      </c>
      <c r="U4184">
        <v>0</v>
      </c>
      <c r="V4184">
        <v>0</v>
      </c>
      <c r="W4184">
        <v>0</v>
      </c>
      <c r="X4184">
        <v>0</v>
      </c>
      <c r="Y4184" t="s">
        <v>51</v>
      </c>
      <c r="AA4184">
        <v>0</v>
      </c>
    </row>
    <row r="4185" spans="1:27" x14ac:dyDescent="0.2">
      <c r="A4185" t="s">
        <v>27</v>
      </c>
      <c r="B4185">
        <v>2022</v>
      </c>
      <c r="C4185">
        <v>7208010024</v>
      </c>
      <c r="D4185" t="s">
        <v>5247</v>
      </c>
      <c r="E4185" t="s">
        <v>29</v>
      </c>
      <c r="F4185" t="s">
        <v>30</v>
      </c>
      <c r="G4185">
        <v>22</v>
      </c>
      <c r="H4185">
        <v>0</v>
      </c>
      <c r="I4185">
        <v>170</v>
      </c>
      <c r="J4185">
        <v>0</v>
      </c>
      <c r="K4185">
        <v>0</v>
      </c>
      <c r="L4185">
        <v>0</v>
      </c>
      <c r="M4185">
        <v>0</v>
      </c>
      <c r="N4185">
        <v>0</v>
      </c>
      <c r="O4185">
        <v>0</v>
      </c>
      <c r="P4185">
        <v>0</v>
      </c>
      <c r="Q4185">
        <v>0</v>
      </c>
      <c r="R4185">
        <v>0</v>
      </c>
      <c r="S4185">
        <v>0</v>
      </c>
      <c r="T4185">
        <v>0</v>
      </c>
      <c r="U4185">
        <v>0</v>
      </c>
      <c r="V4185">
        <v>0</v>
      </c>
      <c r="W4185">
        <v>0</v>
      </c>
      <c r="X4185">
        <v>0</v>
      </c>
      <c r="Y4185" t="s">
        <v>31</v>
      </c>
      <c r="Z4185">
        <v>55</v>
      </c>
      <c r="AA4185">
        <v>0</v>
      </c>
    </row>
    <row r="4186" spans="1:27" x14ac:dyDescent="0.2">
      <c r="A4186" t="s">
        <v>27</v>
      </c>
      <c r="B4186">
        <v>2022</v>
      </c>
      <c r="C4186">
        <v>7210013901</v>
      </c>
      <c r="D4186" t="s">
        <v>5248</v>
      </c>
      <c r="E4186" t="s">
        <v>29</v>
      </c>
      <c r="F4186" t="s">
        <v>30</v>
      </c>
      <c r="G4186">
        <v>0</v>
      </c>
      <c r="H4186">
        <v>0</v>
      </c>
      <c r="I4186">
        <v>0</v>
      </c>
      <c r="J4186">
        <v>0</v>
      </c>
      <c r="K4186">
        <v>0</v>
      </c>
      <c r="L4186">
        <v>0</v>
      </c>
      <c r="M4186">
        <v>0</v>
      </c>
      <c r="N4186">
        <v>0</v>
      </c>
      <c r="O4186">
        <v>67</v>
      </c>
      <c r="P4186">
        <v>0</v>
      </c>
      <c r="Q4186">
        <v>0</v>
      </c>
      <c r="R4186">
        <v>0</v>
      </c>
      <c r="S4186">
        <v>0</v>
      </c>
      <c r="T4186">
        <v>0</v>
      </c>
      <c r="U4186">
        <v>0</v>
      </c>
      <c r="V4186">
        <v>0</v>
      </c>
      <c r="W4186">
        <v>0</v>
      </c>
      <c r="X4186">
        <v>0</v>
      </c>
      <c r="Y4186" t="s">
        <v>31</v>
      </c>
      <c r="Z4186">
        <v>55</v>
      </c>
      <c r="AA4186">
        <v>0</v>
      </c>
    </row>
    <row r="4187" spans="1:27" x14ac:dyDescent="0.2">
      <c r="A4187" t="s">
        <v>412</v>
      </c>
      <c r="B4187">
        <v>2019</v>
      </c>
      <c r="C4187" t="s">
        <v>413</v>
      </c>
      <c r="D4187" t="s">
        <v>414</v>
      </c>
      <c r="E4187" t="s">
        <v>29</v>
      </c>
      <c r="F4187" t="s">
        <v>30</v>
      </c>
      <c r="G4187">
        <v>7</v>
      </c>
      <c r="H4187">
        <v>0</v>
      </c>
      <c r="I4187">
        <v>1</v>
      </c>
      <c r="J4187">
        <v>0</v>
      </c>
      <c r="K4187">
        <v>0</v>
      </c>
      <c r="L4187">
        <v>0</v>
      </c>
      <c r="M4187">
        <v>1</v>
      </c>
      <c r="N4187">
        <v>0</v>
      </c>
      <c r="O4187">
        <v>3</v>
      </c>
      <c r="P4187">
        <v>0</v>
      </c>
      <c r="Q4187">
        <v>0</v>
      </c>
      <c r="R4187">
        <v>0</v>
      </c>
      <c r="S4187">
        <v>0</v>
      </c>
      <c r="T4187">
        <v>0</v>
      </c>
      <c r="U4187">
        <v>0</v>
      </c>
      <c r="V4187">
        <v>0</v>
      </c>
      <c r="W4187">
        <v>0</v>
      </c>
      <c r="X4187">
        <v>0</v>
      </c>
      <c r="Y4187" t="s">
        <v>31</v>
      </c>
      <c r="AA4187">
        <v>0</v>
      </c>
    </row>
    <row r="4188" spans="1:27" x14ac:dyDescent="0.2">
      <c r="A4188" t="s">
        <v>1576</v>
      </c>
      <c r="B4188">
        <v>2024</v>
      </c>
      <c r="C4188">
        <v>1532741900</v>
      </c>
      <c r="D4188" t="s">
        <v>3881</v>
      </c>
      <c r="E4188" t="s">
        <v>29</v>
      </c>
      <c r="F4188" t="s">
        <v>30</v>
      </c>
      <c r="G4188">
        <v>0</v>
      </c>
      <c r="H4188">
        <v>0</v>
      </c>
      <c r="I4188">
        <v>0</v>
      </c>
      <c r="J4188">
        <v>0</v>
      </c>
      <c r="K4188">
        <v>0</v>
      </c>
      <c r="L4188">
        <v>0</v>
      </c>
      <c r="M4188">
        <v>2</v>
      </c>
      <c r="N4188">
        <v>0</v>
      </c>
      <c r="O4188">
        <v>0</v>
      </c>
      <c r="P4188">
        <v>0</v>
      </c>
      <c r="Q4188">
        <v>0</v>
      </c>
      <c r="R4188">
        <v>0</v>
      </c>
      <c r="S4188">
        <v>2</v>
      </c>
      <c r="T4188">
        <v>0</v>
      </c>
      <c r="U4188">
        <v>0</v>
      </c>
      <c r="V4188">
        <v>0</v>
      </c>
      <c r="W4188">
        <v>0</v>
      </c>
      <c r="X4188">
        <v>0</v>
      </c>
      <c r="Y4188" t="s">
        <v>31</v>
      </c>
      <c r="AA4188">
        <v>0.5</v>
      </c>
    </row>
    <row r="4189" spans="1:27" x14ac:dyDescent="0.2">
      <c r="A4189" t="s">
        <v>436</v>
      </c>
      <c r="B4189">
        <v>2024</v>
      </c>
      <c r="C4189" t="s">
        <v>437</v>
      </c>
      <c r="D4189" t="s">
        <v>616</v>
      </c>
      <c r="E4189" t="s">
        <v>29</v>
      </c>
      <c r="F4189" t="s">
        <v>30</v>
      </c>
      <c r="G4189">
        <v>0</v>
      </c>
      <c r="H4189">
        <v>0</v>
      </c>
      <c r="I4189">
        <v>0</v>
      </c>
      <c r="J4189">
        <v>0</v>
      </c>
      <c r="K4189">
        <v>0</v>
      </c>
      <c r="L4189">
        <v>0</v>
      </c>
      <c r="M4189">
        <v>0</v>
      </c>
      <c r="N4189">
        <v>0</v>
      </c>
      <c r="O4189">
        <v>0</v>
      </c>
      <c r="P4189">
        <v>0</v>
      </c>
      <c r="Q4189">
        <v>0</v>
      </c>
      <c r="R4189">
        <v>0</v>
      </c>
      <c r="S4189">
        <v>16</v>
      </c>
      <c r="T4189">
        <v>0</v>
      </c>
      <c r="U4189">
        <v>5</v>
      </c>
      <c r="V4189">
        <v>0</v>
      </c>
      <c r="W4189">
        <v>0</v>
      </c>
      <c r="X4189">
        <v>0</v>
      </c>
      <c r="Y4189" t="s">
        <v>31</v>
      </c>
      <c r="AA4189" s="2" t="s">
        <v>3358</v>
      </c>
    </row>
    <row r="4190" spans="1:27" x14ac:dyDescent="0.2">
      <c r="A4190" t="s">
        <v>436</v>
      </c>
      <c r="B4190">
        <v>2024</v>
      </c>
      <c r="C4190" t="s">
        <v>437</v>
      </c>
      <c r="D4190" t="s">
        <v>833</v>
      </c>
      <c r="E4190" t="s">
        <v>29</v>
      </c>
      <c r="F4190" t="s">
        <v>30</v>
      </c>
      <c r="G4190">
        <v>0</v>
      </c>
      <c r="H4190">
        <v>0</v>
      </c>
      <c r="I4190">
        <v>0</v>
      </c>
      <c r="J4190">
        <v>0</v>
      </c>
      <c r="K4190">
        <v>0</v>
      </c>
      <c r="L4190">
        <v>0</v>
      </c>
      <c r="M4190">
        <v>0</v>
      </c>
      <c r="N4190">
        <v>0</v>
      </c>
      <c r="O4190">
        <v>0</v>
      </c>
      <c r="P4190">
        <v>0</v>
      </c>
      <c r="Q4190">
        <v>0</v>
      </c>
      <c r="R4190">
        <v>0</v>
      </c>
      <c r="S4190">
        <v>6</v>
      </c>
      <c r="T4190">
        <v>0</v>
      </c>
      <c r="U4190">
        <v>18</v>
      </c>
      <c r="V4190">
        <v>0</v>
      </c>
      <c r="W4190">
        <v>0</v>
      </c>
      <c r="X4190">
        <v>0</v>
      </c>
      <c r="Y4190" t="s">
        <v>31</v>
      </c>
      <c r="AA4190" s="2" t="s">
        <v>3358</v>
      </c>
    </row>
    <row r="4191" spans="1:27" x14ac:dyDescent="0.2">
      <c r="A4191" t="s">
        <v>436</v>
      </c>
      <c r="B4191">
        <v>2024</v>
      </c>
      <c r="C4191" t="s">
        <v>437</v>
      </c>
      <c r="D4191" t="s">
        <v>813</v>
      </c>
      <c r="E4191" t="s">
        <v>29</v>
      </c>
      <c r="F4191" t="s">
        <v>30</v>
      </c>
      <c r="G4191">
        <v>0</v>
      </c>
      <c r="H4191">
        <v>0</v>
      </c>
      <c r="I4191">
        <v>0</v>
      </c>
      <c r="J4191">
        <v>0</v>
      </c>
      <c r="K4191">
        <v>0</v>
      </c>
      <c r="L4191">
        <v>0</v>
      </c>
      <c r="M4191">
        <v>0</v>
      </c>
      <c r="N4191">
        <v>0</v>
      </c>
      <c r="O4191">
        <v>0</v>
      </c>
      <c r="P4191">
        <v>0</v>
      </c>
      <c r="Q4191">
        <v>0</v>
      </c>
      <c r="R4191">
        <v>0</v>
      </c>
      <c r="S4191">
        <v>6</v>
      </c>
      <c r="T4191">
        <v>0</v>
      </c>
      <c r="U4191">
        <v>18</v>
      </c>
      <c r="V4191">
        <v>0</v>
      </c>
      <c r="W4191">
        <v>0</v>
      </c>
      <c r="X4191">
        <v>0</v>
      </c>
      <c r="Y4191" t="s">
        <v>31</v>
      </c>
      <c r="AA4191" s="2" t="s">
        <v>3358</v>
      </c>
    </row>
    <row r="4192" spans="1:27" x14ac:dyDescent="0.2">
      <c r="A4192" t="s">
        <v>1500</v>
      </c>
      <c r="B4192">
        <v>2024</v>
      </c>
      <c r="C4192">
        <v>4038020018</v>
      </c>
      <c r="D4192" t="s">
        <v>2071</v>
      </c>
      <c r="E4192" t="s">
        <v>29</v>
      </c>
      <c r="F4192" t="s">
        <v>30</v>
      </c>
      <c r="G4192">
        <v>0</v>
      </c>
      <c r="H4192">
        <v>0</v>
      </c>
      <c r="I4192">
        <v>6</v>
      </c>
      <c r="J4192">
        <v>0</v>
      </c>
      <c r="K4192">
        <v>0</v>
      </c>
      <c r="L4192">
        <v>0</v>
      </c>
      <c r="M4192">
        <v>0</v>
      </c>
      <c r="N4192">
        <v>0</v>
      </c>
      <c r="O4192">
        <v>6</v>
      </c>
      <c r="P4192">
        <v>0</v>
      </c>
      <c r="Q4192">
        <v>0</v>
      </c>
      <c r="R4192">
        <v>0</v>
      </c>
      <c r="S4192">
        <v>0</v>
      </c>
      <c r="T4192">
        <v>0</v>
      </c>
      <c r="U4192">
        <v>0</v>
      </c>
      <c r="V4192">
        <v>0</v>
      </c>
      <c r="W4192">
        <v>0</v>
      </c>
      <c r="X4192">
        <v>0</v>
      </c>
      <c r="Y4192" t="s">
        <v>31</v>
      </c>
      <c r="Z4192">
        <v>55</v>
      </c>
      <c r="AA4192" s="2" t="s">
        <v>5249</v>
      </c>
    </row>
    <row r="4193" spans="1:27" x14ac:dyDescent="0.2">
      <c r="A4193" t="s">
        <v>1500</v>
      </c>
      <c r="B4193">
        <v>2024</v>
      </c>
      <c r="C4193">
        <v>4140007003</v>
      </c>
      <c r="D4193" t="s">
        <v>5250</v>
      </c>
      <c r="E4193" t="s">
        <v>29</v>
      </c>
      <c r="F4193" t="s">
        <v>30</v>
      </c>
      <c r="G4193">
        <v>6</v>
      </c>
      <c r="H4193">
        <v>0</v>
      </c>
      <c r="I4193">
        <v>0</v>
      </c>
      <c r="J4193">
        <v>0</v>
      </c>
      <c r="K4193">
        <v>0</v>
      </c>
      <c r="L4193">
        <v>0</v>
      </c>
      <c r="M4193">
        <v>0</v>
      </c>
      <c r="N4193">
        <v>0</v>
      </c>
      <c r="O4193">
        <v>0</v>
      </c>
      <c r="P4193">
        <v>0</v>
      </c>
      <c r="Q4193">
        <v>0</v>
      </c>
      <c r="R4193">
        <v>0</v>
      </c>
      <c r="S4193">
        <v>0</v>
      </c>
      <c r="T4193">
        <v>0</v>
      </c>
      <c r="U4193">
        <v>0</v>
      </c>
      <c r="V4193">
        <v>0</v>
      </c>
      <c r="W4193">
        <v>0</v>
      </c>
      <c r="X4193">
        <v>0</v>
      </c>
      <c r="Y4193" t="s">
        <v>31</v>
      </c>
      <c r="Z4193">
        <v>55</v>
      </c>
      <c r="AA4193" s="2" t="s">
        <v>5251</v>
      </c>
    </row>
    <row r="4194" spans="1:27" x14ac:dyDescent="0.2">
      <c r="A4194" t="s">
        <v>433</v>
      </c>
      <c r="B4194">
        <v>2019</v>
      </c>
      <c r="C4194">
        <v>17004066</v>
      </c>
      <c r="D4194" t="s">
        <v>5252</v>
      </c>
      <c r="E4194" t="s">
        <v>29</v>
      </c>
      <c r="F4194" t="s">
        <v>41</v>
      </c>
      <c r="G4194">
        <v>0</v>
      </c>
      <c r="H4194">
        <v>0</v>
      </c>
      <c r="I4194">
        <v>16</v>
      </c>
      <c r="J4194">
        <v>0</v>
      </c>
      <c r="K4194">
        <v>12</v>
      </c>
      <c r="L4194">
        <v>0</v>
      </c>
      <c r="M4194">
        <v>0</v>
      </c>
      <c r="N4194">
        <v>0</v>
      </c>
      <c r="O4194">
        <v>0</v>
      </c>
      <c r="P4194">
        <v>0</v>
      </c>
      <c r="Q4194">
        <v>0</v>
      </c>
      <c r="R4194">
        <v>0</v>
      </c>
      <c r="S4194">
        <v>0</v>
      </c>
      <c r="T4194">
        <v>0</v>
      </c>
      <c r="U4194">
        <v>0</v>
      </c>
      <c r="V4194">
        <v>0</v>
      </c>
      <c r="W4194">
        <v>0</v>
      </c>
      <c r="X4194">
        <v>0</v>
      </c>
      <c r="Y4194" t="s">
        <v>51</v>
      </c>
      <c r="Z4194">
        <v>55</v>
      </c>
      <c r="AA4194">
        <v>0</v>
      </c>
    </row>
    <row r="4195" spans="1:27" x14ac:dyDescent="0.2">
      <c r="A4195" t="s">
        <v>524</v>
      </c>
      <c r="B4195">
        <v>2021</v>
      </c>
      <c r="C4195">
        <v>61441100</v>
      </c>
      <c r="D4195" t="s">
        <v>5253</v>
      </c>
      <c r="E4195" t="s">
        <v>29</v>
      </c>
      <c r="F4195" t="s">
        <v>30</v>
      </c>
      <c r="G4195">
        <v>1</v>
      </c>
      <c r="H4195">
        <v>0</v>
      </c>
      <c r="I4195">
        <v>2</v>
      </c>
      <c r="J4195">
        <v>0</v>
      </c>
      <c r="K4195">
        <v>0</v>
      </c>
      <c r="L4195">
        <v>0</v>
      </c>
      <c r="M4195">
        <v>0</v>
      </c>
      <c r="N4195">
        <v>0</v>
      </c>
      <c r="O4195">
        <v>0</v>
      </c>
      <c r="P4195">
        <v>0</v>
      </c>
      <c r="Q4195">
        <v>0</v>
      </c>
      <c r="R4195">
        <v>0</v>
      </c>
      <c r="S4195">
        <v>0</v>
      </c>
      <c r="T4195">
        <v>0</v>
      </c>
      <c r="U4195">
        <v>0</v>
      </c>
      <c r="V4195">
        <v>0</v>
      </c>
      <c r="W4195">
        <v>0</v>
      </c>
      <c r="X4195">
        <v>0</v>
      </c>
      <c r="Y4195" t="s">
        <v>51</v>
      </c>
      <c r="Z4195">
        <v>55</v>
      </c>
      <c r="AA4195">
        <v>0</v>
      </c>
    </row>
    <row r="4196" spans="1:27" x14ac:dyDescent="0.2">
      <c r="A4196" t="s">
        <v>1802</v>
      </c>
      <c r="B4196">
        <v>2021</v>
      </c>
      <c r="C4196" t="s">
        <v>5254</v>
      </c>
      <c r="D4196" t="s">
        <v>5255</v>
      </c>
      <c r="E4196" t="s">
        <v>29</v>
      </c>
      <c r="F4196" t="s">
        <v>30</v>
      </c>
      <c r="G4196">
        <v>2</v>
      </c>
      <c r="H4196">
        <v>0</v>
      </c>
      <c r="I4196">
        <v>0</v>
      </c>
      <c r="J4196">
        <v>0</v>
      </c>
      <c r="K4196">
        <v>0</v>
      </c>
      <c r="L4196">
        <v>0</v>
      </c>
      <c r="M4196">
        <v>0</v>
      </c>
      <c r="N4196">
        <v>0</v>
      </c>
      <c r="O4196">
        <v>0</v>
      </c>
      <c r="P4196">
        <v>0</v>
      </c>
      <c r="Q4196">
        <v>0</v>
      </c>
      <c r="R4196">
        <v>0</v>
      </c>
      <c r="S4196">
        <v>0</v>
      </c>
      <c r="T4196">
        <v>0</v>
      </c>
      <c r="U4196">
        <v>0</v>
      </c>
      <c r="V4196">
        <v>0</v>
      </c>
      <c r="W4196">
        <v>0</v>
      </c>
      <c r="X4196">
        <v>0</v>
      </c>
      <c r="Y4196" t="s">
        <v>51</v>
      </c>
      <c r="Z4196">
        <v>1000</v>
      </c>
      <c r="AA4196">
        <v>0</v>
      </c>
    </row>
    <row r="4197" spans="1:27" x14ac:dyDescent="0.2">
      <c r="A4197" t="s">
        <v>260</v>
      </c>
      <c r="B4197">
        <v>2024</v>
      </c>
      <c r="C4197">
        <v>19700006000</v>
      </c>
      <c r="D4197" t="s">
        <v>5256</v>
      </c>
      <c r="E4197" t="s">
        <v>29</v>
      </c>
      <c r="F4197" t="s">
        <v>30</v>
      </c>
      <c r="G4197">
        <v>0</v>
      </c>
      <c r="H4197">
        <v>0</v>
      </c>
      <c r="I4197">
        <v>0</v>
      </c>
      <c r="J4197">
        <v>0</v>
      </c>
      <c r="K4197">
        <v>0</v>
      </c>
      <c r="L4197">
        <v>0</v>
      </c>
      <c r="M4197">
        <v>0</v>
      </c>
      <c r="N4197">
        <v>0</v>
      </c>
      <c r="O4197">
        <v>0</v>
      </c>
      <c r="P4197">
        <v>0</v>
      </c>
      <c r="Q4197">
        <v>0</v>
      </c>
      <c r="R4197">
        <v>0</v>
      </c>
      <c r="S4197">
        <v>0</v>
      </c>
      <c r="T4197">
        <v>0</v>
      </c>
      <c r="U4197">
        <v>1</v>
      </c>
      <c r="V4197">
        <v>0</v>
      </c>
      <c r="W4197">
        <v>0</v>
      </c>
      <c r="X4197">
        <v>8</v>
      </c>
      <c r="Y4197" t="s">
        <v>51</v>
      </c>
      <c r="Z4197">
        <v>1000</v>
      </c>
      <c r="AA4197">
        <v>0</v>
      </c>
    </row>
    <row r="4198" spans="1:27" x14ac:dyDescent="0.2">
      <c r="A4198" t="s">
        <v>3245</v>
      </c>
      <c r="B4198">
        <v>2024</v>
      </c>
      <c r="C4198" t="s">
        <v>3246</v>
      </c>
      <c r="D4198" t="s">
        <v>5257</v>
      </c>
      <c r="E4198" t="s">
        <v>29</v>
      </c>
      <c r="F4198" t="s">
        <v>30</v>
      </c>
      <c r="G4198">
        <v>0</v>
      </c>
      <c r="H4198">
        <v>0</v>
      </c>
      <c r="I4198">
        <v>0</v>
      </c>
      <c r="J4198">
        <v>0</v>
      </c>
      <c r="K4198">
        <v>0</v>
      </c>
      <c r="L4198">
        <v>0</v>
      </c>
      <c r="M4198">
        <v>16</v>
      </c>
      <c r="N4198">
        <v>0</v>
      </c>
      <c r="O4198">
        <v>0</v>
      </c>
      <c r="P4198">
        <v>0</v>
      </c>
      <c r="Q4198">
        <v>0</v>
      </c>
      <c r="R4198">
        <v>0</v>
      </c>
      <c r="S4198">
        <v>0</v>
      </c>
      <c r="T4198">
        <v>0</v>
      </c>
      <c r="U4198">
        <v>0</v>
      </c>
      <c r="V4198">
        <v>0</v>
      </c>
      <c r="W4198">
        <v>0</v>
      </c>
      <c r="X4198">
        <v>0</v>
      </c>
      <c r="Y4198" t="s">
        <v>31</v>
      </c>
      <c r="Z4198">
        <v>55</v>
      </c>
      <c r="AA4198" s="2" t="s">
        <v>3248</v>
      </c>
    </row>
    <row r="4199" spans="1:27" x14ac:dyDescent="0.2">
      <c r="A4199" t="s">
        <v>1500</v>
      </c>
      <c r="B4199">
        <v>2024</v>
      </c>
      <c r="C4199">
        <v>4070001001</v>
      </c>
      <c r="D4199" t="s">
        <v>5258</v>
      </c>
      <c r="E4199" t="s">
        <v>29</v>
      </c>
      <c r="F4199" t="s">
        <v>30</v>
      </c>
      <c r="G4199">
        <v>9</v>
      </c>
      <c r="H4199">
        <v>0</v>
      </c>
      <c r="I4199">
        <v>6</v>
      </c>
      <c r="J4199">
        <v>0</v>
      </c>
      <c r="K4199">
        <v>0</v>
      </c>
      <c r="L4199">
        <v>0</v>
      </c>
      <c r="M4199">
        <v>0</v>
      </c>
      <c r="N4199">
        <v>0</v>
      </c>
      <c r="O4199">
        <v>0</v>
      </c>
      <c r="P4199">
        <v>0</v>
      </c>
      <c r="Q4199">
        <v>0</v>
      </c>
      <c r="R4199">
        <v>0</v>
      </c>
      <c r="S4199">
        <v>0</v>
      </c>
      <c r="T4199">
        <v>0</v>
      </c>
      <c r="U4199">
        <v>0</v>
      </c>
      <c r="V4199">
        <v>0</v>
      </c>
      <c r="W4199">
        <v>0</v>
      </c>
      <c r="X4199">
        <v>0</v>
      </c>
      <c r="Y4199" t="s">
        <v>31</v>
      </c>
      <c r="Z4199">
        <v>55</v>
      </c>
      <c r="AA4199" s="2" t="s">
        <v>5259</v>
      </c>
    </row>
    <row r="4200" spans="1:27" x14ac:dyDescent="0.2">
      <c r="A4200" t="s">
        <v>1500</v>
      </c>
      <c r="B4200">
        <v>2024</v>
      </c>
      <c r="C4200" t="s">
        <v>5260</v>
      </c>
      <c r="D4200" t="s">
        <v>5261</v>
      </c>
      <c r="E4200" t="s">
        <v>29</v>
      </c>
      <c r="F4200" t="s">
        <v>30</v>
      </c>
      <c r="G4200">
        <v>6</v>
      </c>
      <c r="H4200">
        <v>0</v>
      </c>
      <c r="I4200">
        <v>0</v>
      </c>
      <c r="J4200">
        <v>0</v>
      </c>
      <c r="K4200">
        <v>0</v>
      </c>
      <c r="L4200">
        <v>0</v>
      </c>
      <c r="M4200">
        <v>0</v>
      </c>
      <c r="N4200">
        <v>0</v>
      </c>
      <c r="O4200">
        <v>0</v>
      </c>
      <c r="P4200">
        <v>0</v>
      </c>
      <c r="Q4200">
        <v>0</v>
      </c>
      <c r="R4200">
        <v>0</v>
      </c>
      <c r="S4200">
        <v>0</v>
      </c>
      <c r="T4200">
        <v>0</v>
      </c>
      <c r="U4200">
        <v>0</v>
      </c>
      <c r="V4200">
        <v>0</v>
      </c>
      <c r="W4200">
        <v>0</v>
      </c>
      <c r="X4200">
        <v>0</v>
      </c>
      <c r="Y4200" t="s">
        <v>31</v>
      </c>
      <c r="Z4200">
        <v>55</v>
      </c>
      <c r="AA4200" s="2" t="s">
        <v>5262</v>
      </c>
    </row>
    <row r="4201" spans="1:27" x14ac:dyDescent="0.2">
      <c r="A4201" t="s">
        <v>1247</v>
      </c>
      <c r="B4201">
        <v>2021</v>
      </c>
      <c r="C4201">
        <v>125061028</v>
      </c>
      <c r="D4201" t="s">
        <v>5263</v>
      </c>
      <c r="E4201" t="s">
        <v>29</v>
      </c>
      <c r="F4201" t="s">
        <v>30</v>
      </c>
      <c r="G4201">
        <v>0</v>
      </c>
      <c r="H4201">
        <v>0</v>
      </c>
      <c r="I4201">
        <v>0</v>
      </c>
      <c r="J4201">
        <v>0</v>
      </c>
      <c r="K4201">
        <v>0</v>
      </c>
      <c r="L4201">
        <v>0</v>
      </c>
      <c r="M4201">
        <v>0</v>
      </c>
      <c r="N4201">
        <v>0</v>
      </c>
      <c r="O4201">
        <v>0</v>
      </c>
      <c r="P4201">
        <v>0</v>
      </c>
      <c r="Q4201">
        <v>0</v>
      </c>
      <c r="R4201">
        <v>0</v>
      </c>
      <c r="S4201">
        <v>26</v>
      </c>
      <c r="T4201">
        <v>0</v>
      </c>
      <c r="U4201">
        <v>14</v>
      </c>
      <c r="V4201">
        <v>0</v>
      </c>
      <c r="W4201">
        <v>0</v>
      </c>
      <c r="X4201">
        <v>0</v>
      </c>
      <c r="Y4201" t="s">
        <v>31</v>
      </c>
      <c r="Z4201">
        <v>55</v>
      </c>
      <c r="AA4201">
        <v>35</v>
      </c>
    </row>
    <row r="4202" spans="1:27" x14ac:dyDescent="0.2">
      <c r="A4202" t="s">
        <v>1247</v>
      </c>
      <c r="B4202">
        <v>2021</v>
      </c>
      <c r="C4202">
        <v>125521008</v>
      </c>
      <c r="D4202" t="s">
        <v>5264</v>
      </c>
      <c r="E4202" t="s">
        <v>29</v>
      </c>
      <c r="F4202" t="s">
        <v>30</v>
      </c>
      <c r="G4202">
        <v>0</v>
      </c>
      <c r="H4202">
        <v>0</v>
      </c>
      <c r="I4202">
        <v>0</v>
      </c>
      <c r="J4202">
        <v>0</v>
      </c>
      <c r="K4202">
        <v>0</v>
      </c>
      <c r="L4202">
        <v>50</v>
      </c>
      <c r="M4202">
        <v>0</v>
      </c>
      <c r="N4202">
        <v>0</v>
      </c>
      <c r="O4202">
        <v>0</v>
      </c>
      <c r="P4202">
        <v>0</v>
      </c>
      <c r="Q4202">
        <v>0</v>
      </c>
      <c r="R4202">
        <v>0</v>
      </c>
      <c r="S4202">
        <v>0</v>
      </c>
      <c r="T4202">
        <v>0</v>
      </c>
      <c r="U4202">
        <v>0</v>
      </c>
      <c r="V4202">
        <v>0</v>
      </c>
      <c r="W4202">
        <v>0</v>
      </c>
      <c r="X4202">
        <v>0</v>
      </c>
      <c r="Y4202" t="s">
        <v>31</v>
      </c>
      <c r="Z4202">
        <v>55</v>
      </c>
      <c r="AA4202">
        <v>2</v>
      </c>
    </row>
    <row r="4203" spans="1:27" x14ac:dyDescent="0.2">
      <c r="A4203" t="s">
        <v>48</v>
      </c>
      <c r="B4203">
        <v>2019</v>
      </c>
      <c r="C4203" t="s">
        <v>338</v>
      </c>
      <c r="D4203" t="s">
        <v>5265</v>
      </c>
      <c r="E4203" t="s">
        <v>29</v>
      </c>
      <c r="F4203" t="s">
        <v>30</v>
      </c>
      <c r="G4203">
        <v>0</v>
      </c>
      <c r="H4203">
        <v>0</v>
      </c>
      <c r="I4203">
        <v>0</v>
      </c>
      <c r="J4203">
        <v>0</v>
      </c>
      <c r="K4203">
        <v>0</v>
      </c>
      <c r="L4203">
        <v>0</v>
      </c>
      <c r="M4203">
        <v>0</v>
      </c>
      <c r="N4203">
        <v>0</v>
      </c>
      <c r="O4203">
        <v>1</v>
      </c>
      <c r="P4203">
        <v>0</v>
      </c>
      <c r="Q4203">
        <v>1</v>
      </c>
      <c r="R4203">
        <v>0</v>
      </c>
      <c r="S4203">
        <v>0</v>
      </c>
      <c r="T4203">
        <v>0</v>
      </c>
      <c r="U4203">
        <v>0</v>
      </c>
      <c r="V4203">
        <v>0</v>
      </c>
      <c r="W4203">
        <v>0</v>
      </c>
      <c r="X4203">
        <v>0</v>
      </c>
      <c r="Y4203" t="s">
        <v>51</v>
      </c>
      <c r="Z4203">
        <v>55</v>
      </c>
      <c r="AA4203">
        <v>0</v>
      </c>
    </row>
    <row r="4204" spans="1:27" x14ac:dyDescent="0.2">
      <c r="A4204" t="s">
        <v>48</v>
      </c>
      <c r="B4204">
        <v>2019</v>
      </c>
      <c r="C4204" t="s">
        <v>3135</v>
      </c>
      <c r="D4204" t="s">
        <v>5266</v>
      </c>
      <c r="E4204" t="s">
        <v>29</v>
      </c>
      <c r="F4204" t="s">
        <v>30</v>
      </c>
      <c r="G4204">
        <v>0</v>
      </c>
      <c r="H4204">
        <v>0</v>
      </c>
      <c r="I4204">
        <v>0</v>
      </c>
      <c r="J4204">
        <v>0</v>
      </c>
      <c r="K4204">
        <v>0</v>
      </c>
      <c r="L4204">
        <v>0</v>
      </c>
      <c r="M4204">
        <v>0</v>
      </c>
      <c r="N4204">
        <v>0</v>
      </c>
      <c r="O4204">
        <v>0</v>
      </c>
      <c r="P4204">
        <v>0</v>
      </c>
      <c r="Q4204">
        <v>1</v>
      </c>
      <c r="R4204">
        <v>0</v>
      </c>
      <c r="S4204">
        <v>0</v>
      </c>
      <c r="T4204">
        <v>0</v>
      </c>
      <c r="U4204">
        <v>0</v>
      </c>
      <c r="V4204">
        <v>0</v>
      </c>
      <c r="W4204">
        <v>0</v>
      </c>
      <c r="X4204">
        <v>0</v>
      </c>
      <c r="Y4204" t="s">
        <v>51</v>
      </c>
      <c r="Z4204">
        <v>55</v>
      </c>
      <c r="AA4204">
        <v>0</v>
      </c>
    </row>
    <row r="4205" spans="1:27" x14ac:dyDescent="0.2">
      <c r="A4205" t="s">
        <v>48</v>
      </c>
      <c r="B4205">
        <v>2019</v>
      </c>
      <c r="C4205" t="s">
        <v>65</v>
      </c>
      <c r="D4205" t="s">
        <v>5267</v>
      </c>
      <c r="E4205" t="s">
        <v>29</v>
      </c>
      <c r="F4205" t="s">
        <v>30</v>
      </c>
      <c r="G4205">
        <v>0</v>
      </c>
      <c r="H4205">
        <v>0</v>
      </c>
      <c r="I4205">
        <v>0</v>
      </c>
      <c r="J4205">
        <v>0</v>
      </c>
      <c r="K4205">
        <v>0</v>
      </c>
      <c r="L4205">
        <v>0</v>
      </c>
      <c r="M4205">
        <v>0</v>
      </c>
      <c r="N4205">
        <v>0</v>
      </c>
      <c r="O4205">
        <v>0</v>
      </c>
      <c r="P4205">
        <v>0</v>
      </c>
      <c r="Q4205">
        <v>1</v>
      </c>
      <c r="R4205">
        <v>0</v>
      </c>
      <c r="S4205">
        <v>0</v>
      </c>
      <c r="T4205">
        <v>0</v>
      </c>
      <c r="U4205">
        <v>0</v>
      </c>
      <c r="V4205">
        <v>0</v>
      </c>
      <c r="W4205">
        <v>0</v>
      </c>
      <c r="X4205">
        <v>0</v>
      </c>
      <c r="Y4205" t="s">
        <v>51</v>
      </c>
      <c r="Z4205">
        <v>55</v>
      </c>
      <c r="AA4205">
        <v>0</v>
      </c>
    </row>
    <row r="4206" spans="1:27" ht="102" x14ac:dyDescent="0.2">
      <c r="A4206" t="s">
        <v>260</v>
      </c>
      <c r="B4206">
        <v>2024</v>
      </c>
      <c r="C4206" t="s">
        <v>5268</v>
      </c>
      <c r="D4206" s="1" t="s">
        <v>5269</v>
      </c>
      <c r="E4206" t="s">
        <v>29</v>
      </c>
      <c r="F4206" t="s">
        <v>41</v>
      </c>
      <c r="G4206">
        <v>0</v>
      </c>
      <c r="H4206">
        <v>0</v>
      </c>
      <c r="I4206">
        <v>0</v>
      </c>
      <c r="J4206">
        <v>0</v>
      </c>
      <c r="K4206">
        <v>0</v>
      </c>
      <c r="L4206">
        <v>0</v>
      </c>
      <c r="M4206">
        <v>0</v>
      </c>
      <c r="N4206">
        <v>0</v>
      </c>
      <c r="O4206">
        <v>0</v>
      </c>
      <c r="P4206">
        <v>0</v>
      </c>
      <c r="Q4206">
        <v>0</v>
      </c>
      <c r="R4206">
        <v>0</v>
      </c>
      <c r="S4206">
        <v>0</v>
      </c>
      <c r="T4206">
        <v>0</v>
      </c>
      <c r="U4206">
        <v>0</v>
      </c>
      <c r="V4206">
        <v>0</v>
      </c>
      <c r="W4206">
        <v>0</v>
      </c>
      <c r="X4206">
        <v>0</v>
      </c>
      <c r="Y4206" t="s">
        <v>31</v>
      </c>
      <c r="Z4206">
        <v>1000</v>
      </c>
      <c r="AA4206">
        <v>0.5</v>
      </c>
    </row>
    <row r="4207" spans="1:27" x14ac:dyDescent="0.2">
      <c r="A4207" t="s">
        <v>3564</v>
      </c>
      <c r="B4207">
        <v>2024</v>
      </c>
      <c r="C4207" t="s">
        <v>3565</v>
      </c>
      <c r="D4207" t="s">
        <v>3566</v>
      </c>
      <c r="E4207" t="s">
        <v>29</v>
      </c>
      <c r="F4207" t="s">
        <v>30</v>
      </c>
      <c r="G4207">
        <v>0</v>
      </c>
      <c r="H4207">
        <v>0</v>
      </c>
      <c r="I4207">
        <v>0</v>
      </c>
      <c r="J4207">
        <v>0</v>
      </c>
      <c r="K4207">
        <v>0</v>
      </c>
      <c r="L4207">
        <v>0</v>
      </c>
      <c r="M4207">
        <v>1</v>
      </c>
      <c r="N4207">
        <v>0</v>
      </c>
      <c r="O4207">
        <v>0</v>
      </c>
      <c r="P4207">
        <v>0</v>
      </c>
      <c r="Q4207">
        <v>0</v>
      </c>
      <c r="R4207">
        <v>0</v>
      </c>
      <c r="S4207">
        <v>0</v>
      </c>
      <c r="T4207">
        <v>0</v>
      </c>
      <c r="U4207">
        <v>0</v>
      </c>
      <c r="V4207">
        <v>0</v>
      </c>
      <c r="W4207">
        <v>0</v>
      </c>
      <c r="X4207">
        <v>0</v>
      </c>
      <c r="Y4207" t="s">
        <v>31</v>
      </c>
      <c r="Z4207">
        <v>55</v>
      </c>
      <c r="AA4207" s="2" t="s">
        <v>3244</v>
      </c>
    </row>
    <row r="4208" spans="1:27" x14ac:dyDescent="0.2">
      <c r="A4208" t="s">
        <v>1769</v>
      </c>
      <c r="B4208">
        <v>2024</v>
      </c>
      <c r="C4208" t="s">
        <v>5270</v>
      </c>
      <c r="D4208" t="s">
        <v>5271</v>
      </c>
      <c r="E4208" t="s">
        <v>29</v>
      </c>
      <c r="F4208" t="s">
        <v>30</v>
      </c>
      <c r="G4208">
        <v>0</v>
      </c>
      <c r="H4208">
        <v>0</v>
      </c>
      <c r="I4208">
        <v>0</v>
      </c>
      <c r="J4208">
        <v>0</v>
      </c>
      <c r="K4208">
        <v>0</v>
      </c>
      <c r="L4208">
        <v>0</v>
      </c>
      <c r="M4208">
        <v>3</v>
      </c>
      <c r="N4208">
        <v>0</v>
      </c>
      <c r="O4208">
        <v>0</v>
      </c>
      <c r="P4208">
        <v>0</v>
      </c>
      <c r="Q4208">
        <v>0</v>
      </c>
      <c r="R4208">
        <v>0</v>
      </c>
      <c r="S4208">
        <v>0</v>
      </c>
      <c r="T4208">
        <v>0</v>
      </c>
      <c r="U4208">
        <v>0</v>
      </c>
      <c r="V4208">
        <v>0</v>
      </c>
      <c r="W4208">
        <v>0</v>
      </c>
      <c r="X4208">
        <v>0</v>
      </c>
      <c r="Y4208" t="s">
        <v>31</v>
      </c>
      <c r="AA4208" s="2" t="s">
        <v>3316</v>
      </c>
    </row>
    <row r="4209" spans="1:27" x14ac:dyDescent="0.2">
      <c r="A4209" t="s">
        <v>649</v>
      </c>
      <c r="B4209">
        <v>2024</v>
      </c>
      <c r="C4209">
        <v>3112003013</v>
      </c>
      <c r="D4209" t="s">
        <v>5272</v>
      </c>
      <c r="E4209" t="s">
        <v>29</v>
      </c>
      <c r="F4209" t="s">
        <v>30</v>
      </c>
      <c r="G4209">
        <v>0</v>
      </c>
      <c r="H4209">
        <v>0</v>
      </c>
      <c r="I4209">
        <v>0</v>
      </c>
      <c r="J4209">
        <v>0</v>
      </c>
      <c r="K4209">
        <v>0</v>
      </c>
      <c r="L4209">
        <v>0</v>
      </c>
      <c r="M4209">
        <v>0</v>
      </c>
      <c r="N4209">
        <v>0</v>
      </c>
      <c r="O4209">
        <v>0</v>
      </c>
      <c r="P4209">
        <v>0</v>
      </c>
      <c r="Q4209">
        <v>0</v>
      </c>
      <c r="R4209">
        <v>0</v>
      </c>
      <c r="S4209">
        <v>0</v>
      </c>
      <c r="T4209">
        <v>0</v>
      </c>
      <c r="U4209">
        <v>16</v>
      </c>
      <c r="V4209">
        <v>0</v>
      </c>
      <c r="W4209">
        <v>0</v>
      </c>
      <c r="X4209">
        <v>0</v>
      </c>
      <c r="Y4209" t="s">
        <v>31</v>
      </c>
      <c r="Z4209">
        <v>55</v>
      </c>
      <c r="AA4209">
        <v>0</v>
      </c>
    </row>
    <row r="4210" spans="1:27" x14ac:dyDescent="0.2">
      <c r="A4210" t="s">
        <v>649</v>
      </c>
      <c r="B4210">
        <v>2024</v>
      </c>
      <c r="C4210">
        <v>3133002026</v>
      </c>
      <c r="D4210" t="s">
        <v>5273</v>
      </c>
      <c r="E4210" t="s">
        <v>29</v>
      </c>
      <c r="F4210" t="s">
        <v>30</v>
      </c>
      <c r="G4210">
        <v>0</v>
      </c>
      <c r="H4210">
        <v>0</v>
      </c>
      <c r="I4210">
        <v>0</v>
      </c>
      <c r="J4210">
        <v>0</v>
      </c>
      <c r="K4210">
        <v>0</v>
      </c>
      <c r="L4210">
        <v>0</v>
      </c>
      <c r="M4210">
        <v>0</v>
      </c>
      <c r="N4210">
        <v>0</v>
      </c>
      <c r="O4210">
        <v>0</v>
      </c>
      <c r="P4210">
        <v>0</v>
      </c>
      <c r="Q4210">
        <v>0</v>
      </c>
      <c r="R4210">
        <v>0</v>
      </c>
      <c r="S4210">
        <v>0</v>
      </c>
      <c r="T4210">
        <v>0</v>
      </c>
      <c r="U4210">
        <v>69</v>
      </c>
      <c r="V4210">
        <v>0</v>
      </c>
      <c r="W4210">
        <v>0</v>
      </c>
      <c r="X4210">
        <v>0</v>
      </c>
      <c r="Y4210" t="s">
        <v>31</v>
      </c>
      <c r="Z4210">
        <v>55</v>
      </c>
      <c r="AA4210">
        <v>0</v>
      </c>
    </row>
    <row r="4211" spans="1:27" x14ac:dyDescent="0.2">
      <c r="A4211" t="s">
        <v>649</v>
      </c>
      <c r="B4211">
        <v>2024</v>
      </c>
      <c r="C4211">
        <v>3148041001</v>
      </c>
      <c r="D4211" t="s">
        <v>5274</v>
      </c>
      <c r="E4211" t="s">
        <v>29</v>
      </c>
      <c r="F4211" t="s">
        <v>30</v>
      </c>
      <c r="G4211">
        <v>0</v>
      </c>
      <c r="H4211">
        <v>0</v>
      </c>
      <c r="I4211">
        <v>0</v>
      </c>
      <c r="J4211">
        <v>0</v>
      </c>
      <c r="K4211">
        <v>0</v>
      </c>
      <c r="L4211">
        <v>0</v>
      </c>
      <c r="M4211">
        <v>0</v>
      </c>
      <c r="N4211">
        <v>0</v>
      </c>
      <c r="O4211">
        <v>0</v>
      </c>
      <c r="P4211">
        <v>0</v>
      </c>
      <c r="Q4211">
        <v>0</v>
      </c>
      <c r="R4211">
        <v>0</v>
      </c>
      <c r="S4211">
        <v>0</v>
      </c>
      <c r="T4211">
        <v>0</v>
      </c>
      <c r="U4211">
        <v>24</v>
      </c>
      <c r="V4211">
        <v>0</v>
      </c>
      <c r="W4211">
        <v>0</v>
      </c>
      <c r="X4211">
        <v>0</v>
      </c>
      <c r="Y4211" t="s">
        <v>31</v>
      </c>
      <c r="Z4211">
        <v>55</v>
      </c>
      <c r="AA4211">
        <v>0</v>
      </c>
    </row>
    <row r="4212" spans="1:27" x14ac:dyDescent="0.2">
      <c r="A4212" t="s">
        <v>649</v>
      </c>
      <c r="B4212">
        <v>2024</v>
      </c>
      <c r="C4212">
        <v>3148041001</v>
      </c>
      <c r="D4212" t="s">
        <v>5275</v>
      </c>
      <c r="E4212" t="s">
        <v>29</v>
      </c>
      <c r="F4212" t="s">
        <v>30</v>
      </c>
      <c r="G4212">
        <v>0</v>
      </c>
      <c r="H4212">
        <v>0</v>
      </c>
      <c r="I4212">
        <v>0</v>
      </c>
      <c r="J4212">
        <v>0</v>
      </c>
      <c r="K4212">
        <v>0</v>
      </c>
      <c r="L4212">
        <v>0</v>
      </c>
      <c r="M4212">
        <v>0</v>
      </c>
      <c r="N4212">
        <v>0</v>
      </c>
      <c r="O4212">
        <v>0</v>
      </c>
      <c r="P4212">
        <v>0</v>
      </c>
      <c r="Q4212">
        <v>0</v>
      </c>
      <c r="R4212">
        <v>0</v>
      </c>
      <c r="S4212">
        <v>0</v>
      </c>
      <c r="T4212">
        <v>0</v>
      </c>
      <c r="U4212">
        <v>24</v>
      </c>
      <c r="V4212">
        <v>0</v>
      </c>
      <c r="W4212">
        <v>0</v>
      </c>
      <c r="X4212">
        <v>0</v>
      </c>
      <c r="Y4212" t="s">
        <v>31</v>
      </c>
      <c r="Z4212">
        <v>55</v>
      </c>
      <c r="AA4212">
        <v>0</v>
      </c>
    </row>
    <row r="4213" spans="1:27" x14ac:dyDescent="0.2">
      <c r="A4213" t="s">
        <v>649</v>
      </c>
      <c r="B4213">
        <v>2024</v>
      </c>
      <c r="C4213">
        <v>3148041001</v>
      </c>
      <c r="D4213" t="s">
        <v>5276</v>
      </c>
      <c r="E4213" t="s">
        <v>29</v>
      </c>
      <c r="F4213" t="s">
        <v>30</v>
      </c>
      <c r="G4213">
        <v>0</v>
      </c>
      <c r="H4213">
        <v>0</v>
      </c>
      <c r="I4213">
        <v>0</v>
      </c>
      <c r="J4213">
        <v>0</v>
      </c>
      <c r="K4213">
        <v>0</v>
      </c>
      <c r="L4213">
        <v>0</v>
      </c>
      <c r="M4213">
        <v>0</v>
      </c>
      <c r="N4213">
        <v>0</v>
      </c>
      <c r="O4213">
        <v>0</v>
      </c>
      <c r="P4213">
        <v>0</v>
      </c>
      <c r="Q4213">
        <v>0</v>
      </c>
      <c r="R4213">
        <v>0</v>
      </c>
      <c r="S4213">
        <v>0</v>
      </c>
      <c r="T4213">
        <v>0</v>
      </c>
      <c r="U4213">
        <v>24</v>
      </c>
      <c r="V4213">
        <v>0</v>
      </c>
      <c r="W4213">
        <v>0</v>
      </c>
      <c r="X4213">
        <v>0</v>
      </c>
      <c r="Y4213" t="s">
        <v>31</v>
      </c>
      <c r="Z4213">
        <v>55</v>
      </c>
      <c r="AA4213">
        <v>0</v>
      </c>
    </row>
    <row r="4214" spans="1:27" x14ac:dyDescent="0.2">
      <c r="A4214" t="s">
        <v>278</v>
      </c>
      <c r="B4214">
        <v>2018</v>
      </c>
      <c r="C4214" t="s">
        <v>5277</v>
      </c>
      <c r="D4214" t="s">
        <v>5278</v>
      </c>
      <c r="E4214" t="s">
        <v>29</v>
      </c>
      <c r="F4214" t="s">
        <v>30</v>
      </c>
      <c r="G4214">
        <v>0</v>
      </c>
      <c r="H4214">
        <v>0</v>
      </c>
      <c r="I4214">
        <v>14</v>
      </c>
      <c r="J4214">
        <v>0</v>
      </c>
      <c r="K4214">
        <v>18</v>
      </c>
      <c r="L4214">
        <v>0</v>
      </c>
      <c r="M4214">
        <v>0</v>
      </c>
      <c r="N4214">
        <v>0</v>
      </c>
      <c r="O4214">
        <v>0</v>
      </c>
      <c r="P4214">
        <v>0</v>
      </c>
      <c r="Q4214">
        <v>0</v>
      </c>
      <c r="R4214">
        <v>0</v>
      </c>
      <c r="S4214">
        <v>0</v>
      </c>
      <c r="T4214">
        <v>0</v>
      </c>
      <c r="U4214">
        <v>0</v>
      </c>
      <c r="V4214">
        <v>0</v>
      </c>
      <c r="W4214">
        <v>0</v>
      </c>
      <c r="X4214">
        <v>0</v>
      </c>
      <c r="Y4214" t="s">
        <v>51</v>
      </c>
      <c r="Z4214">
        <v>55</v>
      </c>
      <c r="AA4214">
        <v>0</v>
      </c>
    </row>
    <row r="4215" spans="1:27" x14ac:dyDescent="0.2">
      <c r="A4215" t="s">
        <v>278</v>
      </c>
      <c r="B4215">
        <v>2018</v>
      </c>
      <c r="C4215" t="s">
        <v>5279</v>
      </c>
      <c r="D4215" t="s">
        <v>5280</v>
      </c>
      <c r="E4215" t="s">
        <v>29</v>
      </c>
      <c r="F4215" t="s">
        <v>30</v>
      </c>
      <c r="G4215">
        <v>0</v>
      </c>
      <c r="H4215">
        <v>0</v>
      </c>
      <c r="I4215">
        <v>0</v>
      </c>
      <c r="J4215">
        <v>0</v>
      </c>
      <c r="K4215">
        <v>0</v>
      </c>
      <c r="L4215">
        <v>0</v>
      </c>
      <c r="M4215">
        <v>0</v>
      </c>
      <c r="N4215">
        <v>0</v>
      </c>
      <c r="O4215">
        <v>0</v>
      </c>
      <c r="P4215">
        <v>0</v>
      </c>
      <c r="Q4215">
        <v>0</v>
      </c>
      <c r="R4215">
        <v>0</v>
      </c>
      <c r="S4215">
        <v>0</v>
      </c>
      <c r="T4215">
        <v>0</v>
      </c>
      <c r="U4215">
        <v>6</v>
      </c>
      <c r="V4215">
        <v>0</v>
      </c>
      <c r="W4215">
        <v>0</v>
      </c>
      <c r="X4215">
        <v>0</v>
      </c>
      <c r="Y4215" t="s">
        <v>51</v>
      </c>
      <c r="Z4215">
        <v>55</v>
      </c>
      <c r="AA4215">
        <v>0</v>
      </c>
    </row>
    <row r="4216" spans="1:27" x14ac:dyDescent="0.2">
      <c r="A4216" t="s">
        <v>876</v>
      </c>
      <c r="B4216">
        <v>2021</v>
      </c>
      <c r="C4216">
        <v>41208061</v>
      </c>
      <c r="D4216" t="s">
        <v>878</v>
      </c>
      <c r="E4216" t="s">
        <v>29</v>
      </c>
      <c r="F4216" t="s">
        <v>41</v>
      </c>
      <c r="G4216">
        <v>0</v>
      </c>
      <c r="H4216">
        <v>0</v>
      </c>
      <c r="I4216">
        <v>0</v>
      </c>
      <c r="J4216">
        <v>0</v>
      </c>
      <c r="K4216">
        <v>0</v>
      </c>
      <c r="L4216">
        <v>0</v>
      </c>
      <c r="M4216">
        <v>0</v>
      </c>
      <c r="N4216">
        <v>0</v>
      </c>
      <c r="O4216">
        <v>0</v>
      </c>
      <c r="P4216">
        <v>0</v>
      </c>
      <c r="Q4216">
        <v>0</v>
      </c>
      <c r="R4216">
        <v>0</v>
      </c>
      <c r="S4216">
        <v>1</v>
      </c>
      <c r="T4216">
        <v>0</v>
      </c>
      <c r="U4216">
        <v>1</v>
      </c>
      <c r="V4216">
        <v>0</v>
      </c>
      <c r="W4216">
        <v>0</v>
      </c>
      <c r="X4216">
        <v>0</v>
      </c>
      <c r="Y4216" t="s">
        <v>31</v>
      </c>
      <c r="Z4216">
        <v>0</v>
      </c>
      <c r="AA4216">
        <v>0</v>
      </c>
    </row>
    <row r="4217" spans="1:27" x14ac:dyDescent="0.2">
      <c r="A4217" t="s">
        <v>2862</v>
      </c>
      <c r="B4217">
        <v>2024</v>
      </c>
      <c r="C4217" s="2" t="s">
        <v>5281</v>
      </c>
      <c r="D4217" t="s">
        <v>5282</v>
      </c>
      <c r="E4217" t="s">
        <v>29</v>
      </c>
      <c r="F4217" t="s">
        <v>30</v>
      </c>
      <c r="G4217">
        <v>1</v>
      </c>
      <c r="H4217">
        <v>0</v>
      </c>
      <c r="I4217">
        <v>0</v>
      </c>
      <c r="J4217">
        <v>0</v>
      </c>
      <c r="K4217">
        <v>0</v>
      </c>
      <c r="L4217">
        <v>0</v>
      </c>
      <c r="M4217">
        <v>0</v>
      </c>
      <c r="N4217">
        <v>0</v>
      </c>
      <c r="O4217">
        <v>0</v>
      </c>
      <c r="P4217">
        <v>0</v>
      </c>
      <c r="Q4217">
        <v>0</v>
      </c>
      <c r="R4217">
        <v>0</v>
      </c>
      <c r="S4217">
        <v>0</v>
      </c>
      <c r="T4217">
        <v>0</v>
      </c>
      <c r="U4217">
        <v>0</v>
      </c>
      <c r="V4217">
        <v>0</v>
      </c>
      <c r="W4217">
        <v>0</v>
      </c>
      <c r="X4217">
        <v>0</v>
      </c>
      <c r="Y4217" t="s">
        <v>31</v>
      </c>
      <c r="Z4217">
        <v>55</v>
      </c>
      <c r="AA4217" s="2" t="s">
        <v>5103</v>
      </c>
    </row>
    <row r="4218" spans="1:27" x14ac:dyDescent="0.2">
      <c r="A4218" t="s">
        <v>1500</v>
      </c>
      <c r="B4218">
        <v>2024</v>
      </c>
      <c r="C4218">
        <v>5828026005</v>
      </c>
      <c r="D4218" t="s">
        <v>2264</v>
      </c>
      <c r="E4218" t="s">
        <v>29</v>
      </c>
      <c r="F4218" t="s">
        <v>30</v>
      </c>
      <c r="G4218">
        <v>0</v>
      </c>
      <c r="H4218">
        <v>0</v>
      </c>
      <c r="I4218">
        <v>0</v>
      </c>
      <c r="J4218">
        <v>0</v>
      </c>
      <c r="K4218">
        <v>0</v>
      </c>
      <c r="L4218">
        <v>0</v>
      </c>
      <c r="M4218">
        <v>0</v>
      </c>
      <c r="N4218">
        <v>0</v>
      </c>
      <c r="O4218">
        <v>0</v>
      </c>
      <c r="P4218">
        <v>0</v>
      </c>
      <c r="Q4218">
        <v>0</v>
      </c>
      <c r="R4218">
        <v>0</v>
      </c>
      <c r="S4218">
        <v>66</v>
      </c>
      <c r="T4218">
        <v>0</v>
      </c>
      <c r="U4218">
        <v>4</v>
      </c>
      <c r="V4218">
        <v>0</v>
      </c>
      <c r="W4218">
        <v>0</v>
      </c>
      <c r="X4218">
        <v>0</v>
      </c>
      <c r="Y4218" t="s">
        <v>31</v>
      </c>
      <c r="Z4218">
        <v>55</v>
      </c>
      <c r="AA4218" s="2" t="s">
        <v>3273</v>
      </c>
    </row>
    <row r="4219" spans="1:27" x14ac:dyDescent="0.2">
      <c r="A4219" t="s">
        <v>313</v>
      </c>
      <c r="B4219">
        <v>2024</v>
      </c>
      <c r="C4219">
        <v>3018027036</v>
      </c>
      <c r="D4219" t="s">
        <v>5283</v>
      </c>
      <c r="E4219" t="s">
        <v>29</v>
      </c>
      <c r="F4219" t="s">
        <v>30</v>
      </c>
      <c r="G4219">
        <v>0</v>
      </c>
      <c r="H4219">
        <v>0</v>
      </c>
      <c r="I4219">
        <v>0</v>
      </c>
      <c r="J4219">
        <v>0</v>
      </c>
      <c r="K4219">
        <v>0</v>
      </c>
      <c r="L4219">
        <v>0</v>
      </c>
      <c r="M4219">
        <v>0</v>
      </c>
      <c r="N4219">
        <v>0</v>
      </c>
      <c r="O4219">
        <v>0</v>
      </c>
      <c r="P4219">
        <v>0</v>
      </c>
      <c r="Q4219">
        <v>0</v>
      </c>
      <c r="R4219">
        <v>0</v>
      </c>
      <c r="S4219">
        <v>0</v>
      </c>
      <c r="T4219">
        <v>0</v>
      </c>
      <c r="U4219">
        <v>149</v>
      </c>
      <c r="V4219">
        <v>0</v>
      </c>
      <c r="W4219">
        <v>0</v>
      </c>
      <c r="X4219">
        <v>0</v>
      </c>
      <c r="Y4219" t="s">
        <v>31</v>
      </c>
      <c r="AA4219" s="2" t="s">
        <v>3299</v>
      </c>
    </row>
    <row r="4220" spans="1:27" x14ac:dyDescent="0.2">
      <c r="A4220" t="s">
        <v>5127</v>
      </c>
      <c r="B4220">
        <v>2018</v>
      </c>
      <c r="C4220" t="s">
        <v>5284</v>
      </c>
      <c r="D4220" t="s">
        <v>5285</v>
      </c>
      <c r="E4220" t="s">
        <v>29</v>
      </c>
      <c r="F4220" t="s">
        <v>30</v>
      </c>
      <c r="G4220">
        <v>10</v>
      </c>
      <c r="H4220">
        <v>0</v>
      </c>
      <c r="I4220">
        <v>0</v>
      </c>
      <c r="J4220">
        <v>0</v>
      </c>
      <c r="K4220">
        <v>0</v>
      </c>
      <c r="L4220">
        <v>0</v>
      </c>
      <c r="M4220">
        <v>0</v>
      </c>
      <c r="N4220">
        <v>0</v>
      </c>
      <c r="O4220">
        <v>0</v>
      </c>
      <c r="P4220">
        <v>0</v>
      </c>
      <c r="Q4220">
        <v>0</v>
      </c>
      <c r="R4220">
        <v>0</v>
      </c>
      <c r="S4220">
        <v>0</v>
      </c>
      <c r="T4220">
        <v>0</v>
      </c>
      <c r="U4220">
        <v>0</v>
      </c>
      <c r="V4220">
        <v>0</v>
      </c>
      <c r="W4220">
        <v>0</v>
      </c>
      <c r="X4220">
        <v>0</v>
      </c>
      <c r="Y4220" t="s">
        <v>31</v>
      </c>
      <c r="Z4220">
        <v>55</v>
      </c>
      <c r="AA4220">
        <v>0</v>
      </c>
    </row>
    <row r="4221" spans="1:27" x14ac:dyDescent="0.2">
      <c r="A4221" t="s">
        <v>928</v>
      </c>
      <c r="B4221">
        <v>2024</v>
      </c>
      <c r="C4221" t="s">
        <v>5286</v>
      </c>
      <c r="D4221" t="s">
        <v>5287</v>
      </c>
      <c r="E4221" t="s">
        <v>29</v>
      </c>
      <c r="F4221" t="s">
        <v>41</v>
      </c>
      <c r="G4221">
        <v>0</v>
      </c>
      <c r="H4221">
        <v>0</v>
      </c>
      <c r="I4221">
        <v>0</v>
      </c>
      <c r="J4221">
        <v>0</v>
      </c>
      <c r="K4221">
        <v>0</v>
      </c>
      <c r="L4221">
        <v>0</v>
      </c>
      <c r="M4221">
        <v>0</v>
      </c>
      <c r="N4221">
        <v>0</v>
      </c>
      <c r="O4221">
        <v>1</v>
      </c>
      <c r="P4221">
        <v>0</v>
      </c>
      <c r="Q4221">
        <v>0</v>
      </c>
      <c r="R4221">
        <v>0</v>
      </c>
      <c r="S4221">
        <v>0</v>
      </c>
      <c r="T4221">
        <v>0</v>
      </c>
      <c r="U4221">
        <v>0</v>
      </c>
      <c r="V4221">
        <v>0</v>
      </c>
      <c r="W4221">
        <v>0</v>
      </c>
      <c r="X4221">
        <v>0</v>
      </c>
      <c r="Y4221" t="s">
        <v>51</v>
      </c>
      <c r="Z4221">
        <v>55</v>
      </c>
      <c r="AA4221">
        <v>0</v>
      </c>
    </row>
    <row r="4222" spans="1:27" x14ac:dyDescent="0.2">
      <c r="A4222" t="s">
        <v>1500</v>
      </c>
      <c r="B4222">
        <v>2024</v>
      </c>
      <c r="C4222">
        <v>6148003032</v>
      </c>
      <c r="D4222" t="s">
        <v>5288</v>
      </c>
      <c r="E4222" t="s">
        <v>29</v>
      </c>
      <c r="F4222" t="s">
        <v>30</v>
      </c>
      <c r="G4222">
        <v>0</v>
      </c>
      <c r="H4222">
        <v>0</v>
      </c>
      <c r="I4222">
        <v>25</v>
      </c>
      <c r="J4222">
        <v>0</v>
      </c>
      <c r="K4222">
        <v>95</v>
      </c>
      <c r="L4222">
        <v>0</v>
      </c>
      <c r="M4222">
        <v>0</v>
      </c>
      <c r="N4222">
        <v>0</v>
      </c>
      <c r="O4222">
        <v>0</v>
      </c>
      <c r="P4222">
        <v>0</v>
      </c>
      <c r="Q4222">
        <v>0</v>
      </c>
      <c r="R4222">
        <v>0</v>
      </c>
      <c r="S4222">
        <v>0</v>
      </c>
      <c r="T4222">
        <v>0</v>
      </c>
      <c r="U4222">
        <v>0</v>
      </c>
      <c r="V4222">
        <v>0</v>
      </c>
      <c r="W4222">
        <v>0</v>
      </c>
      <c r="X4222">
        <v>0</v>
      </c>
      <c r="Y4222" t="s">
        <v>31</v>
      </c>
      <c r="Z4222">
        <v>55</v>
      </c>
      <c r="AA4222" s="2" t="s">
        <v>5289</v>
      </c>
    </row>
    <row r="4223" spans="1:27" x14ac:dyDescent="0.2">
      <c r="A4223" t="s">
        <v>1500</v>
      </c>
      <c r="B4223">
        <v>2024</v>
      </c>
      <c r="C4223">
        <v>4036031023</v>
      </c>
      <c r="D4223" t="s">
        <v>5290</v>
      </c>
      <c r="E4223" t="s">
        <v>29</v>
      </c>
      <c r="F4223" t="s">
        <v>30</v>
      </c>
      <c r="G4223">
        <v>4</v>
      </c>
      <c r="H4223">
        <v>0</v>
      </c>
      <c r="I4223">
        <v>0</v>
      </c>
      <c r="J4223">
        <v>0</v>
      </c>
      <c r="K4223">
        <v>0</v>
      </c>
      <c r="L4223">
        <v>0</v>
      </c>
      <c r="M4223">
        <v>0</v>
      </c>
      <c r="N4223">
        <v>0</v>
      </c>
      <c r="O4223">
        <v>0</v>
      </c>
      <c r="P4223">
        <v>0</v>
      </c>
      <c r="Q4223">
        <v>0</v>
      </c>
      <c r="R4223">
        <v>0</v>
      </c>
      <c r="S4223">
        <v>0</v>
      </c>
      <c r="T4223">
        <v>0</v>
      </c>
      <c r="U4223">
        <v>0</v>
      </c>
      <c r="V4223">
        <v>0</v>
      </c>
      <c r="W4223">
        <v>0</v>
      </c>
      <c r="X4223">
        <v>0</v>
      </c>
      <c r="Y4223" t="s">
        <v>31</v>
      </c>
      <c r="Z4223">
        <v>55</v>
      </c>
      <c r="AA4223">
        <v>0</v>
      </c>
    </row>
    <row r="4224" spans="1:27" x14ac:dyDescent="0.2">
      <c r="A4224" t="s">
        <v>883</v>
      </c>
      <c r="B4224">
        <v>2018</v>
      </c>
      <c r="C4224" t="s">
        <v>5291</v>
      </c>
      <c r="D4224" t="s">
        <v>5292</v>
      </c>
      <c r="E4224" t="s">
        <v>29</v>
      </c>
      <c r="F4224" t="s">
        <v>41</v>
      </c>
      <c r="G4224">
        <v>0</v>
      </c>
      <c r="H4224">
        <v>0</v>
      </c>
      <c r="I4224">
        <v>0</v>
      </c>
      <c r="J4224">
        <v>0</v>
      </c>
      <c r="K4224">
        <v>0</v>
      </c>
      <c r="L4224">
        <v>0</v>
      </c>
      <c r="M4224">
        <v>0</v>
      </c>
      <c r="N4224">
        <v>0</v>
      </c>
      <c r="O4224">
        <v>0</v>
      </c>
      <c r="P4224">
        <v>0</v>
      </c>
      <c r="Q4224">
        <v>0</v>
      </c>
      <c r="R4224">
        <v>0</v>
      </c>
      <c r="S4224">
        <v>0</v>
      </c>
      <c r="T4224">
        <v>0</v>
      </c>
      <c r="U4224">
        <v>0</v>
      </c>
      <c r="V4224">
        <v>0</v>
      </c>
      <c r="W4224">
        <v>1</v>
      </c>
      <c r="X4224">
        <v>0</v>
      </c>
      <c r="Y4224" t="s">
        <v>51</v>
      </c>
      <c r="Z4224">
        <v>45</v>
      </c>
      <c r="AA4224">
        <v>0</v>
      </c>
    </row>
    <row r="4225" spans="1:27" x14ac:dyDescent="0.2">
      <c r="A4225" t="s">
        <v>928</v>
      </c>
      <c r="B4225">
        <v>2024</v>
      </c>
      <c r="C4225" t="s">
        <v>3101</v>
      </c>
      <c r="D4225" t="s">
        <v>3102</v>
      </c>
      <c r="E4225" t="s">
        <v>29</v>
      </c>
      <c r="F4225" t="s">
        <v>41</v>
      </c>
      <c r="G4225">
        <v>0</v>
      </c>
      <c r="H4225">
        <v>0</v>
      </c>
      <c r="I4225">
        <v>0</v>
      </c>
      <c r="J4225">
        <v>0</v>
      </c>
      <c r="K4225">
        <v>0</v>
      </c>
      <c r="L4225">
        <v>0</v>
      </c>
      <c r="M4225">
        <v>0</v>
      </c>
      <c r="N4225">
        <v>0</v>
      </c>
      <c r="O4225">
        <v>0</v>
      </c>
      <c r="P4225">
        <v>0</v>
      </c>
      <c r="Q4225">
        <v>0</v>
      </c>
      <c r="R4225">
        <v>0</v>
      </c>
      <c r="S4225">
        <v>0</v>
      </c>
      <c r="T4225">
        <v>0</v>
      </c>
      <c r="U4225">
        <v>1</v>
      </c>
      <c r="V4225">
        <v>0</v>
      </c>
      <c r="W4225">
        <v>0</v>
      </c>
      <c r="X4225">
        <v>0</v>
      </c>
      <c r="Y4225" t="s">
        <v>51</v>
      </c>
      <c r="Z4225">
        <v>55</v>
      </c>
      <c r="AA4225">
        <v>0</v>
      </c>
    </row>
    <row r="4226" spans="1:27" x14ac:dyDescent="0.2">
      <c r="A4226" t="s">
        <v>2419</v>
      </c>
      <c r="B4226">
        <v>2020</v>
      </c>
      <c r="C4226">
        <v>60237018</v>
      </c>
      <c r="D4226" t="s">
        <v>2420</v>
      </c>
      <c r="E4226" t="s">
        <v>29</v>
      </c>
      <c r="F4226" t="s">
        <v>30</v>
      </c>
      <c r="G4226">
        <v>0</v>
      </c>
      <c r="H4226">
        <v>0</v>
      </c>
      <c r="I4226">
        <v>3</v>
      </c>
      <c r="J4226">
        <v>0</v>
      </c>
      <c r="K4226">
        <v>0</v>
      </c>
      <c r="L4226">
        <v>0</v>
      </c>
      <c r="M4226">
        <v>0</v>
      </c>
      <c r="N4226">
        <v>0</v>
      </c>
      <c r="O4226">
        <v>3</v>
      </c>
      <c r="P4226">
        <v>0</v>
      </c>
      <c r="Q4226">
        <v>0</v>
      </c>
      <c r="R4226">
        <v>16</v>
      </c>
      <c r="S4226">
        <v>0</v>
      </c>
      <c r="T4226">
        <v>0</v>
      </c>
      <c r="U4226">
        <v>0</v>
      </c>
      <c r="V4226">
        <v>0</v>
      </c>
      <c r="W4226">
        <v>0</v>
      </c>
      <c r="X4226">
        <v>0</v>
      </c>
      <c r="Y4226" t="s">
        <v>31</v>
      </c>
      <c r="Z4226">
        <v>30</v>
      </c>
      <c r="AA4226">
        <v>0</v>
      </c>
    </row>
    <row r="4227" spans="1:27" x14ac:dyDescent="0.2">
      <c r="A4227" t="s">
        <v>4981</v>
      </c>
      <c r="B4227">
        <v>2024</v>
      </c>
      <c r="C4227" t="s">
        <v>5293</v>
      </c>
      <c r="D4227" t="s">
        <v>4982</v>
      </c>
      <c r="E4227" t="s">
        <v>29</v>
      </c>
      <c r="F4227" t="s">
        <v>30</v>
      </c>
      <c r="G4227">
        <v>0</v>
      </c>
      <c r="H4227">
        <v>0</v>
      </c>
      <c r="I4227">
        <v>91</v>
      </c>
      <c r="J4227">
        <v>0</v>
      </c>
      <c r="K4227">
        <v>23</v>
      </c>
      <c r="L4227">
        <v>0</v>
      </c>
      <c r="M4227">
        <v>0</v>
      </c>
      <c r="N4227">
        <v>0</v>
      </c>
      <c r="O4227">
        <v>0</v>
      </c>
      <c r="P4227">
        <v>0</v>
      </c>
      <c r="Q4227">
        <v>0</v>
      </c>
      <c r="R4227">
        <v>0</v>
      </c>
      <c r="S4227">
        <v>0</v>
      </c>
      <c r="T4227">
        <v>0</v>
      </c>
      <c r="U4227">
        <v>0</v>
      </c>
      <c r="V4227">
        <v>0</v>
      </c>
      <c r="W4227">
        <v>0</v>
      </c>
      <c r="X4227">
        <v>0</v>
      </c>
      <c r="Y4227" t="s">
        <v>31</v>
      </c>
      <c r="Z4227">
        <v>55</v>
      </c>
      <c r="AA4227">
        <v>0</v>
      </c>
    </row>
    <row r="4228" spans="1:27" x14ac:dyDescent="0.2">
      <c r="A4228" t="s">
        <v>1176</v>
      </c>
      <c r="B4228">
        <v>2024</v>
      </c>
      <c r="C4228" t="s">
        <v>5294</v>
      </c>
      <c r="D4228" t="s">
        <v>5295</v>
      </c>
      <c r="E4228" t="s">
        <v>29</v>
      </c>
      <c r="F4228" t="s">
        <v>41</v>
      </c>
      <c r="G4228">
        <v>0</v>
      </c>
      <c r="H4228">
        <v>0</v>
      </c>
      <c r="I4228">
        <v>0</v>
      </c>
      <c r="J4228">
        <v>0</v>
      </c>
      <c r="K4228">
        <v>0</v>
      </c>
      <c r="L4228">
        <v>0</v>
      </c>
      <c r="M4228">
        <v>0</v>
      </c>
      <c r="N4228">
        <v>0</v>
      </c>
      <c r="O4228">
        <v>0</v>
      </c>
      <c r="P4228">
        <v>0</v>
      </c>
      <c r="Q4228">
        <v>0</v>
      </c>
      <c r="R4228">
        <v>0</v>
      </c>
      <c r="S4228">
        <v>0</v>
      </c>
      <c r="T4228">
        <v>0</v>
      </c>
      <c r="U4228">
        <v>0</v>
      </c>
      <c r="V4228">
        <v>0</v>
      </c>
      <c r="W4228">
        <v>0</v>
      </c>
      <c r="X4228">
        <v>0</v>
      </c>
      <c r="Y4228" t="s">
        <v>31</v>
      </c>
      <c r="AA4228">
        <v>0</v>
      </c>
    </row>
    <row r="4229" spans="1:27" x14ac:dyDescent="0.2">
      <c r="A4229" t="s">
        <v>1176</v>
      </c>
      <c r="B4229">
        <v>2024</v>
      </c>
      <c r="C4229" t="s">
        <v>3466</v>
      </c>
      <c r="D4229" t="s">
        <v>3467</v>
      </c>
      <c r="E4229" t="s">
        <v>29</v>
      </c>
      <c r="F4229" t="s">
        <v>41</v>
      </c>
      <c r="G4229">
        <v>0</v>
      </c>
      <c r="H4229">
        <v>0</v>
      </c>
      <c r="I4229">
        <v>0</v>
      </c>
      <c r="J4229">
        <v>0</v>
      </c>
      <c r="K4229">
        <v>0</v>
      </c>
      <c r="L4229">
        <v>0</v>
      </c>
      <c r="M4229">
        <v>0</v>
      </c>
      <c r="N4229">
        <v>0</v>
      </c>
      <c r="O4229">
        <v>0</v>
      </c>
      <c r="P4229">
        <v>0</v>
      </c>
      <c r="Q4229">
        <v>0</v>
      </c>
      <c r="R4229">
        <v>0</v>
      </c>
      <c r="S4229">
        <v>0</v>
      </c>
      <c r="T4229">
        <v>0</v>
      </c>
      <c r="U4229">
        <v>0</v>
      </c>
      <c r="V4229">
        <v>0</v>
      </c>
      <c r="W4229">
        <v>0</v>
      </c>
      <c r="X4229">
        <v>0</v>
      </c>
      <c r="Y4229" t="s">
        <v>31</v>
      </c>
      <c r="Z4229">
        <v>30</v>
      </c>
      <c r="AA4229">
        <v>0</v>
      </c>
    </row>
    <row r="4230" spans="1:27" x14ac:dyDescent="0.2">
      <c r="A4230" t="s">
        <v>1176</v>
      </c>
      <c r="B4230">
        <v>2024</v>
      </c>
      <c r="C4230" t="s">
        <v>3525</v>
      </c>
      <c r="D4230" t="s">
        <v>3526</v>
      </c>
      <c r="E4230" t="s">
        <v>29</v>
      </c>
      <c r="F4230" t="s">
        <v>41</v>
      </c>
      <c r="G4230">
        <v>0</v>
      </c>
      <c r="H4230">
        <v>0</v>
      </c>
      <c r="I4230">
        <v>0</v>
      </c>
      <c r="J4230">
        <v>0</v>
      </c>
      <c r="K4230">
        <v>0</v>
      </c>
      <c r="L4230">
        <v>0</v>
      </c>
      <c r="M4230">
        <v>0</v>
      </c>
      <c r="N4230">
        <v>0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  <c r="U4230">
        <v>0</v>
      </c>
      <c r="V4230">
        <v>0</v>
      </c>
      <c r="W4230">
        <v>0</v>
      </c>
      <c r="X4230">
        <v>0</v>
      </c>
      <c r="Y4230" t="s">
        <v>31</v>
      </c>
      <c r="Z4230">
        <v>30</v>
      </c>
      <c r="AA4230">
        <v>0</v>
      </c>
    </row>
    <row r="4231" spans="1:27" x14ac:dyDescent="0.2">
      <c r="A4231" t="s">
        <v>2614</v>
      </c>
      <c r="B4231">
        <v>2024</v>
      </c>
      <c r="C4231">
        <v>2546121400</v>
      </c>
      <c r="D4231" t="s">
        <v>5296</v>
      </c>
      <c r="E4231" t="s">
        <v>29</v>
      </c>
      <c r="F4231" t="s">
        <v>30</v>
      </c>
      <c r="G4231">
        <v>0</v>
      </c>
      <c r="H4231">
        <v>0</v>
      </c>
      <c r="I4231">
        <v>0</v>
      </c>
      <c r="J4231">
        <v>0</v>
      </c>
      <c r="K4231">
        <v>0</v>
      </c>
      <c r="L4231">
        <v>0</v>
      </c>
      <c r="M4231">
        <v>1</v>
      </c>
      <c r="N4231">
        <v>0</v>
      </c>
      <c r="O4231">
        <v>0</v>
      </c>
      <c r="P4231">
        <v>0</v>
      </c>
      <c r="Q4231">
        <v>0</v>
      </c>
      <c r="R4231">
        <v>0</v>
      </c>
      <c r="S4231">
        <v>0</v>
      </c>
      <c r="T4231">
        <v>0</v>
      </c>
      <c r="U4231">
        <v>0</v>
      </c>
      <c r="V4231">
        <v>0</v>
      </c>
      <c r="W4231">
        <v>0</v>
      </c>
      <c r="X4231">
        <v>0</v>
      </c>
      <c r="Y4231" t="s">
        <v>31</v>
      </c>
      <c r="Z4231">
        <v>1000</v>
      </c>
      <c r="AA4231">
        <v>0</v>
      </c>
    </row>
    <row r="4232" spans="1:27" x14ac:dyDescent="0.2">
      <c r="A4232" t="s">
        <v>2614</v>
      </c>
      <c r="B4232">
        <v>2024</v>
      </c>
      <c r="C4232">
        <v>2546121400</v>
      </c>
      <c r="D4232" t="s">
        <v>5297</v>
      </c>
      <c r="E4232" t="s">
        <v>29</v>
      </c>
      <c r="F4232" t="s">
        <v>30</v>
      </c>
      <c r="G4232">
        <v>0</v>
      </c>
      <c r="H4232">
        <v>0</v>
      </c>
      <c r="I4232">
        <v>0</v>
      </c>
      <c r="J4232">
        <v>0</v>
      </c>
      <c r="K4232">
        <v>0</v>
      </c>
      <c r="L4232">
        <v>0</v>
      </c>
      <c r="M4232">
        <v>1</v>
      </c>
      <c r="N4232">
        <v>0</v>
      </c>
      <c r="O4232">
        <v>0</v>
      </c>
      <c r="P4232">
        <v>0</v>
      </c>
      <c r="Q4232">
        <v>0</v>
      </c>
      <c r="R4232">
        <v>0</v>
      </c>
      <c r="S4232">
        <v>0</v>
      </c>
      <c r="T4232">
        <v>0</v>
      </c>
      <c r="U4232">
        <v>0</v>
      </c>
      <c r="V4232">
        <v>0</v>
      </c>
      <c r="W4232">
        <v>0</v>
      </c>
      <c r="X4232">
        <v>0</v>
      </c>
      <c r="Y4232" t="s">
        <v>31</v>
      </c>
      <c r="Z4232">
        <v>1000</v>
      </c>
      <c r="AA4232">
        <v>0</v>
      </c>
    </row>
    <row r="4233" spans="1:27" x14ac:dyDescent="0.2">
      <c r="A4233" t="s">
        <v>2614</v>
      </c>
      <c r="B4233">
        <v>2024</v>
      </c>
      <c r="C4233">
        <v>2546121400</v>
      </c>
      <c r="D4233" t="s">
        <v>5298</v>
      </c>
      <c r="E4233" t="s">
        <v>29</v>
      </c>
      <c r="F4233" t="s">
        <v>30</v>
      </c>
      <c r="G4233">
        <v>0</v>
      </c>
      <c r="H4233">
        <v>0</v>
      </c>
      <c r="I4233">
        <v>0</v>
      </c>
      <c r="J4233">
        <v>0</v>
      </c>
      <c r="K4233">
        <v>0</v>
      </c>
      <c r="L4233">
        <v>0</v>
      </c>
      <c r="M4233">
        <v>1</v>
      </c>
      <c r="N4233">
        <v>0</v>
      </c>
      <c r="O4233">
        <v>0</v>
      </c>
      <c r="P4233">
        <v>0</v>
      </c>
      <c r="Q4233">
        <v>0</v>
      </c>
      <c r="R4233">
        <v>0</v>
      </c>
      <c r="S4233">
        <v>0</v>
      </c>
      <c r="T4233">
        <v>0</v>
      </c>
      <c r="U4233">
        <v>0</v>
      </c>
      <c r="V4233">
        <v>0</v>
      </c>
      <c r="W4233">
        <v>0</v>
      </c>
      <c r="X4233">
        <v>0</v>
      </c>
      <c r="Y4233" t="s">
        <v>31</v>
      </c>
      <c r="Z4233">
        <v>1000</v>
      </c>
      <c r="AA4233">
        <v>0</v>
      </c>
    </row>
    <row r="4234" spans="1:27" x14ac:dyDescent="0.2">
      <c r="A4234" t="s">
        <v>2614</v>
      </c>
      <c r="B4234">
        <v>2024</v>
      </c>
      <c r="C4234">
        <v>2546121400</v>
      </c>
      <c r="D4234" t="s">
        <v>5299</v>
      </c>
      <c r="E4234" t="s">
        <v>29</v>
      </c>
      <c r="F4234" t="s">
        <v>30</v>
      </c>
      <c r="G4234">
        <v>0</v>
      </c>
      <c r="H4234">
        <v>0</v>
      </c>
      <c r="I4234">
        <v>0</v>
      </c>
      <c r="J4234">
        <v>0</v>
      </c>
      <c r="K4234">
        <v>0</v>
      </c>
      <c r="L4234">
        <v>0</v>
      </c>
      <c r="M4234">
        <v>1</v>
      </c>
      <c r="N4234">
        <v>0</v>
      </c>
      <c r="O4234">
        <v>0</v>
      </c>
      <c r="P4234">
        <v>0</v>
      </c>
      <c r="Q4234">
        <v>0</v>
      </c>
      <c r="R4234">
        <v>0</v>
      </c>
      <c r="S4234">
        <v>0</v>
      </c>
      <c r="T4234">
        <v>0</v>
      </c>
      <c r="U4234">
        <v>0</v>
      </c>
      <c r="V4234">
        <v>0</v>
      </c>
      <c r="W4234">
        <v>0</v>
      </c>
      <c r="X4234">
        <v>0</v>
      </c>
      <c r="Y4234" t="s">
        <v>31</v>
      </c>
      <c r="Z4234">
        <v>1000</v>
      </c>
      <c r="AA4234">
        <v>0</v>
      </c>
    </row>
    <row r="4235" spans="1:27" x14ac:dyDescent="0.2">
      <c r="A4235" t="s">
        <v>2614</v>
      </c>
      <c r="B4235">
        <v>2024</v>
      </c>
      <c r="C4235">
        <v>2546121400</v>
      </c>
      <c r="D4235" t="s">
        <v>5300</v>
      </c>
      <c r="E4235" t="s">
        <v>29</v>
      </c>
      <c r="F4235" t="s">
        <v>30</v>
      </c>
      <c r="G4235">
        <v>0</v>
      </c>
      <c r="H4235">
        <v>0</v>
      </c>
      <c r="I4235">
        <v>0</v>
      </c>
      <c r="J4235">
        <v>0</v>
      </c>
      <c r="K4235">
        <v>0</v>
      </c>
      <c r="L4235">
        <v>0</v>
      </c>
      <c r="M4235">
        <v>1</v>
      </c>
      <c r="N4235">
        <v>0</v>
      </c>
      <c r="O4235">
        <v>0</v>
      </c>
      <c r="P4235">
        <v>0</v>
      </c>
      <c r="Q4235">
        <v>0</v>
      </c>
      <c r="R4235">
        <v>0</v>
      </c>
      <c r="S4235">
        <v>0</v>
      </c>
      <c r="T4235">
        <v>0</v>
      </c>
      <c r="U4235">
        <v>0</v>
      </c>
      <c r="V4235">
        <v>0</v>
      </c>
      <c r="W4235">
        <v>0</v>
      </c>
      <c r="X4235">
        <v>0</v>
      </c>
      <c r="Y4235" t="s">
        <v>31</v>
      </c>
      <c r="Z4235">
        <v>55</v>
      </c>
      <c r="AA4235">
        <v>0</v>
      </c>
    </row>
    <row r="4236" spans="1:27" x14ac:dyDescent="0.2">
      <c r="A4236" t="s">
        <v>2614</v>
      </c>
      <c r="B4236">
        <v>2024</v>
      </c>
      <c r="C4236" t="s">
        <v>5301</v>
      </c>
      <c r="D4236" t="s">
        <v>5302</v>
      </c>
      <c r="E4236" t="s">
        <v>29</v>
      </c>
      <c r="F4236" t="s">
        <v>30</v>
      </c>
      <c r="G4236">
        <v>0</v>
      </c>
      <c r="H4236">
        <v>0</v>
      </c>
      <c r="I4236">
        <v>0</v>
      </c>
      <c r="J4236">
        <v>0</v>
      </c>
      <c r="K4236">
        <v>0</v>
      </c>
      <c r="L4236">
        <v>0</v>
      </c>
      <c r="M4236">
        <v>0</v>
      </c>
      <c r="N4236">
        <v>0</v>
      </c>
      <c r="O4236">
        <v>0</v>
      </c>
      <c r="P4236">
        <v>0</v>
      </c>
      <c r="Q4236">
        <v>0</v>
      </c>
      <c r="R4236">
        <v>0</v>
      </c>
      <c r="S4236">
        <v>0</v>
      </c>
      <c r="T4236">
        <v>0</v>
      </c>
      <c r="U4236">
        <v>12</v>
      </c>
      <c r="V4236">
        <v>0</v>
      </c>
      <c r="W4236">
        <v>0</v>
      </c>
      <c r="X4236">
        <v>0</v>
      </c>
      <c r="Y4236" t="s">
        <v>31</v>
      </c>
      <c r="Z4236">
        <v>1000</v>
      </c>
      <c r="AA4236" s="2" t="s">
        <v>3316</v>
      </c>
    </row>
    <row r="4237" spans="1:27" x14ac:dyDescent="0.2">
      <c r="A4237" t="s">
        <v>1931</v>
      </c>
      <c r="B4237">
        <v>2021</v>
      </c>
      <c r="C4237" t="s">
        <v>5303</v>
      </c>
      <c r="D4237" t="s">
        <v>5304</v>
      </c>
      <c r="E4237" t="s">
        <v>29</v>
      </c>
      <c r="F4237" t="s">
        <v>30</v>
      </c>
      <c r="G4237">
        <v>0</v>
      </c>
      <c r="H4237">
        <v>0</v>
      </c>
      <c r="I4237">
        <v>0</v>
      </c>
      <c r="J4237">
        <v>0</v>
      </c>
      <c r="K4237">
        <v>0</v>
      </c>
      <c r="L4237">
        <v>0</v>
      </c>
      <c r="M4237">
        <v>0</v>
      </c>
      <c r="N4237">
        <v>0</v>
      </c>
      <c r="O4237">
        <v>0</v>
      </c>
      <c r="P4237">
        <v>0</v>
      </c>
      <c r="Q4237">
        <v>0</v>
      </c>
      <c r="R4237">
        <v>0</v>
      </c>
      <c r="S4237">
        <v>0</v>
      </c>
      <c r="T4237">
        <v>109</v>
      </c>
      <c r="U4237">
        <v>0</v>
      </c>
      <c r="V4237">
        <v>109</v>
      </c>
      <c r="W4237">
        <v>0</v>
      </c>
      <c r="X4237">
        <v>0</v>
      </c>
      <c r="Y4237" t="s">
        <v>51</v>
      </c>
      <c r="Z4237">
        <v>55</v>
      </c>
      <c r="AA4237">
        <v>0</v>
      </c>
    </row>
    <row r="4238" spans="1:27" x14ac:dyDescent="0.2">
      <c r="A4238" t="s">
        <v>503</v>
      </c>
      <c r="B4238">
        <v>2021</v>
      </c>
      <c r="C4238" t="s">
        <v>506</v>
      </c>
      <c r="D4238" t="s">
        <v>507</v>
      </c>
      <c r="E4238" t="s">
        <v>29</v>
      </c>
      <c r="F4238" t="s">
        <v>41</v>
      </c>
      <c r="G4238">
        <v>0</v>
      </c>
      <c r="H4238">
        <v>0</v>
      </c>
      <c r="I4238">
        <v>0</v>
      </c>
      <c r="J4238">
        <v>0</v>
      </c>
      <c r="K4238">
        <v>1</v>
      </c>
      <c r="L4238">
        <v>0</v>
      </c>
      <c r="M4238">
        <v>0</v>
      </c>
      <c r="N4238">
        <v>0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0</v>
      </c>
      <c r="V4238">
        <v>0</v>
      </c>
      <c r="W4238">
        <v>0</v>
      </c>
      <c r="X4238">
        <v>0</v>
      </c>
      <c r="Y4238" t="s">
        <v>31</v>
      </c>
      <c r="AA4238">
        <v>0</v>
      </c>
    </row>
    <row r="4239" spans="1:27" x14ac:dyDescent="0.2">
      <c r="A4239" t="s">
        <v>2501</v>
      </c>
      <c r="B4239">
        <v>2021</v>
      </c>
      <c r="C4239" t="s">
        <v>5305</v>
      </c>
      <c r="D4239" t="s">
        <v>2503</v>
      </c>
      <c r="E4239" t="s">
        <v>29</v>
      </c>
      <c r="F4239" t="s">
        <v>30</v>
      </c>
      <c r="G4239">
        <v>0</v>
      </c>
      <c r="H4239">
        <v>0</v>
      </c>
      <c r="I4239">
        <v>0</v>
      </c>
      <c r="J4239">
        <v>0</v>
      </c>
      <c r="K4239">
        <v>0</v>
      </c>
      <c r="L4239">
        <v>0</v>
      </c>
      <c r="M4239">
        <v>0</v>
      </c>
      <c r="N4239">
        <v>0</v>
      </c>
      <c r="O4239">
        <v>60</v>
      </c>
      <c r="P4239">
        <v>0</v>
      </c>
      <c r="Q4239">
        <v>0</v>
      </c>
      <c r="R4239">
        <v>0</v>
      </c>
      <c r="S4239">
        <v>0</v>
      </c>
      <c r="T4239">
        <v>0</v>
      </c>
      <c r="U4239">
        <v>0</v>
      </c>
      <c r="V4239">
        <v>0</v>
      </c>
      <c r="W4239">
        <v>0</v>
      </c>
      <c r="X4239">
        <v>0</v>
      </c>
      <c r="Y4239" t="s">
        <v>31</v>
      </c>
      <c r="Z4239">
        <v>1000</v>
      </c>
      <c r="AA4239">
        <v>0</v>
      </c>
    </row>
    <row r="4240" spans="1:27" x14ac:dyDescent="0.2">
      <c r="A4240" t="s">
        <v>106</v>
      </c>
      <c r="B4240">
        <v>2022</v>
      </c>
      <c r="C4240" t="s">
        <v>107</v>
      </c>
      <c r="D4240" t="s">
        <v>108</v>
      </c>
      <c r="E4240" t="s">
        <v>29</v>
      </c>
      <c r="F4240" t="s">
        <v>30</v>
      </c>
      <c r="G4240">
        <v>0</v>
      </c>
      <c r="H4240">
        <v>0</v>
      </c>
      <c r="I4240">
        <v>0</v>
      </c>
      <c r="J4240">
        <v>0</v>
      </c>
      <c r="K4240">
        <v>1</v>
      </c>
      <c r="L4240">
        <v>0</v>
      </c>
      <c r="M4240">
        <v>0</v>
      </c>
      <c r="N4240">
        <v>0</v>
      </c>
      <c r="O4240">
        <v>0</v>
      </c>
      <c r="P4240">
        <v>0</v>
      </c>
      <c r="Q4240">
        <v>1</v>
      </c>
      <c r="R4240">
        <v>0</v>
      </c>
      <c r="S4240">
        <v>0</v>
      </c>
      <c r="T4240">
        <v>0</v>
      </c>
      <c r="U4240">
        <v>0</v>
      </c>
      <c r="V4240">
        <v>0</v>
      </c>
      <c r="W4240">
        <v>0</v>
      </c>
      <c r="X4240">
        <v>0</v>
      </c>
      <c r="Y4240" t="s">
        <v>31</v>
      </c>
      <c r="Z4240">
        <v>55</v>
      </c>
      <c r="AA4240">
        <v>15</v>
      </c>
    </row>
    <row r="4241" spans="1:27" x14ac:dyDescent="0.2">
      <c r="A4241" t="s">
        <v>5306</v>
      </c>
      <c r="B4241">
        <v>2022</v>
      </c>
      <c r="C4241">
        <v>51151065</v>
      </c>
      <c r="D4241" t="s">
        <v>5307</v>
      </c>
      <c r="E4241" t="s">
        <v>29</v>
      </c>
      <c r="F4241" t="s">
        <v>30</v>
      </c>
      <c r="G4241">
        <v>0</v>
      </c>
      <c r="H4241">
        <v>0</v>
      </c>
      <c r="I4241">
        <v>31</v>
      </c>
      <c r="J4241">
        <v>0</v>
      </c>
      <c r="K4241">
        <v>0</v>
      </c>
      <c r="L4241">
        <v>0</v>
      </c>
      <c r="M4241">
        <v>0</v>
      </c>
      <c r="N4241">
        <v>0</v>
      </c>
      <c r="O4241">
        <v>0</v>
      </c>
      <c r="P4241">
        <v>0</v>
      </c>
      <c r="Q4241">
        <v>0</v>
      </c>
      <c r="R4241">
        <v>0</v>
      </c>
      <c r="S4241">
        <v>0</v>
      </c>
      <c r="T4241">
        <v>0</v>
      </c>
      <c r="U4241">
        <v>0</v>
      </c>
      <c r="V4241">
        <v>0</v>
      </c>
      <c r="W4241">
        <v>0</v>
      </c>
      <c r="X4241">
        <v>0</v>
      </c>
      <c r="Y4241" t="s">
        <v>31</v>
      </c>
      <c r="Z4241">
        <v>55</v>
      </c>
      <c r="AA4241">
        <v>37</v>
      </c>
    </row>
    <row r="4242" spans="1:27" x14ac:dyDescent="0.2">
      <c r="A4242" t="s">
        <v>412</v>
      </c>
      <c r="B4242">
        <v>2019</v>
      </c>
      <c r="C4242" t="s">
        <v>413</v>
      </c>
      <c r="D4242" t="s">
        <v>414</v>
      </c>
      <c r="E4242" t="s">
        <v>29</v>
      </c>
      <c r="F4242" t="s">
        <v>30</v>
      </c>
      <c r="G4242">
        <v>7</v>
      </c>
      <c r="H4242">
        <v>0</v>
      </c>
      <c r="I4242">
        <v>1</v>
      </c>
      <c r="J4242">
        <v>0</v>
      </c>
      <c r="K4242">
        <v>0</v>
      </c>
      <c r="L4242">
        <v>0</v>
      </c>
      <c r="M4242">
        <v>5</v>
      </c>
      <c r="N4242">
        <v>0</v>
      </c>
      <c r="O4242">
        <v>5</v>
      </c>
      <c r="P4242">
        <v>0</v>
      </c>
      <c r="Q4242">
        <v>0</v>
      </c>
      <c r="R4242">
        <v>0</v>
      </c>
      <c r="S4242">
        <v>0</v>
      </c>
      <c r="T4242">
        <v>0</v>
      </c>
      <c r="U4242">
        <v>0</v>
      </c>
      <c r="V4242">
        <v>0</v>
      </c>
      <c r="W4242">
        <v>0</v>
      </c>
      <c r="X4242">
        <v>0</v>
      </c>
      <c r="Y4242" t="s">
        <v>31</v>
      </c>
      <c r="Z4242">
        <v>55</v>
      </c>
      <c r="AA4242">
        <v>0</v>
      </c>
    </row>
    <row r="4243" spans="1:27" x14ac:dyDescent="0.2">
      <c r="A4243" t="s">
        <v>622</v>
      </c>
      <c r="B4243">
        <v>2024</v>
      </c>
      <c r="C4243" t="s">
        <v>995</v>
      </c>
      <c r="D4243" t="s">
        <v>5308</v>
      </c>
      <c r="E4243" t="s">
        <v>29</v>
      </c>
      <c r="F4243" t="s">
        <v>30</v>
      </c>
      <c r="G4243">
        <v>0</v>
      </c>
      <c r="H4243">
        <v>0</v>
      </c>
      <c r="I4243">
        <v>0</v>
      </c>
      <c r="J4243">
        <v>0</v>
      </c>
      <c r="K4243">
        <v>0</v>
      </c>
      <c r="L4243">
        <v>0</v>
      </c>
      <c r="M4243">
        <v>0</v>
      </c>
      <c r="N4243">
        <v>0</v>
      </c>
      <c r="O4243">
        <v>0</v>
      </c>
      <c r="P4243">
        <v>0</v>
      </c>
      <c r="Q4243">
        <v>0</v>
      </c>
      <c r="R4243">
        <v>0</v>
      </c>
      <c r="S4243">
        <v>9</v>
      </c>
      <c r="T4243">
        <v>0</v>
      </c>
      <c r="U4243">
        <v>13</v>
      </c>
      <c r="V4243">
        <v>0</v>
      </c>
      <c r="W4243">
        <v>8</v>
      </c>
      <c r="X4243">
        <v>0</v>
      </c>
      <c r="Y4243" t="s">
        <v>31</v>
      </c>
      <c r="AA4243">
        <v>0.19</v>
      </c>
    </row>
    <row r="4244" spans="1:27" x14ac:dyDescent="0.2">
      <c r="A4244" t="s">
        <v>2421</v>
      </c>
      <c r="B4244">
        <v>2022</v>
      </c>
      <c r="C4244" t="s">
        <v>5309</v>
      </c>
      <c r="D4244" t="s">
        <v>5310</v>
      </c>
      <c r="E4244" t="s">
        <v>29</v>
      </c>
      <c r="F4244" t="s">
        <v>41</v>
      </c>
      <c r="G4244">
        <v>0</v>
      </c>
      <c r="H4244">
        <v>0</v>
      </c>
      <c r="I4244">
        <v>0</v>
      </c>
      <c r="J4244">
        <v>0</v>
      </c>
      <c r="K4244">
        <v>0</v>
      </c>
      <c r="L4244">
        <v>0</v>
      </c>
      <c r="M4244">
        <v>0</v>
      </c>
      <c r="N4244">
        <v>0</v>
      </c>
      <c r="O4244">
        <v>0</v>
      </c>
      <c r="P4244">
        <v>0</v>
      </c>
      <c r="Q4244">
        <v>2</v>
      </c>
      <c r="R4244">
        <v>0</v>
      </c>
      <c r="S4244">
        <v>0</v>
      </c>
      <c r="T4244">
        <v>0</v>
      </c>
      <c r="U4244">
        <v>0</v>
      </c>
      <c r="V4244">
        <v>0</v>
      </c>
      <c r="W4244">
        <v>0</v>
      </c>
      <c r="X4244">
        <v>0</v>
      </c>
      <c r="Y4244" t="s">
        <v>31</v>
      </c>
      <c r="Z4244">
        <v>45</v>
      </c>
      <c r="AA4244">
        <v>0</v>
      </c>
    </row>
    <row r="4245" spans="1:27" x14ac:dyDescent="0.2">
      <c r="A4245" t="s">
        <v>1678</v>
      </c>
      <c r="B4245">
        <v>2023</v>
      </c>
      <c r="C4245">
        <v>53063090</v>
      </c>
      <c r="D4245" t="s">
        <v>5311</v>
      </c>
      <c r="E4245" t="s">
        <v>29</v>
      </c>
      <c r="F4245" t="s">
        <v>30</v>
      </c>
      <c r="G4245">
        <v>7</v>
      </c>
      <c r="H4245">
        <v>0</v>
      </c>
      <c r="I4245">
        <v>6</v>
      </c>
      <c r="J4245">
        <v>0</v>
      </c>
      <c r="K4245">
        <v>13</v>
      </c>
      <c r="L4245">
        <v>0</v>
      </c>
      <c r="M4245">
        <v>0</v>
      </c>
      <c r="N4245">
        <v>0</v>
      </c>
      <c r="O4245">
        <v>0</v>
      </c>
      <c r="P4245">
        <v>0</v>
      </c>
      <c r="Q4245">
        <v>0</v>
      </c>
      <c r="R4245">
        <v>0</v>
      </c>
      <c r="S4245">
        <v>0</v>
      </c>
      <c r="T4245">
        <v>0</v>
      </c>
      <c r="U4245">
        <v>0</v>
      </c>
      <c r="V4245">
        <v>0</v>
      </c>
      <c r="W4245">
        <v>0</v>
      </c>
      <c r="X4245">
        <v>0</v>
      </c>
      <c r="Y4245" t="s">
        <v>51</v>
      </c>
      <c r="AA4245">
        <v>0</v>
      </c>
    </row>
    <row r="4246" spans="1:27" x14ac:dyDescent="0.2">
      <c r="A4246" t="s">
        <v>2614</v>
      </c>
      <c r="B4246">
        <v>2023</v>
      </c>
      <c r="C4246" t="s">
        <v>5312</v>
      </c>
      <c r="D4246" t="s">
        <v>5313</v>
      </c>
      <c r="E4246" t="s">
        <v>29</v>
      </c>
      <c r="F4246" t="s">
        <v>30</v>
      </c>
      <c r="G4246">
        <v>0</v>
      </c>
      <c r="H4246">
        <v>0</v>
      </c>
      <c r="I4246">
        <v>30</v>
      </c>
      <c r="J4246">
        <v>0</v>
      </c>
      <c r="K4246">
        <v>0</v>
      </c>
      <c r="L4246">
        <v>0</v>
      </c>
      <c r="M4246">
        <v>0</v>
      </c>
      <c r="N4246">
        <v>0</v>
      </c>
      <c r="O4246">
        <v>0</v>
      </c>
      <c r="P4246">
        <v>0</v>
      </c>
      <c r="Q4246">
        <v>0</v>
      </c>
      <c r="R4246">
        <v>0</v>
      </c>
      <c r="S4246">
        <v>0</v>
      </c>
      <c r="T4246">
        <v>0</v>
      </c>
      <c r="U4246">
        <v>0</v>
      </c>
      <c r="V4246">
        <v>0</v>
      </c>
      <c r="W4246">
        <v>0</v>
      </c>
      <c r="X4246">
        <v>0</v>
      </c>
      <c r="Y4246" t="s">
        <v>31</v>
      </c>
      <c r="Z4246">
        <v>1000</v>
      </c>
      <c r="AA4246" s="2" t="s">
        <v>3316</v>
      </c>
    </row>
    <row r="4247" spans="1:27" x14ac:dyDescent="0.2">
      <c r="A4247" t="s">
        <v>2614</v>
      </c>
      <c r="B4247">
        <v>2023</v>
      </c>
      <c r="C4247">
        <v>2546121200</v>
      </c>
      <c r="D4247" t="s">
        <v>5314</v>
      </c>
      <c r="E4247" t="s">
        <v>29</v>
      </c>
      <c r="F4247" t="s">
        <v>41</v>
      </c>
      <c r="G4247">
        <v>0</v>
      </c>
      <c r="H4247">
        <v>0</v>
      </c>
      <c r="I4247">
        <v>0</v>
      </c>
      <c r="J4247">
        <v>0</v>
      </c>
      <c r="K4247">
        <v>0</v>
      </c>
      <c r="L4247">
        <v>0</v>
      </c>
      <c r="M4247">
        <v>0</v>
      </c>
      <c r="N4247">
        <v>0</v>
      </c>
      <c r="O4247">
        <v>0</v>
      </c>
      <c r="P4247">
        <v>0</v>
      </c>
      <c r="Q4247">
        <v>0</v>
      </c>
      <c r="R4247">
        <v>0</v>
      </c>
      <c r="S4247">
        <v>0</v>
      </c>
      <c r="T4247">
        <v>0</v>
      </c>
      <c r="U4247">
        <v>0</v>
      </c>
      <c r="V4247">
        <v>0</v>
      </c>
      <c r="W4247">
        <v>0</v>
      </c>
      <c r="X4247">
        <v>0</v>
      </c>
      <c r="Y4247" t="s">
        <v>31</v>
      </c>
      <c r="AA4247" s="2" t="s">
        <v>3316</v>
      </c>
    </row>
    <row r="4248" spans="1:27" x14ac:dyDescent="0.2">
      <c r="A4248" t="s">
        <v>2614</v>
      </c>
      <c r="B4248">
        <v>2023</v>
      </c>
      <c r="C4248">
        <v>2546121200</v>
      </c>
      <c r="D4248" t="s">
        <v>5315</v>
      </c>
      <c r="E4248" t="s">
        <v>29</v>
      </c>
      <c r="F4248" t="s">
        <v>30</v>
      </c>
      <c r="G4248">
        <v>0</v>
      </c>
      <c r="H4248">
        <v>0</v>
      </c>
      <c r="I4248">
        <v>0</v>
      </c>
      <c r="J4248">
        <v>0</v>
      </c>
      <c r="K4248">
        <v>0</v>
      </c>
      <c r="L4248">
        <v>0</v>
      </c>
      <c r="M4248">
        <v>1</v>
      </c>
      <c r="N4248">
        <v>0</v>
      </c>
      <c r="O4248">
        <v>0</v>
      </c>
      <c r="P4248">
        <v>0</v>
      </c>
      <c r="Q4248">
        <v>0</v>
      </c>
      <c r="R4248">
        <v>0</v>
      </c>
      <c r="S4248">
        <v>0</v>
      </c>
      <c r="T4248">
        <v>0</v>
      </c>
      <c r="U4248">
        <v>0</v>
      </c>
      <c r="V4248">
        <v>0</v>
      </c>
      <c r="W4248">
        <v>0</v>
      </c>
      <c r="X4248">
        <v>0</v>
      </c>
      <c r="Y4248" t="s">
        <v>31</v>
      </c>
      <c r="Z4248">
        <v>55</v>
      </c>
      <c r="AA4248">
        <v>0</v>
      </c>
    </row>
    <row r="4249" spans="1:27" x14ac:dyDescent="0.2">
      <c r="A4249" t="s">
        <v>2614</v>
      </c>
      <c r="B4249">
        <v>2023</v>
      </c>
      <c r="C4249">
        <v>2546121400</v>
      </c>
      <c r="D4249" t="s">
        <v>5316</v>
      </c>
      <c r="E4249" t="s">
        <v>29</v>
      </c>
      <c r="F4249" t="s">
        <v>30</v>
      </c>
      <c r="G4249">
        <v>0</v>
      </c>
      <c r="H4249">
        <v>0</v>
      </c>
      <c r="I4249">
        <v>0</v>
      </c>
      <c r="J4249">
        <v>0</v>
      </c>
      <c r="K4249">
        <v>0</v>
      </c>
      <c r="L4249">
        <v>0</v>
      </c>
      <c r="M4249">
        <v>1</v>
      </c>
      <c r="N4249">
        <v>0</v>
      </c>
      <c r="O4249">
        <v>0</v>
      </c>
      <c r="P4249">
        <v>0</v>
      </c>
      <c r="Q4249">
        <v>0</v>
      </c>
      <c r="R4249">
        <v>0</v>
      </c>
      <c r="S4249">
        <v>0</v>
      </c>
      <c r="T4249">
        <v>0</v>
      </c>
      <c r="U4249">
        <v>0</v>
      </c>
      <c r="V4249">
        <v>0</v>
      </c>
      <c r="W4249">
        <v>0</v>
      </c>
      <c r="X4249">
        <v>0</v>
      </c>
      <c r="Y4249" t="s">
        <v>31</v>
      </c>
      <c r="Z4249">
        <v>1000</v>
      </c>
      <c r="AA4249">
        <v>0</v>
      </c>
    </row>
    <row r="4250" spans="1:27" x14ac:dyDescent="0.2">
      <c r="A4250" t="s">
        <v>2862</v>
      </c>
      <c r="B4250">
        <v>2024</v>
      </c>
      <c r="C4250">
        <v>9015320</v>
      </c>
      <c r="D4250" t="s">
        <v>5317</v>
      </c>
      <c r="E4250" t="s">
        <v>29</v>
      </c>
      <c r="F4250" t="s">
        <v>30</v>
      </c>
      <c r="G4250">
        <v>4</v>
      </c>
      <c r="H4250">
        <v>0</v>
      </c>
      <c r="I4250">
        <v>0</v>
      </c>
      <c r="J4250">
        <v>0</v>
      </c>
      <c r="K4250">
        <v>0</v>
      </c>
      <c r="L4250">
        <v>0</v>
      </c>
      <c r="M4250">
        <v>0</v>
      </c>
      <c r="N4250">
        <v>0</v>
      </c>
      <c r="O4250">
        <v>0</v>
      </c>
      <c r="P4250">
        <v>0</v>
      </c>
      <c r="Q4250">
        <v>0</v>
      </c>
      <c r="R4250">
        <v>0</v>
      </c>
      <c r="S4250">
        <v>0</v>
      </c>
      <c r="T4250">
        <v>0</v>
      </c>
      <c r="U4250">
        <v>0</v>
      </c>
      <c r="V4250">
        <v>0</v>
      </c>
      <c r="W4250">
        <v>0</v>
      </c>
      <c r="X4250">
        <v>0</v>
      </c>
      <c r="Y4250" t="s">
        <v>31</v>
      </c>
      <c r="Z4250">
        <v>55</v>
      </c>
      <c r="AA4250" s="2" t="s">
        <v>3244</v>
      </c>
    </row>
    <row r="4251" spans="1:27" x14ac:dyDescent="0.2">
      <c r="A4251" t="s">
        <v>1048</v>
      </c>
      <c r="B4251">
        <v>2022</v>
      </c>
      <c r="C4251" t="s">
        <v>3336</v>
      </c>
      <c r="D4251" t="s">
        <v>5318</v>
      </c>
      <c r="E4251" t="s">
        <v>29</v>
      </c>
      <c r="F4251" t="s">
        <v>30</v>
      </c>
      <c r="G4251">
        <v>0</v>
      </c>
      <c r="H4251">
        <v>0</v>
      </c>
      <c r="I4251">
        <v>0</v>
      </c>
      <c r="J4251">
        <v>0</v>
      </c>
      <c r="K4251">
        <v>0</v>
      </c>
      <c r="L4251">
        <v>0</v>
      </c>
      <c r="M4251">
        <v>0</v>
      </c>
      <c r="N4251">
        <v>0</v>
      </c>
      <c r="O4251">
        <v>8</v>
      </c>
      <c r="P4251">
        <v>0</v>
      </c>
      <c r="Q4251">
        <v>0</v>
      </c>
      <c r="R4251">
        <v>0</v>
      </c>
      <c r="S4251">
        <v>0</v>
      </c>
      <c r="T4251">
        <v>0</v>
      </c>
      <c r="U4251">
        <v>8</v>
      </c>
      <c r="V4251">
        <v>0</v>
      </c>
      <c r="W4251">
        <v>0</v>
      </c>
      <c r="X4251">
        <v>0</v>
      </c>
      <c r="Y4251" t="s">
        <v>51</v>
      </c>
      <c r="Z4251">
        <v>55</v>
      </c>
      <c r="AA4251">
        <v>0</v>
      </c>
    </row>
    <row r="4252" spans="1:27" x14ac:dyDescent="0.2">
      <c r="A4252" t="s">
        <v>1048</v>
      </c>
      <c r="B4252">
        <v>2022</v>
      </c>
      <c r="C4252" t="s">
        <v>3336</v>
      </c>
      <c r="D4252" t="s">
        <v>5319</v>
      </c>
      <c r="E4252" t="s">
        <v>29</v>
      </c>
      <c r="F4252" t="s">
        <v>30</v>
      </c>
      <c r="G4252">
        <v>0</v>
      </c>
      <c r="H4252">
        <v>0</v>
      </c>
      <c r="I4252">
        <v>0</v>
      </c>
      <c r="J4252">
        <v>0</v>
      </c>
      <c r="K4252">
        <v>0</v>
      </c>
      <c r="L4252">
        <v>0</v>
      </c>
      <c r="M4252">
        <v>0</v>
      </c>
      <c r="N4252">
        <v>0</v>
      </c>
      <c r="O4252">
        <v>8</v>
      </c>
      <c r="P4252">
        <v>0</v>
      </c>
      <c r="Q4252">
        <v>0</v>
      </c>
      <c r="R4252">
        <v>0</v>
      </c>
      <c r="S4252">
        <v>0</v>
      </c>
      <c r="T4252">
        <v>0</v>
      </c>
      <c r="U4252">
        <v>8</v>
      </c>
      <c r="V4252">
        <v>0</v>
      </c>
      <c r="W4252">
        <v>0</v>
      </c>
      <c r="X4252">
        <v>0</v>
      </c>
      <c r="Y4252" t="s">
        <v>51</v>
      </c>
      <c r="Z4252">
        <v>55</v>
      </c>
      <c r="AA4252">
        <v>0</v>
      </c>
    </row>
    <row r="4253" spans="1:27" x14ac:dyDescent="0.2">
      <c r="A4253" t="s">
        <v>1048</v>
      </c>
      <c r="B4253">
        <v>2022</v>
      </c>
      <c r="C4253" t="s">
        <v>3336</v>
      </c>
      <c r="D4253" t="s">
        <v>5320</v>
      </c>
      <c r="E4253" t="s">
        <v>29</v>
      </c>
      <c r="F4253" t="s">
        <v>30</v>
      </c>
      <c r="G4253">
        <v>0</v>
      </c>
      <c r="H4253">
        <v>0</v>
      </c>
      <c r="I4253">
        <v>0</v>
      </c>
      <c r="J4253">
        <v>0</v>
      </c>
      <c r="K4253">
        <v>0</v>
      </c>
      <c r="L4253">
        <v>0</v>
      </c>
      <c r="M4253">
        <v>0</v>
      </c>
      <c r="N4253">
        <v>0</v>
      </c>
      <c r="O4253">
        <v>15</v>
      </c>
      <c r="P4253">
        <v>0</v>
      </c>
      <c r="Q4253">
        <v>0</v>
      </c>
      <c r="R4253">
        <v>0</v>
      </c>
      <c r="S4253">
        <v>0</v>
      </c>
      <c r="T4253">
        <v>0</v>
      </c>
      <c r="U4253">
        <v>15</v>
      </c>
      <c r="V4253">
        <v>0</v>
      </c>
      <c r="W4253">
        <v>0</v>
      </c>
      <c r="X4253">
        <v>0</v>
      </c>
      <c r="Y4253" t="s">
        <v>51</v>
      </c>
      <c r="Z4253">
        <v>55</v>
      </c>
      <c r="AA4253">
        <v>0</v>
      </c>
    </row>
    <row r="4254" spans="1:27" x14ac:dyDescent="0.2">
      <c r="A4254" t="s">
        <v>1048</v>
      </c>
      <c r="B4254">
        <v>2022</v>
      </c>
      <c r="C4254" t="s">
        <v>3336</v>
      </c>
      <c r="D4254" t="s">
        <v>5321</v>
      </c>
      <c r="E4254" t="s">
        <v>29</v>
      </c>
      <c r="F4254" t="s">
        <v>30</v>
      </c>
      <c r="G4254">
        <v>0</v>
      </c>
      <c r="H4254">
        <v>0</v>
      </c>
      <c r="I4254">
        <v>0</v>
      </c>
      <c r="J4254">
        <v>0</v>
      </c>
      <c r="K4254">
        <v>0</v>
      </c>
      <c r="L4254">
        <v>0</v>
      </c>
      <c r="M4254">
        <v>0</v>
      </c>
      <c r="N4254">
        <v>0</v>
      </c>
      <c r="O4254">
        <v>16</v>
      </c>
      <c r="P4254">
        <v>0</v>
      </c>
      <c r="Q4254">
        <v>0</v>
      </c>
      <c r="R4254">
        <v>0</v>
      </c>
      <c r="S4254">
        <v>0</v>
      </c>
      <c r="T4254">
        <v>0</v>
      </c>
      <c r="U4254">
        <v>16</v>
      </c>
      <c r="V4254">
        <v>0</v>
      </c>
      <c r="W4254">
        <v>0</v>
      </c>
      <c r="X4254">
        <v>0</v>
      </c>
      <c r="Y4254" t="s">
        <v>51</v>
      </c>
      <c r="Z4254">
        <v>55</v>
      </c>
      <c r="AA4254">
        <v>0</v>
      </c>
    </row>
    <row r="4255" spans="1:27" x14ac:dyDescent="0.2">
      <c r="A4255" t="s">
        <v>1048</v>
      </c>
      <c r="B4255">
        <v>2022</v>
      </c>
      <c r="C4255" t="s">
        <v>3336</v>
      </c>
      <c r="D4255" t="s">
        <v>5322</v>
      </c>
      <c r="E4255" t="s">
        <v>29</v>
      </c>
      <c r="F4255" t="s">
        <v>30</v>
      </c>
      <c r="G4255">
        <v>0</v>
      </c>
      <c r="H4255">
        <v>0</v>
      </c>
      <c r="I4255">
        <v>0</v>
      </c>
      <c r="J4255">
        <v>0</v>
      </c>
      <c r="K4255">
        <v>0</v>
      </c>
      <c r="L4255">
        <v>0</v>
      </c>
      <c r="M4255">
        <v>0</v>
      </c>
      <c r="N4255">
        <v>0</v>
      </c>
      <c r="O4255">
        <v>8</v>
      </c>
      <c r="P4255">
        <v>0</v>
      </c>
      <c r="Q4255">
        <v>0</v>
      </c>
      <c r="R4255">
        <v>0</v>
      </c>
      <c r="S4255">
        <v>0</v>
      </c>
      <c r="T4255">
        <v>0</v>
      </c>
      <c r="U4255">
        <v>8</v>
      </c>
      <c r="V4255">
        <v>0</v>
      </c>
      <c r="W4255">
        <v>0</v>
      </c>
      <c r="X4255">
        <v>0</v>
      </c>
      <c r="Y4255" t="s">
        <v>51</v>
      </c>
      <c r="Z4255">
        <v>55</v>
      </c>
      <c r="AA4255">
        <v>0</v>
      </c>
    </row>
    <row r="4256" spans="1:27" x14ac:dyDescent="0.2">
      <c r="A4256" t="s">
        <v>1500</v>
      </c>
      <c r="B4256">
        <v>2024</v>
      </c>
      <c r="C4256">
        <v>5845010020</v>
      </c>
      <c r="D4256" t="s">
        <v>4509</v>
      </c>
      <c r="E4256" t="s">
        <v>29</v>
      </c>
      <c r="F4256" t="s">
        <v>30</v>
      </c>
      <c r="G4256">
        <v>0</v>
      </c>
      <c r="H4256">
        <v>0</v>
      </c>
      <c r="I4256">
        <v>57</v>
      </c>
      <c r="J4256">
        <v>0</v>
      </c>
      <c r="K4256">
        <v>0</v>
      </c>
      <c r="L4256">
        <v>0</v>
      </c>
      <c r="M4256">
        <v>0</v>
      </c>
      <c r="N4256">
        <v>0</v>
      </c>
      <c r="O4256">
        <v>57</v>
      </c>
      <c r="P4256">
        <v>0</v>
      </c>
      <c r="Q4256">
        <v>0</v>
      </c>
      <c r="R4256">
        <v>0</v>
      </c>
      <c r="S4256">
        <v>0</v>
      </c>
      <c r="T4256">
        <v>0</v>
      </c>
      <c r="U4256">
        <v>0</v>
      </c>
      <c r="V4256">
        <v>0</v>
      </c>
      <c r="W4256">
        <v>0</v>
      </c>
      <c r="X4256">
        <v>0</v>
      </c>
      <c r="Y4256" t="s">
        <v>31</v>
      </c>
      <c r="Z4256">
        <v>55</v>
      </c>
      <c r="AA4256" s="2" t="s">
        <v>5323</v>
      </c>
    </row>
    <row r="4257" spans="1:27" x14ac:dyDescent="0.2">
      <c r="A4257" t="s">
        <v>1048</v>
      </c>
      <c r="B4257">
        <v>2023</v>
      </c>
      <c r="C4257" t="s">
        <v>5324</v>
      </c>
      <c r="D4257" t="s">
        <v>2039</v>
      </c>
      <c r="E4257" t="s">
        <v>29</v>
      </c>
      <c r="F4257" t="s">
        <v>30</v>
      </c>
      <c r="G4257">
        <v>0</v>
      </c>
      <c r="H4257">
        <v>0</v>
      </c>
      <c r="I4257">
        <v>0</v>
      </c>
      <c r="J4257">
        <v>0</v>
      </c>
      <c r="K4257">
        <v>0</v>
      </c>
      <c r="L4257">
        <v>0</v>
      </c>
      <c r="M4257">
        <v>0</v>
      </c>
      <c r="N4257">
        <v>0</v>
      </c>
      <c r="O4257">
        <v>0</v>
      </c>
      <c r="P4257">
        <v>0</v>
      </c>
      <c r="Q4257">
        <v>0</v>
      </c>
      <c r="R4257">
        <v>0</v>
      </c>
      <c r="S4257">
        <v>9</v>
      </c>
      <c r="T4257">
        <v>0</v>
      </c>
      <c r="U4257">
        <v>0</v>
      </c>
      <c r="V4257">
        <v>0</v>
      </c>
      <c r="W4257">
        <v>0</v>
      </c>
      <c r="X4257">
        <v>0</v>
      </c>
      <c r="Y4257" t="s">
        <v>31</v>
      </c>
      <c r="Z4257">
        <v>30</v>
      </c>
      <c r="AA4257">
        <v>0.16</v>
      </c>
    </row>
    <row r="4258" spans="1:27" x14ac:dyDescent="0.2">
      <c r="A4258" t="s">
        <v>1500</v>
      </c>
      <c r="B4258">
        <v>2024</v>
      </c>
      <c r="C4258">
        <v>6056004031</v>
      </c>
      <c r="D4258" t="s">
        <v>5325</v>
      </c>
      <c r="E4258" t="s">
        <v>29</v>
      </c>
      <c r="F4258" t="s">
        <v>30</v>
      </c>
      <c r="G4258">
        <v>2</v>
      </c>
      <c r="H4258">
        <v>0</v>
      </c>
      <c r="I4258">
        <v>13</v>
      </c>
      <c r="J4258">
        <v>0</v>
      </c>
      <c r="K4258">
        <v>0</v>
      </c>
      <c r="L4258">
        <v>0</v>
      </c>
      <c r="M4258">
        <v>0</v>
      </c>
      <c r="N4258">
        <v>0</v>
      </c>
      <c r="O4258">
        <v>0</v>
      </c>
      <c r="P4258">
        <v>0</v>
      </c>
      <c r="Q4258">
        <v>0</v>
      </c>
      <c r="R4258">
        <v>0</v>
      </c>
      <c r="S4258">
        <v>0</v>
      </c>
      <c r="T4258">
        <v>0</v>
      </c>
      <c r="U4258">
        <v>0</v>
      </c>
      <c r="V4258">
        <v>0</v>
      </c>
      <c r="W4258">
        <v>0</v>
      </c>
      <c r="X4258">
        <v>0</v>
      </c>
      <c r="Y4258" t="s">
        <v>31</v>
      </c>
      <c r="Z4258">
        <v>55</v>
      </c>
      <c r="AA4258" s="2" t="s">
        <v>3265</v>
      </c>
    </row>
    <row r="4259" spans="1:27" x14ac:dyDescent="0.2">
      <c r="A4259" t="s">
        <v>5326</v>
      </c>
      <c r="B4259">
        <v>2024</v>
      </c>
      <c r="C4259" t="s">
        <v>5327</v>
      </c>
      <c r="D4259" t="s">
        <v>5328</v>
      </c>
      <c r="E4259" t="s">
        <v>29</v>
      </c>
      <c r="F4259" t="s">
        <v>30</v>
      </c>
      <c r="G4259">
        <v>1</v>
      </c>
      <c r="H4259">
        <v>0</v>
      </c>
      <c r="I4259">
        <v>2</v>
      </c>
      <c r="J4259">
        <v>0</v>
      </c>
      <c r="K4259">
        <v>0</v>
      </c>
      <c r="L4259">
        <v>0</v>
      </c>
      <c r="M4259">
        <v>1</v>
      </c>
      <c r="N4259">
        <v>0</v>
      </c>
      <c r="O4259">
        <v>2</v>
      </c>
      <c r="P4259">
        <v>0</v>
      </c>
      <c r="Q4259">
        <v>0</v>
      </c>
      <c r="R4259">
        <v>0</v>
      </c>
      <c r="S4259">
        <v>0</v>
      </c>
      <c r="T4259">
        <v>0</v>
      </c>
      <c r="U4259">
        <v>0</v>
      </c>
      <c r="V4259">
        <v>0</v>
      </c>
      <c r="W4259">
        <v>0</v>
      </c>
      <c r="X4259">
        <v>0</v>
      </c>
      <c r="Y4259" t="s">
        <v>31</v>
      </c>
      <c r="Z4259">
        <v>99</v>
      </c>
      <c r="AA4259" s="2" t="s">
        <v>3659</v>
      </c>
    </row>
    <row r="4260" spans="1:27" x14ac:dyDescent="0.2">
      <c r="A4260" t="s">
        <v>517</v>
      </c>
      <c r="B4260">
        <v>2024</v>
      </c>
      <c r="C4260" t="s">
        <v>5329</v>
      </c>
      <c r="D4260" t="s">
        <v>5330</v>
      </c>
      <c r="E4260" t="s">
        <v>29</v>
      </c>
      <c r="F4260" t="s">
        <v>30</v>
      </c>
      <c r="G4260">
        <v>0</v>
      </c>
      <c r="H4260">
        <v>0</v>
      </c>
      <c r="I4260">
        <v>0</v>
      </c>
      <c r="J4260">
        <v>0</v>
      </c>
      <c r="K4260">
        <v>0</v>
      </c>
      <c r="L4260">
        <v>0</v>
      </c>
      <c r="M4260">
        <v>0</v>
      </c>
      <c r="N4260">
        <v>0</v>
      </c>
      <c r="O4260">
        <v>24</v>
      </c>
      <c r="P4260">
        <v>0</v>
      </c>
      <c r="Q4260">
        <v>0</v>
      </c>
      <c r="R4260">
        <v>0</v>
      </c>
      <c r="S4260">
        <v>0</v>
      </c>
      <c r="T4260">
        <v>0</v>
      </c>
      <c r="U4260">
        <v>0</v>
      </c>
      <c r="V4260">
        <v>0</v>
      </c>
      <c r="W4260">
        <v>0</v>
      </c>
      <c r="X4260">
        <v>0</v>
      </c>
      <c r="Y4260" t="s">
        <v>31</v>
      </c>
      <c r="Z4260">
        <v>55</v>
      </c>
      <c r="AA4260">
        <v>0</v>
      </c>
    </row>
    <row r="4261" spans="1:27" x14ac:dyDescent="0.2">
      <c r="A4261" t="s">
        <v>1500</v>
      </c>
      <c r="B4261">
        <v>2024</v>
      </c>
      <c r="C4261">
        <v>5845022019</v>
      </c>
      <c r="D4261" t="s">
        <v>4978</v>
      </c>
      <c r="E4261" t="s">
        <v>29</v>
      </c>
      <c r="F4261" t="s">
        <v>30</v>
      </c>
      <c r="G4261">
        <v>0</v>
      </c>
      <c r="H4261">
        <v>0</v>
      </c>
      <c r="I4261">
        <v>0</v>
      </c>
      <c r="J4261">
        <v>0</v>
      </c>
      <c r="K4261">
        <v>0</v>
      </c>
      <c r="L4261">
        <v>0</v>
      </c>
      <c r="M4261">
        <v>0</v>
      </c>
      <c r="N4261">
        <v>0</v>
      </c>
      <c r="O4261">
        <v>0</v>
      </c>
      <c r="P4261">
        <v>0</v>
      </c>
      <c r="Q4261">
        <v>0</v>
      </c>
      <c r="R4261">
        <v>0</v>
      </c>
      <c r="S4261">
        <v>0</v>
      </c>
      <c r="T4261">
        <v>0</v>
      </c>
      <c r="U4261">
        <v>0</v>
      </c>
      <c r="V4261">
        <v>0</v>
      </c>
      <c r="W4261">
        <v>0</v>
      </c>
      <c r="X4261">
        <v>0</v>
      </c>
      <c r="Y4261" t="s">
        <v>31</v>
      </c>
      <c r="Z4261">
        <v>55</v>
      </c>
      <c r="AA4261" s="2" t="s">
        <v>3779</v>
      </c>
    </row>
    <row r="4262" spans="1:27" x14ac:dyDescent="0.2">
      <c r="A4262" t="s">
        <v>1500</v>
      </c>
      <c r="B4262">
        <v>2024</v>
      </c>
      <c r="C4262">
        <v>3102021004</v>
      </c>
      <c r="D4262" t="s">
        <v>5331</v>
      </c>
      <c r="E4262" t="s">
        <v>29</v>
      </c>
      <c r="F4262" t="s">
        <v>30</v>
      </c>
      <c r="G4262">
        <v>0</v>
      </c>
      <c r="H4262">
        <v>0</v>
      </c>
      <c r="I4262">
        <v>4</v>
      </c>
      <c r="J4262">
        <v>0</v>
      </c>
      <c r="K4262">
        <v>0</v>
      </c>
      <c r="L4262">
        <v>0</v>
      </c>
      <c r="M4262">
        <v>0</v>
      </c>
      <c r="N4262">
        <v>0</v>
      </c>
      <c r="O4262">
        <v>0</v>
      </c>
      <c r="P4262">
        <v>0</v>
      </c>
      <c r="Q4262">
        <v>0</v>
      </c>
      <c r="R4262">
        <v>0</v>
      </c>
      <c r="S4262">
        <v>0</v>
      </c>
      <c r="T4262">
        <v>0</v>
      </c>
      <c r="U4262">
        <v>0</v>
      </c>
      <c r="V4262">
        <v>0</v>
      </c>
      <c r="W4262">
        <v>0</v>
      </c>
      <c r="X4262">
        <v>0</v>
      </c>
      <c r="Y4262" t="s">
        <v>31</v>
      </c>
      <c r="Z4262">
        <v>55</v>
      </c>
      <c r="AA4262">
        <v>0.5</v>
      </c>
    </row>
    <row r="4263" spans="1:27" x14ac:dyDescent="0.2">
      <c r="A4263" t="s">
        <v>1509</v>
      </c>
      <c r="B4263">
        <v>2024</v>
      </c>
      <c r="C4263">
        <v>1560180485</v>
      </c>
      <c r="D4263" t="s">
        <v>5332</v>
      </c>
      <c r="E4263" t="s">
        <v>29</v>
      </c>
      <c r="F4263" t="s">
        <v>30</v>
      </c>
      <c r="G4263">
        <v>0</v>
      </c>
      <c r="H4263">
        <v>0</v>
      </c>
      <c r="I4263">
        <v>0</v>
      </c>
      <c r="J4263">
        <v>0</v>
      </c>
      <c r="K4263">
        <v>0</v>
      </c>
      <c r="L4263">
        <v>0</v>
      </c>
      <c r="M4263">
        <v>0</v>
      </c>
      <c r="N4263">
        <v>0</v>
      </c>
      <c r="O4263">
        <v>0</v>
      </c>
      <c r="P4263">
        <v>0</v>
      </c>
      <c r="Q4263">
        <v>0</v>
      </c>
      <c r="R4263">
        <v>0</v>
      </c>
      <c r="S4263">
        <v>0</v>
      </c>
      <c r="T4263">
        <v>0</v>
      </c>
      <c r="U4263">
        <v>11</v>
      </c>
      <c r="V4263">
        <v>0</v>
      </c>
      <c r="W4263">
        <v>0</v>
      </c>
      <c r="X4263">
        <v>0</v>
      </c>
      <c r="Y4263" t="s">
        <v>51</v>
      </c>
      <c r="Z4263">
        <v>1000</v>
      </c>
      <c r="AA4263">
        <v>0</v>
      </c>
    </row>
    <row r="4264" spans="1:27" x14ac:dyDescent="0.2">
      <c r="A4264" t="s">
        <v>1509</v>
      </c>
      <c r="B4264">
        <v>2024</v>
      </c>
      <c r="C4264">
        <v>1560180485</v>
      </c>
      <c r="D4264" t="s">
        <v>5333</v>
      </c>
      <c r="E4264" t="s">
        <v>29</v>
      </c>
      <c r="F4264" t="s">
        <v>30</v>
      </c>
      <c r="G4264">
        <v>0</v>
      </c>
      <c r="H4264">
        <v>0</v>
      </c>
      <c r="I4264">
        <v>0</v>
      </c>
      <c r="J4264">
        <v>0</v>
      </c>
      <c r="K4264">
        <v>0</v>
      </c>
      <c r="L4264">
        <v>0</v>
      </c>
      <c r="M4264">
        <v>0</v>
      </c>
      <c r="N4264">
        <v>0</v>
      </c>
      <c r="O4264">
        <v>0</v>
      </c>
      <c r="P4264">
        <v>0</v>
      </c>
      <c r="Q4264">
        <v>0</v>
      </c>
      <c r="R4264">
        <v>0</v>
      </c>
      <c r="S4264">
        <v>0</v>
      </c>
      <c r="T4264">
        <v>0</v>
      </c>
      <c r="U4264">
        <v>12</v>
      </c>
      <c r="V4264">
        <v>0</v>
      </c>
      <c r="W4264">
        <v>0</v>
      </c>
      <c r="X4264">
        <v>0</v>
      </c>
      <c r="Y4264" t="s">
        <v>51</v>
      </c>
      <c r="Z4264">
        <v>1000</v>
      </c>
      <c r="AA4264">
        <v>0</v>
      </c>
    </row>
    <row r="4265" spans="1:27" x14ac:dyDescent="0.2">
      <c r="A4265" t="s">
        <v>1706</v>
      </c>
      <c r="B4265">
        <v>2024</v>
      </c>
      <c r="C4265">
        <v>200140011</v>
      </c>
      <c r="D4265" t="s">
        <v>5334</v>
      </c>
      <c r="E4265" t="s">
        <v>29</v>
      </c>
      <c r="F4265" t="s">
        <v>41</v>
      </c>
      <c r="G4265">
        <v>0</v>
      </c>
      <c r="H4265">
        <v>0</v>
      </c>
      <c r="I4265">
        <v>0</v>
      </c>
      <c r="J4265">
        <v>0</v>
      </c>
      <c r="K4265">
        <v>0</v>
      </c>
      <c r="L4265">
        <v>0</v>
      </c>
      <c r="M4265">
        <v>0</v>
      </c>
      <c r="N4265">
        <v>0</v>
      </c>
      <c r="O4265">
        <v>0</v>
      </c>
      <c r="P4265">
        <v>0</v>
      </c>
      <c r="Q4265">
        <v>0</v>
      </c>
      <c r="R4265">
        <v>0</v>
      </c>
      <c r="S4265">
        <v>0</v>
      </c>
      <c r="T4265">
        <v>0</v>
      </c>
      <c r="U4265">
        <v>0</v>
      </c>
      <c r="V4265">
        <v>0</v>
      </c>
      <c r="W4265">
        <v>0</v>
      </c>
      <c r="X4265">
        <v>0</v>
      </c>
      <c r="Y4265" t="s">
        <v>31</v>
      </c>
      <c r="AA4265" s="2" t="s">
        <v>3299</v>
      </c>
    </row>
    <row r="4266" spans="1:27" x14ac:dyDescent="0.2">
      <c r="A4266" t="s">
        <v>1706</v>
      </c>
      <c r="B4266">
        <v>2024</v>
      </c>
      <c r="C4266">
        <v>208022041</v>
      </c>
      <c r="D4266" t="s">
        <v>1713</v>
      </c>
      <c r="E4266" t="s">
        <v>29</v>
      </c>
      <c r="F4266" t="s">
        <v>41</v>
      </c>
      <c r="G4266">
        <v>0</v>
      </c>
      <c r="H4266">
        <v>0</v>
      </c>
      <c r="I4266">
        <v>0</v>
      </c>
      <c r="J4266">
        <v>0</v>
      </c>
      <c r="K4266">
        <v>5</v>
      </c>
      <c r="L4266">
        <v>0</v>
      </c>
      <c r="M4266">
        <v>0</v>
      </c>
      <c r="N4266">
        <v>0</v>
      </c>
      <c r="O4266">
        <v>0</v>
      </c>
      <c r="P4266">
        <v>0</v>
      </c>
      <c r="Q4266">
        <v>0</v>
      </c>
      <c r="R4266">
        <v>0</v>
      </c>
      <c r="S4266">
        <v>0</v>
      </c>
      <c r="T4266">
        <v>0</v>
      </c>
      <c r="U4266">
        <v>0</v>
      </c>
      <c r="V4266">
        <v>0</v>
      </c>
      <c r="W4266">
        <v>0</v>
      </c>
      <c r="X4266">
        <v>0</v>
      </c>
      <c r="Y4266" t="s">
        <v>51</v>
      </c>
      <c r="Z4266">
        <v>20</v>
      </c>
      <c r="AA4266">
        <v>0</v>
      </c>
    </row>
    <row r="4267" spans="1:27" x14ac:dyDescent="0.2">
      <c r="A4267" t="s">
        <v>1509</v>
      </c>
      <c r="B4267">
        <v>2024</v>
      </c>
      <c r="C4267">
        <v>1560180485</v>
      </c>
      <c r="D4267" t="s">
        <v>5335</v>
      </c>
      <c r="E4267" t="s">
        <v>29</v>
      </c>
      <c r="F4267" t="s">
        <v>30</v>
      </c>
      <c r="G4267">
        <v>0</v>
      </c>
      <c r="H4267">
        <v>0</v>
      </c>
      <c r="I4267">
        <v>0</v>
      </c>
      <c r="J4267">
        <v>0</v>
      </c>
      <c r="K4267">
        <v>0</v>
      </c>
      <c r="L4267">
        <v>0</v>
      </c>
      <c r="M4267">
        <v>0</v>
      </c>
      <c r="N4267">
        <v>0</v>
      </c>
      <c r="O4267">
        <v>0</v>
      </c>
      <c r="P4267">
        <v>0</v>
      </c>
      <c r="Q4267">
        <v>0</v>
      </c>
      <c r="R4267">
        <v>0</v>
      </c>
      <c r="S4267">
        <v>0</v>
      </c>
      <c r="T4267">
        <v>0</v>
      </c>
      <c r="U4267">
        <v>11</v>
      </c>
      <c r="V4267">
        <v>0</v>
      </c>
      <c r="W4267">
        <v>0</v>
      </c>
      <c r="X4267">
        <v>0</v>
      </c>
      <c r="Y4267" t="s">
        <v>51</v>
      </c>
      <c r="Z4267">
        <v>1000</v>
      </c>
      <c r="AA4267">
        <v>0</v>
      </c>
    </row>
    <row r="4268" spans="1:27" x14ac:dyDescent="0.2">
      <c r="A4268" t="s">
        <v>753</v>
      </c>
      <c r="B4268">
        <v>2024</v>
      </c>
      <c r="C4268">
        <v>5662321800</v>
      </c>
      <c r="D4268" t="s">
        <v>5336</v>
      </c>
      <c r="E4268" t="s">
        <v>29</v>
      </c>
      <c r="F4268" t="s">
        <v>30</v>
      </c>
      <c r="G4268">
        <v>0</v>
      </c>
      <c r="H4268">
        <v>0</v>
      </c>
      <c r="I4268">
        <v>0</v>
      </c>
      <c r="J4268">
        <v>0</v>
      </c>
      <c r="K4268">
        <v>0</v>
      </c>
      <c r="L4268">
        <v>0</v>
      </c>
      <c r="M4268">
        <v>0</v>
      </c>
      <c r="N4268">
        <v>0</v>
      </c>
      <c r="O4268">
        <v>0</v>
      </c>
      <c r="P4268">
        <v>0</v>
      </c>
      <c r="Q4268">
        <v>0</v>
      </c>
      <c r="R4268">
        <v>0</v>
      </c>
      <c r="S4268">
        <v>0</v>
      </c>
      <c r="T4268">
        <v>0</v>
      </c>
      <c r="U4268">
        <v>57</v>
      </c>
      <c r="V4268">
        <v>0</v>
      </c>
      <c r="W4268">
        <v>0</v>
      </c>
      <c r="X4268">
        <v>0</v>
      </c>
      <c r="Y4268" t="s">
        <v>31</v>
      </c>
      <c r="Z4268">
        <v>55</v>
      </c>
      <c r="AA4268">
        <v>1</v>
      </c>
    </row>
    <row r="4269" spans="1:27" x14ac:dyDescent="0.2">
      <c r="A4269" t="s">
        <v>753</v>
      </c>
      <c r="B4269">
        <v>2024</v>
      </c>
      <c r="C4269">
        <v>5662321700</v>
      </c>
      <c r="D4269" t="s">
        <v>5337</v>
      </c>
      <c r="E4269" t="s">
        <v>29</v>
      </c>
      <c r="F4269" t="s">
        <v>30</v>
      </c>
      <c r="G4269">
        <v>0</v>
      </c>
      <c r="H4269">
        <v>0</v>
      </c>
      <c r="I4269">
        <v>0</v>
      </c>
      <c r="J4269">
        <v>0</v>
      </c>
      <c r="K4269">
        <v>0</v>
      </c>
      <c r="L4269">
        <v>0</v>
      </c>
      <c r="M4269">
        <v>14</v>
      </c>
      <c r="N4269">
        <v>0</v>
      </c>
      <c r="O4269">
        <v>41</v>
      </c>
      <c r="P4269">
        <v>0</v>
      </c>
      <c r="Q4269">
        <v>0</v>
      </c>
      <c r="R4269">
        <v>0</v>
      </c>
      <c r="S4269">
        <v>0</v>
      </c>
      <c r="T4269">
        <v>0</v>
      </c>
      <c r="U4269">
        <v>0</v>
      </c>
      <c r="V4269">
        <v>0</v>
      </c>
      <c r="W4269">
        <v>0</v>
      </c>
      <c r="X4269">
        <v>0</v>
      </c>
      <c r="Y4269" t="s">
        <v>51</v>
      </c>
      <c r="Z4269">
        <v>55</v>
      </c>
      <c r="AA4269">
        <v>0</v>
      </c>
    </row>
    <row r="4270" spans="1:27" x14ac:dyDescent="0.2">
      <c r="A4270" t="s">
        <v>503</v>
      </c>
      <c r="B4270">
        <v>2021</v>
      </c>
      <c r="C4270" t="s">
        <v>504</v>
      </c>
      <c r="D4270" t="s">
        <v>505</v>
      </c>
      <c r="E4270" t="s">
        <v>29</v>
      </c>
      <c r="F4270" t="s">
        <v>30</v>
      </c>
      <c r="G4270">
        <v>13</v>
      </c>
      <c r="H4270">
        <v>0</v>
      </c>
      <c r="I4270">
        <v>21</v>
      </c>
      <c r="J4270">
        <v>0</v>
      </c>
      <c r="K4270">
        <v>1</v>
      </c>
      <c r="L4270">
        <v>0</v>
      </c>
      <c r="M4270">
        <v>13</v>
      </c>
      <c r="N4270">
        <v>0</v>
      </c>
      <c r="O4270">
        <v>21</v>
      </c>
      <c r="P4270">
        <v>0</v>
      </c>
      <c r="Q4270">
        <v>1</v>
      </c>
      <c r="R4270">
        <v>0</v>
      </c>
      <c r="S4270">
        <v>0</v>
      </c>
      <c r="T4270">
        <v>0</v>
      </c>
      <c r="U4270">
        <v>0</v>
      </c>
      <c r="V4270">
        <v>0</v>
      </c>
      <c r="W4270">
        <v>0</v>
      </c>
      <c r="X4270">
        <v>0</v>
      </c>
      <c r="Y4270" t="s">
        <v>31</v>
      </c>
      <c r="Z4270">
        <v>55</v>
      </c>
      <c r="AA4270">
        <v>60</v>
      </c>
    </row>
    <row r="4271" spans="1:27" x14ac:dyDescent="0.2">
      <c r="A4271" t="s">
        <v>753</v>
      </c>
      <c r="B4271">
        <v>2024</v>
      </c>
      <c r="C4271">
        <v>6430606100</v>
      </c>
      <c r="D4271" t="s">
        <v>5338</v>
      </c>
      <c r="E4271" t="s">
        <v>29</v>
      </c>
      <c r="F4271" t="s">
        <v>30</v>
      </c>
      <c r="G4271">
        <v>0</v>
      </c>
      <c r="H4271">
        <v>0</v>
      </c>
      <c r="I4271">
        <v>0</v>
      </c>
      <c r="J4271">
        <v>0</v>
      </c>
      <c r="K4271">
        <v>0</v>
      </c>
      <c r="L4271">
        <v>0</v>
      </c>
      <c r="M4271">
        <v>0</v>
      </c>
      <c r="N4271">
        <v>0</v>
      </c>
      <c r="O4271">
        <v>0</v>
      </c>
      <c r="P4271">
        <v>0</v>
      </c>
      <c r="Q4271">
        <v>0</v>
      </c>
      <c r="R4271">
        <v>0</v>
      </c>
      <c r="S4271">
        <v>42</v>
      </c>
      <c r="T4271">
        <v>0</v>
      </c>
      <c r="U4271">
        <v>54</v>
      </c>
      <c r="V4271">
        <v>0</v>
      </c>
      <c r="W4271">
        <v>0</v>
      </c>
      <c r="X4271">
        <v>0</v>
      </c>
      <c r="Y4271" t="s">
        <v>51</v>
      </c>
      <c r="Z4271">
        <v>55</v>
      </c>
      <c r="AA4271">
        <v>0</v>
      </c>
    </row>
    <row r="4272" spans="1:27" x14ac:dyDescent="0.2">
      <c r="A4272" t="s">
        <v>753</v>
      </c>
      <c r="B4272">
        <v>2024</v>
      </c>
      <c r="C4272">
        <v>6430606100</v>
      </c>
      <c r="D4272" t="s">
        <v>1354</v>
      </c>
      <c r="E4272" t="s">
        <v>29</v>
      </c>
      <c r="F4272" t="s">
        <v>30</v>
      </c>
      <c r="G4272">
        <v>0</v>
      </c>
      <c r="H4272">
        <v>0</v>
      </c>
      <c r="I4272">
        <v>0</v>
      </c>
      <c r="J4272">
        <v>0</v>
      </c>
      <c r="K4272">
        <v>0</v>
      </c>
      <c r="L4272">
        <v>0</v>
      </c>
      <c r="M4272">
        <v>0</v>
      </c>
      <c r="N4272">
        <v>0</v>
      </c>
      <c r="O4272">
        <v>0</v>
      </c>
      <c r="P4272">
        <v>0</v>
      </c>
      <c r="Q4272">
        <v>0</v>
      </c>
      <c r="R4272">
        <v>0</v>
      </c>
      <c r="S4272">
        <v>0</v>
      </c>
      <c r="T4272">
        <v>0</v>
      </c>
      <c r="U4272">
        <v>102</v>
      </c>
      <c r="V4272">
        <v>0</v>
      </c>
      <c r="W4272">
        <v>0</v>
      </c>
      <c r="X4272">
        <v>0</v>
      </c>
      <c r="Y4272" t="s">
        <v>51</v>
      </c>
      <c r="Z4272">
        <v>55</v>
      </c>
      <c r="AA4272">
        <v>0</v>
      </c>
    </row>
    <row r="4273" spans="1:27" x14ac:dyDescent="0.2">
      <c r="A4273" t="s">
        <v>1500</v>
      </c>
      <c r="B4273">
        <v>2024</v>
      </c>
      <c r="C4273">
        <v>5232013039</v>
      </c>
      <c r="D4273" t="s">
        <v>5339</v>
      </c>
      <c r="E4273" t="s">
        <v>29</v>
      </c>
      <c r="F4273" t="s">
        <v>30</v>
      </c>
      <c r="G4273">
        <v>0</v>
      </c>
      <c r="H4273">
        <v>0</v>
      </c>
      <c r="I4273">
        <v>0</v>
      </c>
      <c r="J4273">
        <v>0</v>
      </c>
      <c r="K4273">
        <v>18</v>
      </c>
      <c r="L4273">
        <v>0</v>
      </c>
      <c r="M4273">
        <v>0</v>
      </c>
      <c r="N4273">
        <v>0</v>
      </c>
      <c r="O4273">
        <v>0</v>
      </c>
      <c r="P4273">
        <v>0</v>
      </c>
      <c r="Q4273">
        <v>0</v>
      </c>
      <c r="R4273">
        <v>0</v>
      </c>
      <c r="S4273">
        <v>0</v>
      </c>
      <c r="T4273">
        <v>0</v>
      </c>
      <c r="U4273">
        <v>0</v>
      </c>
      <c r="V4273">
        <v>0</v>
      </c>
      <c r="W4273">
        <v>0</v>
      </c>
      <c r="X4273">
        <v>0</v>
      </c>
      <c r="Y4273" t="s">
        <v>31</v>
      </c>
      <c r="Z4273">
        <v>55</v>
      </c>
      <c r="AA4273" s="2" t="s">
        <v>5340</v>
      </c>
    </row>
    <row r="4274" spans="1:27" x14ac:dyDescent="0.2">
      <c r="A4274" t="s">
        <v>460</v>
      </c>
      <c r="B4274">
        <v>2024</v>
      </c>
      <c r="C4274" t="s">
        <v>461</v>
      </c>
      <c r="D4274" t="s">
        <v>857</v>
      </c>
      <c r="E4274" t="s">
        <v>29</v>
      </c>
      <c r="F4274" t="s">
        <v>30</v>
      </c>
      <c r="G4274">
        <v>0</v>
      </c>
      <c r="H4274">
        <v>0</v>
      </c>
      <c r="I4274">
        <v>0</v>
      </c>
      <c r="J4274">
        <v>0</v>
      </c>
      <c r="K4274">
        <v>0</v>
      </c>
      <c r="L4274">
        <v>0</v>
      </c>
      <c r="M4274">
        <v>0</v>
      </c>
      <c r="N4274">
        <v>0</v>
      </c>
      <c r="O4274">
        <v>0</v>
      </c>
      <c r="P4274">
        <v>0</v>
      </c>
      <c r="Q4274">
        <v>0</v>
      </c>
      <c r="R4274">
        <v>0</v>
      </c>
      <c r="S4274">
        <v>2</v>
      </c>
      <c r="T4274">
        <v>0</v>
      </c>
      <c r="U4274">
        <v>10</v>
      </c>
      <c r="V4274">
        <v>0</v>
      </c>
      <c r="W4274">
        <v>0</v>
      </c>
      <c r="X4274">
        <v>0</v>
      </c>
      <c r="Y4274" t="s">
        <v>31</v>
      </c>
      <c r="Z4274">
        <v>55</v>
      </c>
      <c r="AA4274" s="2" t="s">
        <v>5091</v>
      </c>
    </row>
    <row r="4275" spans="1:27" x14ac:dyDescent="0.2">
      <c r="A4275" t="s">
        <v>460</v>
      </c>
      <c r="B4275">
        <v>2024</v>
      </c>
      <c r="C4275" t="s">
        <v>461</v>
      </c>
      <c r="D4275" t="s">
        <v>901</v>
      </c>
      <c r="E4275" t="s">
        <v>29</v>
      </c>
      <c r="F4275" t="s">
        <v>30</v>
      </c>
      <c r="G4275">
        <v>0</v>
      </c>
      <c r="H4275">
        <v>0</v>
      </c>
      <c r="I4275">
        <v>0</v>
      </c>
      <c r="J4275">
        <v>0</v>
      </c>
      <c r="K4275">
        <v>0</v>
      </c>
      <c r="L4275">
        <v>0</v>
      </c>
      <c r="M4275">
        <v>0</v>
      </c>
      <c r="N4275">
        <v>0</v>
      </c>
      <c r="O4275">
        <v>0</v>
      </c>
      <c r="P4275">
        <v>0</v>
      </c>
      <c r="Q4275">
        <v>0</v>
      </c>
      <c r="R4275">
        <v>0</v>
      </c>
      <c r="S4275">
        <v>5</v>
      </c>
      <c r="T4275">
        <v>0</v>
      </c>
      <c r="U4275">
        <v>19</v>
      </c>
      <c r="V4275">
        <v>0</v>
      </c>
      <c r="W4275">
        <v>0</v>
      </c>
      <c r="X4275">
        <v>0</v>
      </c>
      <c r="Y4275" t="s">
        <v>31</v>
      </c>
      <c r="Z4275">
        <v>55</v>
      </c>
      <c r="AA4275" s="2" t="s">
        <v>5091</v>
      </c>
    </row>
    <row r="4276" spans="1:27" x14ac:dyDescent="0.2">
      <c r="A4276" t="s">
        <v>1367</v>
      </c>
      <c r="B4276">
        <v>2021</v>
      </c>
      <c r="C4276" t="s">
        <v>2221</v>
      </c>
      <c r="D4276" t="s">
        <v>2222</v>
      </c>
      <c r="E4276" t="s">
        <v>29</v>
      </c>
      <c r="F4276" t="s">
        <v>30</v>
      </c>
      <c r="G4276">
        <v>0</v>
      </c>
      <c r="H4276">
        <v>0</v>
      </c>
      <c r="I4276">
        <v>0</v>
      </c>
      <c r="J4276">
        <v>0</v>
      </c>
      <c r="K4276">
        <v>8</v>
      </c>
      <c r="L4276">
        <v>0</v>
      </c>
      <c r="M4276">
        <v>0</v>
      </c>
      <c r="N4276">
        <v>0</v>
      </c>
      <c r="O4276">
        <v>0</v>
      </c>
      <c r="P4276">
        <v>0</v>
      </c>
      <c r="Q4276">
        <v>0</v>
      </c>
      <c r="R4276">
        <v>0</v>
      </c>
      <c r="S4276">
        <v>0</v>
      </c>
      <c r="T4276">
        <v>0</v>
      </c>
      <c r="U4276">
        <v>0</v>
      </c>
      <c r="V4276">
        <v>0</v>
      </c>
      <c r="W4276">
        <v>0</v>
      </c>
      <c r="X4276">
        <v>0</v>
      </c>
      <c r="Y4276" t="s">
        <v>51</v>
      </c>
      <c r="AA4276">
        <v>0</v>
      </c>
    </row>
    <row r="4277" spans="1:27" x14ac:dyDescent="0.2">
      <c r="A4277" t="s">
        <v>5045</v>
      </c>
      <c r="B4277">
        <v>2024</v>
      </c>
      <c r="C4277" t="s">
        <v>5341</v>
      </c>
      <c r="D4277" t="s">
        <v>5342</v>
      </c>
      <c r="E4277" t="s">
        <v>29</v>
      </c>
      <c r="F4277" t="s">
        <v>30</v>
      </c>
      <c r="G4277">
        <v>12</v>
      </c>
      <c r="H4277">
        <v>0</v>
      </c>
      <c r="I4277">
        <v>0</v>
      </c>
      <c r="J4277">
        <v>0</v>
      </c>
      <c r="K4277">
        <v>0</v>
      </c>
      <c r="L4277">
        <v>0</v>
      </c>
      <c r="M4277">
        <v>0</v>
      </c>
      <c r="N4277">
        <v>0</v>
      </c>
      <c r="O4277">
        <v>0</v>
      </c>
      <c r="P4277">
        <v>0</v>
      </c>
      <c r="Q4277">
        <v>0</v>
      </c>
      <c r="R4277">
        <v>0</v>
      </c>
      <c r="S4277">
        <v>0</v>
      </c>
      <c r="T4277">
        <v>0</v>
      </c>
      <c r="U4277">
        <v>0</v>
      </c>
      <c r="V4277">
        <v>0</v>
      </c>
      <c r="W4277">
        <v>0</v>
      </c>
      <c r="X4277">
        <v>0</v>
      </c>
      <c r="Y4277" t="s">
        <v>31</v>
      </c>
      <c r="AA4277">
        <v>0.11</v>
      </c>
    </row>
    <row r="4278" spans="1:27" x14ac:dyDescent="0.2">
      <c r="A4278" t="s">
        <v>406</v>
      </c>
      <c r="B4278">
        <v>2024</v>
      </c>
      <c r="C4278" t="s">
        <v>5343</v>
      </c>
      <c r="D4278" t="s">
        <v>5344</v>
      </c>
      <c r="E4278" t="s">
        <v>29</v>
      </c>
      <c r="F4278" t="s">
        <v>30</v>
      </c>
      <c r="G4278">
        <v>65</v>
      </c>
      <c r="H4278">
        <v>0</v>
      </c>
      <c r="I4278">
        <v>113</v>
      </c>
      <c r="J4278">
        <v>0</v>
      </c>
      <c r="K4278">
        <v>185</v>
      </c>
      <c r="L4278">
        <v>0</v>
      </c>
      <c r="M4278">
        <v>0</v>
      </c>
      <c r="N4278">
        <v>0</v>
      </c>
      <c r="O4278">
        <v>0</v>
      </c>
      <c r="P4278">
        <v>0</v>
      </c>
      <c r="Q4278">
        <v>0</v>
      </c>
      <c r="R4278">
        <v>0</v>
      </c>
      <c r="S4278">
        <v>0</v>
      </c>
      <c r="T4278">
        <v>0</v>
      </c>
      <c r="U4278">
        <v>0</v>
      </c>
      <c r="V4278">
        <v>0</v>
      </c>
      <c r="W4278">
        <v>0</v>
      </c>
      <c r="X4278">
        <v>0</v>
      </c>
      <c r="Y4278" t="s">
        <v>31</v>
      </c>
      <c r="Z4278">
        <v>55</v>
      </c>
      <c r="AA4278">
        <v>0</v>
      </c>
    </row>
    <row r="4279" spans="1:27" x14ac:dyDescent="0.2">
      <c r="A4279" t="s">
        <v>533</v>
      </c>
      <c r="B4279">
        <v>2024</v>
      </c>
      <c r="C4279" t="s">
        <v>1922</v>
      </c>
      <c r="D4279" t="s">
        <v>5345</v>
      </c>
      <c r="E4279" t="s">
        <v>29</v>
      </c>
      <c r="F4279" t="s">
        <v>41</v>
      </c>
      <c r="G4279">
        <v>0</v>
      </c>
      <c r="H4279">
        <v>0</v>
      </c>
      <c r="I4279">
        <v>0</v>
      </c>
      <c r="J4279">
        <v>0</v>
      </c>
      <c r="K4279">
        <v>1</v>
      </c>
      <c r="L4279">
        <v>0</v>
      </c>
      <c r="M4279">
        <v>0</v>
      </c>
      <c r="N4279">
        <v>0</v>
      </c>
      <c r="O4279">
        <v>0</v>
      </c>
      <c r="P4279">
        <v>0</v>
      </c>
      <c r="Q4279">
        <v>1</v>
      </c>
      <c r="R4279">
        <v>0</v>
      </c>
      <c r="S4279">
        <v>0</v>
      </c>
      <c r="T4279">
        <v>0</v>
      </c>
      <c r="U4279">
        <v>0</v>
      </c>
      <c r="V4279">
        <v>0</v>
      </c>
      <c r="W4279">
        <v>1</v>
      </c>
      <c r="X4279">
        <v>0</v>
      </c>
      <c r="Y4279" t="s">
        <v>31</v>
      </c>
      <c r="Z4279">
        <v>1000</v>
      </c>
      <c r="AA4279" s="2" t="s">
        <v>3299</v>
      </c>
    </row>
    <row r="4280" spans="1:27" x14ac:dyDescent="0.2">
      <c r="A4280" t="s">
        <v>533</v>
      </c>
      <c r="B4280">
        <v>2024</v>
      </c>
      <c r="C4280" t="s">
        <v>5346</v>
      </c>
      <c r="D4280" t="s">
        <v>5347</v>
      </c>
      <c r="E4280" t="s">
        <v>29</v>
      </c>
      <c r="F4280" t="s">
        <v>41</v>
      </c>
      <c r="G4280">
        <v>1</v>
      </c>
      <c r="H4280">
        <v>0</v>
      </c>
      <c r="I4280">
        <v>0</v>
      </c>
      <c r="J4280">
        <v>0</v>
      </c>
      <c r="K4280">
        <v>1</v>
      </c>
      <c r="L4280">
        <v>0</v>
      </c>
      <c r="M4280">
        <v>1</v>
      </c>
      <c r="N4280">
        <v>0</v>
      </c>
      <c r="O4280">
        <v>0</v>
      </c>
      <c r="P4280">
        <v>0</v>
      </c>
      <c r="Q4280">
        <v>1</v>
      </c>
      <c r="R4280">
        <v>0</v>
      </c>
      <c r="S4280">
        <v>0</v>
      </c>
      <c r="T4280">
        <v>0</v>
      </c>
      <c r="U4280">
        <v>0</v>
      </c>
      <c r="V4280">
        <v>0</v>
      </c>
      <c r="W4280">
        <v>0</v>
      </c>
      <c r="X4280">
        <v>0</v>
      </c>
      <c r="Y4280" t="s">
        <v>31</v>
      </c>
      <c r="Z4280">
        <v>59</v>
      </c>
      <c r="AA4280" s="2" t="s">
        <v>3299</v>
      </c>
    </row>
    <row r="4281" spans="1:27" x14ac:dyDescent="0.2">
      <c r="A4281" t="s">
        <v>533</v>
      </c>
      <c r="B4281">
        <v>2024</v>
      </c>
      <c r="C4281" t="s">
        <v>5348</v>
      </c>
      <c r="D4281" t="s">
        <v>5349</v>
      </c>
      <c r="E4281" t="s">
        <v>29</v>
      </c>
      <c r="F4281" t="s">
        <v>41</v>
      </c>
      <c r="G4281">
        <v>0</v>
      </c>
      <c r="H4281">
        <v>0</v>
      </c>
      <c r="I4281">
        <v>1</v>
      </c>
      <c r="J4281">
        <v>0</v>
      </c>
      <c r="K4281">
        <v>1</v>
      </c>
      <c r="L4281">
        <v>0</v>
      </c>
      <c r="M4281">
        <v>0</v>
      </c>
      <c r="N4281">
        <v>0</v>
      </c>
      <c r="O4281">
        <v>1</v>
      </c>
      <c r="P4281">
        <v>0</v>
      </c>
      <c r="Q4281">
        <v>1</v>
      </c>
      <c r="R4281">
        <v>0</v>
      </c>
      <c r="S4281">
        <v>0</v>
      </c>
      <c r="T4281">
        <v>0</v>
      </c>
      <c r="U4281">
        <v>0</v>
      </c>
      <c r="V4281">
        <v>0</v>
      </c>
      <c r="W4281">
        <v>0</v>
      </c>
      <c r="X4281">
        <v>0</v>
      </c>
      <c r="Y4281" t="s">
        <v>31</v>
      </c>
      <c r="Z4281">
        <v>59</v>
      </c>
      <c r="AA4281" s="2" t="s">
        <v>3299</v>
      </c>
    </row>
    <row r="4282" spans="1:27" x14ac:dyDescent="0.2">
      <c r="A4282" t="s">
        <v>1959</v>
      </c>
      <c r="B4282">
        <v>2024</v>
      </c>
      <c r="C4282" t="s">
        <v>2262</v>
      </c>
      <c r="D4282" t="s">
        <v>2263</v>
      </c>
      <c r="E4282" t="s">
        <v>29</v>
      </c>
      <c r="F4282" t="s">
        <v>30</v>
      </c>
      <c r="G4282">
        <v>10</v>
      </c>
      <c r="H4282">
        <v>0</v>
      </c>
      <c r="I4282">
        <v>0</v>
      </c>
      <c r="J4282">
        <v>0</v>
      </c>
      <c r="K4282">
        <v>0</v>
      </c>
      <c r="L4282">
        <v>0</v>
      </c>
      <c r="M4282">
        <v>10</v>
      </c>
      <c r="N4282">
        <v>0</v>
      </c>
      <c r="O4282">
        <v>0</v>
      </c>
      <c r="P4282">
        <v>0</v>
      </c>
      <c r="Q4282">
        <v>0</v>
      </c>
      <c r="R4282">
        <v>190</v>
      </c>
      <c r="S4282">
        <v>0</v>
      </c>
      <c r="T4282">
        <v>0</v>
      </c>
      <c r="U4282">
        <v>0</v>
      </c>
      <c r="V4282">
        <v>0</v>
      </c>
      <c r="W4282">
        <v>0</v>
      </c>
      <c r="X4282">
        <v>0</v>
      </c>
      <c r="Y4282" t="s">
        <v>51</v>
      </c>
      <c r="AA4282">
        <v>0</v>
      </c>
    </row>
    <row r="4283" spans="1:27" x14ac:dyDescent="0.2">
      <c r="A4283" t="s">
        <v>1500</v>
      </c>
      <c r="B4283">
        <v>2024</v>
      </c>
      <c r="C4283">
        <v>5845022019</v>
      </c>
      <c r="D4283" t="s">
        <v>4978</v>
      </c>
      <c r="E4283" t="s">
        <v>29</v>
      </c>
      <c r="F4283" t="s">
        <v>30</v>
      </c>
      <c r="G4283">
        <v>0</v>
      </c>
      <c r="H4283">
        <v>0</v>
      </c>
      <c r="I4283">
        <v>0</v>
      </c>
      <c r="J4283">
        <v>0</v>
      </c>
      <c r="K4283">
        <v>0</v>
      </c>
      <c r="L4283">
        <v>0</v>
      </c>
      <c r="M4283">
        <v>0</v>
      </c>
      <c r="N4283">
        <v>0</v>
      </c>
      <c r="O4283">
        <v>0</v>
      </c>
      <c r="P4283">
        <v>0</v>
      </c>
      <c r="Q4283">
        <v>0</v>
      </c>
      <c r="R4283">
        <v>0</v>
      </c>
      <c r="S4283">
        <v>0</v>
      </c>
      <c r="T4283">
        <v>0</v>
      </c>
      <c r="U4283">
        <v>0</v>
      </c>
      <c r="V4283">
        <v>0</v>
      </c>
      <c r="W4283">
        <v>0</v>
      </c>
      <c r="X4283">
        <v>0</v>
      </c>
      <c r="Y4283" t="s">
        <v>31</v>
      </c>
      <c r="Z4283">
        <v>55</v>
      </c>
      <c r="AA4283" s="2" t="s">
        <v>3779</v>
      </c>
    </row>
    <row r="4284" spans="1:27" x14ac:dyDescent="0.2">
      <c r="A4284" t="s">
        <v>2006</v>
      </c>
      <c r="B4284">
        <v>2024</v>
      </c>
      <c r="C4284" t="s">
        <v>5350</v>
      </c>
      <c r="D4284" t="s">
        <v>5351</v>
      </c>
      <c r="E4284" t="s">
        <v>29</v>
      </c>
      <c r="F4284" t="s">
        <v>41</v>
      </c>
      <c r="G4284">
        <v>3</v>
      </c>
      <c r="H4284">
        <v>0</v>
      </c>
      <c r="I4284">
        <v>0</v>
      </c>
      <c r="J4284">
        <v>0</v>
      </c>
      <c r="K4284">
        <v>3</v>
      </c>
      <c r="L4284">
        <v>0</v>
      </c>
      <c r="M4284">
        <v>0</v>
      </c>
      <c r="N4284">
        <v>0</v>
      </c>
      <c r="O4284">
        <v>0</v>
      </c>
      <c r="P4284">
        <v>0</v>
      </c>
      <c r="Q4284">
        <v>0</v>
      </c>
      <c r="R4284">
        <v>0</v>
      </c>
      <c r="S4284">
        <v>0</v>
      </c>
      <c r="T4284">
        <v>0</v>
      </c>
      <c r="U4284">
        <v>0</v>
      </c>
      <c r="V4284">
        <v>0</v>
      </c>
      <c r="W4284">
        <v>0</v>
      </c>
      <c r="X4284">
        <v>0</v>
      </c>
      <c r="Y4284" t="s">
        <v>31</v>
      </c>
      <c r="AA4284">
        <v>1</v>
      </c>
    </row>
    <row r="4285" spans="1:27" ht="119" x14ac:dyDescent="0.2">
      <c r="A4285" t="s">
        <v>43</v>
      </c>
      <c r="B4285">
        <v>2024</v>
      </c>
      <c r="C4285">
        <v>4336014025</v>
      </c>
      <c r="D4285" s="1" t="s">
        <v>5352</v>
      </c>
      <c r="E4285" t="s">
        <v>29</v>
      </c>
      <c r="F4285" t="s">
        <v>30</v>
      </c>
      <c r="G4285">
        <v>1</v>
      </c>
      <c r="H4285">
        <v>0</v>
      </c>
      <c r="I4285">
        <v>0</v>
      </c>
      <c r="J4285">
        <v>0</v>
      </c>
      <c r="K4285">
        <v>0</v>
      </c>
      <c r="L4285">
        <v>0</v>
      </c>
      <c r="M4285">
        <v>0</v>
      </c>
      <c r="N4285">
        <v>0</v>
      </c>
      <c r="O4285">
        <v>0</v>
      </c>
      <c r="P4285">
        <v>0</v>
      </c>
      <c r="Q4285">
        <v>0</v>
      </c>
      <c r="R4285">
        <v>0</v>
      </c>
      <c r="S4285">
        <v>0</v>
      </c>
      <c r="T4285">
        <v>0</v>
      </c>
      <c r="U4285">
        <v>0</v>
      </c>
      <c r="V4285">
        <v>0</v>
      </c>
      <c r="W4285">
        <v>0</v>
      </c>
      <c r="X4285">
        <v>0</v>
      </c>
      <c r="Y4285" t="s">
        <v>51</v>
      </c>
      <c r="AA4285">
        <v>0</v>
      </c>
    </row>
    <row r="4286" spans="1:27" x14ac:dyDescent="0.2">
      <c r="A4286" t="s">
        <v>2614</v>
      </c>
      <c r="B4286">
        <v>2024</v>
      </c>
      <c r="C4286">
        <v>2546121400</v>
      </c>
      <c r="D4286" t="s">
        <v>5316</v>
      </c>
      <c r="E4286" t="s">
        <v>29</v>
      </c>
      <c r="F4286" t="s">
        <v>30</v>
      </c>
      <c r="G4286">
        <v>0</v>
      </c>
      <c r="H4286">
        <v>0</v>
      </c>
      <c r="I4286">
        <v>0</v>
      </c>
      <c r="J4286">
        <v>0</v>
      </c>
      <c r="K4286">
        <v>0</v>
      </c>
      <c r="L4286">
        <v>0</v>
      </c>
      <c r="M4286">
        <v>0</v>
      </c>
      <c r="N4286">
        <v>0</v>
      </c>
      <c r="O4286">
        <v>0</v>
      </c>
      <c r="P4286">
        <v>0</v>
      </c>
      <c r="Q4286">
        <v>0</v>
      </c>
      <c r="R4286">
        <v>0</v>
      </c>
      <c r="S4286">
        <v>1</v>
      </c>
      <c r="T4286">
        <v>0</v>
      </c>
      <c r="U4286">
        <v>0</v>
      </c>
      <c r="V4286">
        <v>0</v>
      </c>
      <c r="W4286">
        <v>0</v>
      </c>
      <c r="X4286">
        <v>0</v>
      </c>
      <c r="Y4286" t="s">
        <v>31</v>
      </c>
      <c r="Z4286">
        <v>1000</v>
      </c>
      <c r="AA4286">
        <v>0</v>
      </c>
    </row>
    <row r="4287" spans="1:27" x14ac:dyDescent="0.2">
      <c r="A4287" t="s">
        <v>2614</v>
      </c>
      <c r="B4287">
        <v>2024</v>
      </c>
      <c r="C4287">
        <v>2546121400</v>
      </c>
      <c r="D4287" t="s">
        <v>5353</v>
      </c>
      <c r="E4287" t="s">
        <v>29</v>
      </c>
      <c r="F4287" t="s">
        <v>30</v>
      </c>
      <c r="G4287">
        <v>0</v>
      </c>
      <c r="H4287">
        <v>0</v>
      </c>
      <c r="I4287">
        <v>0</v>
      </c>
      <c r="J4287">
        <v>0</v>
      </c>
      <c r="K4287">
        <v>0</v>
      </c>
      <c r="L4287">
        <v>0</v>
      </c>
      <c r="M4287">
        <v>1</v>
      </c>
      <c r="N4287">
        <v>0</v>
      </c>
      <c r="O4287">
        <v>0</v>
      </c>
      <c r="P4287">
        <v>0</v>
      </c>
      <c r="Q4287">
        <v>0</v>
      </c>
      <c r="R4287">
        <v>0</v>
      </c>
      <c r="S4287">
        <v>0</v>
      </c>
      <c r="T4287">
        <v>0</v>
      </c>
      <c r="U4287">
        <v>0</v>
      </c>
      <c r="V4287">
        <v>0</v>
      </c>
      <c r="W4287">
        <v>0</v>
      </c>
      <c r="X4287">
        <v>0</v>
      </c>
      <c r="Y4287" t="s">
        <v>31</v>
      </c>
      <c r="Z4287">
        <v>1000</v>
      </c>
      <c r="AA4287">
        <v>0</v>
      </c>
    </row>
    <row r="4288" spans="1:27" x14ac:dyDescent="0.2">
      <c r="A4288" t="s">
        <v>2614</v>
      </c>
      <c r="B4288">
        <v>2024</v>
      </c>
      <c r="C4288">
        <v>2546121400</v>
      </c>
      <c r="D4288" t="s">
        <v>5354</v>
      </c>
      <c r="E4288" t="s">
        <v>29</v>
      </c>
      <c r="F4288" t="s">
        <v>30</v>
      </c>
      <c r="G4288">
        <v>0</v>
      </c>
      <c r="H4288">
        <v>0</v>
      </c>
      <c r="I4288">
        <v>0</v>
      </c>
      <c r="J4288">
        <v>0</v>
      </c>
      <c r="K4288">
        <v>0</v>
      </c>
      <c r="L4288">
        <v>0</v>
      </c>
      <c r="M4288">
        <v>1</v>
      </c>
      <c r="N4288">
        <v>0</v>
      </c>
      <c r="O4288">
        <v>0</v>
      </c>
      <c r="P4288">
        <v>0</v>
      </c>
      <c r="Q4288">
        <v>0</v>
      </c>
      <c r="R4288">
        <v>0</v>
      </c>
      <c r="S4288">
        <v>0</v>
      </c>
      <c r="T4288">
        <v>0</v>
      </c>
      <c r="U4288">
        <v>0</v>
      </c>
      <c r="V4288">
        <v>0</v>
      </c>
      <c r="W4288">
        <v>0</v>
      </c>
      <c r="X4288">
        <v>0</v>
      </c>
      <c r="Y4288" t="s">
        <v>31</v>
      </c>
      <c r="Z4288">
        <v>1000</v>
      </c>
      <c r="AA4288">
        <v>0</v>
      </c>
    </row>
    <row r="4289" spans="1:27" x14ac:dyDescent="0.2">
      <c r="A4289" t="s">
        <v>2614</v>
      </c>
      <c r="B4289">
        <v>2024</v>
      </c>
      <c r="C4289">
        <v>2546121400</v>
      </c>
      <c r="D4289" t="s">
        <v>5355</v>
      </c>
      <c r="E4289" t="s">
        <v>29</v>
      </c>
      <c r="F4289" t="s">
        <v>30</v>
      </c>
      <c r="G4289">
        <v>0</v>
      </c>
      <c r="H4289">
        <v>0</v>
      </c>
      <c r="I4289">
        <v>0</v>
      </c>
      <c r="J4289">
        <v>0</v>
      </c>
      <c r="K4289">
        <v>0</v>
      </c>
      <c r="L4289">
        <v>0</v>
      </c>
      <c r="M4289">
        <v>1</v>
      </c>
      <c r="N4289">
        <v>0</v>
      </c>
      <c r="O4289">
        <v>0</v>
      </c>
      <c r="P4289">
        <v>0</v>
      </c>
      <c r="Q4289">
        <v>0</v>
      </c>
      <c r="R4289">
        <v>0</v>
      </c>
      <c r="S4289">
        <v>0</v>
      </c>
      <c r="T4289">
        <v>0</v>
      </c>
      <c r="U4289">
        <v>0</v>
      </c>
      <c r="V4289">
        <v>0</v>
      </c>
      <c r="W4289">
        <v>0</v>
      </c>
      <c r="X4289">
        <v>0</v>
      </c>
      <c r="Y4289" t="s">
        <v>31</v>
      </c>
      <c r="Z4289">
        <v>1000</v>
      </c>
      <c r="AA4289">
        <v>0</v>
      </c>
    </row>
    <row r="4290" spans="1:27" x14ac:dyDescent="0.2">
      <c r="A4290" t="s">
        <v>5127</v>
      </c>
      <c r="B4290">
        <v>2024</v>
      </c>
      <c r="C4290" t="s">
        <v>5356</v>
      </c>
      <c r="D4290" t="s">
        <v>5357</v>
      </c>
      <c r="E4290" t="s">
        <v>29</v>
      </c>
      <c r="F4290" t="s">
        <v>30</v>
      </c>
      <c r="G4290">
        <v>92</v>
      </c>
      <c r="H4290">
        <v>0</v>
      </c>
      <c r="I4290">
        <v>0</v>
      </c>
      <c r="J4290">
        <v>0</v>
      </c>
      <c r="K4290">
        <v>0</v>
      </c>
      <c r="L4290">
        <v>0</v>
      </c>
      <c r="M4290">
        <v>92</v>
      </c>
      <c r="N4290">
        <v>0</v>
      </c>
      <c r="O4290">
        <v>0</v>
      </c>
      <c r="P4290">
        <v>0</v>
      </c>
      <c r="Q4290">
        <v>0</v>
      </c>
      <c r="R4290">
        <v>0</v>
      </c>
      <c r="S4290">
        <v>92</v>
      </c>
      <c r="T4290">
        <v>0</v>
      </c>
      <c r="U4290">
        <v>0</v>
      </c>
      <c r="V4290">
        <v>0</v>
      </c>
      <c r="W4290">
        <v>0</v>
      </c>
      <c r="X4290">
        <v>0</v>
      </c>
      <c r="Y4290" t="s">
        <v>51</v>
      </c>
      <c r="AA4290">
        <v>0</v>
      </c>
    </row>
    <row r="4291" spans="1:27" x14ac:dyDescent="0.2">
      <c r="A4291" t="s">
        <v>622</v>
      </c>
      <c r="B4291">
        <v>2024</v>
      </c>
      <c r="C4291" t="s">
        <v>995</v>
      </c>
      <c r="D4291" t="s">
        <v>5358</v>
      </c>
      <c r="E4291" t="s">
        <v>29</v>
      </c>
      <c r="F4291" t="s">
        <v>30</v>
      </c>
      <c r="G4291">
        <v>0</v>
      </c>
      <c r="H4291">
        <v>0</v>
      </c>
      <c r="I4291">
        <v>0</v>
      </c>
      <c r="J4291">
        <v>0</v>
      </c>
      <c r="K4291">
        <v>0</v>
      </c>
      <c r="L4291">
        <v>0</v>
      </c>
      <c r="M4291">
        <v>0</v>
      </c>
      <c r="N4291">
        <v>0</v>
      </c>
      <c r="O4291">
        <v>0</v>
      </c>
      <c r="P4291">
        <v>0</v>
      </c>
      <c r="Q4291">
        <v>0</v>
      </c>
      <c r="R4291">
        <v>0</v>
      </c>
      <c r="S4291">
        <v>9</v>
      </c>
      <c r="T4291">
        <v>0</v>
      </c>
      <c r="U4291">
        <v>14</v>
      </c>
      <c r="V4291">
        <v>0</v>
      </c>
      <c r="W4291">
        <v>7</v>
      </c>
      <c r="X4291">
        <v>0</v>
      </c>
      <c r="Y4291" t="s">
        <v>31</v>
      </c>
      <c r="AA4291">
        <v>0.19</v>
      </c>
    </row>
    <row r="4292" spans="1:27" x14ac:dyDescent="0.2">
      <c r="A4292" t="s">
        <v>75</v>
      </c>
      <c r="B4292">
        <v>2024</v>
      </c>
      <c r="C4292">
        <v>6450603500</v>
      </c>
      <c r="D4292" t="s">
        <v>5359</v>
      </c>
      <c r="E4292" t="s">
        <v>29</v>
      </c>
      <c r="F4292" t="s">
        <v>30</v>
      </c>
      <c r="G4292">
        <v>0</v>
      </c>
      <c r="H4292">
        <v>0</v>
      </c>
      <c r="I4292">
        <v>0</v>
      </c>
      <c r="J4292">
        <v>0</v>
      </c>
      <c r="K4292">
        <v>9</v>
      </c>
      <c r="L4292">
        <v>0</v>
      </c>
      <c r="M4292">
        <v>0</v>
      </c>
      <c r="N4292">
        <v>0</v>
      </c>
      <c r="O4292">
        <v>0</v>
      </c>
      <c r="P4292">
        <v>0</v>
      </c>
      <c r="Q4292">
        <v>0</v>
      </c>
      <c r="R4292">
        <v>0</v>
      </c>
      <c r="S4292">
        <v>0</v>
      </c>
      <c r="T4292">
        <v>0</v>
      </c>
      <c r="U4292">
        <v>0</v>
      </c>
      <c r="V4292">
        <v>0</v>
      </c>
      <c r="W4292">
        <v>0</v>
      </c>
      <c r="X4292">
        <v>0</v>
      </c>
      <c r="Y4292" t="s">
        <v>51</v>
      </c>
      <c r="AA4292">
        <v>0</v>
      </c>
    </row>
    <row r="4293" spans="1:27" x14ac:dyDescent="0.2">
      <c r="A4293" t="s">
        <v>75</v>
      </c>
      <c r="B4293">
        <v>2024</v>
      </c>
      <c r="C4293">
        <v>6461007100</v>
      </c>
      <c r="D4293" t="s">
        <v>5360</v>
      </c>
      <c r="E4293" t="s">
        <v>29</v>
      </c>
      <c r="F4293" t="s">
        <v>30</v>
      </c>
      <c r="G4293">
        <v>0</v>
      </c>
      <c r="H4293">
        <v>0</v>
      </c>
      <c r="I4293">
        <v>53</v>
      </c>
      <c r="J4293">
        <v>0</v>
      </c>
      <c r="K4293">
        <v>0</v>
      </c>
      <c r="L4293">
        <v>0</v>
      </c>
      <c r="M4293">
        <v>0</v>
      </c>
      <c r="N4293">
        <v>0</v>
      </c>
      <c r="O4293">
        <v>0</v>
      </c>
      <c r="P4293">
        <v>0</v>
      </c>
      <c r="Q4293">
        <v>0</v>
      </c>
      <c r="R4293">
        <v>0</v>
      </c>
      <c r="S4293">
        <v>0</v>
      </c>
      <c r="T4293">
        <v>0</v>
      </c>
      <c r="U4293">
        <v>0</v>
      </c>
      <c r="V4293">
        <v>0</v>
      </c>
      <c r="W4293">
        <v>0</v>
      </c>
      <c r="X4293">
        <v>0</v>
      </c>
      <c r="Y4293" t="s">
        <v>51</v>
      </c>
      <c r="AA4293">
        <v>0</v>
      </c>
    </row>
    <row r="4294" spans="1:27" x14ac:dyDescent="0.2">
      <c r="A4294" t="s">
        <v>75</v>
      </c>
      <c r="B4294">
        <v>2024</v>
      </c>
      <c r="C4294">
        <v>4453622500</v>
      </c>
      <c r="D4294" t="s">
        <v>1349</v>
      </c>
      <c r="E4294" t="s">
        <v>29</v>
      </c>
      <c r="F4294" t="s">
        <v>30</v>
      </c>
      <c r="G4294">
        <v>0</v>
      </c>
      <c r="H4294">
        <v>0</v>
      </c>
      <c r="I4294">
        <v>0</v>
      </c>
      <c r="J4294">
        <v>0</v>
      </c>
      <c r="K4294">
        <v>0</v>
      </c>
      <c r="L4294">
        <v>0</v>
      </c>
      <c r="M4294">
        <v>0</v>
      </c>
      <c r="N4294">
        <v>0</v>
      </c>
      <c r="O4294">
        <v>0</v>
      </c>
      <c r="P4294">
        <v>0</v>
      </c>
      <c r="Q4294">
        <v>0</v>
      </c>
      <c r="R4294">
        <v>0</v>
      </c>
      <c r="S4294">
        <v>2</v>
      </c>
      <c r="T4294">
        <v>0</v>
      </c>
      <c r="U4294">
        <v>0</v>
      </c>
      <c r="V4294">
        <v>0</v>
      </c>
      <c r="W4294">
        <v>0</v>
      </c>
      <c r="X4294">
        <v>0</v>
      </c>
      <c r="Y4294" t="s">
        <v>51</v>
      </c>
      <c r="AA4294">
        <v>0</v>
      </c>
    </row>
    <row r="4295" spans="1:27" x14ac:dyDescent="0.2">
      <c r="A4295" t="s">
        <v>75</v>
      </c>
      <c r="B4295">
        <v>2024</v>
      </c>
      <c r="C4295">
        <v>5472303500</v>
      </c>
      <c r="D4295" t="s">
        <v>1942</v>
      </c>
      <c r="E4295" t="s">
        <v>29</v>
      </c>
      <c r="F4295" t="s">
        <v>30</v>
      </c>
      <c r="G4295">
        <v>0</v>
      </c>
      <c r="H4295">
        <v>0</v>
      </c>
      <c r="I4295">
        <v>0</v>
      </c>
      <c r="J4295">
        <v>0</v>
      </c>
      <c r="K4295">
        <v>0</v>
      </c>
      <c r="L4295">
        <v>0</v>
      </c>
      <c r="M4295">
        <v>0</v>
      </c>
      <c r="N4295">
        <v>0</v>
      </c>
      <c r="O4295">
        <v>0</v>
      </c>
      <c r="P4295">
        <v>0</v>
      </c>
      <c r="Q4295">
        <v>0</v>
      </c>
      <c r="R4295">
        <v>0</v>
      </c>
      <c r="S4295">
        <v>0</v>
      </c>
      <c r="T4295">
        <v>0</v>
      </c>
      <c r="U4295">
        <v>18</v>
      </c>
      <c r="V4295">
        <v>0</v>
      </c>
      <c r="W4295">
        <v>0</v>
      </c>
      <c r="X4295">
        <v>0</v>
      </c>
      <c r="Y4295" t="s">
        <v>51</v>
      </c>
      <c r="AA4295">
        <v>0</v>
      </c>
    </row>
    <row r="4296" spans="1:27" x14ac:dyDescent="0.2">
      <c r="A4296" t="s">
        <v>75</v>
      </c>
      <c r="B4296">
        <v>2024</v>
      </c>
      <c r="C4296">
        <v>4456921800</v>
      </c>
      <c r="D4296" t="s">
        <v>276</v>
      </c>
      <c r="E4296" t="s">
        <v>29</v>
      </c>
      <c r="F4296" t="s">
        <v>30</v>
      </c>
      <c r="G4296">
        <v>0</v>
      </c>
      <c r="H4296">
        <v>0</v>
      </c>
      <c r="I4296">
        <v>0</v>
      </c>
      <c r="J4296">
        <v>0</v>
      </c>
      <c r="K4296">
        <v>0</v>
      </c>
      <c r="L4296">
        <v>0</v>
      </c>
      <c r="M4296">
        <v>0</v>
      </c>
      <c r="N4296">
        <v>0</v>
      </c>
      <c r="O4296">
        <v>0</v>
      </c>
      <c r="P4296">
        <v>0</v>
      </c>
      <c r="Q4296">
        <v>0</v>
      </c>
      <c r="R4296">
        <v>0</v>
      </c>
      <c r="S4296">
        <v>3</v>
      </c>
      <c r="T4296">
        <v>0</v>
      </c>
      <c r="U4296">
        <v>0</v>
      </c>
      <c r="V4296">
        <v>0</v>
      </c>
      <c r="W4296">
        <v>0</v>
      </c>
      <c r="X4296">
        <v>0</v>
      </c>
      <c r="Y4296" t="s">
        <v>31</v>
      </c>
      <c r="Z4296">
        <v>55</v>
      </c>
      <c r="AA4296">
        <v>1</v>
      </c>
    </row>
    <row r="4297" spans="1:27" x14ac:dyDescent="0.2">
      <c r="A4297" t="s">
        <v>75</v>
      </c>
      <c r="B4297">
        <v>2024</v>
      </c>
      <c r="C4297">
        <v>4531521000</v>
      </c>
      <c r="D4297" t="s">
        <v>451</v>
      </c>
      <c r="E4297" t="s">
        <v>29</v>
      </c>
      <c r="F4297" t="s">
        <v>30</v>
      </c>
      <c r="G4297">
        <v>0</v>
      </c>
      <c r="H4297">
        <v>0</v>
      </c>
      <c r="I4297">
        <v>0</v>
      </c>
      <c r="J4297">
        <v>0</v>
      </c>
      <c r="K4297">
        <v>0</v>
      </c>
      <c r="L4297">
        <v>0</v>
      </c>
      <c r="M4297">
        <v>0</v>
      </c>
      <c r="N4297">
        <v>0</v>
      </c>
      <c r="O4297">
        <v>0</v>
      </c>
      <c r="P4297">
        <v>0</v>
      </c>
      <c r="Q4297">
        <v>0</v>
      </c>
      <c r="R4297">
        <v>0</v>
      </c>
      <c r="S4297">
        <v>5</v>
      </c>
      <c r="T4297">
        <v>0</v>
      </c>
      <c r="U4297">
        <v>0</v>
      </c>
      <c r="V4297">
        <v>0</v>
      </c>
      <c r="W4297">
        <v>0</v>
      </c>
      <c r="X4297">
        <v>0</v>
      </c>
      <c r="Y4297" t="s">
        <v>31</v>
      </c>
      <c r="Z4297">
        <v>55</v>
      </c>
      <c r="AA4297">
        <v>1</v>
      </c>
    </row>
    <row r="4298" spans="1:27" x14ac:dyDescent="0.2">
      <c r="A4298" t="s">
        <v>75</v>
      </c>
      <c r="B4298">
        <v>2024</v>
      </c>
      <c r="C4298">
        <v>5313051000</v>
      </c>
      <c r="D4298" t="s">
        <v>545</v>
      </c>
      <c r="E4298" t="s">
        <v>29</v>
      </c>
      <c r="F4298" t="s">
        <v>30</v>
      </c>
      <c r="G4298">
        <v>0</v>
      </c>
      <c r="H4298">
        <v>0</v>
      </c>
      <c r="I4298">
        <v>0</v>
      </c>
      <c r="J4298">
        <v>0</v>
      </c>
      <c r="K4298">
        <v>0</v>
      </c>
      <c r="L4298">
        <v>0</v>
      </c>
      <c r="M4298">
        <v>0</v>
      </c>
      <c r="N4298">
        <v>0</v>
      </c>
      <c r="O4298">
        <v>0</v>
      </c>
      <c r="P4298">
        <v>0</v>
      </c>
      <c r="Q4298">
        <v>0</v>
      </c>
      <c r="R4298">
        <v>0</v>
      </c>
      <c r="S4298">
        <v>3</v>
      </c>
      <c r="T4298">
        <v>0</v>
      </c>
      <c r="U4298">
        <v>0</v>
      </c>
      <c r="V4298">
        <v>0</v>
      </c>
      <c r="W4298">
        <v>0</v>
      </c>
      <c r="X4298">
        <v>0</v>
      </c>
      <c r="Y4298" t="s">
        <v>31</v>
      </c>
      <c r="Z4298">
        <v>55</v>
      </c>
      <c r="AA4298">
        <v>0.5</v>
      </c>
    </row>
    <row r="4299" spans="1:27" x14ac:dyDescent="0.2">
      <c r="A4299" t="s">
        <v>75</v>
      </c>
      <c r="B4299">
        <v>2024</v>
      </c>
      <c r="C4299">
        <v>4714612400</v>
      </c>
      <c r="D4299" t="s">
        <v>488</v>
      </c>
      <c r="E4299" t="s">
        <v>29</v>
      </c>
      <c r="F4299" t="s">
        <v>30</v>
      </c>
      <c r="G4299">
        <v>0</v>
      </c>
      <c r="H4299">
        <v>0</v>
      </c>
      <c r="I4299">
        <v>0</v>
      </c>
      <c r="J4299">
        <v>0</v>
      </c>
      <c r="K4299">
        <v>0</v>
      </c>
      <c r="L4299">
        <v>0</v>
      </c>
      <c r="M4299">
        <v>0</v>
      </c>
      <c r="N4299">
        <v>0</v>
      </c>
      <c r="O4299">
        <v>0</v>
      </c>
      <c r="P4299">
        <v>0</v>
      </c>
      <c r="Q4299">
        <v>0</v>
      </c>
      <c r="R4299">
        <v>0</v>
      </c>
      <c r="S4299">
        <v>0</v>
      </c>
      <c r="T4299">
        <v>0</v>
      </c>
      <c r="U4299">
        <v>60</v>
      </c>
      <c r="V4299">
        <v>0</v>
      </c>
      <c r="W4299">
        <v>0</v>
      </c>
      <c r="X4299">
        <v>0</v>
      </c>
      <c r="Y4299" t="s">
        <v>31</v>
      </c>
      <c r="Z4299">
        <v>55</v>
      </c>
      <c r="AA4299">
        <v>0.88</v>
      </c>
    </row>
    <row r="4300" spans="1:27" x14ac:dyDescent="0.2">
      <c r="A4300" t="s">
        <v>75</v>
      </c>
      <c r="B4300">
        <v>2024</v>
      </c>
      <c r="C4300">
        <v>5303711000</v>
      </c>
      <c r="D4300" t="s">
        <v>84</v>
      </c>
      <c r="E4300" t="s">
        <v>29</v>
      </c>
      <c r="F4300" t="s">
        <v>30</v>
      </c>
      <c r="G4300">
        <v>0</v>
      </c>
      <c r="H4300">
        <v>0</v>
      </c>
      <c r="I4300">
        <v>0</v>
      </c>
      <c r="J4300">
        <v>0</v>
      </c>
      <c r="K4300">
        <v>0</v>
      </c>
      <c r="L4300">
        <v>0</v>
      </c>
      <c r="M4300">
        <v>0</v>
      </c>
      <c r="N4300">
        <v>0</v>
      </c>
      <c r="O4300">
        <v>0</v>
      </c>
      <c r="P4300">
        <v>0</v>
      </c>
      <c r="Q4300">
        <v>0</v>
      </c>
      <c r="R4300">
        <v>0</v>
      </c>
      <c r="S4300">
        <v>1</v>
      </c>
      <c r="T4300">
        <v>0</v>
      </c>
      <c r="U4300">
        <v>0</v>
      </c>
      <c r="V4300">
        <v>0</v>
      </c>
      <c r="W4300">
        <v>0</v>
      </c>
      <c r="X4300">
        <v>0</v>
      </c>
      <c r="Y4300" t="s">
        <v>51</v>
      </c>
      <c r="AA4300">
        <v>0</v>
      </c>
    </row>
    <row r="4301" spans="1:27" x14ac:dyDescent="0.2">
      <c r="A4301" t="s">
        <v>2614</v>
      </c>
      <c r="B4301">
        <v>2023</v>
      </c>
      <c r="C4301" t="s">
        <v>5301</v>
      </c>
      <c r="D4301" t="s">
        <v>5302</v>
      </c>
      <c r="E4301" t="s">
        <v>29</v>
      </c>
      <c r="F4301" t="s">
        <v>30</v>
      </c>
      <c r="G4301">
        <v>0</v>
      </c>
      <c r="H4301">
        <v>0</v>
      </c>
      <c r="I4301">
        <v>0</v>
      </c>
      <c r="J4301">
        <v>0</v>
      </c>
      <c r="K4301">
        <v>0</v>
      </c>
      <c r="L4301">
        <v>0</v>
      </c>
      <c r="M4301">
        <v>0</v>
      </c>
      <c r="N4301">
        <v>0</v>
      </c>
      <c r="O4301">
        <v>12</v>
      </c>
      <c r="P4301">
        <v>0</v>
      </c>
      <c r="Q4301">
        <v>0</v>
      </c>
      <c r="R4301">
        <v>0</v>
      </c>
      <c r="S4301">
        <v>0</v>
      </c>
      <c r="T4301">
        <v>0</v>
      </c>
      <c r="U4301">
        <v>0</v>
      </c>
      <c r="V4301">
        <v>0</v>
      </c>
      <c r="W4301">
        <v>0</v>
      </c>
      <c r="X4301">
        <v>0</v>
      </c>
      <c r="Y4301" t="s">
        <v>31</v>
      </c>
      <c r="Z4301">
        <v>1000</v>
      </c>
      <c r="AA4301" s="2" t="s">
        <v>3316</v>
      </c>
    </row>
    <row r="4302" spans="1:27" x14ac:dyDescent="0.2">
      <c r="A4302" t="s">
        <v>2614</v>
      </c>
      <c r="B4302">
        <v>2023</v>
      </c>
      <c r="C4302">
        <v>2546121400</v>
      </c>
      <c r="D4302" t="s">
        <v>5361</v>
      </c>
      <c r="E4302" t="s">
        <v>29</v>
      </c>
      <c r="F4302" t="s">
        <v>30</v>
      </c>
      <c r="G4302">
        <v>0</v>
      </c>
      <c r="H4302">
        <v>0</v>
      </c>
      <c r="I4302">
        <v>0</v>
      </c>
      <c r="J4302">
        <v>0</v>
      </c>
      <c r="K4302">
        <v>0</v>
      </c>
      <c r="L4302">
        <v>0</v>
      </c>
      <c r="M4302">
        <v>1</v>
      </c>
      <c r="N4302">
        <v>0</v>
      </c>
      <c r="O4302">
        <v>0</v>
      </c>
      <c r="P4302">
        <v>0</v>
      </c>
      <c r="Q4302">
        <v>0</v>
      </c>
      <c r="R4302">
        <v>0</v>
      </c>
      <c r="S4302">
        <v>0</v>
      </c>
      <c r="T4302">
        <v>0</v>
      </c>
      <c r="U4302">
        <v>0</v>
      </c>
      <c r="V4302">
        <v>0</v>
      </c>
      <c r="W4302">
        <v>0</v>
      </c>
      <c r="X4302">
        <v>0</v>
      </c>
      <c r="Y4302" t="s">
        <v>31</v>
      </c>
      <c r="Z4302">
        <v>55</v>
      </c>
      <c r="AA4302">
        <v>0</v>
      </c>
    </row>
    <row r="4303" spans="1:27" x14ac:dyDescent="0.2">
      <c r="A4303" t="s">
        <v>1176</v>
      </c>
      <c r="B4303">
        <v>2024</v>
      </c>
      <c r="C4303" t="s">
        <v>3634</v>
      </c>
      <c r="D4303" t="s">
        <v>3635</v>
      </c>
      <c r="E4303" t="s">
        <v>29</v>
      </c>
      <c r="F4303" t="s">
        <v>41</v>
      </c>
      <c r="G4303">
        <v>0</v>
      </c>
      <c r="H4303">
        <v>0</v>
      </c>
      <c r="I4303">
        <v>0</v>
      </c>
      <c r="J4303">
        <v>0</v>
      </c>
      <c r="K4303">
        <v>0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0</v>
      </c>
      <c r="V4303">
        <v>0</v>
      </c>
      <c r="W4303">
        <v>2</v>
      </c>
      <c r="X4303">
        <v>0</v>
      </c>
      <c r="Y4303" t="s">
        <v>31</v>
      </c>
      <c r="Z4303">
        <v>30</v>
      </c>
      <c r="AA4303">
        <v>0</v>
      </c>
    </row>
    <row r="4304" spans="1:27" ht="102" x14ac:dyDescent="0.2">
      <c r="A4304" t="s">
        <v>43</v>
      </c>
      <c r="B4304">
        <v>2024</v>
      </c>
      <c r="C4304">
        <v>5531008001</v>
      </c>
      <c r="D4304" s="1" t="s">
        <v>5362</v>
      </c>
      <c r="E4304" t="s">
        <v>29</v>
      </c>
      <c r="F4304" t="s">
        <v>30</v>
      </c>
      <c r="G4304">
        <v>0</v>
      </c>
      <c r="H4304">
        <v>0</v>
      </c>
      <c r="I4304">
        <v>0</v>
      </c>
      <c r="J4304">
        <v>0</v>
      </c>
      <c r="K4304">
        <v>0</v>
      </c>
      <c r="L4304">
        <v>0</v>
      </c>
      <c r="M4304">
        <v>35</v>
      </c>
      <c r="N4304">
        <v>0</v>
      </c>
      <c r="O4304">
        <v>12</v>
      </c>
      <c r="P4304">
        <v>0</v>
      </c>
      <c r="Q4304">
        <v>1</v>
      </c>
      <c r="R4304">
        <v>0</v>
      </c>
      <c r="S4304">
        <v>0</v>
      </c>
      <c r="T4304">
        <v>0</v>
      </c>
      <c r="U4304">
        <v>0</v>
      </c>
      <c r="V4304">
        <v>0</v>
      </c>
      <c r="W4304">
        <v>0</v>
      </c>
      <c r="X4304">
        <v>0</v>
      </c>
      <c r="Y4304" t="s">
        <v>31</v>
      </c>
      <c r="Z4304">
        <v>1000</v>
      </c>
      <c r="AA4304">
        <v>3</v>
      </c>
    </row>
    <row r="4305" spans="1:27" x14ac:dyDescent="0.2">
      <c r="A4305" t="s">
        <v>2614</v>
      </c>
      <c r="B4305">
        <v>2024</v>
      </c>
      <c r="C4305">
        <v>2546121400</v>
      </c>
      <c r="D4305" t="s">
        <v>5363</v>
      </c>
      <c r="E4305" t="s">
        <v>29</v>
      </c>
      <c r="F4305" t="s">
        <v>30</v>
      </c>
      <c r="G4305">
        <v>0</v>
      </c>
      <c r="H4305">
        <v>0</v>
      </c>
      <c r="I4305">
        <v>0</v>
      </c>
      <c r="J4305">
        <v>0</v>
      </c>
      <c r="K4305">
        <v>0</v>
      </c>
      <c r="L4305">
        <v>0</v>
      </c>
      <c r="M4305">
        <v>0</v>
      </c>
      <c r="N4305">
        <v>0</v>
      </c>
      <c r="O4305">
        <v>0</v>
      </c>
      <c r="P4305">
        <v>0</v>
      </c>
      <c r="Q4305">
        <v>0</v>
      </c>
      <c r="R4305">
        <v>0</v>
      </c>
      <c r="S4305">
        <v>1</v>
      </c>
      <c r="T4305">
        <v>0</v>
      </c>
      <c r="U4305">
        <v>0</v>
      </c>
      <c r="V4305">
        <v>0</v>
      </c>
      <c r="W4305">
        <v>0</v>
      </c>
      <c r="X4305">
        <v>0</v>
      </c>
      <c r="Y4305" t="s">
        <v>31</v>
      </c>
      <c r="Z4305">
        <v>1000</v>
      </c>
      <c r="AA4305">
        <v>0</v>
      </c>
    </row>
    <row r="4306" spans="1:27" x14ac:dyDescent="0.2">
      <c r="A4306" t="s">
        <v>313</v>
      </c>
      <c r="B4306">
        <v>2024</v>
      </c>
      <c r="C4306" t="s">
        <v>316</v>
      </c>
      <c r="D4306" t="s">
        <v>5364</v>
      </c>
      <c r="E4306" t="s">
        <v>29</v>
      </c>
      <c r="F4306" t="s">
        <v>30</v>
      </c>
      <c r="G4306">
        <v>0</v>
      </c>
      <c r="H4306">
        <v>0</v>
      </c>
      <c r="I4306">
        <v>0</v>
      </c>
      <c r="J4306">
        <v>0</v>
      </c>
      <c r="K4306">
        <v>0</v>
      </c>
      <c r="L4306">
        <v>0</v>
      </c>
      <c r="M4306">
        <v>2</v>
      </c>
      <c r="N4306">
        <v>0</v>
      </c>
      <c r="O4306">
        <v>0</v>
      </c>
      <c r="P4306">
        <v>0</v>
      </c>
      <c r="Q4306">
        <v>0</v>
      </c>
      <c r="R4306">
        <v>0</v>
      </c>
      <c r="S4306">
        <v>0</v>
      </c>
      <c r="T4306">
        <v>0</v>
      </c>
      <c r="U4306">
        <v>0</v>
      </c>
      <c r="V4306">
        <v>0</v>
      </c>
      <c r="W4306">
        <v>0</v>
      </c>
      <c r="X4306">
        <v>0</v>
      </c>
      <c r="Y4306" t="s">
        <v>31</v>
      </c>
      <c r="Z4306">
        <v>55</v>
      </c>
      <c r="AA4306" s="2" t="s">
        <v>4011</v>
      </c>
    </row>
    <row r="4307" spans="1:27" x14ac:dyDescent="0.2">
      <c r="A4307" t="s">
        <v>313</v>
      </c>
      <c r="B4307">
        <v>2024</v>
      </c>
      <c r="C4307">
        <v>3010030023</v>
      </c>
      <c r="D4307" t="s">
        <v>5365</v>
      </c>
      <c r="E4307" t="s">
        <v>29</v>
      </c>
      <c r="F4307" t="s">
        <v>30</v>
      </c>
      <c r="G4307">
        <v>0</v>
      </c>
      <c r="H4307">
        <v>0</v>
      </c>
      <c r="I4307">
        <v>0</v>
      </c>
      <c r="J4307">
        <v>0</v>
      </c>
      <c r="K4307">
        <v>0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0</v>
      </c>
      <c r="R4307">
        <v>0</v>
      </c>
      <c r="S4307">
        <v>0</v>
      </c>
      <c r="T4307">
        <v>0</v>
      </c>
      <c r="U4307">
        <v>101</v>
      </c>
      <c r="V4307">
        <v>0</v>
      </c>
      <c r="W4307">
        <v>0</v>
      </c>
      <c r="X4307">
        <v>0</v>
      </c>
      <c r="Y4307" t="s">
        <v>31</v>
      </c>
      <c r="AA4307" s="2" t="s">
        <v>3299</v>
      </c>
    </row>
    <row r="4308" spans="1:27" x14ac:dyDescent="0.2">
      <c r="A4308" t="s">
        <v>75</v>
      </c>
      <c r="B4308">
        <v>2024</v>
      </c>
      <c r="C4308">
        <v>3561206700</v>
      </c>
      <c r="D4308" t="s">
        <v>5366</v>
      </c>
      <c r="E4308" t="s">
        <v>29</v>
      </c>
      <c r="F4308" t="s">
        <v>30</v>
      </c>
      <c r="G4308">
        <v>0</v>
      </c>
      <c r="H4308">
        <v>0</v>
      </c>
      <c r="I4308">
        <v>0</v>
      </c>
      <c r="J4308">
        <v>0</v>
      </c>
      <c r="K4308">
        <v>0</v>
      </c>
      <c r="L4308">
        <v>0</v>
      </c>
      <c r="M4308">
        <v>15</v>
      </c>
      <c r="N4308">
        <v>0</v>
      </c>
      <c r="O4308">
        <v>0</v>
      </c>
      <c r="P4308">
        <v>0</v>
      </c>
      <c r="Q4308">
        <v>0</v>
      </c>
      <c r="R4308">
        <v>0</v>
      </c>
      <c r="S4308">
        <v>0</v>
      </c>
      <c r="T4308">
        <v>0</v>
      </c>
      <c r="U4308">
        <v>0</v>
      </c>
      <c r="V4308">
        <v>0</v>
      </c>
      <c r="W4308">
        <v>0</v>
      </c>
      <c r="X4308">
        <v>0</v>
      </c>
      <c r="Y4308" t="s">
        <v>31</v>
      </c>
      <c r="Z4308">
        <v>55</v>
      </c>
      <c r="AA4308" s="2" t="s">
        <v>3394</v>
      </c>
    </row>
    <row r="4309" spans="1:27" x14ac:dyDescent="0.2">
      <c r="A4309" t="s">
        <v>75</v>
      </c>
      <c r="B4309">
        <v>2024</v>
      </c>
      <c r="C4309">
        <v>6454100100</v>
      </c>
      <c r="D4309" t="s">
        <v>5367</v>
      </c>
      <c r="E4309" t="s">
        <v>29</v>
      </c>
      <c r="F4309" t="s">
        <v>41</v>
      </c>
      <c r="G4309">
        <v>0</v>
      </c>
      <c r="H4309">
        <v>0</v>
      </c>
      <c r="I4309">
        <v>0</v>
      </c>
      <c r="J4309">
        <v>0</v>
      </c>
      <c r="K4309">
        <v>0</v>
      </c>
      <c r="L4309">
        <v>0</v>
      </c>
      <c r="M4309">
        <v>0</v>
      </c>
      <c r="N4309">
        <v>0</v>
      </c>
      <c r="O4309">
        <v>0</v>
      </c>
      <c r="P4309">
        <v>0</v>
      </c>
      <c r="Q4309">
        <v>0</v>
      </c>
      <c r="R4309">
        <v>0</v>
      </c>
      <c r="S4309">
        <v>0</v>
      </c>
      <c r="T4309">
        <v>0</v>
      </c>
      <c r="U4309">
        <v>0</v>
      </c>
      <c r="V4309">
        <v>0</v>
      </c>
      <c r="W4309">
        <v>7</v>
      </c>
      <c r="X4309">
        <v>0</v>
      </c>
      <c r="Y4309" t="s">
        <v>51</v>
      </c>
      <c r="AA4309">
        <v>0</v>
      </c>
    </row>
    <row r="4310" spans="1:27" ht="85" x14ac:dyDescent="0.2">
      <c r="A4310" t="s">
        <v>2411</v>
      </c>
      <c r="B4310">
        <v>2024</v>
      </c>
      <c r="C4310" t="s">
        <v>5368</v>
      </c>
      <c r="D4310" s="1" t="s">
        <v>5369</v>
      </c>
      <c r="E4310" t="s">
        <v>29</v>
      </c>
      <c r="F4310" t="s">
        <v>30</v>
      </c>
      <c r="G4310">
        <v>0</v>
      </c>
      <c r="H4310">
        <v>0</v>
      </c>
      <c r="I4310">
        <v>0</v>
      </c>
      <c r="J4310">
        <v>0</v>
      </c>
      <c r="K4310">
        <v>0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0</v>
      </c>
      <c r="R4310">
        <v>0</v>
      </c>
      <c r="S4310">
        <v>38</v>
      </c>
      <c r="T4310">
        <v>0</v>
      </c>
      <c r="U4310">
        <v>8</v>
      </c>
      <c r="V4310">
        <v>0</v>
      </c>
      <c r="W4310">
        <v>0</v>
      </c>
      <c r="X4310">
        <v>0</v>
      </c>
      <c r="Y4310" t="s">
        <v>31</v>
      </c>
      <c r="Z4310">
        <v>1000</v>
      </c>
      <c r="AA4310">
        <v>20</v>
      </c>
    </row>
    <row r="4311" spans="1:27" x14ac:dyDescent="0.2">
      <c r="A4311" t="s">
        <v>2614</v>
      </c>
      <c r="B4311">
        <v>2024</v>
      </c>
      <c r="C4311">
        <v>2546121400</v>
      </c>
      <c r="D4311" t="s">
        <v>5370</v>
      </c>
      <c r="E4311" t="s">
        <v>29</v>
      </c>
      <c r="F4311" t="s">
        <v>30</v>
      </c>
      <c r="G4311">
        <v>0</v>
      </c>
      <c r="H4311">
        <v>0</v>
      </c>
      <c r="I4311">
        <v>0</v>
      </c>
      <c r="J4311">
        <v>0</v>
      </c>
      <c r="K4311">
        <v>0</v>
      </c>
      <c r="L4311">
        <v>0</v>
      </c>
      <c r="M4311">
        <v>1</v>
      </c>
      <c r="N4311">
        <v>0</v>
      </c>
      <c r="O4311">
        <v>0</v>
      </c>
      <c r="P4311">
        <v>0</v>
      </c>
      <c r="Q4311">
        <v>0</v>
      </c>
      <c r="R4311">
        <v>0</v>
      </c>
      <c r="S4311">
        <v>0</v>
      </c>
      <c r="T4311">
        <v>0</v>
      </c>
      <c r="U4311">
        <v>0</v>
      </c>
      <c r="V4311">
        <v>0</v>
      </c>
      <c r="W4311">
        <v>0</v>
      </c>
      <c r="X4311">
        <v>0</v>
      </c>
      <c r="Y4311" t="s">
        <v>31</v>
      </c>
      <c r="Z4311">
        <v>55</v>
      </c>
      <c r="AA4311">
        <v>0</v>
      </c>
    </row>
    <row r="4312" spans="1:27" x14ac:dyDescent="0.2">
      <c r="A4312" t="s">
        <v>2614</v>
      </c>
      <c r="B4312">
        <v>2024</v>
      </c>
      <c r="C4312">
        <v>2546121400</v>
      </c>
      <c r="D4312" t="s">
        <v>5371</v>
      </c>
      <c r="E4312" t="s">
        <v>29</v>
      </c>
      <c r="F4312" t="s">
        <v>30</v>
      </c>
      <c r="G4312">
        <v>0</v>
      </c>
      <c r="H4312">
        <v>0</v>
      </c>
      <c r="I4312">
        <v>0</v>
      </c>
      <c r="J4312">
        <v>0</v>
      </c>
      <c r="K4312">
        <v>0</v>
      </c>
      <c r="L4312">
        <v>0</v>
      </c>
      <c r="M4312">
        <v>1</v>
      </c>
      <c r="N4312">
        <v>0</v>
      </c>
      <c r="O4312">
        <v>0</v>
      </c>
      <c r="P4312">
        <v>0</v>
      </c>
      <c r="Q4312">
        <v>0</v>
      </c>
      <c r="R4312">
        <v>0</v>
      </c>
      <c r="S4312">
        <v>0</v>
      </c>
      <c r="T4312">
        <v>0</v>
      </c>
      <c r="U4312">
        <v>0</v>
      </c>
      <c r="V4312">
        <v>0</v>
      </c>
      <c r="W4312">
        <v>0</v>
      </c>
      <c r="X4312">
        <v>0</v>
      </c>
      <c r="Y4312" t="s">
        <v>31</v>
      </c>
      <c r="Z4312">
        <v>55</v>
      </c>
      <c r="AA4312">
        <v>0</v>
      </c>
    </row>
    <row r="4313" spans="1:27" x14ac:dyDescent="0.2">
      <c r="A4313" t="s">
        <v>2614</v>
      </c>
      <c r="B4313">
        <v>2024</v>
      </c>
      <c r="C4313">
        <v>2546121939</v>
      </c>
      <c r="D4313" t="s">
        <v>5372</v>
      </c>
      <c r="E4313" t="s">
        <v>29</v>
      </c>
      <c r="F4313" t="s">
        <v>41</v>
      </c>
      <c r="G4313">
        <v>0</v>
      </c>
      <c r="H4313">
        <v>0</v>
      </c>
      <c r="I4313">
        <v>0</v>
      </c>
      <c r="J4313">
        <v>0</v>
      </c>
      <c r="K4313">
        <v>0</v>
      </c>
      <c r="L4313">
        <v>0</v>
      </c>
      <c r="M4313">
        <v>1</v>
      </c>
      <c r="N4313">
        <v>0</v>
      </c>
      <c r="O4313">
        <v>0</v>
      </c>
      <c r="P4313">
        <v>0</v>
      </c>
      <c r="Q4313">
        <v>0</v>
      </c>
      <c r="R4313">
        <v>0</v>
      </c>
      <c r="S4313">
        <v>0</v>
      </c>
      <c r="T4313">
        <v>0</v>
      </c>
      <c r="U4313">
        <v>0</v>
      </c>
      <c r="V4313">
        <v>0</v>
      </c>
      <c r="W4313">
        <v>0</v>
      </c>
      <c r="X4313">
        <v>0</v>
      </c>
      <c r="Y4313" t="s">
        <v>31</v>
      </c>
      <c r="Z4313">
        <v>1000</v>
      </c>
      <c r="AA4313">
        <v>0</v>
      </c>
    </row>
    <row r="4314" spans="1:27" x14ac:dyDescent="0.2">
      <c r="A4314" t="s">
        <v>460</v>
      </c>
      <c r="B4314">
        <v>2024</v>
      </c>
      <c r="C4314" t="s">
        <v>461</v>
      </c>
      <c r="D4314" t="s">
        <v>805</v>
      </c>
      <c r="E4314" t="s">
        <v>29</v>
      </c>
      <c r="F4314" t="s">
        <v>30</v>
      </c>
      <c r="G4314">
        <v>0</v>
      </c>
      <c r="H4314">
        <v>0</v>
      </c>
      <c r="I4314">
        <v>0</v>
      </c>
      <c r="J4314">
        <v>0</v>
      </c>
      <c r="K4314">
        <v>0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0</v>
      </c>
      <c r="R4314">
        <v>0</v>
      </c>
      <c r="S4314">
        <v>2</v>
      </c>
      <c r="T4314">
        <v>0</v>
      </c>
      <c r="U4314">
        <v>10</v>
      </c>
      <c r="V4314">
        <v>0</v>
      </c>
      <c r="W4314">
        <v>0</v>
      </c>
      <c r="X4314">
        <v>0</v>
      </c>
      <c r="Y4314" t="s">
        <v>31</v>
      </c>
      <c r="Z4314">
        <v>55</v>
      </c>
      <c r="AA4314" s="2" t="s">
        <v>5091</v>
      </c>
    </row>
    <row r="4315" spans="1:27" ht="102" x14ac:dyDescent="0.2">
      <c r="A4315" t="s">
        <v>2384</v>
      </c>
      <c r="B4315">
        <v>2024</v>
      </c>
      <c r="C4315" t="s">
        <v>5373</v>
      </c>
      <c r="D4315" s="1" t="s">
        <v>5374</v>
      </c>
      <c r="E4315" t="s">
        <v>29</v>
      </c>
      <c r="F4315" t="s">
        <v>41</v>
      </c>
      <c r="G4315">
        <v>2</v>
      </c>
      <c r="H4315">
        <v>0</v>
      </c>
      <c r="I4315">
        <v>0</v>
      </c>
      <c r="J4315">
        <v>0</v>
      </c>
      <c r="K4315">
        <v>0</v>
      </c>
      <c r="L4315">
        <v>0</v>
      </c>
      <c r="M4315">
        <v>0</v>
      </c>
      <c r="N4315">
        <v>0</v>
      </c>
      <c r="O4315">
        <v>0</v>
      </c>
      <c r="P4315">
        <v>0</v>
      </c>
      <c r="Q4315">
        <v>0</v>
      </c>
      <c r="R4315">
        <v>0</v>
      </c>
      <c r="S4315">
        <v>0</v>
      </c>
      <c r="T4315">
        <v>0</v>
      </c>
      <c r="U4315">
        <v>0</v>
      </c>
      <c r="V4315">
        <v>0</v>
      </c>
      <c r="W4315">
        <v>0</v>
      </c>
      <c r="X4315">
        <v>0</v>
      </c>
      <c r="Y4315" t="s">
        <v>31</v>
      </c>
      <c r="Z4315">
        <v>45</v>
      </c>
      <c r="AA4315" s="2" t="s">
        <v>3316</v>
      </c>
    </row>
    <row r="4316" spans="1:27" x14ac:dyDescent="0.2">
      <c r="A4316" t="s">
        <v>2424</v>
      </c>
      <c r="B4316">
        <v>2024</v>
      </c>
      <c r="C4316">
        <v>6270020275</v>
      </c>
      <c r="D4316" t="s">
        <v>5375</v>
      </c>
      <c r="E4316" t="s">
        <v>29</v>
      </c>
      <c r="F4316" t="s">
        <v>30</v>
      </c>
      <c r="G4316">
        <v>0</v>
      </c>
      <c r="H4316">
        <v>0</v>
      </c>
      <c r="I4316">
        <v>0</v>
      </c>
      <c r="J4316">
        <v>0</v>
      </c>
      <c r="K4316">
        <v>0</v>
      </c>
      <c r="L4316">
        <v>0</v>
      </c>
      <c r="M4316">
        <v>54</v>
      </c>
      <c r="N4316">
        <v>0</v>
      </c>
      <c r="O4316">
        <v>214</v>
      </c>
      <c r="P4316">
        <v>0</v>
      </c>
      <c r="Q4316">
        <v>0</v>
      </c>
      <c r="R4316">
        <v>0</v>
      </c>
      <c r="S4316">
        <v>54</v>
      </c>
      <c r="T4316">
        <v>0</v>
      </c>
      <c r="U4316">
        <v>214</v>
      </c>
      <c r="V4316">
        <v>0</v>
      </c>
      <c r="W4316">
        <v>0</v>
      </c>
      <c r="X4316">
        <v>0</v>
      </c>
      <c r="Y4316" t="s">
        <v>31</v>
      </c>
      <c r="AA4316">
        <v>0.12</v>
      </c>
    </row>
    <row r="4317" spans="1:27" x14ac:dyDescent="0.2">
      <c r="A4317" t="s">
        <v>1793</v>
      </c>
      <c r="B4317">
        <v>2021</v>
      </c>
      <c r="C4317" t="s">
        <v>5376</v>
      </c>
      <c r="D4317" t="s">
        <v>5377</v>
      </c>
      <c r="E4317" t="s">
        <v>29</v>
      </c>
      <c r="F4317" t="s">
        <v>30</v>
      </c>
      <c r="G4317">
        <v>0</v>
      </c>
      <c r="H4317">
        <v>0</v>
      </c>
      <c r="I4317">
        <v>7</v>
      </c>
      <c r="J4317">
        <v>0</v>
      </c>
      <c r="K4317">
        <v>0</v>
      </c>
      <c r="L4317">
        <v>0</v>
      </c>
      <c r="M4317">
        <v>0</v>
      </c>
      <c r="N4317">
        <v>0</v>
      </c>
      <c r="O4317">
        <v>0</v>
      </c>
      <c r="P4317">
        <v>0</v>
      </c>
      <c r="Q4317">
        <v>0</v>
      </c>
      <c r="R4317">
        <v>0</v>
      </c>
      <c r="S4317">
        <v>0</v>
      </c>
      <c r="T4317">
        <v>0</v>
      </c>
      <c r="U4317">
        <v>0</v>
      </c>
      <c r="V4317">
        <v>0</v>
      </c>
      <c r="W4317">
        <v>0</v>
      </c>
      <c r="X4317">
        <v>0</v>
      </c>
      <c r="Y4317" t="s">
        <v>31</v>
      </c>
      <c r="Z4317">
        <v>55</v>
      </c>
      <c r="AA4317">
        <v>58</v>
      </c>
    </row>
    <row r="4318" spans="1:27" ht="85" x14ac:dyDescent="0.2">
      <c r="A4318" t="s">
        <v>2614</v>
      </c>
      <c r="B4318">
        <v>2022</v>
      </c>
      <c r="C4318" t="s">
        <v>5378</v>
      </c>
      <c r="D4318" s="1" t="s">
        <v>5379</v>
      </c>
      <c r="E4318" t="s">
        <v>29</v>
      </c>
      <c r="F4318" t="s">
        <v>30</v>
      </c>
      <c r="G4318">
        <v>0</v>
      </c>
      <c r="H4318">
        <v>0</v>
      </c>
      <c r="I4318">
        <v>40</v>
      </c>
      <c r="J4318">
        <v>0</v>
      </c>
      <c r="K4318">
        <v>0</v>
      </c>
      <c r="L4318">
        <v>0</v>
      </c>
      <c r="M4318">
        <v>0</v>
      </c>
      <c r="N4318">
        <v>0</v>
      </c>
      <c r="O4318">
        <v>0</v>
      </c>
      <c r="P4318">
        <v>0</v>
      </c>
      <c r="Q4318">
        <v>0</v>
      </c>
      <c r="R4318">
        <v>0</v>
      </c>
      <c r="S4318">
        <v>0</v>
      </c>
      <c r="T4318">
        <v>0</v>
      </c>
      <c r="U4318">
        <v>0</v>
      </c>
      <c r="V4318">
        <v>0</v>
      </c>
      <c r="W4318">
        <v>0</v>
      </c>
      <c r="X4318">
        <v>0</v>
      </c>
      <c r="Y4318" t="s">
        <v>31</v>
      </c>
      <c r="Z4318">
        <v>1000</v>
      </c>
      <c r="AA4318">
        <v>0</v>
      </c>
    </row>
    <row r="4319" spans="1:27" x14ac:dyDescent="0.2">
      <c r="A4319" t="s">
        <v>433</v>
      </c>
      <c r="B4319">
        <v>2024</v>
      </c>
      <c r="C4319">
        <v>17004066</v>
      </c>
      <c r="D4319" t="s">
        <v>435</v>
      </c>
      <c r="E4319" t="s">
        <v>29</v>
      </c>
      <c r="F4319" t="s">
        <v>30</v>
      </c>
      <c r="G4319">
        <v>0</v>
      </c>
      <c r="H4319">
        <v>0</v>
      </c>
      <c r="I4319">
        <v>0</v>
      </c>
      <c r="J4319">
        <v>0</v>
      </c>
      <c r="K4319">
        <v>0</v>
      </c>
      <c r="L4319">
        <v>0</v>
      </c>
      <c r="M4319">
        <v>0</v>
      </c>
      <c r="N4319">
        <v>0</v>
      </c>
      <c r="O4319">
        <v>29</v>
      </c>
      <c r="P4319">
        <v>0</v>
      </c>
      <c r="Q4319">
        <v>0</v>
      </c>
      <c r="R4319">
        <v>0</v>
      </c>
      <c r="S4319">
        <v>0</v>
      </c>
      <c r="T4319">
        <v>0</v>
      </c>
      <c r="U4319">
        <v>0</v>
      </c>
      <c r="V4319">
        <v>0</v>
      </c>
      <c r="W4319">
        <v>0</v>
      </c>
      <c r="X4319">
        <v>0</v>
      </c>
      <c r="Y4319" t="s">
        <v>51</v>
      </c>
      <c r="Z4319">
        <v>55</v>
      </c>
      <c r="AA4319">
        <v>0</v>
      </c>
    </row>
    <row r="4320" spans="1:27" x14ac:dyDescent="0.2">
      <c r="A4320" t="s">
        <v>883</v>
      </c>
      <c r="B4320">
        <v>2024</v>
      </c>
      <c r="C4320">
        <v>32322130</v>
      </c>
      <c r="D4320" t="s">
        <v>4102</v>
      </c>
      <c r="E4320" t="s">
        <v>29</v>
      </c>
      <c r="F4320" t="s">
        <v>30</v>
      </c>
      <c r="G4320">
        <v>0</v>
      </c>
      <c r="H4320">
        <v>0</v>
      </c>
      <c r="I4320">
        <v>0</v>
      </c>
      <c r="J4320">
        <v>0</v>
      </c>
      <c r="K4320">
        <v>0</v>
      </c>
      <c r="L4320">
        <v>0</v>
      </c>
      <c r="M4320">
        <v>0</v>
      </c>
      <c r="N4320">
        <v>0</v>
      </c>
      <c r="O4320">
        <v>0</v>
      </c>
      <c r="P4320">
        <v>0</v>
      </c>
      <c r="Q4320">
        <v>0</v>
      </c>
      <c r="R4320">
        <v>0</v>
      </c>
      <c r="S4320">
        <v>6</v>
      </c>
      <c r="T4320">
        <v>0</v>
      </c>
      <c r="U4320">
        <v>0</v>
      </c>
      <c r="V4320">
        <v>0</v>
      </c>
      <c r="W4320">
        <v>0</v>
      </c>
      <c r="X4320">
        <v>0</v>
      </c>
      <c r="Y4320" t="s">
        <v>31</v>
      </c>
      <c r="Z4320">
        <v>1000</v>
      </c>
      <c r="AA4320" s="2" t="s">
        <v>5380</v>
      </c>
    </row>
    <row r="4321" spans="1:27" x14ac:dyDescent="0.2">
      <c r="A4321" t="s">
        <v>1449</v>
      </c>
      <c r="B4321">
        <v>2024</v>
      </c>
      <c r="C4321" t="s">
        <v>5381</v>
      </c>
      <c r="D4321" t="s">
        <v>5382</v>
      </c>
      <c r="E4321" t="s">
        <v>29</v>
      </c>
      <c r="F4321" t="s">
        <v>30</v>
      </c>
      <c r="G4321">
        <v>4</v>
      </c>
      <c r="H4321">
        <v>0</v>
      </c>
      <c r="I4321">
        <v>0</v>
      </c>
      <c r="J4321">
        <v>0</v>
      </c>
      <c r="K4321">
        <v>0</v>
      </c>
      <c r="L4321">
        <v>0</v>
      </c>
      <c r="M4321">
        <v>0</v>
      </c>
      <c r="N4321">
        <v>0</v>
      </c>
      <c r="O4321">
        <v>0</v>
      </c>
      <c r="P4321">
        <v>0</v>
      </c>
      <c r="Q4321">
        <v>0</v>
      </c>
      <c r="R4321">
        <v>0</v>
      </c>
      <c r="S4321">
        <v>0</v>
      </c>
      <c r="T4321">
        <v>0</v>
      </c>
      <c r="U4321">
        <v>0</v>
      </c>
      <c r="V4321">
        <v>0</v>
      </c>
      <c r="W4321">
        <v>0</v>
      </c>
      <c r="X4321">
        <v>0</v>
      </c>
      <c r="Y4321" t="s">
        <v>31</v>
      </c>
      <c r="AA4321" s="2" t="s">
        <v>3299</v>
      </c>
    </row>
    <row r="4322" spans="1:27" x14ac:dyDescent="0.2">
      <c r="A4322" t="s">
        <v>1449</v>
      </c>
      <c r="B4322">
        <v>2024</v>
      </c>
      <c r="C4322" t="s">
        <v>5383</v>
      </c>
      <c r="D4322" t="s">
        <v>5384</v>
      </c>
      <c r="E4322" t="s">
        <v>29</v>
      </c>
      <c r="F4322" t="s">
        <v>30</v>
      </c>
      <c r="G4322">
        <v>0</v>
      </c>
      <c r="H4322">
        <v>0</v>
      </c>
      <c r="I4322">
        <v>0</v>
      </c>
      <c r="J4322">
        <v>0</v>
      </c>
      <c r="K4322">
        <v>0</v>
      </c>
      <c r="L4322">
        <v>0</v>
      </c>
      <c r="M4322">
        <v>5</v>
      </c>
      <c r="N4322">
        <v>0</v>
      </c>
      <c r="O4322">
        <v>3</v>
      </c>
      <c r="P4322">
        <v>0</v>
      </c>
      <c r="Q4322">
        <v>0</v>
      </c>
      <c r="R4322">
        <v>0</v>
      </c>
      <c r="S4322">
        <v>0</v>
      </c>
      <c r="T4322">
        <v>0</v>
      </c>
      <c r="U4322">
        <v>0</v>
      </c>
      <c r="V4322">
        <v>0</v>
      </c>
      <c r="W4322">
        <v>0</v>
      </c>
      <c r="X4322">
        <v>0</v>
      </c>
      <c r="Y4322" t="s">
        <v>31</v>
      </c>
      <c r="AA4322">
        <v>0.25</v>
      </c>
    </row>
    <row r="4323" spans="1:27" x14ac:dyDescent="0.2">
      <c r="A4323" t="s">
        <v>1449</v>
      </c>
      <c r="B4323">
        <v>2024</v>
      </c>
      <c r="C4323" t="s">
        <v>5385</v>
      </c>
      <c r="D4323" t="s">
        <v>5386</v>
      </c>
      <c r="E4323" t="s">
        <v>29</v>
      </c>
      <c r="F4323" t="s">
        <v>30</v>
      </c>
      <c r="G4323">
        <v>6</v>
      </c>
      <c r="H4323">
        <v>0</v>
      </c>
      <c r="I4323">
        <v>0</v>
      </c>
      <c r="J4323">
        <v>0</v>
      </c>
      <c r="K4323">
        <v>0</v>
      </c>
      <c r="L4323">
        <v>0</v>
      </c>
      <c r="M4323">
        <v>0</v>
      </c>
      <c r="N4323">
        <v>0</v>
      </c>
      <c r="O4323">
        <v>0</v>
      </c>
      <c r="P4323">
        <v>0</v>
      </c>
      <c r="Q4323">
        <v>0</v>
      </c>
      <c r="R4323">
        <v>0</v>
      </c>
      <c r="S4323">
        <v>0</v>
      </c>
      <c r="T4323">
        <v>0</v>
      </c>
      <c r="U4323">
        <v>0</v>
      </c>
      <c r="V4323">
        <v>0</v>
      </c>
      <c r="W4323">
        <v>0</v>
      </c>
      <c r="X4323">
        <v>0</v>
      </c>
      <c r="Y4323" t="s">
        <v>31</v>
      </c>
      <c r="AA4323">
        <v>0.5</v>
      </c>
    </row>
    <row r="4324" spans="1:27" x14ac:dyDescent="0.2">
      <c r="A4324" t="s">
        <v>1449</v>
      </c>
      <c r="B4324">
        <v>2024</v>
      </c>
      <c r="C4324" t="s">
        <v>3717</v>
      </c>
      <c r="D4324" t="s">
        <v>5387</v>
      </c>
      <c r="E4324" t="s">
        <v>29</v>
      </c>
      <c r="F4324" t="s">
        <v>30</v>
      </c>
      <c r="G4324">
        <v>0</v>
      </c>
      <c r="H4324">
        <v>0</v>
      </c>
      <c r="I4324">
        <v>0</v>
      </c>
      <c r="J4324">
        <v>0</v>
      </c>
      <c r="K4324">
        <v>0</v>
      </c>
      <c r="L4324">
        <v>0</v>
      </c>
      <c r="M4324">
        <v>0</v>
      </c>
      <c r="N4324">
        <v>0</v>
      </c>
      <c r="O4324">
        <v>0</v>
      </c>
      <c r="P4324">
        <v>0</v>
      </c>
      <c r="Q4324">
        <v>0</v>
      </c>
      <c r="R4324">
        <v>0</v>
      </c>
      <c r="S4324">
        <v>5</v>
      </c>
      <c r="T4324">
        <v>0</v>
      </c>
      <c r="U4324">
        <v>0</v>
      </c>
      <c r="V4324">
        <v>0</v>
      </c>
      <c r="W4324">
        <v>0</v>
      </c>
      <c r="X4324">
        <v>0</v>
      </c>
      <c r="Y4324" t="s">
        <v>31</v>
      </c>
      <c r="AA4324" s="2" t="s">
        <v>3316</v>
      </c>
    </row>
    <row r="4325" spans="1:27" x14ac:dyDescent="0.2">
      <c r="A4325" t="s">
        <v>533</v>
      </c>
      <c r="B4325">
        <v>2024</v>
      </c>
      <c r="C4325" t="s">
        <v>1922</v>
      </c>
      <c r="D4325" t="s">
        <v>5388</v>
      </c>
      <c r="E4325" t="s">
        <v>29</v>
      </c>
      <c r="F4325" t="s">
        <v>41</v>
      </c>
      <c r="G4325">
        <v>0</v>
      </c>
      <c r="H4325">
        <v>0</v>
      </c>
      <c r="I4325">
        <v>0</v>
      </c>
      <c r="J4325">
        <v>0</v>
      </c>
      <c r="K4325">
        <v>1</v>
      </c>
      <c r="L4325">
        <v>0</v>
      </c>
      <c r="M4325">
        <v>0</v>
      </c>
      <c r="N4325">
        <v>0</v>
      </c>
      <c r="O4325">
        <v>0</v>
      </c>
      <c r="P4325">
        <v>0</v>
      </c>
      <c r="Q4325">
        <v>1</v>
      </c>
      <c r="R4325">
        <v>0</v>
      </c>
      <c r="S4325">
        <v>0</v>
      </c>
      <c r="T4325">
        <v>0</v>
      </c>
      <c r="U4325">
        <v>0</v>
      </c>
      <c r="V4325">
        <v>0</v>
      </c>
      <c r="W4325">
        <v>1</v>
      </c>
      <c r="X4325">
        <v>0</v>
      </c>
      <c r="Y4325" t="s">
        <v>31</v>
      </c>
      <c r="Z4325">
        <v>1000</v>
      </c>
      <c r="AA4325" s="2" t="s">
        <v>3299</v>
      </c>
    </row>
    <row r="4326" spans="1:27" x14ac:dyDescent="0.2">
      <c r="A4326" t="s">
        <v>1515</v>
      </c>
      <c r="B4326">
        <v>2024</v>
      </c>
      <c r="C4326">
        <v>1600093295</v>
      </c>
      <c r="D4326" t="s">
        <v>5389</v>
      </c>
      <c r="E4326" t="s">
        <v>29</v>
      </c>
      <c r="F4326" t="s">
        <v>30</v>
      </c>
      <c r="G4326">
        <v>0</v>
      </c>
      <c r="H4326">
        <v>0</v>
      </c>
      <c r="I4326">
        <v>0</v>
      </c>
      <c r="J4326">
        <v>0</v>
      </c>
      <c r="K4326">
        <v>2</v>
      </c>
      <c r="L4326">
        <v>0</v>
      </c>
      <c r="M4326">
        <v>0</v>
      </c>
      <c r="N4326">
        <v>0</v>
      </c>
      <c r="O4326">
        <v>0</v>
      </c>
      <c r="P4326">
        <v>0</v>
      </c>
      <c r="Q4326">
        <v>2</v>
      </c>
      <c r="R4326">
        <v>0</v>
      </c>
      <c r="S4326">
        <v>0</v>
      </c>
      <c r="T4326">
        <v>0</v>
      </c>
      <c r="U4326">
        <v>0</v>
      </c>
      <c r="V4326">
        <v>0</v>
      </c>
      <c r="W4326">
        <v>0</v>
      </c>
      <c r="X4326">
        <v>0</v>
      </c>
      <c r="Y4326" t="s">
        <v>31</v>
      </c>
      <c r="Z4326">
        <v>55</v>
      </c>
      <c r="AA4326">
        <v>0</v>
      </c>
    </row>
    <row r="4327" spans="1:27" x14ac:dyDescent="0.2">
      <c r="A4327" t="s">
        <v>1515</v>
      </c>
      <c r="B4327">
        <v>2024</v>
      </c>
      <c r="C4327">
        <v>1600093295</v>
      </c>
      <c r="D4327" t="s">
        <v>5390</v>
      </c>
      <c r="E4327" t="s">
        <v>29</v>
      </c>
      <c r="F4327" t="s">
        <v>30</v>
      </c>
      <c r="G4327">
        <v>2</v>
      </c>
      <c r="H4327">
        <v>0</v>
      </c>
      <c r="I4327">
        <v>0</v>
      </c>
      <c r="J4327">
        <v>0</v>
      </c>
      <c r="K4327">
        <v>0</v>
      </c>
      <c r="L4327">
        <v>0</v>
      </c>
      <c r="M4327">
        <v>2</v>
      </c>
      <c r="N4327">
        <v>0</v>
      </c>
      <c r="O4327">
        <v>0</v>
      </c>
      <c r="P4327">
        <v>0</v>
      </c>
      <c r="Q4327">
        <v>0</v>
      </c>
      <c r="R4327">
        <v>0</v>
      </c>
      <c r="S4327">
        <v>0</v>
      </c>
      <c r="T4327">
        <v>0</v>
      </c>
      <c r="U4327">
        <v>0</v>
      </c>
      <c r="V4327">
        <v>0</v>
      </c>
      <c r="W4327">
        <v>0</v>
      </c>
      <c r="X4327">
        <v>0</v>
      </c>
      <c r="Y4327" t="s">
        <v>31</v>
      </c>
      <c r="Z4327">
        <v>55</v>
      </c>
      <c r="AA4327">
        <v>0</v>
      </c>
    </row>
    <row r="4328" spans="1:27" x14ac:dyDescent="0.2">
      <c r="A4328" t="s">
        <v>1515</v>
      </c>
      <c r="B4328">
        <v>2024</v>
      </c>
      <c r="C4328">
        <v>1600093295</v>
      </c>
      <c r="D4328" t="s">
        <v>5391</v>
      </c>
      <c r="E4328" t="s">
        <v>29</v>
      </c>
      <c r="F4328" t="s">
        <v>30</v>
      </c>
      <c r="G4328">
        <v>3</v>
      </c>
      <c r="H4328">
        <v>0</v>
      </c>
      <c r="I4328">
        <v>0</v>
      </c>
      <c r="J4328">
        <v>0</v>
      </c>
      <c r="K4328">
        <v>0</v>
      </c>
      <c r="L4328">
        <v>0</v>
      </c>
      <c r="M4328">
        <v>3</v>
      </c>
      <c r="N4328">
        <v>0</v>
      </c>
      <c r="O4328">
        <v>0</v>
      </c>
      <c r="P4328">
        <v>0</v>
      </c>
      <c r="Q4328">
        <v>0</v>
      </c>
      <c r="R4328">
        <v>0</v>
      </c>
      <c r="S4328">
        <v>0</v>
      </c>
      <c r="T4328">
        <v>0</v>
      </c>
      <c r="U4328">
        <v>0</v>
      </c>
      <c r="V4328">
        <v>0</v>
      </c>
      <c r="W4328">
        <v>0</v>
      </c>
      <c r="X4328">
        <v>0</v>
      </c>
      <c r="Y4328" t="s">
        <v>31</v>
      </c>
      <c r="Z4328">
        <v>55</v>
      </c>
      <c r="AA4328">
        <v>0</v>
      </c>
    </row>
    <row r="4329" spans="1:27" x14ac:dyDescent="0.2">
      <c r="A4329" t="s">
        <v>1515</v>
      </c>
      <c r="B4329">
        <v>2024</v>
      </c>
      <c r="C4329">
        <v>1600093295</v>
      </c>
      <c r="D4329" t="s">
        <v>5392</v>
      </c>
      <c r="E4329" t="s">
        <v>29</v>
      </c>
      <c r="F4329" t="s">
        <v>30</v>
      </c>
      <c r="G4329">
        <v>3</v>
      </c>
      <c r="H4329">
        <v>0</v>
      </c>
      <c r="I4329">
        <v>0</v>
      </c>
      <c r="J4329">
        <v>0</v>
      </c>
      <c r="K4329">
        <v>1</v>
      </c>
      <c r="L4329">
        <v>0</v>
      </c>
      <c r="M4329">
        <v>3</v>
      </c>
      <c r="N4329">
        <v>0</v>
      </c>
      <c r="O4329">
        <v>0</v>
      </c>
      <c r="P4329">
        <v>0</v>
      </c>
      <c r="Q4329">
        <v>1</v>
      </c>
      <c r="R4329">
        <v>0</v>
      </c>
      <c r="S4329">
        <v>0</v>
      </c>
      <c r="T4329">
        <v>0</v>
      </c>
      <c r="U4329">
        <v>0</v>
      </c>
      <c r="V4329">
        <v>0</v>
      </c>
      <c r="W4329">
        <v>0</v>
      </c>
      <c r="X4329">
        <v>0</v>
      </c>
      <c r="Y4329" t="s">
        <v>31</v>
      </c>
      <c r="Z4329">
        <v>55</v>
      </c>
      <c r="AA4329">
        <v>0</v>
      </c>
    </row>
    <row r="4330" spans="1:27" x14ac:dyDescent="0.2">
      <c r="A4330" t="s">
        <v>2611</v>
      </c>
      <c r="B4330">
        <v>2024</v>
      </c>
      <c r="C4330" t="s">
        <v>2612</v>
      </c>
      <c r="D4330" t="s">
        <v>2613</v>
      </c>
      <c r="E4330" t="s">
        <v>29</v>
      </c>
      <c r="F4330" t="s">
        <v>30</v>
      </c>
      <c r="G4330">
        <v>20</v>
      </c>
      <c r="H4330">
        <v>0</v>
      </c>
      <c r="I4330">
        <v>20</v>
      </c>
      <c r="J4330">
        <v>0</v>
      </c>
      <c r="K4330">
        <v>0</v>
      </c>
      <c r="L4330">
        <v>29</v>
      </c>
      <c r="M4330">
        <v>0</v>
      </c>
      <c r="N4330">
        <v>0</v>
      </c>
      <c r="O4330">
        <v>1</v>
      </c>
      <c r="P4330">
        <v>0</v>
      </c>
      <c r="Q4330">
        <v>0</v>
      </c>
      <c r="R4330">
        <v>0</v>
      </c>
      <c r="S4330">
        <v>0</v>
      </c>
      <c r="T4330">
        <v>0</v>
      </c>
      <c r="U4330">
        <v>0</v>
      </c>
      <c r="V4330">
        <v>0</v>
      </c>
      <c r="W4330">
        <v>0</v>
      </c>
      <c r="X4330">
        <v>0</v>
      </c>
      <c r="Y4330" t="s">
        <v>31</v>
      </c>
      <c r="Z4330">
        <v>55</v>
      </c>
      <c r="AA4330" s="2" t="s">
        <v>3299</v>
      </c>
    </row>
    <row r="4331" spans="1:27" x14ac:dyDescent="0.2">
      <c r="A4331" t="s">
        <v>2113</v>
      </c>
      <c r="B4331">
        <v>2024</v>
      </c>
      <c r="C4331" t="s">
        <v>2114</v>
      </c>
      <c r="D4331" t="s">
        <v>2115</v>
      </c>
      <c r="E4331" t="s">
        <v>29</v>
      </c>
      <c r="F4331" t="s">
        <v>30</v>
      </c>
      <c r="G4331">
        <v>2</v>
      </c>
      <c r="H4331">
        <v>0</v>
      </c>
      <c r="I4331">
        <v>0</v>
      </c>
      <c r="J4331">
        <v>0</v>
      </c>
      <c r="K4331">
        <v>0</v>
      </c>
      <c r="L4331">
        <v>0</v>
      </c>
      <c r="M4331">
        <v>2</v>
      </c>
      <c r="N4331">
        <v>0</v>
      </c>
      <c r="O4331">
        <v>0</v>
      </c>
      <c r="P4331">
        <v>0</v>
      </c>
      <c r="Q4331">
        <v>0</v>
      </c>
      <c r="R4331">
        <v>0</v>
      </c>
      <c r="S4331">
        <v>2</v>
      </c>
      <c r="T4331">
        <v>0</v>
      </c>
      <c r="U4331">
        <v>0</v>
      </c>
      <c r="V4331">
        <v>0</v>
      </c>
      <c r="W4331">
        <v>0</v>
      </c>
      <c r="X4331">
        <v>0</v>
      </c>
      <c r="Y4331" t="s">
        <v>31</v>
      </c>
      <c r="AA4331">
        <v>0</v>
      </c>
    </row>
    <row r="4332" spans="1:27" x14ac:dyDescent="0.2">
      <c r="A4332" t="s">
        <v>1845</v>
      </c>
      <c r="B4332">
        <v>2024</v>
      </c>
      <c r="C4332" t="s">
        <v>5393</v>
      </c>
      <c r="D4332" t="s">
        <v>5394</v>
      </c>
      <c r="E4332" t="s">
        <v>29</v>
      </c>
      <c r="F4332" t="s">
        <v>30</v>
      </c>
      <c r="G4332">
        <v>77</v>
      </c>
      <c r="H4332">
        <v>0</v>
      </c>
      <c r="I4332">
        <v>0</v>
      </c>
      <c r="J4332">
        <v>0</v>
      </c>
      <c r="K4332">
        <v>0</v>
      </c>
      <c r="L4332">
        <v>0</v>
      </c>
      <c r="M4332">
        <v>0</v>
      </c>
      <c r="N4332">
        <v>0</v>
      </c>
      <c r="O4332">
        <v>0</v>
      </c>
      <c r="P4332">
        <v>0</v>
      </c>
      <c r="Q4332">
        <v>0</v>
      </c>
      <c r="R4332">
        <v>0</v>
      </c>
      <c r="S4332">
        <v>0</v>
      </c>
      <c r="T4332">
        <v>0</v>
      </c>
      <c r="U4332">
        <v>0</v>
      </c>
      <c r="V4332">
        <v>0</v>
      </c>
      <c r="W4332">
        <v>0</v>
      </c>
      <c r="X4332">
        <v>0</v>
      </c>
      <c r="Y4332" t="s">
        <v>31</v>
      </c>
      <c r="AA4332">
        <v>0</v>
      </c>
    </row>
    <row r="4333" spans="1:27" x14ac:dyDescent="0.2">
      <c r="A4333" t="s">
        <v>5045</v>
      </c>
      <c r="B4333">
        <v>2024</v>
      </c>
      <c r="C4333" t="s">
        <v>5395</v>
      </c>
      <c r="D4333" t="s">
        <v>5396</v>
      </c>
      <c r="E4333" t="s">
        <v>29</v>
      </c>
      <c r="F4333" t="s">
        <v>30</v>
      </c>
      <c r="G4333">
        <v>16</v>
      </c>
      <c r="H4333">
        <v>0</v>
      </c>
      <c r="I4333">
        <v>0</v>
      </c>
      <c r="J4333">
        <v>0</v>
      </c>
      <c r="K4333">
        <v>0</v>
      </c>
      <c r="L4333">
        <v>0</v>
      </c>
      <c r="M4333">
        <v>0</v>
      </c>
      <c r="N4333">
        <v>0</v>
      </c>
      <c r="O4333">
        <v>0</v>
      </c>
      <c r="P4333">
        <v>0</v>
      </c>
      <c r="Q4333">
        <v>0</v>
      </c>
      <c r="R4333">
        <v>0</v>
      </c>
      <c r="S4333">
        <v>0</v>
      </c>
      <c r="T4333">
        <v>0</v>
      </c>
      <c r="U4333">
        <v>0</v>
      </c>
      <c r="V4333">
        <v>0</v>
      </c>
      <c r="W4333">
        <v>0</v>
      </c>
      <c r="X4333">
        <v>0</v>
      </c>
      <c r="Y4333" t="s">
        <v>31</v>
      </c>
      <c r="AA4333" s="2" t="s">
        <v>4011</v>
      </c>
    </row>
    <row r="4334" spans="1:27" ht="102" x14ac:dyDescent="0.2">
      <c r="A4334" t="s">
        <v>260</v>
      </c>
      <c r="B4334">
        <v>2024</v>
      </c>
      <c r="C4334" t="s">
        <v>5268</v>
      </c>
      <c r="D4334" s="1" t="s">
        <v>5269</v>
      </c>
      <c r="E4334" t="s">
        <v>29</v>
      </c>
      <c r="F4334" t="s">
        <v>30</v>
      </c>
      <c r="G4334">
        <v>0</v>
      </c>
      <c r="H4334">
        <v>0</v>
      </c>
      <c r="I4334">
        <v>10</v>
      </c>
      <c r="J4334">
        <v>0</v>
      </c>
      <c r="K4334">
        <v>0</v>
      </c>
      <c r="L4334">
        <v>0</v>
      </c>
      <c r="M4334">
        <v>0</v>
      </c>
      <c r="N4334">
        <v>0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  <c r="U4334">
        <v>0</v>
      </c>
      <c r="V4334">
        <v>0</v>
      </c>
      <c r="W4334">
        <v>0</v>
      </c>
      <c r="X4334">
        <v>0</v>
      </c>
      <c r="Y4334" t="s">
        <v>31</v>
      </c>
      <c r="Z4334">
        <v>1000</v>
      </c>
      <c r="AA4334">
        <v>0.5</v>
      </c>
    </row>
    <row r="4335" spans="1:27" x14ac:dyDescent="0.2">
      <c r="A4335" t="s">
        <v>1048</v>
      </c>
      <c r="B4335">
        <v>2022</v>
      </c>
      <c r="C4335" t="s">
        <v>3336</v>
      </c>
      <c r="D4335" t="s">
        <v>5397</v>
      </c>
      <c r="E4335" t="s">
        <v>29</v>
      </c>
      <c r="F4335" t="s">
        <v>30</v>
      </c>
      <c r="G4335">
        <v>0</v>
      </c>
      <c r="H4335">
        <v>0</v>
      </c>
      <c r="I4335">
        <v>0</v>
      </c>
      <c r="J4335">
        <v>0</v>
      </c>
      <c r="K4335">
        <v>0</v>
      </c>
      <c r="L4335">
        <v>0</v>
      </c>
      <c r="M4335">
        <v>0</v>
      </c>
      <c r="N4335">
        <v>0</v>
      </c>
      <c r="O4335">
        <v>16</v>
      </c>
      <c r="P4335">
        <v>0</v>
      </c>
      <c r="Q4335">
        <v>0</v>
      </c>
      <c r="R4335">
        <v>0</v>
      </c>
      <c r="S4335">
        <v>0</v>
      </c>
      <c r="T4335">
        <v>0</v>
      </c>
      <c r="U4335">
        <v>16</v>
      </c>
      <c r="V4335">
        <v>0</v>
      </c>
      <c r="W4335">
        <v>0</v>
      </c>
      <c r="X4335">
        <v>0</v>
      </c>
      <c r="Y4335" t="s">
        <v>51</v>
      </c>
      <c r="Z4335">
        <v>55</v>
      </c>
      <c r="AA4335">
        <v>0</v>
      </c>
    </row>
    <row r="4336" spans="1:27" x14ac:dyDescent="0.2">
      <c r="A4336" t="s">
        <v>1048</v>
      </c>
      <c r="B4336">
        <v>2022</v>
      </c>
      <c r="C4336" t="s">
        <v>3336</v>
      </c>
      <c r="D4336" t="s">
        <v>5398</v>
      </c>
      <c r="E4336" t="s">
        <v>29</v>
      </c>
      <c r="F4336" t="s">
        <v>30</v>
      </c>
      <c r="G4336">
        <v>0</v>
      </c>
      <c r="H4336">
        <v>0</v>
      </c>
      <c r="I4336">
        <v>0</v>
      </c>
      <c r="J4336">
        <v>0</v>
      </c>
      <c r="K4336">
        <v>0</v>
      </c>
      <c r="L4336">
        <v>0</v>
      </c>
      <c r="M4336">
        <v>0</v>
      </c>
      <c r="N4336">
        <v>0</v>
      </c>
      <c r="O4336">
        <v>16</v>
      </c>
      <c r="P4336">
        <v>0</v>
      </c>
      <c r="Q4336">
        <v>0</v>
      </c>
      <c r="R4336">
        <v>0</v>
      </c>
      <c r="S4336">
        <v>0</v>
      </c>
      <c r="T4336">
        <v>0</v>
      </c>
      <c r="U4336">
        <v>16</v>
      </c>
      <c r="V4336">
        <v>0</v>
      </c>
      <c r="W4336">
        <v>0</v>
      </c>
      <c r="X4336">
        <v>0</v>
      </c>
      <c r="Y4336" t="s">
        <v>51</v>
      </c>
      <c r="Z4336">
        <v>55</v>
      </c>
      <c r="AA4336">
        <v>0</v>
      </c>
    </row>
    <row r="4337" spans="1:27" x14ac:dyDescent="0.2">
      <c r="A4337" t="s">
        <v>318</v>
      </c>
      <c r="B4337">
        <v>2024</v>
      </c>
      <c r="C4337">
        <v>16513078</v>
      </c>
      <c r="D4337" t="s">
        <v>4796</v>
      </c>
      <c r="E4337" t="s">
        <v>29</v>
      </c>
      <c r="F4337" t="s">
        <v>30</v>
      </c>
      <c r="G4337">
        <v>0</v>
      </c>
      <c r="H4337">
        <v>0</v>
      </c>
      <c r="I4337">
        <v>0</v>
      </c>
      <c r="J4337">
        <v>0</v>
      </c>
      <c r="K4337">
        <v>0</v>
      </c>
      <c r="L4337">
        <v>0</v>
      </c>
      <c r="M4337">
        <v>0</v>
      </c>
      <c r="N4337">
        <v>0</v>
      </c>
      <c r="O4337">
        <v>0</v>
      </c>
      <c r="P4337">
        <v>0</v>
      </c>
      <c r="Q4337">
        <v>0</v>
      </c>
      <c r="R4337">
        <v>0</v>
      </c>
      <c r="S4337">
        <v>2</v>
      </c>
      <c r="T4337">
        <v>0</v>
      </c>
      <c r="U4337">
        <v>5</v>
      </c>
      <c r="V4337">
        <v>0</v>
      </c>
      <c r="W4337">
        <v>0</v>
      </c>
      <c r="X4337">
        <v>0</v>
      </c>
      <c r="Y4337" t="s">
        <v>31</v>
      </c>
      <c r="Z4337">
        <v>67</v>
      </c>
      <c r="AA4337" s="2" t="s">
        <v>3394</v>
      </c>
    </row>
    <row r="4338" spans="1:27" ht="119" x14ac:dyDescent="0.2">
      <c r="A4338" t="s">
        <v>43</v>
      </c>
      <c r="B4338">
        <v>2024</v>
      </c>
      <c r="C4338">
        <v>5531022019</v>
      </c>
      <c r="D4338" s="1" t="s">
        <v>5399</v>
      </c>
      <c r="E4338" t="s">
        <v>29</v>
      </c>
      <c r="F4338" t="s">
        <v>30</v>
      </c>
      <c r="G4338">
        <v>0</v>
      </c>
      <c r="H4338">
        <v>0</v>
      </c>
      <c r="I4338">
        <v>0</v>
      </c>
      <c r="J4338">
        <v>0</v>
      </c>
      <c r="K4338">
        <v>0</v>
      </c>
      <c r="L4338">
        <v>0</v>
      </c>
      <c r="M4338">
        <v>33</v>
      </c>
      <c r="N4338">
        <v>0</v>
      </c>
      <c r="O4338">
        <v>16</v>
      </c>
      <c r="P4338">
        <v>0</v>
      </c>
      <c r="Q4338">
        <v>1</v>
      </c>
      <c r="R4338">
        <v>0</v>
      </c>
      <c r="S4338">
        <v>0</v>
      </c>
      <c r="T4338">
        <v>0</v>
      </c>
      <c r="U4338">
        <v>0</v>
      </c>
      <c r="V4338">
        <v>0</v>
      </c>
      <c r="W4338">
        <v>0</v>
      </c>
      <c r="X4338">
        <v>0</v>
      </c>
      <c r="Y4338" t="s">
        <v>31</v>
      </c>
      <c r="Z4338">
        <v>1000</v>
      </c>
      <c r="AA4338">
        <v>1.77</v>
      </c>
    </row>
    <row r="4339" spans="1:27" ht="136" x14ac:dyDescent="0.2">
      <c r="A4339" t="s">
        <v>43</v>
      </c>
      <c r="B4339">
        <v>2024</v>
      </c>
      <c r="C4339">
        <v>4337001013</v>
      </c>
      <c r="D4339" s="1" t="s">
        <v>5400</v>
      </c>
      <c r="E4339" t="s">
        <v>29</v>
      </c>
      <c r="F4339" t="s">
        <v>30</v>
      </c>
      <c r="G4339">
        <v>0</v>
      </c>
      <c r="H4339">
        <v>0</v>
      </c>
      <c r="I4339">
        <v>0</v>
      </c>
      <c r="J4339">
        <v>0</v>
      </c>
      <c r="K4339">
        <v>0</v>
      </c>
      <c r="L4339">
        <v>0</v>
      </c>
      <c r="M4339">
        <v>3</v>
      </c>
      <c r="N4339">
        <v>0</v>
      </c>
      <c r="O4339">
        <v>0</v>
      </c>
      <c r="P4339">
        <v>0</v>
      </c>
      <c r="Q4339">
        <v>1</v>
      </c>
      <c r="R4339">
        <v>0</v>
      </c>
      <c r="S4339">
        <v>0</v>
      </c>
      <c r="T4339">
        <v>0</v>
      </c>
      <c r="U4339">
        <v>0</v>
      </c>
      <c r="V4339">
        <v>0</v>
      </c>
      <c r="W4339">
        <v>0</v>
      </c>
      <c r="X4339">
        <v>0</v>
      </c>
      <c r="Y4339" t="s">
        <v>31</v>
      </c>
      <c r="Z4339">
        <v>1000</v>
      </c>
      <c r="AA4339">
        <v>0.5</v>
      </c>
    </row>
    <row r="4340" spans="1:27" x14ac:dyDescent="0.2">
      <c r="A4340" t="s">
        <v>43</v>
      </c>
      <c r="B4340">
        <v>2024</v>
      </c>
      <c r="C4340">
        <v>5554014011</v>
      </c>
      <c r="D4340" t="s">
        <v>5401</v>
      </c>
      <c r="E4340" t="s">
        <v>29</v>
      </c>
      <c r="F4340" t="s">
        <v>30</v>
      </c>
      <c r="G4340">
        <v>11</v>
      </c>
      <c r="H4340">
        <v>0</v>
      </c>
      <c r="I4340">
        <v>0</v>
      </c>
      <c r="J4340">
        <v>0</v>
      </c>
      <c r="K4340">
        <v>4</v>
      </c>
      <c r="L4340">
        <v>0</v>
      </c>
      <c r="M4340">
        <v>0</v>
      </c>
      <c r="N4340">
        <v>0</v>
      </c>
      <c r="O4340">
        <v>0</v>
      </c>
      <c r="P4340">
        <v>0</v>
      </c>
      <c r="Q4340">
        <v>0</v>
      </c>
      <c r="R4340">
        <v>0</v>
      </c>
      <c r="S4340">
        <v>0</v>
      </c>
      <c r="T4340">
        <v>0</v>
      </c>
      <c r="U4340">
        <v>0</v>
      </c>
      <c r="V4340">
        <v>0</v>
      </c>
      <c r="W4340">
        <v>0</v>
      </c>
      <c r="X4340">
        <v>0</v>
      </c>
      <c r="Y4340" t="s">
        <v>31</v>
      </c>
      <c r="Z4340">
        <v>1000</v>
      </c>
      <c r="AA4340" s="2" t="s">
        <v>3730</v>
      </c>
    </row>
    <row r="4341" spans="1:27" x14ac:dyDescent="0.2">
      <c r="A4341" t="s">
        <v>3245</v>
      </c>
      <c r="B4341">
        <v>2024</v>
      </c>
      <c r="C4341" t="s">
        <v>3246</v>
      </c>
      <c r="D4341" t="s">
        <v>5402</v>
      </c>
      <c r="E4341" t="s">
        <v>29</v>
      </c>
      <c r="F4341" t="s">
        <v>30</v>
      </c>
      <c r="G4341">
        <v>0</v>
      </c>
      <c r="H4341">
        <v>0</v>
      </c>
      <c r="I4341">
        <v>0</v>
      </c>
      <c r="J4341">
        <v>0</v>
      </c>
      <c r="K4341">
        <v>0</v>
      </c>
      <c r="L4341">
        <v>0</v>
      </c>
      <c r="M4341">
        <v>24</v>
      </c>
      <c r="N4341">
        <v>0</v>
      </c>
      <c r="O4341">
        <v>0</v>
      </c>
      <c r="P4341">
        <v>0</v>
      </c>
      <c r="Q4341">
        <v>0</v>
      </c>
      <c r="R4341">
        <v>0</v>
      </c>
      <c r="S4341">
        <v>0</v>
      </c>
      <c r="T4341">
        <v>0</v>
      </c>
      <c r="U4341">
        <v>0</v>
      </c>
      <c r="V4341">
        <v>0</v>
      </c>
      <c r="W4341">
        <v>0</v>
      </c>
      <c r="X4341">
        <v>0</v>
      </c>
      <c r="Y4341" t="s">
        <v>31</v>
      </c>
      <c r="Z4341">
        <v>55</v>
      </c>
      <c r="AA4341" s="2" t="s">
        <v>3248</v>
      </c>
    </row>
    <row r="4342" spans="1:27" x14ac:dyDescent="0.2">
      <c r="A4342" t="s">
        <v>3245</v>
      </c>
      <c r="B4342">
        <v>2024</v>
      </c>
      <c r="C4342" t="s">
        <v>3246</v>
      </c>
      <c r="D4342" t="s">
        <v>5403</v>
      </c>
      <c r="E4342" t="s">
        <v>29</v>
      </c>
      <c r="F4342" t="s">
        <v>30</v>
      </c>
      <c r="G4342">
        <v>0</v>
      </c>
      <c r="H4342">
        <v>0</v>
      </c>
      <c r="I4342">
        <v>0</v>
      </c>
      <c r="J4342">
        <v>0</v>
      </c>
      <c r="K4342">
        <v>0</v>
      </c>
      <c r="L4342">
        <v>0</v>
      </c>
      <c r="M4342">
        <v>24</v>
      </c>
      <c r="N4342">
        <v>0</v>
      </c>
      <c r="O4342">
        <v>0</v>
      </c>
      <c r="P4342">
        <v>0</v>
      </c>
      <c r="Q4342">
        <v>0</v>
      </c>
      <c r="R4342">
        <v>0</v>
      </c>
      <c r="S4342">
        <v>0</v>
      </c>
      <c r="T4342">
        <v>0</v>
      </c>
      <c r="U4342">
        <v>0</v>
      </c>
      <c r="V4342">
        <v>0</v>
      </c>
      <c r="W4342">
        <v>0</v>
      </c>
      <c r="X4342">
        <v>0</v>
      </c>
      <c r="Y4342" t="s">
        <v>31</v>
      </c>
      <c r="Z4342">
        <v>55</v>
      </c>
      <c r="AA4342" s="2" t="s">
        <v>3248</v>
      </c>
    </row>
    <row r="4343" spans="1:27" x14ac:dyDescent="0.2">
      <c r="A4343" t="s">
        <v>1527</v>
      </c>
      <c r="B4343">
        <v>2024</v>
      </c>
      <c r="C4343" s="2" t="s">
        <v>5146</v>
      </c>
      <c r="D4343" t="s">
        <v>5404</v>
      </c>
      <c r="E4343" t="s">
        <v>29</v>
      </c>
      <c r="F4343" t="s">
        <v>30</v>
      </c>
      <c r="G4343">
        <v>0</v>
      </c>
      <c r="H4343">
        <v>0</v>
      </c>
      <c r="I4343">
        <v>0</v>
      </c>
      <c r="J4343">
        <v>0</v>
      </c>
      <c r="K4343">
        <v>0</v>
      </c>
      <c r="L4343">
        <v>0</v>
      </c>
      <c r="M4343">
        <v>16</v>
      </c>
      <c r="N4343">
        <v>0</v>
      </c>
      <c r="O4343">
        <v>6</v>
      </c>
      <c r="P4343">
        <v>2</v>
      </c>
      <c r="Q4343">
        <v>0</v>
      </c>
      <c r="R4343">
        <v>0</v>
      </c>
      <c r="S4343">
        <v>0</v>
      </c>
      <c r="T4343">
        <v>0</v>
      </c>
      <c r="U4343">
        <v>0</v>
      </c>
      <c r="V4343">
        <v>0</v>
      </c>
      <c r="W4343">
        <v>0</v>
      </c>
      <c r="X4343">
        <v>0</v>
      </c>
      <c r="Y4343" t="s">
        <v>31</v>
      </c>
      <c r="AA4343">
        <v>0</v>
      </c>
    </row>
    <row r="4344" spans="1:27" x14ac:dyDescent="0.2">
      <c r="A4344" t="s">
        <v>1527</v>
      </c>
      <c r="B4344">
        <v>2024</v>
      </c>
      <c r="C4344" s="2" t="s">
        <v>3404</v>
      </c>
      <c r="D4344" t="s">
        <v>5405</v>
      </c>
      <c r="E4344" t="s">
        <v>29</v>
      </c>
      <c r="F4344" t="s">
        <v>30</v>
      </c>
      <c r="G4344">
        <v>0</v>
      </c>
      <c r="H4344">
        <v>0</v>
      </c>
      <c r="I4344">
        <v>0</v>
      </c>
      <c r="J4344">
        <v>0</v>
      </c>
      <c r="K4344">
        <v>0</v>
      </c>
      <c r="L4344">
        <v>0</v>
      </c>
      <c r="M4344">
        <v>0</v>
      </c>
      <c r="N4344">
        <v>0</v>
      </c>
      <c r="O4344">
        <v>30</v>
      </c>
      <c r="P4344">
        <v>0</v>
      </c>
      <c r="Q4344">
        <v>0</v>
      </c>
      <c r="R4344">
        <v>0</v>
      </c>
      <c r="S4344">
        <v>0</v>
      </c>
      <c r="T4344">
        <v>0</v>
      </c>
      <c r="U4344">
        <v>0</v>
      </c>
      <c r="V4344">
        <v>0</v>
      </c>
      <c r="W4344">
        <v>0</v>
      </c>
      <c r="X4344">
        <v>0</v>
      </c>
      <c r="Y4344" t="s">
        <v>31</v>
      </c>
      <c r="AA4344">
        <v>0</v>
      </c>
    </row>
    <row r="4345" spans="1:27" x14ac:dyDescent="0.2">
      <c r="A4345" t="s">
        <v>1527</v>
      </c>
      <c r="B4345">
        <v>2024</v>
      </c>
      <c r="C4345" s="2" t="s">
        <v>5146</v>
      </c>
      <c r="D4345" t="s">
        <v>5406</v>
      </c>
      <c r="E4345" t="s">
        <v>29</v>
      </c>
      <c r="F4345" t="s">
        <v>30</v>
      </c>
      <c r="G4345">
        <v>0</v>
      </c>
      <c r="H4345">
        <v>0</v>
      </c>
      <c r="I4345">
        <v>0</v>
      </c>
      <c r="J4345">
        <v>0</v>
      </c>
      <c r="K4345">
        <v>0</v>
      </c>
      <c r="L4345">
        <v>0</v>
      </c>
      <c r="M4345">
        <v>0</v>
      </c>
      <c r="N4345">
        <v>0</v>
      </c>
      <c r="O4345">
        <v>30</v>
      </c>
      <c r="P4345">
        <v>0</v>
      </c>
      <c r="Q4345">
        <v>0</v>
      </c>
      <c r="R4345">
        <v>0</v>
      </c>
      <c r="S4345">
        <v>0</v>
      </c>
      <c r="T4345">
        <v>0</v>
      </c>
      <c r="U4345">
        <v>0</v>
      </c>
      <c r="V4345">
        <v>0</v>
      </c>
      <c r="W4345">
        <v>0</v>
      </c>
      <c r="X4345">
        <v>0</v>
      </c>
      <c r="Y4345" t="s">
        <v>31</v>
      </c>
      <c r="AA4345">
        <v>0</v>
      </c>
    </row>
    <row r="4346" spans="1:27" x14ac:dyDescent="0.2">
      <c r="A4346" t="s">
        <v>2614</v>
      </c>
      <c r="B4346">
        <v>2024</v>
      </c>
      <c r="C4346" t="s">
        <v>5407</v>
      </c>
      <c r="D4346" t="s">
        <v>5408</v>
      </c>
      <c r="E4346" t="s">
        <v>29</v>
      </c>
      <c r="F4346" t="s">
        <v>30</v>
      </c>
      <c r="G4346">
        <v>0</v>
      </c>
      <c r="H4346">
        <v>0</v>
      </c>
      <c r="I4346">
        <v>0</v>
      </c>
      <c r="J4346">
        <v>0</v>
      </c>
      <c r="K4346">
        <v>0</v>
      </c>
      <c r="L4346">
        <v>0</v>
      </c>
      <c r="M4346">
        <v>0</v>
      </c>
      <c r="N4346">
        <v>0</v>
      </c>
      <c r="O4346">
        <v>21</v>
      </c>
      <c r="P4346">
        <v>0</v>
      </c>
      <c r="Q4346">
        <v>0</v>
      </c>
      <c r="R4346">
        <v>0</v>
      </c>
      <c r="S4346">
        <v>0</v>
      </c>
      <c r="T4346">
        <v>0</v>
      </c>
      <c r="U4346">
        <v>0</v>
      </c>
      <c r="V4346">
        <v>0</v>
      </c>
      <c r="W4346">
        <v>0</v>
      </c>
      <c r="X4346">
        <v>0</v>
      </c>
      <c r="Y4346" t="s">
        <v>31</v>
      </c>
      <c r="Z4346">
        <v>1000</v>
      </c>
      <c r="AA4346" s="2" t="s">
        <v>3316</v>
      </c>
    </row>
    <row r="4347" spans="1:27" x14ac:dyDescent="0.2">
      <c r="A4347" t="s">
        <v>2614</v>
      </c>
      <c r="B4347">
        <v>2024</v>
      </c>
      <c r="C4347">
        <v>2592312800</v>
      </c>
      <c r="D4347" t="s">
        <v>5409</v>
      </c>
      <c r="E4347" t="s">
        <v>29</v>
      </c>
      <c r="F4347" t="s">
        <v>30</v>
      </c>
      <c r="G4347">
        <v>0</v>
      </c>
      <c r="H4347">
        <v>0</v>
      </c>
      <c r="I4347">
        <v>0</v>
      </c>
      <c r="J4347">
        <v>0</v>
      </c>
      <c r="K4347">
        <v>0</v>
      </c>
      <c r="L4347">
        <v>0</v>
      </c>
      <c r="M4347">
        <v>21</v>
      </c>
      <c r="N4347">
        <v>0</v>
      </c>
      <c r="O4347">
        <v>29</v>
      </c>
      <c r="P4347">
        <v>0</v>
      </c>
      <c r="Q4347">
        <v>0</v>
      </c>
      <c r="R4347">
        <v>0</v>
      </c>
      <c r="S4347">
        <v>0</v>
      </c>
      <c r="T4347">
        <v>0</v>
      </c>
      <c r="U4347">
        <v>0</v>
      </c>
      <c r="V4347">
        <v>0</v>
      </c>
      <c r="W4347">
        <v>0</v>
      </c>
      <c r="X4347">
        <v>0</v>
      </c>
      <c r="Y4347" t="s">
        <v>31</v>
      </c>
      <c r="Z4347">
        <v>1000</v>
      </c>
      <c r="AA4347">
        <v>0.22</v>
      </c>
    </row>
    <row r="4348" spans="1:27" x14ac:dyDescent="0.2">
      <c r="A4348" t="s">
        <v>2614</v>
      </c>
      <c r="B4348">
        <v>2024</v>
      </c>
      <c r="C4348">
        <v>2546121400</v>
      </c>
      <c r="D4348" t="s">
        <v>5410</v>
      </c>
      <c r="E4348" t="s">
        <v>29</v>
      </c>
      <c r="F4348" t="s">
        <v>30</v>
      </c>
      <c r="G4348">
        <v>0</v>
      </c>
      <c r="H4348">
        <v>0</v>
      </c>
      <c r="I4348">
        <v>0</v>
      </c>
      <c r="J4348">
        <v>0</v>
      </c>
      <c r="K4348">
        <v>0</v>
      </c>
      <c r="L4348">
        <v>0</v>
      </c>
      <c r="M4348">
        <v>1</v>
      </c>
      <c r="N4348">
        <v>0</v>
      </c>
      <c r="O4348">
        <v>0</v>
      </c>
      <c r="P4348">
        <v>0</v>
      </c>
      <c r="Q4348">
        <v>0</v>
      </c>
      <c r="R4348">
        <v>0</v>
      </c>
      <c r="S4348">
        <v>0</v>
      </c>
      <c r="T4348">
        <v>0</v>
      </c>
      <c r="U4348">
        <v>0</v>
      </c>
      <c r="V4348">
        <v>0</v>
      </c>
      <c r="W4348">
        <v>0</v>
      </c>
      <c r="X4348">
        <v>0</v>
      </c>
      <c r="Y4348" t="s">
        <v>31</v>
      </c>
      <c r="Z4348">
        <v>1000</v>
      </c>
      <c r="AA4348">
        <v>0</v>
      </c>
    </row>
    <row r="4349" spans="1:27" x14ac:dyDescent="0.2">
      <c r="A4349" t="s">
        <v>2614</v>
      </c>
      <c r="B4349">
        <v>2024</v>
      </c>
      <c r="C4349">
        <v>2546121400</v>
      </c>
      <c r="D4349" t="s">
        <v>5411</v>
      </c>
      <c r="E4349" t="s">
        <v>29</v>
      </c>
      <c r="F4349" t="s">
        <v>30</v>
      </c>
      <c r="G4349">
        <v>0</v>
      </c>
      <c r="H4349">
        <v>0</v>
      </c>
      <c r="I4349">
        <v>0</v>
      </c>
      <c r="J4349">
        <v>0</v>
      </c>
      <c r="K4349">
        <v>0</v>
      </c>
      <c r="L4349">
        <v>0</v>
      </c>
      <c r="M4349">
        <v>1</v>
      </c>
      <c r="N4349">
        <v>0</v>
      </c>
      <c r="O4349">
        <v>0</v>
      </c>
      <c r="P4349">
        <v>0</v>
      </c>
      <c r="Q4349">
        <v>0</v>
      </c>
      <c r="R4349">
        <v>0</v>
      </c>
      <c r="S4349">
        <v>0</v>
      </c>
      <c r="T4349">
        <v>0</v>
      </c>
      <c r="U4349">
        <v>0</v>
      </c>
      <c r="V4349">
        <v>0</v>
      </c>
      <c r="W4349">
        <v>0</v>
      </c>
      <c r="X4349">
        <v>0</v>
      </c>
      <c r="Y4349" t="s">
        <v>31</v>
      </c>
      <c r="Z4349">
        <v>1000</v>
      </c>
      <c r="AA4349">
        <v>0</v>
      </c>
    </row>
    <row r="4350" spans="1:27" x14ac:dyDescent="0.2">
      <c r="A4350" t="s">
        <v>2614</v>
      </c>
      <c r="B4350">
        <v>2024</v>
      </c>
      <c r="C4350">
        <v>2546122216</v>
      </c>
      <c r="D4350" t="s">
        <v>5412</v>
      </c>
      <c r="E4350" t="s">
        <v>29</v>
      </c>
      <c r="F4350" t="s">
        <v>30</v>
      </c>
      <c r="G4350">
        <v>0</v>
      </c>
      <c r="H4350">
        <v>0</v>
      </c>
      <c r="I4350">
        <v>0</v>
      </c>
      <c r="J4350">
        <v>0</v>
      </c>
      <c r="K4350">
        <v>0</v>
      </c>
      <c r="L4350">
        <v>0</v>
      </c>
      <c r="M4350">
        <v>1</v>
      </c>
      <c r="N4350">
        <v>0</v>
      </c>
      <c r="O4350">
        <v>0</v>
      </c>
      <c r="P4350">
        <v>0</v>
      </c>
      <c r="Q4350">
        <v>0</v>
      </c>
      <c r="R4350">
        <v>0</v>
      </c>
      <c r="S4350">
        <v>0</v>
      </c>
      <c r="T4350">
        <v>0</v>
      </c>
      <c r="U4350">
        <v>0</v>
      </c>
      <c r="V4350">
        <v>0</v>
      </c>
      <c r="W4350">
        <v>0</v>
      </c>
      <c r="X4350">
        <v>0</v>
      </c>
      <c r="Y4350" t="s">
        <v>31</v>
      </c>
      <c r="Z4350">
        <v>55</v>
      </c>
      <c r="AA4350">
        <v>0</v>
      </c>
    </row>
    <row r="4351" spans="1:27" x14ac:dyDescent="0.2">
      <c r="A4351" t="s">
        <v>2614</v>
      </c>
      <c r="B4351">
        <v>2024</v>
      </c>
      <c r="C4351" t="s">
        <v>5413</v>
      </c>
      <c r="D4351" t="s">
        <v>5413</v>
      </c>
      <c r="E4351" t="s">
        <v>29</v>
      </c>
      <c r="F4351" t="s">
        <v>30</v>
      </c>
      <c r="G4351">
        <v>0</v>
      </c>
      <c r="H4351">
        <v>0</v>
      </c>
      <c r="I4351">
        <v>90</v>
      </c>
      <c r="J4351">
        <v>0</v>
      </c>
      <c r="K4351">
        <v>0</v>
      </c>
      <c r="L4351">
        <v>0</v>
      </c>
      <c r="M4351">
        <v>0</v>
      </c>
      <c r="N4351">
        <v>0</v>
      </c>
      <c r="O4351">
        <v>0</v>
      </c>
      <c r="P4351">
        <v>0</v>
      </c>
      <c r="Q4351">
        <v>0</v>
      </c>
      <c r="R4351">
        <v>0</v>
      </c>
      <c r="S4351">
        <v>0</v>
      </c>
      <c r="T4351">
        <v>0</v>
      </c>
      <c r="U4351">
        <v>0</v>
      </c>
      <c r="V4351">
        <v>0</v>
      </c>
      <c r="W4351">
        <v>0</v>
      </c>
      <c r="X4351">
        <v>0</v>
      </c>
      <c r="Y4351" t="s">
        <v>31</v>
      </c>
      <c r="Z4351">
        <v>1000</v>
      </c>
      <c r="AA4351">
        <v>0.5</v>
      </c>
    </row>
    <row r="4352" spans="1:27" x14ac:dyDescent="0.2">
      <c r="A4352" t="s">
        <v>2614</v>
      </c>
      <c r="B4352">
        <v>2024</v>
      </c>
      <c r="C4352">
        <v>2574702400</v>
      </c>
      <c r="D4352" t="s">
        <v>5414</v>
      </c>
      <c r="E4352" t="s">
        <v>29</v>
      </c>
      <c r="F4352" t="s">
        <v>30</v>
      </c>
      <c r="G4352">
        <v>12</v>
      </c>
      <c r="H4352">
        <v>0</v>
      </c>
      <c r="I4352">
        <v>0</v>
      </c>
      <c r="J4352">
        <v>0</v>
      </c>
      <c r="K4352">
        <v>0</v>
      </c>
      <c r="L4352">
        <v>0</v>
      </c>
      <c r="M4352">
        <v>0</v>
      </c>
      <c r="N4352">
        <v>0</v>
      </c>
      <c r="O4352">
        <v>0</v>
      </c>
      <c r="P4352">
        <v>0</v>
      </c>
      <c r="Q4352">
        <v>0</v>
      </c>
      <c r="R4352">
        <v>0</v>
      </c>
      <c r="S4352">
        <v>0</v>
      </c>
      <c r="T4352">
        <v>0</v>
      </c>
      <c r="U4352">
        <v>0</v>
      </c>
      <c r="V4352">
        <v>0</v>
      </c>
      <c r="W4352">
        <v>0</v>
      </c>
      <c r="X4352">
        <v>0</v>
      </c>
      <c r="Y4352" t="s">
        <v>31</v>
      </c>
      <c r="Z4352">
        <v>1000</v>
      </c>
      <c r="AA4352">
        <v>0.5</v>
      </c>
    </row>
    <row r="4353" spans="1:27" x14ac:dyDescent="0.2">
      <c r="A4353" t="s">
        <v>2614</v>
      </c>
      <c r="B4353">
        <v>2024</v>
      </c>
      <c r="C4353">
        <v>2540531700</v>
      </c>
      <c r="D4353" t="s">
        <v>5415</v>
      </c>
      <c r="E4353" t="s">
        <v>29</v>
      </c>
      <c r="F4353" t="s">
        <v>30</v>
      </c>
      <c r="G4353">
        <v>0</v>
      </c>
      <c r="H4353">
        <v>0</v>
      </c>
      <c r="I4353">
        <v>1</v>
      </c>
      <c r="J4353">
        <v>0</v>
      </c>
      <c r="K4353">
        <v>0</v>
      </c>
      <c r="L4353">
        <v>0</v>
      </c>
      <c r="M4353">
        <v>0</v>
      </c>
      <c r="N4353">
        <v>0</v>
      </c>
      <c r="O4353">
        <v>0</v>
      </c>
      <c r="P4353">
        <v>0</v>
      </c>
      <c r="Q4353">
        <v>0</v>
      </c>
      <c r="R4353">
        <v>0</v>
      </c>
      <c r="S4353">
        <v>0</v>
      </c>
      <c r="T4353">
        <v>0</v>
      </c>
      <c r="U4353">
        <v>0</v>
      </c>
      <c r="V4353">
        <v>0</v>
      </c>
      <c r="W4353">
        <v>0</v>
      </c>
      <c r="X4353">
        <v>0</v>
      </c>
      <c r="Y4353" t="s">
        <v>31</v>
      </c>
      <c r="Z4353">
        <v>1000</v>
      </c>
      <c r="AA4353">
        <v>0.31</v>
      </c>
    </row>
    <row r="4354" spans="1:27" x14ac:dyDescent="0.2">
      <c r="A4354" t="s">
        <v>1048</v>
      </c>
      <c r="B4354">
        <v>2023</v>
      </c>
      <c r="C4354" t="s">
        <v>5416</v>
      </c>
      <c r="D4354" t="s">
        <v>5417</v>
      </c>
      <c r="E4354" t="s">
        <v>29</v>
      </c>
      <c r="F4354" t="s">
        <v>30</v>
      </c>
      <c r="G4354">
        <v>0</v>
      </c>
      <c r="H4354">
        <v>6</v>
      </c>
      <c r="I4354">
        <v>0</v>
      </c>
      <c r="J4354">
        <v>0</v>
      </c>
      <c r="K4354">
        <v>0</v>
      </c>
      <c r="L4354">
        <v>114</v>
      </c>
      <c r="M4354">
        <v>0</v>
      </c>
      <c r="N4354">
        <v>0</v>
      </c>
      <c r="O4354">
        <v>0</v>
      </c>
      <c r="P4354">
        <v>0</v>
      </c>
      <c r="Q4354">
        <v>0</v>
      </c>
      <c r="R4354">
        <v>0</v>
      </c>
      <c r="S4354">
        <v>0</v>
      </c>
      <c r="T4354">
        <v>0</v>
      </c>
      <c r="U4354">
        <v>0</v>
      </c>
      <c r="V4354">
        <v>0</v>
      </c>
      <c r="W4354">
        <v>0</v>
      </c>
      <c r="X4354">
        <v>0</v>
      </c>
      <c r="Y4354" t="s">
        <v>31</v>
      </c>
      <c r="AA4354" s="2" t="s">
        <v>4011</v>
      </c>
    </row>
    <row r="4355" spans="1:27" x14ac:dyDescent="0.2">
      <c r="A4355" t="s">
        <v>1048</v>
      </c>
      <c r="B4355">
        <v>2023</v>
      </c>
      <c r="C4355" t="s">
        <v>5418</v>
      </c>
      <c r="D4355" t="s">
        <v>5419</v>
      </c>
      <c r="E4355" t="s">
        <v>29</v>
      </c>
      <c r="F4355" t="s">
        <v>30</v>
      </c>
      <c r="G4355">
        <v>2</v>
      </c>
      <c r="H4355">
        <v>0</v>
      </c>
      <c r="I4355">
        <v>0</v>
      </c>
      <c r="J4355">
        <v>0</v>
      </c>
      <c r="K4355">
        <v>0</v>
      </c>
      <c r="L4355">
        <v>0</v>
      </c>
      <c r="M4355">
        <v>0</v>
      </c>
      <c r="N4355">
        <v>0</v>
      </c>
      <c r="O4355">
        <v>0</v>
      </c>
      <c r="P4355">
        <v>0</v>
      </c>
      <c r="Q4355">
        <v>0</v>
      </c>
      <c r="R4355">
        <v>0</v>
      </c>
      <c r="S4355">
        <v>0</v>
      </c>
      <c r="T4355">
        <v>0</v>
      </c>
      <c r="U4355">
        <v>0</v>
      </c>
      <c r="V4355">
        <v>0</v>
      </c>
      <c r="W4355">
        <v>0</v>
      </c>
      <c r="X4355">
        <v>0</v>
      </c>
      <c r="Y4355" t="s">
        <v>31</v>
      </c>
      <c r="AA4355" s="2" t="s">
        <v>4024</v>
      </c>
    </row>
    <row r="4356" spans="1:27" x14ac:dyDescent="0.2">
      <c r="A4356" t="s">
        <v>278</v>
      </c>
      <c r="B4356">
        <v>2024</v>
      </c>
      <c r="C4356" t="s">
        <v>892</v>
      </c>
      <c r="D4356" t="s">
        <v>5420</v>
      </c>
      <c r="E4356" t="s">
        <v>29</v>
      </c>
      <c r="F4356" t="s">
        <v>30</v>
      </c>
      <c r="G4356">
        <v>22</v>
      </c>
      <c r="H4356">
        <v>0</v>
      </c>
      <c r="I4356">
        <v>77</v>
      </c>
      <c r="J4356">
        <v>0</v>
      </c>
      <c r="K4356">
        <v>1</v>
      </c>
      <c r="L4356">
        <v>0</v>
      </c>
      <c r="M4356">
        <v>0</v>
      </c>
      <c r="N4356">
        <v>0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0</v>
      </c>
      <c r="U4356">
        <v>0</v>
      </c>
      <c r="V4356">
        <v>0</v>
      </c>
      <c r="W4356">
        <v>0</v>
      </c>
      <c r="X4356">
        <v>0</v>
      </c>
      <c r="Y4356" t="s">
        <v>31</v>
      </c>
      <c r="Z4356">
        <v>1000</v>
      </c>
      <c r="AA4356">
        <v>0</v>
      </c>
    </row>
    <row r="4357" spans="1:27" x14ac:dyDescent="0.2">
      <c r="A4357" t="s">
        <v>1327</v>
      </c>
      <c r="B4357">
        <v>2024</v>
      </c>
      <c r="C4357" t="s">
        <v>5421</v>
      </c>
      <c r="D4357" t="s">
        <v>5422</v>
      </c>
      <c r="E4357" t="s">
        <v>29</v>
      </c>
      <c r="F4357" t="s">
        <v>30</v>
      </c>
      <c r="G4357">
        <v>0</v>
      </c>
      <c r="H4357">
        <v>0</v>
      </c>
      <c r="I4357">
        <v>0</v>
      </c>
      <c r="J4357">
        <v>0</v>
      </c>
      <c r="K4357">
        <v>0</v>
      </c>
      <c r="L4357">
        <v>0</v>
      </c>
      <c r="M4357">
        <v>0</v>
      </c>
      <c r="N4357">
        <v>0</v>
      </c>
      <c r="O4357">
        <v>0</v>
      </c>
      <c r="P4357">
        <v>0</v>
      </c>
      <c r="Q4357">
        <v>0</v>
      </c>
      <c r="R4357">
        <v>0</v>
      </c>
      <c r="S4357">
        <v>29</v>
      </c>
      <c r="T4357">
        <v>0</v>
      </c>
      <c r="U4357">
        <v>19</v>
      </c>
      <c r="V4357">
        <v>0</v>
      </c>
      <c r="W4357">
        <v>0</v>
      </c>
      <c r="X4357">
        <v>0</v>
      </c>
      <c r="Y4357" t="s">
        <v>31</v>
      </c>
      <c r="Z4357">
        <v>99</v>
      </c>
      <c r="AA4357" s="2" t="s">
        <v>3640</v>
      </c>
    </row>
    <row r="4358" spans="1:27" x14ac:dyDescent="0.2">
      <c r="A4358" t="s">
        <v>433</v>
      </c>
      <c r="B4358">
        <v>2024</v>
      </c>
      <c r="C4358">
        <v>16741019</v>
      </c>
      <c r="D4358" t="s">
        <v>5423</v>
      </c>
      <c r="E4358" t="s">
        <v>29</v>
      </c>
      <c r="F4358" t="s">
        <v>41</v>
      </c>
      <c r="G4358">
        <v>0</v>
      </c>
      <c r="H4358">
        <v>0</v>
      </c>
      <c r="I4358">
        <v>0</v>
      </c>
      <c r="J4358">
        <v>0</v>
      </c>
      <c r="K4358">
        <v>0</v>
      </c>
      <c r="L4358">
        <v>0</v>
      </c>
      <c r="M4358">
        <v>0</v>
      </c>
      <c r="N4358">
        <v>0</v>
      </c>
      <c r="O4358">
        <v>0</v>
      </c>
      <c r="P4358">
        <v>0</v>
      </c>
      <c r="Q4358">
        <v>0</v>
      </c>
      <c r="R4358">
        <v>0</v>
      </c>
      <c r="S4358">
        <v>0</v>
      </c>
      <c r="T4358">
        <v>0</v>
      </c>
      <c r="U4358">
        <v>1</v>
      </c>
      <c r="V4358">
        <v>0</v>
      </c>
      <c r="W4358">
        <v>0</v>
      </c>
      <c r="X4358">
        <v>0</v>
      </c>
      <c r="Y4358" t="s">
        <v>51</v>
      </c>
      <c r="Z4358">
        <v>55</v>
      </c>
      <c r="AA4358">
        <v>0</v>
      </c>
    </row>
    <row r="4359" spans="1:27" x14ac:dyDescent="0.2">
      <c r="A4359" t="s">
        <v>1515</v>
      </c>
      <c r="B4359">
        <v>2024</v>
      </c>
      <c r="C4359">
        <v>2290070305</v>
      </c>
      <c r="D4359" t="s">
        <v>5424</v>
      </c>
      <c r="E4359" t="s">
        <v>29</v>
      </c>
      <c r="F4359" t="s">
        <v>30</v>
      </c>
      <c r="G4359">
        <v>0</v>
      </c>
      <c r="H4359">
        <v>0</v>
      </c>
      <c r="I4359">
        <v>1</v>
      </c>
      <c r="J4359">
        <v>0</v>
      </c>
      <c r="K4359">
        <v>0</v>
      </c>
      <c r="L4359">
        <v>0</v>
      </c>
      <c r="M4359">
        <v>0</v>
      </c>
      <c r="N4359">
        <v>0</v>
      </c>
      <c r="O4359">
        <v>1</v>
      </c>
      <c r="P4359">
        <v>0</v>
      </c>
      <c r="Q4359">
        <v>0</v>
      </c>
      <c r="R4359">
        <v>0</v>
      </c>
      <c r="S4359">
        <v>0</v>
      </c>
      <c r="T4359">
        <v>0</v>
      </c>
      <c r="U4359">
        <v>0</v>
      </c>
      <c r="V4359">
        <v>0</v>
      </c>
      <c r="W4359">
        <v>0</v>
      </c>
      <c r="X4359">
        <v>0</v>
      </c>
      <c r="Y4359" t="s">
        <v>31</v>
      </c>
      <c r="Z4359">
        <v>55</v>
      </c>
      <c r="AA4359">
        <v>0</v>
      </c>
    </row>
    <row r="4360" spans="1:27" x14ac:dyDescent="0.2">
      <c r="A4360" t="s">
        <v>1515</v>
      </c>
      <c r="B4360">
        <v>2024</v>
      </c>
      <c r="C4360">
        <v>1600093295</v>
      </c>
      <c r="D4360" t="s">
        <v>5425</v>
      </c>
      <c r="E4360" t="s">
        <v>29</v>
      </c>
      <c r="F4360" t="s">
        <v>30</v>
      </c>
      <c r="G4360">
        <v>2</v>
      </c>
      <c r="H4360">
        <v>0</v>
      </c>
      <c r="I4360">
        <v>0</v>
      </c>
      <c r="J4360">
        <v>0</v>
      </c>
      <c r="K4360">
        <v>1</v>
      </c>
      <c r="L4360">
        <v>0</v>
      </c>
      <c r="M4360">
        <v>2</v>
      </c>
      <c r="N4360">
        <v>0</v>
      </c>
      <c r="O4360">
        <v>0</v>
      </c>
      <c r="P4360">
        <v>0</v>
      </c>
      <c r="Q4360">
        <v>1</v>
      </c>
      <c r="R4360">
        <v>0</v>
      </c>
      <c r="S4360">
        <v>0</v>
      </c>
      <c r="T4360">
        <v>0</v>
      </c>
      <c r="U4360">
        <v>0</v>
      </c>
      <c r="V4360">
        <v>0</v>
      </c>
      <c r="W4360">
        <v>0</v>
      </c>
      <c r="X4360">
        <v>0</v>
      </c>
      <c r="Y4360" t="s">
        <v>31</v>
      </c>
      <c r="Z4360">
        <v>55</v>
      </c>
      <c r="AA4360">
        <v>0</v>
      </c>
    </row>
    <row r="4361" spans="1:27" x14ac:dyDescent="0.2">
      <c r="A4361" t="s">
        <v>1515</v>
      </c>
      <c r="B4361">
        <v>2024</v>
      </c>
      <c r="C4361">
        <v>1600093295</v>
      </c>
      <c r="D4361" t="s">
        <v>5426</v>
      </c>
      <c r="E4361" t="s">
        <v>29</v>
      </c>
      <c r="F4361" t="s">
        <v>30</v>
      </c>
      <c r="G4361">
        <v>1</v>
      </c>
      <c r="H4361">
        <v>0</v>
      </c>
      <c r="I4361">
        <v>0</v>
      </c>
      <c r="J4361">
        <v>0</v>
      </c>
      <c r="K4361">
        <v>2</v>
      </c>
      <c r="L4361">
        <v>0</v>
      </c>
      <c r="M4361">
        <v>1</v>
      </c>
      <c r="N4361">
        <v>0</v>
      </c>
      <c r="O4361">
        <v>0</v>
      </c>
      <c r="P4361">
        <v>0</v>
      </c>
      <c r="Q4361">
        <v>2</v>
      </c>
      <c r="R4361">
        <v>0</v>
      </c>
      <c r="S4361">
        <v>0</v>
      </c>
      <c r="T4361">
        <v>0</v>
      </c>
      <c r="U4361">
        <v>0</v>
      </c>
      <c r="V4361">
        <v>0</v>
      </c>
      <c r="W4361">
        <v>0</v>
      </c>
      <c r="X4361">
        <v>0</v>
      </c>
      <c r="Y4361" t="s">
        <v>31</v>
      </c>
      <c r="Z4361">
        <v>55</v>
      </c>
      <c r="AA4361">
        <v>0</v>
      </c>
    </row>
    <row r="4362" spans="1:27" x14ac:dyDescent="0.2">
      <c r="A4362" t="s">
        <v>1221</v>
      </c>
      <c r="B4362">
        <v>2024</v>
      </c>
      <c r="C4362" t="s">
        <v>5427</v>
      </c>
      <c r="D4362" t="s">
        <v>5428</v>
      </c>
      <c r="E4362" t="s">
        <v>29</v>
      </c>
      <c r="F4362" t="s">
        <v>30</v>
      </c>
      <c r="G4362">
        <v>13</v>
      </c>
      <c r="H4362">
        <v>0</v>
      </c>
      <c r="I4362">
        <v>0</v>
      </c>
      <c r="J4362">
        <v>0</v>
      </c>
      <c r="K4362">
        <v>0</v>
      </c>
      <c r="L4362">
        <v>0</v>
      </c>
      <c r="M4362">
        <v>0</v>
      </c>
      <c r="N4362">
        <v>0</v>
      </c>
      <c r="O4362">
        <v>0</v>
      </c>
      <c r="P4362">
        <v>0</v>
      </c>
      <c r="Q4362">
        <v>0</v>
      </c>
      <c r="R4362">
        <v>0</v>
      </c>
      <c r="S4362">
        <v>0</v>
      </c>
      <c r="T4362">
        <v>0</v>
      </c>
      <c r="U4362">
        <v>0</v>
      </c>
      <c r="V4362">
        <v>0</v>
      </c>
      <c r="W4362">
        <v>0</v>
      </c>
      <c r="X4362">
        <v>0</v>
      </c>
      <c r="Y4362" t="s">
        <v>31</v>
      </c>
      <c r="AA4362">
        <v>0.5</v>
      </c>
    </row>
    <row r="4363" spans="1:27" x14ac:dyDescent="0.2">
      <c r="A4363" t="s">
        <v>1509</v>
      </c>
      <c r="B4363">
        <v>2024</v>
      </c>
      <c r="C4363">
        <v>1560180485</v>
      </c>
      <c r="D4363" t="s">
        <v>5429</v>
      </c>
      <c r="E4363" t="s">
        <v>29</v>
      </c>
      <c r="F4363" t="s">
        <v>30</v>
      </c>
      <c r="G4363">
        <v>0</v>
      </c>
      <c r="H4363">
        <v>0</v>
      </c>
      <c r="I4363">
        <v>0</v>
      </c>
      <c r="J4363">
        <v>0</v>
      </c>
      <c r="K4363">
        <v>0</v>
      </c>
      <c r="L4363">
        <v>0</v>
      </c>
      <c r="M4363">
        <v>0</v>
      </c>
      <c r="N4363">
        <v>0</v>
      </c>
      <c r="O4363">
        <v>0</v>
      </c>
      <c r="P4363">
        <v>0</v>
      </c>
      <c r="Q4363">
        <v>0</v>
      </c>
      <c r="R4363">
        <v>0</v>
      </c>
      <c r="S4363">
        <v>0</v>
      </c>
      <c r="T4363">
        <v>0</v>
      </c>
      <c r="U4363">
        <v>12</v>
      </c>
      <c r="V4363">
        <v>0</v>
      </c>
      <c r="W4363">
        <v>0</v>
      </c>
      <c r="X4363">
        <v>0</v>
      </c>
      <c r="Y4363" t="s">
        <v>51</v>
      </c>
      <c r="Z4363">
        <v>1000</v>
      </c>
      <c r="AA4363">
        <v>0</v>
      </c>
    </row>
    <row r="4364" spans="1:27" x14ac:dyDescent="0.2">
      <c r="A4364" t="s">
        <v>460</v>
      </c>
      <c r="B4364">
        <v>2024</v>
      </c>
      <c r="C4364" t="s">
        <v>5430</v>
      </c>
      <c r="D4364" t="s">
        <v>5431</v>
      </c>
      <c r="E4364" t="s">
        <v>29</v>
      </c>
      <c r="F4364" t="s">
        <v>30</v>
      </c>
      <c r="G4364">
        <v>0</v>
      </c>
      <c r="H4364">
        <v>0</v>
      </c>
      <c r="I4364">
        <v>119</v>
      </c>
      <c r="J4364">
        <v>0</v>
      </c>
      <c r="K4364">
        <v>0</v>
      </c>
      <c r="L4364">
        <v>0</v>
      </c>
      <c r="M4364">
        <v>0</v>
      </c>
      <c r="N4364">
        <v>0</v>
      </c>
      <c r="O4364">
        <v>0</v>
      </c>
      <c r="P4364">
        <v>0</v>
      </c>
      <c r="Q4364">
        <v>0</v>
      </c>
      <c r="R4364">
        <v>0</v>
      </c>
      <c r="S4364">
        <v>0</v>
      </c>
      <c r="T4364">
        <v>0</v>
      </c>
      <c r="U4364">
        <v>0</v>
      </c>
      <c r="V4364">
        <v>0</v>
      </c>
      <c r="W4364">
        <v>0</v>
      </c>
      <c r="X4364">
        <v>0</v>
      </c>
      <c r="Y4364" t="s">
        <v>31</v>
      </c>
      <c r="AA4364">
        <v>0</v>
      </c>
    </row>
    <row r="4365" spans="1:27" x14ac:dyDescent="0.2">
      <c r="A4365" t="s">
        <v>2719</v>
      </c>
      <c r="B4365">
        <v>2024</v>
      </c>
      <c r="C4365" t="s">
        <v>5432</v>
      </c>
      <c r="D4365" t="s">
        <v>2747</v>
      </c>
      <c r="E4365" t="s">
        <v>29</v>
      </c>
      <c r="F4365" t="s">
        <v>30</v>
      </c>
      <c r="G4365">
        <v>0</v>
      </c>
      <c r="H4365">
        <v>0</v>
      </c>
      <c r="I4365">
        <v>0</v>
      </c>
      <c r="J4365">
        <v>0</v>
      </c>
      <c r="K4365">
        <v>0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</v>
      </c>
      <c r="U4365">
        <v>16</v>
      </c>
      <c r="V4365">
        <v>0</v>
      </c>
      <c r="W4365">
        <v>0</v>
      </c>
      <c r="X4365">
        <v>154</v>
      </c>
      <c r="Y4365" t="s">
        <v>31</v>
      </c>
      <c r="Z4365">
        <v>55</v>
      </c>
      <c r="AA4365" s="2" t="s">
        <v>3316</v>
      </c>
    </row>
    <row r="4366" spans="1:27" ht="102" x14ac:dyDescent="0.2">
      <c r="A4366" t="s">
        <v>1434</v>
      </c>
      <c r="B4366">
        <v>2024</v>
      </c>
      <c r="C4366" t="s">
        <v>1435</v>
      </c>
      <c r="D4366" s="1" t="s">
        <v>1436</v>
      </c>
      <c r="E4366" t="s">
        <v>29</v>
      </c>
      <c r="F4366" t="s">
        <v>30</v>
      </c>
      <c r="G4366">
        <v>0</v>
      </c>
      <c r="H4366">
        <v>0</v>
      </c>
      <c r="I4366">
        <v>0</v>
      </c>
      <c r="J4366">
        <v>0</v>
      </c>
      <c r="K4366">
        <v>0</v>
      </c>
      <c r="L4366">
        <v>0</v>
      </c>
      <c r="M4366">
        <v>6</v>
      </c>
      <c r="N4366">
        <v>0</v>
      </c>
      <c r="O4366">
        <v>0</v>
      </c>
      <c r="P4366">
        <v>0</v>
      </c>
      <c r="Q4366">
        <v>0</v>
      </c>
      <c r="R4366">
        <v>0</v>
      </c>
      <c r="S4366">
        <v>0</v>
      </c>
      <c r="T4366">
        <v>0</v>
      </c>
      <c r="U4366">
        <v>0</v>
      </c>
      <c r="V4366">
        <v>0</v>
      </c>
      <c r="W4366">
        <v>0</v>
      </c>
      <c r="X4366">
        <v>0</v>
      </c>
      <c r="Y4366" t="s">
        <v>31</v>
      </c>
      <c r="Z4366">
        <v>55</v>
      </c>
      <c r="AA4366" s="2" t="s">
        <v>5433</v>
      </c>
    </row>
    <row r="4367" spans="1:27" x14ac:dyDescent="0.2">
      <c r="A4367" t="s">
        <v>533</v>
      </c>
      <c r="B4367">
        <v>2024</v>
      </c>
      <c r="C4367" t="s">
        <v>2211</v>
      </c>
      <c r="D4367" t="s">
        <v>2247</v>
      </c>
      <c r="E4367" t="s">
        <v>29</v>
      </c>
      <c r="F4367" t="s">
        <v>41</v>
      </c>
      <c r="G4367">
        <v>0</v>
      </c>
      <c r="H4367">
        <v>0</v>
      </c>
      <c r="I4367">
        <v>0</v>
      </c>
      <c r="J4367">
        <v>0</v>
      </c>
      <c r="K4367">
        <v>1</v>
      </c>
      <c r="L4367">
        <v>0</v>
      </c>
      <c r="M4367">
        <v>0</v>
      </c>
      <c r="N4367">
        <v>0</v>
      </c>
      <c r="O4367">
        <v>0</v>
      </c>
      <c r="P4367">
        <v>0</v>
      </c>
      <c r="Q4367">
        <v>1</v>
      </c>
      <c r="R4367">
        <v>0</v>
      </c>
      <c r="S4367">
        <v>0</v>
      </c>
      <c r="T4367">
        <v>0</v>
      </c>
      <c r="U4367">
        <v>0</v>
      </c>
      <c r="V4367">
        <v>0</v>
      </c>
      <c r="W4367">
        <v>1</v>
      </c>
      <c r="X4367">
        <v>0</v>
      </c>
      <c r="Y4367" t="s">
        <v>31</v>
      </c>
      <c r="Z4367">
        <v>1000</v>
      </c>
      <c r="AA4367" s="2" t="s">
        <v>3299</v>
      </c>
    </row>
    <row r="4368" spans="1:27" x14ac:dyDescent="0.2">
      <c r="A4368" t="s">
        <v>533</v>
      </c>
      <c r="B4368">
        <v>2024</v>
      </c>
      <c r="C4368" t="s">
        <v>3364</v>
      </c>
      <c r="D4368" t="s">
        <v>5434</v>
      </c>
      <c r="E4368" t="s">
        <v>29</v>
      </c>
      <c r="F4368" t="s">
        <v>41</v>
      </c>
      <c r="G4368">
        <v>0</v>
      </c>
      <c r="H4368">
        <v>0</v>
      </c>
      <c r="I4368">
        <v>2</v>
      </c>
      <c r="J4368">
        <v>0</v>
      </c>
      <c r="K4368">
        <v>0</v>
      </c>
      <c r="L4368">
        <v>0</v>
      </c>
      <c r="M4368">
        <v>0</v>
      </c>
      <c r="N4368">
        <v>0</v>
      </c>
      <c r="O4368">
        <v>2</v>
      </c>
      <c r="P4368">
        <v>0</v>
      </c>
      <c r="Q4368">
        <v>0</v>
      </c>
      <c r="R4368">
        <v>0</v>
      </c>
      <c r="S4368">
        <v>0</v>
      </c>
      <c r="T4368">
        <v>0</v>
      </c>
      <c r="U4368">
        <v>0</v>
      </c>
      <c r="V4368">
        <v>0</v>
      </c>
      <c r="W4368">
        <v>0</v>
      </c>
      <c r="X4368">
        <v>0</v>
      </c>
      <c r="Y4368" t="s">
        <v>31</v>
      </c>
      <c r="Z4368">
        <v>59</v>
      </c>
      <c r="AA4368" s="2" t="s">
        <v>3299</v>
      </c>
    </row>
    <row r="4369" spans="1:27" x14ac:dyDescent="0.2">
      <c r="A4369" t="s">
        <v>1959</v>
      </c>
      <c r="B4369">
        <v>2024</v>
      </c>
      <c r="C4369" t="s">
        <v>2096</v>
      </c>
      <c r="D4369" t="s">
        <v>2097</v>
      </c>
      <c r="E4369" t="s">
        <v>29</v>
      </c>
      <c r="F4369" t="s">
        <v>30</v>
      </c>
      <c r="G4369">
        <v>100</v>
      </c>
      <c r="H4369">
        <v>0</v>
      </c>
      <c r="I4369">
        <v>50</v>
      </c>
      <c r="J4369">
        <v>0</v>
      </c>
      <c r="K4369">
        <v>0</v>
      </c>
      <c r="L4369">
        <v>0</v>
      </c>
      <c r="M4369">
        <v>0</v>
      </c>
      <c r="N4369">
        <v>0</v>
      </c>
      <c r="O4369">
        <v>0</v>
      </c>
      <c r="P4369">
        <v>0</v>
      </c>
      <c r="Q4369">
        <v>0</v>
      </c>
      <c r="R4369">
        <v>0</v>
      </c>
      <c r="S4369">
        <v>0</v>
      </c>
      <c r="T4369">
        <v>0</v>
      </c>
      <c r="U4369">
        <v>0</v>
      </c>
      <c r="V4369">
        <v>0</v>
      </c>
      <c r="W4369">
        <v>0</v>
      </c>
      <c r="X4369">
        <v>0</v>
      </c>
      <c r="Y4369" t="s">
        <v>51</v>
      </c>
      <c r="Z4369">
        <v>1000</v>
      </c>
      <c r="AA4369">
        <v>0</v>
      </c>
    </row>
    <row r="4370" spans="1:27" x14ac:dyDescent="0.2">
      <c r="A4370" t="s">
        <v>2113</v>
      </c>
      <c r="B4370">
        <v>2024</v>
      </c>
      <c r="C4370" t="s">
        <v>5435</v>
      </c>
      <c r="D4370" t="s">
        <v>5436</v>
      </c>
      <c r="E4370" t="s">
        <v>29</v>
      </c>
      <c r="F4370" t="s">
        <v>30</v>
      </c>
      <c r="G4370">
        <v>35</v>
      </c>
      <c r="H4370">
        <v>0</v>
      </c>
      <c r="I4370">
        <v>8</v>
      </c>
      <c r="J4370">
        <v>0</v>
      </c>
      <c r="K4370">
        <v>0</v>
      </c>
      <c r="L4370">
        <v>0</v>
      </c>
      <c r="M4370">
        <v>0</v>
      </c>
      <c r="N4370">
        <v>0</v>
      </c>
      <c r="O4370">
        <v>0</v>
      </c>
      <c r="P4370">
        <v>0</v>
      </c>
      <c r="Q4370">
        <v>0</v>
      </c>
      <c r="R4370">
        <v>0</v>
      </c>
      <c r="S4370">
        <v>0</v>
      </c>
      <c r="T4370">
        <v>0</v>
      </c>
      <c r="U4370">
        <v>0</v>
      </c>
      <c r="V4370">
        <v>0</v>
      </c>
      <c r="W4370">
        <v>0</v>
      </c>
      <c r="X4370">
        <v>0</v>
      </c>
      <c r="Y4370" t="s">
        <v>31</v>
      </c>
      <c r="AA4370" s="2" t="s">
        <v>3514</v>
      </c>
    </row>
    <row r="4371" spans="1:27" x14ac:dyDescent="0.2">
      <c r="A4371" t="s">
        <v>318</v>
      </c>
      <c r="B4371">
        <v>2024</v>
      </c>
      <c r="C4371">
        <v>20522041</v>
      </c>
      <c r="D4371" t="s">
        <v>5049</v>
      </c>
      <c r="E4371" t="s">
        <v>29</v>
      </c>
      <c r="F4371" t="s">
        <v>30</v>
      </c>
      <c r="G4371">
        <v>0</v>
      </c>
      <c r="H4371">
        <v>0</v>
      </c>
      <c r="I4371">
        <v>0</v>
      </c>
      <c r="J4371">
        <v>0</v>
      </c>
      <c r="K4371">
        <v>0</v>
      </c>
      <c r="L4371">
        <v>0</v>
      </c>
      <c r="M4371">
        <v>0</v>
      </c>
      <c r="N4371">
        <v>0</v>
      </c>
      <c r="O4371">
        <v>0</v>
      </c>
      <c r="P4371">
        <v>0</v>
      </c>
      <c r="Q4371">
        <v>0</v>
      </c>
      <c r="R4371">
        <v>0</v>
      </c>
      <c r="S4371">
        <v>10</v>
      </c>
      <c r="T4371">
        <v>0</v>
      </c>
      <c r="U4371">
        <v>0</v>
      </c>
      <c r="V4371">
        <v>0</v>
      </c>
      <c r="W4371">
        <v>0</v>
      </c>
      <c r="X4371">
        <v>101</v>
      </c>
      <c r="Y4371" t="s">
        <v>51</v>
      </c>
      <c r="Z4371">
        <v>55</v>
      </c>
      <c r="AA4371">
        <v>0</v>
      </c>
    </row>
    <row r="4372" spans="1:27" x14ac:dyDescent="0.2">
      <c r="A4372" t="s">
        <v>1573</v>
      </c>
      <c r="B4372">
        <v>2024</v>
      </c>
      <c r="C4372" t="s">
        <v>5437</v>
      </c>
      <c r="D4372" t="s">
        <v>5438</v>
      </c>
      <c r="E4372" t="s">
        <v>29</v>
      </c>
      <c r="F4372" t="s">
        <v>41</v>
      </c>
      <c r="G4372">
        <v>0</v>
      </c>
      <c r="H4372">
        <v>0</v>
      </c>
      <c r="I4372">
        <v>0</v>
      </c>
      <c r="J4372">
        <v>0</v>
      </c>
      <c r="K4372">
        <v>2</v>
      </c>
      <c r="L4372">
        <v>0</v>
      </c>
      <c r="M4372">
        <v>0</v>
      </c>
      <c r="N4372">
        <v>0</v>
      </c>
      <c r="O4372">
        <v>0</v>
      </c>
      <c r="P4372">
        <v>0</v>
      </c>
      <c r="Q4372">
        <v>0</v>
      </c>
      <c r="R4372">
        <v>0</v>
      </c>
      <c r="S4372">
        <v>0</v>
      </c>
      <c r="T4372">
        <v>0</v>
      </c>
      <c r="U4372">
        <v>0</v>
      </c>
      <c r="V4372">
        <v>0</v>
      </c>
      <c r="W4372">
        <v>0</v>
      </c>
      <c r="X4372">
        <v>0</v>
      </c>
      <c r="Y4372" t="s">
        <v>31</v>
      </c>
      <c r="Z4372">
        <v>55</v>
      </c>
      <c r="AA4372" s="2" t="s">
        <v>3641</v>
      </c>
    </row>
    <row r="4373" spans="1:27" x14ac:dyDescent="0.2">
      <c r="A4373" t="s">
        <v>433</v>
      </c>
      <c r="B4373">
        <v>2024</v>
      </c>
      <c r="C4373">
        <v>16741066</v>
      </c>
      <c r="D4373" t="s">
        <v>5439</v>
      </c>
      <c r="E4373" t="s">
        <v>29</v>
      </c>
      <c r="F4373" t="s">
        <v>41</v>
      </c>
      <c r="G4373">
        <v>0</v>
      </c>
      <c r="H4373">
        <v>0</v>
      </c>
      <c r="I4373">
        <v>0</v>
      </c>
      <c r="J4373">
        <v>0</v>
      </c>
      <c r="K4373">
        <v>0</v>
      </c>
      <c r="L4373">
        <v>0</v>
      </c>
      <c r="M4373">
        <v>0</v>
      </c>
      <c r="N4373">
        <v>0</v>
      </c>
      <c r="O4373">
        <v>0</v>
      </c>
      <c r="P4373">
        <v>0</v>
      </c>
      <c r="Q4373">
        <v>0</v>
      </c>
      <c r="R4373">
        <v>0</v>
      </c>
      <c r="S4373">
        <v>0</v>
      </c>
      <c r="T4373">
        <v>0</v>
      </c>
      <c r="U4373">
        <v>0</v>
      </c>
      <c r="V4373">
        <v>0</v>
      </c>
      <c r="W4373">
        <v>1</v>
      </c>
      <c r="X4373">
        <v>0</v>
      </c>
      <c r="Y4373" t="s">
        <v>51</v>
      </c>
      <c r="Z4373">
        <v>55</v>
      </c>
      <c r="AA4373">
        <v>0</v>
      </c>
    </row>
    <row r="4374" spans="1:27" x14ac:dyDescent="0.2">
      <c r="A4374" t="s">
        <v>433</v>
      </c>
      <c r="B4374">
        <v>2024</v>
      </c>
      <c r="C4374">
        <v>17002026</v>
      </c>
      <c r="D4374" t="s">
        <v>5440</v>
      </c>
      <c r="E4374" t="s">
        <v>29</v>
      </c>
      <c r="F4374" t="s">
        <v>41</v>
      </c>
      <c r="G4374">
        <v>2</v>
      </c>
      <c r="H4374">
        <v>0</v>
      </c>
      <c r="I4374">
        <v>0</v>
      </c>
      <c r="J4374">
        <v>0</v>
      </c>
      <c r="K4374">
        <v>3</v>
      </c>
      <c r="L4374">
        <v>0</v>
      </c>
      <c r="M4374">
        <v>0</v>
      </c>
      <c r="N4374">
        <v>0</v>
      </c>
      <c r="O4374">
        <v>0</v>
      </c>
      <c r="P4374">
        <v>0</v>
      </c>
      <c r="Q4374">
        <v>0</v>
      </c>
      <c r="R4374">
        <v>0</v>
      </c>
      <c r="S4374">
        <v>0</v>
      </c>
      <c r="T4374">
        <v>0</v>
      </c>
      <c r="U4374">
        <v>0</v>
      </c>
      <c r="V4374">
        <v>0</v>
      </c>
      <c r="W4374">
        <v>0</v>
      </c>
      <c r="X4374">
        <v>0</v>
      </c>
      <c r="Y4374" t="s">
        <v>31</v>
      </c>
      <c r="Z4374">
        <v>55</v>
      </c>
      <c r="AA4374">
        <v>0</v>
      </c>
    </row>
    <row r="4375" spans="1:27" x14ac:dyDescent="0.2">
      <c r="A4375" t="s">
        <v>38</v>
      </c>
      <c r="B4375">
        <v>2024</v>
      </c>
      <c r="C4375">
        <v>5674010024</v>
      </c>
      <c r="D4375" t="s">
        <v>114</v>
      </c>
      <c r="E4375" t="s">
        <v>29</v>
      </c>
      <c r="F4375" t="s">
        <v>30</v>
      </c>
      <c r="G4375">
        <v>31</v>
      </c>
      <c r="H4375">
        <v>0</v>
      </c>
      <c r="I4375">
        <v>8</v>
      </c>
      <c r="J4375">
        <v>0</v>
      </c>
      <c r="K4375">
        <v>0</v>
      </c>
      <c r="L4375">
        <v>0</v>
      </c>
      <c r="M4375">
        <v>31</v>
      </c>
      <c r="N4375">
        <v>0</v>
      </c>
      <c r="O4375">
        <v>8</v>
      </c>
      <c r="P4375">
        <v>0</v>
      </c>
      <c r="Q4375">
        <v>0</v>
      </c>
      <c r="R4375">
        <v>0</v>
      </c>
      <c r="S4375">
        <v>0</v>
      </c>
      <c r="T4375">
        <v>0</v>
      </c>
      <c r="U4375">
        <v>0</v>
      </c>
      <c r="V4375">
        <v>0</v>
      </c>
      <c r="W4375">
        <v>0</v>
      </c>
      <c r="X4375">
        <v>0</v>
      </c>
      <c r="Y4375" t="s">
        <v>31</v>
      </c>
      <c r="Z4375">
        <v>75</v>
      </c>
      <c r="AA4375" s="2" t="s">
        <v>3361</v>
      </c>
    </row>
    <row r="4376" spans="1:27" ht="85" x14ac:dyDescent="0.2">
      <c r="A4376" t="s">
        <v>38</v>
      </c>
      <c r="B4376">
        <v>2024</v>
      </c>
      <c r="C4376">
        <v>5640029014</v>
      </c>
      <c r="D4376" s="1" t="s">
        <v>320</v>
      </c>
      <c r="E4376" t="s">
        <v>29</v>
      </c>
      <c r="F4376" t="s">
        <v>30</v>
      </c>
      <c r="G4376">
        <v>0</v>
      </c>
      <c r="H4376">
        <v>0</v>
      </c>
      <c r="I4376">
        <v>3</v>
      </c>
      <c r="J4376">
        <v>0</v>
      </c>
      <c r="K4376">
        <v>0</v>
      </c>
      <c r="L4376">
        <v>0</v>
      </c>
      <c r="M4376">
        <v>0</v>
      </c>
      <c r="N4376">
        <v>0</v>
      </c>
      <c r="O4376">
        <v>0</v>
      </c>
      <c r="P4376">
        <v>0</v>
      </c>
      <c r="Q4376">
        <v>0</v>
      </c>
      <c r="R4376">
        <v>0</v>
      </c>
      <c r="S4376">
        <v>0</v>
      </c>
      <c r="T4376">
        <v>0</v>
      </c>
      <c r="U4376">
        <v>0</v>
      </c>
      <c r="V4376">
        <v>0</v>
      </c>
      <c r="W4376">
        <v>0</v>
      </c>
      <c r="X4376">
        <v>0</v>
      </c>
      <c r="Y4376" t="s">
        <v>31</v>
      </c>
      <c r="AA4376" s="2" t="s">
        <v>3316</v>
      </c>
    </row>
    <row r="4377" spans="1:27" x14ac:dyDescent="0.2">
      <c r="A4377" t="s">
        <v>38</v>
      </c>
      <c r="B4377">
        <v>2024</v>
      </c>
      <c r="C4377">
        <v>5640030023</v>
      </c>
      <c r="D4377" t="s">
        <v>5441</v>
      </c>
      <c r="E4377" t="s">
        <v>29</v>
      </c>
      <c r="F4377" t="s">
        <v>30</v>
      </c>
      <c r="G4377">
        <v>3</v>
      </c>
      <c r="H4377">
        <v>0</v>
      </c>
      <c r="I4377">
        <v>0</v>
      </c>
      <c r="J4377">
        <v>0</v>
      </c>
      <c r="K4377">
        <v>0</v>
      </c>
      <c r="L4377">
        <v>0</v>
      </c>
      <c r="M4377">
        <v>0</v>
      </c>
      <c r="N4377">
        <v>0</v>
      </c>
      <c r="O4377">
        <v>0</v>
      </c>
      <c r="P4377">
        <v>0</v>
      </c>
      <c r="Q4377">
        <v>0</v>
      </c>
      <c r="R4377">
        <v>0</v>
      </c>
      <c r="S4377">
        <v>0</v>
      </c>
      <c r="T4377">
        <v>0</v>
      </c>
      <c r="U4377">
        <v>0</v>
      </c>
      <c r="V4377">
        <v>0</v>
      </c>
      <c r="W4377">
        <v>0</v>
      </c>
      <c r="X4377">
        <v>0</v>
      </c>
      <c r="Y4377" t="s">
        <v>31</v>
      </c>
      <c r="AA4377" s="2" t="s">
        <v>3641</v>
      </c>
    </row>
    <row r="4378" spans="1:27" x14ac:dyDescent="0.2">
      <c r="A4378" t="s">
        <v>1805</v>
      </c>
      <c r="B4378">
        <v>2024</v>
      </c>
      <c r="C4378">
        <v>8310019013</v>
      </c>
      <c r="D4378" t="s">
        <v>5442</v>
      </c>
      <c r="E4378" t="s">
        <v>29</v>
      </c>
      <c r="F4378" t="s">
        <v>41</v>
      </c>
      <c r="G4378">
        <v>0</v>
      </c>
      <c r="H4378">
        <v>0</v>
      </c>
      <c r="I4378">
        <v>0</v>
      </c>
      <c r="J4378">
        <v>0</v>
      </c>
      <c r="K4378">
        <v>0</v>
      </c>
      <c r="L4378">
        <v>0</v>
      </c>
      <c r="M4378">
        <v>33</v>
      </c>
      <c r="N4378">
        <v>0</v>
      </c>
      <c r="O4378">
        <v>0</v>
      </c>
      <c r="P4378">
        <v>0</v>
      </c>
      <c r="Q4378">
        <v>0</v>
      </c>
      <c r="R4378">
        <v>0</v>
      </c>
      <c r="S4378">
        <v>0</v>
      </c>
      <c r="T4378">
        <v>0</v>
      </c>
      <c r="U4378">
        <v>0</v>
      </c>
      <c r="V4378">
        <v>0</v>
      </c>
      <c r="W4378">
        <v>0</v>
      </c>
      <c r="X4378">
        <v>0</v>
      </c>
      <c r="Y4378" t="s">
        <v>31</v>
      </c>
      <c r="AA4378" s="2" t="s">
        <v>3514</v>
      </c>
    </row>
    <row r="4379" spans="1:27" x14ac:dyDescent="0.2">
      <c r="A4379" t="s">
        <v>622</v>
      </c>
      <c r="B4379">
        <v>2024</v>
      </c>
      <c r="C4379" t="s">
        <v>5443</v>
      </c>
      <c r="D4379" t="s">
        <v>5444</v>
      </c>
      <c r="E4379" t="s">
        <v>29</v>
      </c>
      <c r="F4379" t="s">
        <v>30</v>
      </c>
      <c r="G4379">
        <v>92</v>
      </c>
      <c r="H4379">
        <v>0</v>
      </c>
      <c r="I4379">
        <v>100</v>
      </c>
      <c r="J4379">
        <v>0</v>
      </c>
      <c r="K4379">
        <v>0</v>
      </c>
      <c r="L4379">
        <v>0</v>
      </c>
      <c r="M4379">
        <v>0</v>
      </c>
      <c r="N4379">
        <v>0</v>
      </c>
      <c r="O4379">
        <v>0</v>
      </c>
      <c r="P4379">
        <v>0</v>
      </c>
      <c r="Q4379">
        <v>0</v>
      </c>
      <c r="R4379">
        <v>0</v>
      </c>
      <c r="S4379">
        <v>0</v>
      </c>
      <c r="T4379">
        <v>0</v>
      </c>
      <c r="U4379">
        <v>0</v>
      </c>
      <c r="V4379">
        <v>0</v>
      </c>
      <c r="W4379">
        <v>0</v>
      </c>
      <c r="X4379">
        <v>0</v>
      </c>
      <c r="Y4379" t="s">
        <v>31</v>
      </c>
      <c r="AA4379">
        <v>0.5</v>
      </c>
    </row>
    <row r="4380" spans="1:27" x14ac:dyDescent="0.2">
      <c r="A4380" t="s">
        <v>433</v>
      </c>
      <c r="B4380">
        <v>2024</v>
      </c>
      <c r="C4380">
        <v>16741078</v>
      </c>
      <c r="D4380" t="s">
        <v>5445</v>
      </c>
      <c r="E4380" t="s">
        <v>29</v>
      </c>
      <c r="F4380" t="s">
        <v>41</v>
      </c>
      <c r="G4380">
        <v>0</v>
      </c>
      <c r="H4380">
        <v>0</v>
      </c>
      <c r="I4380">
        <v>0</v>
      </c>
      <c r="J4380">
        <v>0</v>
      </c>
      <c r="K4380">
        <v>0</v>
      </c>
      <c r="L4380">
        <v>0</v>
      </c>
      <c r="M4380">
        <v>0</v>
      </c>
      <c r="N4380">
        <v>0</v>
      </c>
      <c r="O4380">
        <v>0</v>
      </c>
      <c r="P4380">
        <v>0</v>
      </c>
      <c r="Q4380">
        <v>0</v>
      </c>
      <c r="R4380">
        <v>0</v>
      </c>
      <c r="S4380">
        <v>0</v>
      </c>
      <c r="T4380">
        <v>0</v>
      </c>
      <c r="U4380">
        <v>0</v>
      </c>
      <c r="V4380">
        <v>0</v>
      </c>
      <c r="W4380">
        <v>1</v>
      </c>
      <c r="X4380">
        <v>0</v>
      </c>
      <c r="Y4380" t="s">
        <v>51</v>
      </c>
      <c r="Z4380">
        <v>55</v>
      </c>
      <c r="AA4380">
        <v>0</v>
      </c>
    </row>
    <row r="4381" spans="1:27" x14ac:dyDescent="0.2">
      <c r="A4381" t="s">
        <v>67</v>
      </c>
      <c r="B4381">
        <v>2024</v>
      </c>
      <c r="C4381">
        <v>482161026</v>
      </c>
      <c r="D4381" t="s">
        <v>4370</v>
      </c>
      <c r="E4381" t="s">
        <v>29</v>
      </c>
      <c r="F4381" t="s">
        <v>30</v>
      </c>
      <c r="G4381">
        <v>0</v>
      </c>
      <c r="H4381">
        <v>0</v>
      </c>
      <c r="I4381">
        <v>0</v>
      </c>
      <c r="J4381">
        <v>0</v>
      </c>
      <c r="K4381">
        <v>0</v>
      </c>
      <c r="L4381">
        <v>0</v>
      </c>
      <c r="M4381">
        <v>0</v>
      </c>
      <c r="N4381">
        <v>0</v>
      </c>
      <c r="O4381">
        <v>0</v>
      </c>
      <c r="P4381">
        <v>0</v>
      </c>
      <c r="Q4381">
        <v>0</v>
      </c>
      <c r="R4381">
        <v>0</v>
      </c>
      <c r="S4381">
        <v>0</v>
      </c>
      <c r="T4381">
        <v>0</v>
      </c>
      <c r="U4381">
        <v>16</v>
      </c>
      <c r="V4381">
        <v>0</v>
      </c>
      <c r="W4381">
        <v>0</v>
      </c>
      <c r="X4381">
        <v>0</v>
      </c>
      <c r="Y4381" t="s">
        <v>31</v>
      </c>
      <c r="Z4381">
        <v>55</v>
      </c>
      <c r="AA4381" s="2" t="s">
        <v>3316</v>
      </c>
    </row>
    <row r="4382" spans="1:27" x14ac:dyDescent="0.2">
      <c r="A4382" t="s">
        <v>1285</v>
      </c>
      <c r="B4382">
        <v>2024</v>
      </c>
      <c r="C4382">
        <v>2200320500</v>
      </c>
      <c r="D4382" t="s">
        <v>5446</v>
      </c>
      <c r="E4382" t="s">
        <v>29</v>
      </c>
      <c r="F4382" t="s">
        <v>30</v>
      </c>
      <c r="G4382">
        <v>0</v>
      </c>
      <c r="H4382">
        <v>0</v>
      </c>
      <c r="I4382">
        <v>0</v>
      </c>
      <c r="J4382">
        <v>0</v>
      </c>
      <c r="K4382">
        <v>0</v>
      </c>
      <c r="L4382">
        <v>0</v>
      </c>
      <c r="M4382">
        <v>0</v>
      </c>
      <c r="N4382">
        <v>0</v>
      </c>
      <c r="O4382">
        <v>0</v>
      </c>
      <c r="P4382">
        <v>0</v>
      </c>
      <c r="Q4382">
        <v>18</v>
      </c>
      <c r="R4382">
        <v>0</v>
      </c>
      <c r="S4382">
        <v>0</v>
      </c>
      <c r="T4382">
        <v>0</v>
      </c>
      <c r="U4382">
        <v>0</v>
      </c>
      <c r="V4382">
        <v>0</v>
      </c>
      <c r="W4382">
        <v>18</v>
      </c>
      <c r="X4382">
        <v>0</v>
      </c>
      <c r="Y4382" t="s">
        <v>31</v>
      </c>
      <c r="Z4382">
        <v>55</v>
      </c>
      <c r="AA4382" s="2" t="s">
        <v>3316</v>
      </c>
    </row>
    <row r="4383" spans="1:27" x14ac:dyDescent="0.2">
      <c r="A4383" t="s">
        <v>1500</v>
      </c>
      <c r="B4383">
        <v>2024</v>
      </c>
      <c r="C4383">
        <v>6059027018</v>
      </c>
      <c r="D4383" t="s">
        <v>5447</v>
      </c>
      <c r="E4383" t="s">
        <v>29</v>
      </c>
      <c r="F4383" t="s">
        <v>30</v>
      </c>
      <c r="G4383">
        <v>0</v>
      </c>
      <c r="H4383">
        <v>0</v>
      </c>
      <c r="I4383">
        <v>8</v>
      </c>
      <c r="J4383">
        <v>0</v>
      </c>
      <c r="K4383">
        <v>38</v>
      </c>
      <c r="L4383">
        <v>0</v>
      </c>
      <c r="M4383">
        <v>0</v>
      </c>
      <c r="N4383">
        <v>0</v>
      </c>
      <c r="O4383">
        <v>0</v>
      </c>
      <c r="P4383">
        <v>0</v>
      </c>
      <c r="Q4383">
        <v>0</v>
      </c>
      <c r="R4383">
        <v>0</v>
      </c>
      <c r="S4383">
        <v>0</v>
      </c>
      <c r="T4383">
        <v>0</v>
      </c>
      <c r="U4383">
        <v>0</v>
      </c>
      <c r="V4383">
        <v>0</v>
      </c>
      <c r="W4383">
        <v>0</v>
      </c>
      <c r="X4383">
        <v>0</v>
      </c>
      <c r="Y4383" t="s">
        <v>31</v>
      </c>
      <c r="Z4383">
        <v>55</v>
      </c>
      <c r="AA4383" s="2" t="s">
        <v>5448</v>
      </c>
    </row>
    <row r="4384" spans="1:27" x14ac:dyDescent="0.2">
      <c r="A4384" t="s">
        <v>353</v>
      </c>
      <c r="B4384">
        <v>2024</v>
      </c>
      <c r="C4384">
        <v>2042920100</v>
      </c>
      <c r="D4384" t="s">
        <v>5449</v>
      </c>
      <c r="E4384" t="s">
        <v>29</v>
      </c>
      <c r="F4384" t="s">
        <v>30</v>
      </c>
      <c r="G4384">
        <v>0</v>
      </c>
      <c r="H4384">
        <v>0</v>
      </c>
      <c r="I4384">
        <v>0</v>
      </c>
      <c r="J4384">
        <v>0</v>
      </c>
      <c r="K4384">
        <v>0</v>
      </c>
      <c r="L4384">
        <v>0</v>
      </c>
      <c r="M4384">
        <v>0</v>
      </c>
      <c r="N4384">
        <v>0</v>
      </c>
      <c r="O4384">
        <v>0</v>
      </c>
      <c r="P4384">
        <v>0</v>
      </c>
      <c r="Q4384">
        <v>0</v>
      </c>
      <c r="R4384">
        <v>0</v>
      </c>
      <c r="S4384">
        <v>0</v>
      </c>
      <c r="T4384">
        <v>0</v>
      </c>
      <c r="U4384">
        <v>23</v>
      </c>
      <c r="V4384">
        <v>0</v>
      </c>
      <c r="W4384">
        <v>0</v>
      </c>
      <c r="X4384">
        <v>0</v>
      </c>
      <c r="Y4384" t="s">
        <v>51</v>
      </c>
      <c r="Z4384">
        <v>55</v>
      </c>
      <c r="AA4384">
        <v>0</v>
      </c>
    </row>
    <row r="4385" spans="1:27" x14ac:dyDescent="0.2">
      <c r="A4385" t="s">
        <v>1515</v>
      </c>
      <c r="B4385">
        <v>2024</v>
      </c>
      <c r="C4385">
        <v>1600093295</v>
      </c>
      <c r="D4385" t="s">
        <v>5450</v>
      </c>
      <c r="E4385" t="s">
        <v>29</v>
      </c>
      <c r="F4385" t="s">
        <v>30</v>
      </c>
      <c r="G4385">
        <v>3</v>
      </c>
      <c r="H4385">
        <v>0</v>
      </c>
      <c r="I4385">
        <v>0</v>
      </c>
      <c r="J4385">
        <v>0</v>
      </c>
      <c r="K4385">
        <v>0</v>
      </c>
      <c r="L4385">
        <v>0</v>
      </c>
      <c r="M4385">
        <v>3</v>
      </c>
      <c r="N4385">
        <v>0</v>
      </c>
      <c r="O4385">
        <v>0</v>
      </c>
      <c r="P4385">
        <v>0</v>
      </c>
      <c r="Q4385">
        <v>0</v>
      </c>
      <c r="R4385">
        <v>0</v>
      </c>
      <c r="S4385">
        <v>0</v>
      </c>
      <c r="T4385">
        <v>0</v>
      </c>
      <c r="U4385">
        <v>0</v>
      </c>
      <c r="V4385">
        <v>0</v>
      </c>
      <c r="W4385">
        <v>0</v>
      </c>
      <c r="X4385">
        <v>0</v>
      </c>
      <c r="Y4385" t="s">
        <v>31</v>
      </c>
      <c r="Z4385">
        <v>55</v>
      </c>
      <c r="AA4385">
        <v>0</v>
      </c>
    </row>
    <row r="4386" spans="1:27" x14ac:dyDescent="0.2">
      <c r="A4386" t="s">
        <v>1418</v>
      </c>
      <c r="B4386">
        <v>2024</v>
      </c>
      <c r="C4386" t="s">
        <v>3558</v>
      </c>
      <c r="D4386" t="s">
        <v>3559</v>
      </c>
      <c r="E4386" t="s">
        <v>29</v>
      </c>
      <c r="F4386" t="s">
        <v>30</v>
      </c>
      <c r="G4386">
        <v>0</v>
      </c>
      <c r="H4386">
        <v>0</v>
      </c>
      <c r="I4386">
        <v>0</v>
      </c>
      <c r="J4386">
        <v>0</v>
      </c>
      <c r="K4386">
        <v>0</v>
      </c>
      <c r="L4386">
        <v>0</v>
      </c>
      <c r="M4386">
        <v>0</v>
      </c>
      <c r="N4386">
        <v>0</v>
      </c>
      <c r="O4386">
        <v>57</v>
      </c>
      <c r="P4386">
        <v>0</v>
      </c>
      <c r="Q4386">
        <v>0</v>
      </c>
      <c r="R4386">
        <v>0</v>
      </c>
      <c r="S4386">
        <v>0</v>
      </c>
      <c r="T4386">
        <v>0</v>
      </c>
      <c r="U4386">
        <v>0</v>
      </c>
      <c r="V4386">
        <v>0</v>
      </c>
      <c r="W4386">
        <v>0</v>
      </c>
      <c r="X4386">
        <v>0</v>
      </c>
      <c r="Y4386" t="s">
        <v>31</v>
      </c>
      <c r="Z4386">
        <v>55</v>
      </c>
      <c r="AA4386" s="2" t="s">
        <v>3299</v>
      </c>
    </row>
    <row r="4387" spans="1:27" x14ac:dyDescent="0.2">
      <c r="A4387" t="s">
        <v>1418</v>
      </c>
      <c r="B4387">
        <v>2024</v>
      </c>
      <c r="C4387" t="s">
        <v>5451</v>
      </c>
      <c r="D4387" t="s">
        <v>5452</v>
      </c>
      <c r="E4387" t="s">
        <v>29</v>
      </c>
      <c r="F4387" t="s">
        <v>30</v>
      </c>
      <c r="G4387">
        <v>0</v>
      </c>
      <c r="H4387">
        <v>0</v>
      </c>
      <c r="I4387">
        <v>0</v>
      </c>
      <c r="J4387">
        <v>0</v>
      </c>
      <c r="K4387">
        <v>0</v>
      </c>
      <c r="L4387">
        <v>0</v>
      </c>
      <c r="M4387">
        <v>36</v>
      </c>
      <c r="N4387">
        <v>0</v>
      </c>
      <c r="O4387">
        <v>156</v>
      </c>
      <c r="P4387">
        <v>0</v>
      </c>
      <c r="Q4387">
        <v>0</v>
      </c>
      <c r="R4387">
        <v>0</v>
      </c>
      <c r="S4387">
        <v>0</v>
      </c>
      <c r="T4387">
        <v>0</v>
      </c>
      <c r="U4387">
        <v>0</v>
      </c>
      <c r="V4387">
        <v>0</v>
      </c>
      <c r="W4387">
        <v>0</v>
      </c>
      <c r="X4387">
        <v>0</v>
      </c>
      <c r="Y4387" t="s">
        <v>31</v>
      </c>
      <c r="AA4387" s="2" t="s">
        <v>3514</v>
      </c>
    </row>
    <row r="4388" spans="1:27" x14ac:dyDescent="0.2">
      <c r="A4388" t="s">
        <v>1285</v>
      </c>
      <c r="B4388">
        <v>2024</v>
      </c>
      <c r="C4388">
        <v>2191153300</v>
      </c>
      <c r="D4388" t="s">
        <v>5453</v>
      </c>
      <c r="E4388" t="s">
        <v>29</v>
      </c>
      <c r="F4388" t="s">
        <v>30</v>
      </c>
      <c r="G4388">
        <v>6</v>
      </c>
      <c r="H4388">
        <v>0</v>
      </c>
      <c r="I4388">
        <v>0</v>
      </c>
      <c r="J4388">
        <v>0</v>
      </c>
      <c r="K4388">
        <v>0</v>
      </c>
      <c r="L4388">
        <v>113</v>
      </c>
      <c r="M4388">
        <v>0</v>
      </c>
      <c r="N4388">
        <v>0</v>
      </c>
      <c r="O4388">
        <v>0</v>
      </c>
      <c r="P4388">
        <v>0</v>
      </c>
      <c r="Q4388">
        <v>0</v>
      </c>
      <c r="R4388">
        <v>0</v>
      </c>
      <c r="S4388">
        <v>0</v>
      </c>
      <c r="T4388">
        <v>0</v>
      </c>
      <c r="U4388">
        <v>0</v>
      </c>
      <c r="V4388">
        <v>0</v>
      </c>
      <c r="W4388">
        <v>0</v>
      </c>
      <c r="X4388">
        <v>0</v>
      </c>
      <c r="Y4388" t="s">
        <v>31</v>
      </c>
      <c r="Z4388">
        <v>55</v>
      </c>
      <c r="AA4388" s="2" t="s">
        <v>4011</v>
      </c>
    </row>
    <row r="4389" spans="1:27" x14ac:dyDescent="0.2">
      <c r="A4389" t="s">
        <v>3429</v>
      </c>
      <c r="B4389">
        <v>2024</v>
      </c>
      <c r="C4389">
        <v>5773009070</v>
      </c>
      <c r="D4389" t="s">
        <v>5454</v>
      </c>
      <c r="E4389" t="s">
        <v>29</v>
      </c>
      <c r="F4389" t="s">
        <v>30</v>
      </c>
      <c r="G4389">
        <v>9</v>
      </c>
      <c r="H4389">
        <v>0</v>
      </c>
      <c r="I4389">
        <v>0</v>
      </c>
      <c r="J4389">
        <v>0</v>
      </c>
      <c r="K4389">
        <v>0</v>
      </c>
      <c r="L4389">
        <v>0</v>
      </c>
      <c r="M4389">
        <v>0</v>
      </c>
      <c r="N4389">
        <v>0</v>
      </c>
      <c r="O4389">
        <v>0</v>
      </c>
      <c r="P4389">
        <v>0</v>
      </c>
      <c r="Q4389">
        <v>0</v>
      </c>
      <c r="R4389">
        <v>0</v>
      </c>
      <c r="S4389">
        <v>0</v>
      </c>
      <c r="T4389">
        <v>0</v>
      </c>
      <c r="U4389">
        <v>0</v>
      </c>
      <c r="V4389">
        <v>0</v>
      </c>
      <c r="W4389">
        <v>0</v>
      </c>
      <c r="X4389">
        <v>0</v>
      </c>
      <c r="Y4389" t="s">
        <v>31</v>
      </c>
      <c r="Z4389">
        <v>55</v>
      </c>
      <c r="AA4389" s="2" t="s">
        <v>3299</v>
      </c>
    </row>
    <row r="4390" spans="1:27" x14ac:dyDescent="0.2">
      <c r="A4390" t="s">
        <v>2614</v>
      </c>
      <c r="B4390">
        <v>2023</v>
      </c>
      <c r="C4390" t="s">
        <v>5455</v>
      </c>
      <c r="D4390" t="s">
        <v>5456</v>
      </c>
      <c r="E4390" t="s">
        <v>29</v>
      </c>
      <c r="F4390" t="s">
        <v>41</v>
      </c>
      <c r="G4390">
        <v>2</v>
      </c>
      <c r="H4390">
        <v>0</v>
      </c>
      <c r="I4390">
        <v>1</v>
      </c>
      <c r="J4390">
        <v>0</v>
      </c>
      <c r="K4390">
        <v>0</v>
      </c>
      <c r="L4390">
        <v>0</v>
      </c>
      <c r="M4390">
        <v>0</v>
      </c>
      <c r="N4390">
        <v>0</v>
      </c>
      <c r="O4390">
        <v>0</v>
      </c>
      <c r="P4390">
        <v>0</v>
      </c>
      <c r="Q4390">
        <v>0</v>
      </c>
      <c r="R4390">
        <v>0</v>
      </c>
      <c r="S4390">
        <v>0</v>
      </c>
      <c r="T4390">
        <v>0</v>
      </c>
      <c r="U4390">
        <v>0</v>
      </c>
      <c r="V4390">
        <v>0</v>
      </c>
      <c r="W4390">
        <v>0</v>
      </c>
      <c r="X4390">
        <v>0</v>
      </c>
      <c r="Y4390" t="s">
        <v>31</v>
      </c>
      <c r="Z4390">
        <v>1000</v>
      </c>
      <c r="AA4390">
        <v>0.5</v>
      </c>
    </row>
    <row r="4391" spans="1:27" x14ac:dyDescent="0.2">
      <c r="A4391" t="s">
        <v>2614</v>
      </c>
      <c r="B4391">
        <v>2023</v>
      </c>
      <c r="C4391">
        <v>2546121400</v>
      </c>
      <c r="D4391" t="s">
        <v>5457</v>
      </c>
      <c r="E4391" t="s">
        <v>29</v>
      </c>
      <c r="F4391" t="s">
        <v>30</v>
      </c>
      <c r="G4391">
        <v>0</v>
      </c>
      <c r="H4391">
        <v>0</v>
      </c>
      <c r="I4391">
        <v>0</v>
      </c>
      <c r="J4391">
        <v>0</v>
      </c>
      <c r="K4391">
        <v>0</v>
      </c>
      <c r="L4391">
        <v>0</v>
      </c>
      <c r="M4391">
        <v>1</v>
      </c>
      <c r="N4391">
        <v>0</v>
      </c>
      <c r="O4391">
        <v>0</v>
      </c>
      <c r="P4391">
        <v>0</v>
      </c>
      <c r="Q4391">
        <v>0</v>
      </c>
      <c r="R4391">
        <v>0</v>
      </c>
      <c r="S4391">
        <v>0</v>
      </c>
      <c r="T4391">
        <v>0</v>
      </c>
      <c r="U4391">
        <v>0</v>
      </c>
      <c r="V4391">
        <v>0</v>
      </c>
      <c r="W4391">
        <v>0</v>
      </c>
      <c r="X4391">
        <v>0</v>
      </c>
      <c r="Y4391" t="s">
        <v>31</v>
      </c>
      <c r="Z4391">
        <v>1000</v>
      </c>
      <c r="AA4391">
        <v>0</v>
      </c>
    </row>
    <row r="4392" spans="1:27" x14ac:dyDescent="0.2">
      <c r="A4392" t="s">
        <v>1231</v>
      </c>
      <c r="B4392">
        <v>2024</v>
      </c>
      <c r="C4392">
        <v>694310006</v>
      </c>
      <c r="D4392" t="s">
        <v>3507</v>
      </c>
      <c r="E4392" t="s">
        <v>29</v>
      </c>
      <c r="F4392" t="s">
        <v>30</v>
      </c>
      <c r="G4392">
        <v>0</v>
      </c>
      <c r="H4392">
        <v>0</v>
      </c>
      <c r="I4392">
        <v>0</v>
      </c>
      <c r="J4392">
        <v>0</v>
      </c>
      <c r="K4392">
        <v>0</v>
      </c>
      <c r="L4392">
        <v>0</v>
      </c>
      <c r="M4392">
        <v>13</v>
      </c>
      <c r="N4392">
        <v>0</v>
      </c>
      <c r="O4392">
        <v>1</v>
      </c>
      <c r="P4392">
        <v>0</v>
      </c>
      <c r="Q4392">
        <v>1</v>
      </c>
      <c r="R4392">
        <v>0</v>
      </c>
      <c r="S4392">
        <v>0</v>
      </c>
      <c r="T4392">
        <v>0</v>
      </c>
      <c r="U4392">
        <v>0</v>
      </c>
      <c r="V4392">
        <v>0</v>
      </c>
      <c r="W4392">
        <v>0</v>
      </c>
      <c r="X4392">
        <v>0</v>
      </c>
      <c r="Y4392" t="s">
        <v>31</v>
      </c>
      <c r="Z4392">
        <v>55</v>
      </c>
      <c r="AA4392">
        <v>0.13</v>
      </c>
    </row>
    <row r="4393" spans="1:27" x14ac:dyDescent="0.2">
      <c r="A4393" t="s">
        <v>1231</v>
      </c>
      <c r="B4393">
        <v>2024</v>
      </c>
      <c r="C4393">
        <v>694190087</v>
      </c>
      <c r="D4393" t="s">
        <v>1831</v>
      </c>
      <c r="E4393" t="s">
        <v>29</v>
      </c>
      <c r="F4393" t="s">
        <v>30</v>
      </c>
      <c r="G4393">
        <v>0</v>
      </c>
      <c r="H4393">
        <v>0</v>
      </c>
      <c r="I4393">
        <v>0</v>
      </c>
      <c r="J4393">
        <v>0</v>
      </c>
      <c r="K4393">
        <v>0</v>
      </c>
      <c r="L4393">
        <v>0</v>
      </c>
      <c r="M4393">
        <v>1</v>
      </c>
      <c r="N4393">
        <v>0</v>
      </c>
      <c r="O4393">
        <v>1</v>
      </c>
      <c r="P4393">
        <v>0</v>
      </c>
      <c r="Q4393">
        <v>1</v>
      </c>
      <c r="R4393">
        <v>0</v>
      </c>
      <c r="S4393">
        <v>0</v>
      </c>
      <c r="T4393">
        <v>0</v>
      </c>
      <c r="U4393">
        <v>0</v>
      </c>
      <c r="V4393">
        <v>0</v>
      </c>
      <c r="W4393">
        <v>0</v>
      </c>
      <c r="X4393">
        <v>0</v>
      </c>
      <c r="Y4393" t="s">
        <v>51</v>
      </c>
      <c r="Z4393">
        <v>55</v>
      </c>
      <c r="AA4393">
        <v>0</v>
      </c>
    </row>
    <row r="4394" spans="1:27" x14ac:dyDescent="0.2">
      <c r="A4394" t="s">
        <v>163</v>
      </c>
      <c r="B4394">
        <v>2024</v>
      </c>
      <c r="C4394">
        <v>4702003100</v>
      </c>
      <c r="D4394" t="s">
        <v>5458</v>
      </c>
      <c r="E4394" t="s">
        <v>29</v>
      </c>
      <c r="F4394" t="s">
        <v>30</v>
      </c>
      <c r="G4394">
        <v>2</v>
      </c>
      <c r="H4394">
        <v>0</v>
      </c>
      <c r="I4394">
        <v>0</v>
      </c>
      <c r="J4394">
        <v>0</v>
      </c>
      <c r="K4394">
        <v>0</v>
      </c>
      <c r="L4394">
        <v>0</v>
      </c>
      <c r="M4394">
        <v>0</v>
      </c>
      <c r="N4394">
        <v>0</v>
      </c>
      <c r="O4394">
        <v>0</v>
      </c>
      <c r="P4394">
        <v>0</v>
      </c>
      <c r="Q4394">
        <v>0</v>
      </c>
      <c r="R4394">
        <v>0</v>
      </c>
      <c r="S4394">
        <v>0</v>
      </c>
      <c r="T4394">
        <v>0</v>
      </c>
      <c r="U4394">
        <v>0</v>
      </c>
      <c r="V4394">
        <v>0</v>
      </c>
      <c r="W4394">
        <v>0</v>
      </c>
      <c r="X4394">
        <v>0</v>
      </c>
      <c r="Y4394" t="s">
        <v>31</v>
      </c>
      <c r="Z4394">
        <v>55</v>
      </c>
      <c r="AA4394">
        <v>0.5</v>
      </c>
    </row>
    <row r="4395" spans="1:27" x14ac:dyDescent="0.2">
      <c r="A4395" t="s">
        <v>1515</v>
      </c>
      <c r="B4395">
        <v>2024</v>
      </c>
      <c r="C4395">
        <v>1600093295</v>
      </c>
      <c r="D4395" t="s">
        <v>5459</v>
      </c>
      <c r="E4395" t="s">
        <v>29</v>
      </c>
      <c r="F4395" t="s">
        <v>30</v>
      </c>
      <c r="G4395">
        <v>1</v>
      </c>
      <c r="H4395">
        <v>0</v>
      </c>
      <c r="I4395">
        <v>0</v>
      </c>
      <c r="J4395">
        <v>0</v>
      </c>
      <c r="K4395">
        <v>2</v>
      </c>
      <c r="L4395">
        <v>0</v>
      </c>
      <c r="M4395">
        <v>1</v>
      </c>
      <c r="N4395">
        <v>0</v>
      </c>
      <c r="O4395">
        <v>0</v>
      </c>
      <c r="P4395">
        <v>0</v>
      </c>
      <c r="Q4395">
        <v>2</v>
      </c>
      <c r="R4395">
        <v>0</v>
      </c>
      <c r="S4395">
        <v>0</v>
      </c>
      <c r="T4395">
        <v>0</v>
      </c>
      <c r="U4395">
        <v>0</v>
      </c>
      <c r="V4395">
        <v>0</v>
      </c>
      <c r="W4395">
        <v>0</v>
      </c>
      <c r="X4395">
        <v>0</v>
      </c>
      <c r="Y4395" t="s">
        <v>31</v>
      </c>
      <c r="Z4395">
        <v>55</v>
      </c>
      <c r="AA4395">
        <v>0</v>
      </c>
    </row>
    <row r="4396" spans="1:27" x14ac:dyDescent="0.2">
      <c r="A4396" t="s">
        <v>1500</v>
      </c>
      <c r="B4396">
        <v>2024</v>
      </c>
      <c r="C4396">
        <v>5236005038</v>
      </c>
      <c r="D4396" t="s">
        <v>5460</v>
      </c>
      <c r="E4396" t="s">
        <v>29</v>
      </c>
      <c r="F4396" t="s">
        <v>30</v>
      </c>
      <c r="G4396">
        <v>5</v>
      </c>
      <c r="H4396">
        <v>0</v>
      </c>
      <c r="I4396">
        <v>5</v>
      </c>
      <c r="J4396">
        <v>0</v>
      </c>
      <c r="K4396">
        <v>7</v>
      </c>
      <c r="L4396">
        <v>0</v>
      </c>
      <c r="M4396">
        <v>0</v>
      </c>
      <c r="N4396">
        <v>0</v>
      </c>
      <c r="O4396">
        <v>0</v>
      </c>
      <c r="P4396">
        <v>0</v>
      </c>
      <c r="Q4396">
        <v>0</v>
      </c>
      <c r="R4396">
        <v>0</v>
      </c>
      <c r="S4396">
        <v>0</v>
      </c>
      <c r="T4396">
        <v>0</v>
      </c>
      <c r="U4396">
        <v>0</v>
      </c>
      <c r="V4396">
        <v>0</v>
      </c>
      <c r="W4396">
        <v>0</v>
      </c>
      <c r="X4396">
        <v>0</v>
      </c>
      <c r="Y4396" t="s">
        <v>31</v>
      </c>
      <c r="Z4396">
        <v>55</v>
      </c>
      <c r="AA4396" s="2" t="s">
        <v>5461</v>
      </c>
    </row>
    <row r="4397" spans="1:27" x14ac:dyDescent="0.2">
      <c r="A4397" t="s">
        <v>1500</v>
      </c>
      <c r="B4397">
        <v>2024</v>
      </c>
      <c r="C4397">
        <v>6056007024</v>
      </c>
      <c r="D4397" t="s">
        <v>3295</v>
      </c>
      <c r="E4397" t="s">
        <v>29</v>
      </c>
      <c r="F4397" t="s">
        <v>30</v>
      </c>
      <c r="G4397">
        <v>0</v>
      </c>
      <c r="H4397">
        <v>0</v>
      </c>
      <c r="I4397">
        <v>56</v>
      </c>
      <c r="J4397">
        <v>0</v>
      </c>
      <c r="K4397">
        <v>0</v>
      </c>
      <c r="L4397">
        <v>0</v>
      </c>
      <c r="M4397">
        <v>0</v>
      </c>
      <c r="N4397">
        <v>0</v>
      </c>
      <c r="O4397">
        <v>56</v>
      </c>
      <c r="P4397">
        <v>0</v>
      </c>
      <c r="Q4397">
        <v>0</v>
      </c>
      <c r="R4397">
        <v>0</v>
      </c>
      <c r="S4397">
        <v>0</v>
      </c>
      <c r="T4397">
        <v>0</v>
      </c>
      <c r="U4397">
        <v>0</v>
      </c>
      <c r="V4397">
        <v>0</v>
      </c>
      <c r="W4397">
        <v>0</v>
      </c>
      <c r="X4397">
        <v>0</v>
      </c>
      <c r="Y4397" t="s">
        <v>31</v>
      </c>
      <c r="Z4397">
        <v>55</v>
      </c>
      <c r="AA4397">
        <v>1.28</v>
      </c>
    </row>
    <row r="4398" spans="1:27" x14ac:dyDescent="0.2">
      <c r="A4398" t="s">
        <v>1500</v>
      </c>
      <c r="B4398">
        <v>2024</v>
      </c>
      <c r="C4398">
        <v>6028008021</v>
      </c>
      <c r="D4398" t="s">
        <v>5462</v>
      </c>
      <c r="E4398" t="s">
        <v>29</v>
      </c>
      <c r="F4398" t="s">
        <v>30</v>
      </c>
      <c r="G4398">
        <v>20</v>
      </c>
      <c r="H4398">
        <v>0</v>
      </c>
      <c r="I4398">
        <v>0</v>
      </c>
      <c r="J4398">
        <v>0</v>
      </c>
      <c r="K4398">
        <v>0</v>
      </c>
      <c r="L4398">
        <v>0</v>
      </c>
      <c r="M4398">
        <v>0</v>
      </c>
      <c r="N4398">
        <v>0</v>
      </c>
      <c r="O4398">
        <v>0</v>
      </c>
      <c r="P4398">
        <v>0</v>
      </c>
      <c r="Q4398">
        <v>0</v>
      </c>
      <c r="R4398">
        <v>0</v>
      </c>
      <c r="S4398">
        <v>0</v>
      </c>
      <c r="T4398">
        <v>0</v>
      </c>
      <c r="U4398">
        <v>0</v>
      </c>
      <c r="V4398">
        <v>0</v>
      </c>
      <c r="W4398">
        <v>0</v>
      </c>
      <c r="X4398">
        <v>0</v>
      </c>
      <c r="Y4398" t="s">
        <v>31</v>
      </c>
      <c r="Z4398">
        <v>55</v>
      </c>
      <c r="AA4398">
        <v>0</v>
      </c>
    </row>
    <row r="4399" spans="1:27" x14ac:dyDescent="0.2">
      <c r="A4399" t="s">
        <v>3387</v>
      </c>
      <c r="B4399">
        <v>2024</v>
      </c>
      <c r="C4399" t="s">
        <v>5463</v>
      </c>
      <c r="D4399" t="s">
        <v>5464</v>
      </c>
      <c r="E4399" t="s">
        <v>29</v>
      </c>
      <c r="F4399" t="s">
        <v>30</v>
      </c>
      <c r="G4399">
        <v>8</v>
      </c>
      <c r="H4399">
        <v>0</v>
      </c>
      <c r="I4399">
        <v>0</v>
      </c>
      <c r="J4399">
        <v>0</v>
      </c>
      <c r="K4399">
        <v>0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0</v>
      </c>
      <c r="U4399">
        <v>0</v>
      </c>
      <c r="V4399">
        <v>0</v>
      </c>
      <c r="W4399">
        <v>0</v>
      </c>
      <c r="X4399">
        <v>0</v>
      </c>
      <c r="Y4399" t="s">
        <v>31</v>
      </c>
      <c r="AA4399">
        <v>0.5</v>
      </c>
    </row>
    <row r="4400" spans="1:27" x14ac:dyDescent="0.2">
      <c r="A4400" t="s">
        <v>1367</v>
      </c>
      <c r="B4400">
        <v>2024</v>
      </c>
      <c r="C4400" t="s">
        <v>5465</v>
      </c>
      <c r="D4400" t="s">
        <v>5466</v>
      </c>
      <c r="E4400" t="s">
        <v>29</v>
      </c>
      <c r="F4400" t="s">
        <v>30</v>
      </c>
      <c r="G4400">
        <v>0</v>
      </c>
      <c r="H4400">
        <v>0</v>
      </c>
      <c r="I4400">
        <v>0</v>
      </c>
      <c r="J4400">
        <v>0</v>
      </c>
      <c r="K4400">
        <v>0</v>
      </c>
      <c r="L4400">
        <v>0</v>
      </c>
      <c r="M4400">
        <v>0</v>
      </c>
      <c r="N4400">
        <v>0</v>
      </c>
      <c r="O4400">
        <v>0</v>
      </c>
      <c r="P4400">
        <v>0</v>
      </c>
      <c r="Q4400">
        <v>0</v>
      </c>
      <c r="R4400">
        <v>0</v>
      </c>
      <c r="S4400">
        <v>0</v>
      </c>
      <c r="T4400">
        <v>0</v>
      </c>
      <c r="U4400">
        <v>0</v>
      </c>
      <c r="V4400">
        <v>0</v>
      </c>
      <c r="W4400">
        <v>8</v>
      </c>
      <c r="X4400">
        <v>0</v>
      </c>
      <c r="Y4400" t="s">
        <v>51</v>
      </c>
      <c r="Z4400">
        <v>90</v>
      </c>
      <c r="AA4400">
        <v>0</v>
      </c>
    </row>
    <row r="4401" spans="1:27" x14ac:dyDescent="0.2">
      <c r="A4401" t="s">
        <v>3785</v>
      </c>
      <c r="B4401">
        <v>2024</v>
      </c>
      <c r="C4401" t="s">
        <v>3786</v>
      </c>
      <c r="D4401" t="s">
        <v>5467</v>
      </c>
      <c r="E4401" t="s">
        <v>29</v>
      </c>
      <c r="F4401" t="s">
        <v>30</v>
      </c>
      <c r="G4401">
        <v>0</v>
      </c>
      <c r="H4401">
        <v>12</v>
      </c>
      <c r="I4401">
        <v>0</v>
      </c>
      <c r="J4401">
        <v>0</v>
      </c>
      <c r="K4401">
        <v>0</v>
      </c>
      <c r="L4401">
        <v>0</v>
      </c>
      <c r="M4401">
        <v>0</v>
      </c>
      <c r="N4401">
        <v>12</v>
      </c>
      <c r="O4401">
        <v>0</v>
      </c>
      <c r="P4401">
        <v>0</v>
      </c>
      <c r="Q4401">
        <v>0</v>
      </c>
      <c r="R4401">
        <v>0</v>
      </c>
      <c r="S4401">
        <v>0</v>
      </c>
      <c r="T4401">
        <v>12</v>
      </c>
      <c r="U4401">
        <v>0</v>
      </c>
      <c r="V4401">
        <v>0</v>
      </c>
      <c r="W4401">
        <v>0</v>
      </c>
      <c r="X4401">
        <v>0</v>
      </c>
      <c r="Y4401" t="s">
        <v>31</v>
      </c>
      <c r="Z4401">
        <v>55</v>
      </c>
      <c r="AA4401">
        <v>0</v>
      </c>
    </row>
    <row r="4402" spans="1:27" x14ac:dyDescent="0.2">
      <c r="A4402" t="s">
        <v>349</v>
      </c>
      <c r="B4402">
        <v>2024</v>
      </c>
      <c r="C4402" t="s">
        <v>5468</v>
      </c>
      <c r="D4402" t="s">
        <v>5469</v>
      </c>
      <c r="E4402" t="s">
        <v>29</v>
      </c>
      <c r="F4402" t="s">
        <v>30</v>
      </c>
      <c r="G4402">
        <v>35</v>
      </c>
      <c r="H4402">
        <v>0</v>
      </c>
      <c r="I4402">
        <v>16</v>
      </c>
      <c r="J4402">
        <v>0</v>
      </c>
      <c r="K4402">
        <v>1</v>
      </c>
      <c r="L4402">
        <v>0</v>
      </c>
      <c r="M4402">
        <v>0</v>
      </c>
      <c r="N4402">
        <v>0</v>
      </c>
      <c r="O4402">
        <v>0</v>
      </c>
      <c r="P4402">
        <v>0</v>
      </c>
      <c r="Q4402">
        <v>0</v>
      </c>
      <c r="R4402">
        <v>0</v>
      </c>
      <c r="S4402">
        <v>0</v>
      </c>
      <c r="T4402">
        <v>0</v>
      </c>
      <c r="U4402">
        <v>0</v>
      </c>
      <c r="V4402">
        <v>0</v>
      </c>
      <c r="W4402">
        <v>0</v>
      </c>
      <c r="X4402">
        <v>0</v>
      </c>
      <c r="Y4402" t="s">
        <v>31</v>
      </c>
      <c r="Z4402">
        <v>55</v>
      </c>
      <c r="AA4402">
        <v>1.8</v>
      </c>
    </row>
    <row r="4403" spans="1:27" x14ac:dyDescent="0.2">
      <c r="A4403" t="s">
        <v>1188</v>
      </c>
      <c r="B4403">
        <v>2024</v>
      </c>
      <c r="C4403" t="s">
        <v>1370</v>
      </c>
      <c r="D4403" t="s">
        <v>5470</v>
      </c>
      <c r="E4403" t="s">
        <v>29</v>
      </c>
      <c r="F4403" t="s">
        <v>30</v>
      </c>
      <c r="G4403">
        <v>0</v>
      </c>
      <c r="H4403">
        <v>0</v>
      </c>
      <c r="I4403">
        <v>0</v>
      </c>
      <c r="J4403">
        <v>0</v>
      </c>
      <c r="K4403">
        <v>0</v>
      </c>
      <c r="L4403">
        <v>0</v>
      </c>
      <c r="M4403">
        <v>0</v>
      </c>
      <c r="N4403">
        <v>0</v>
      </c>
      <c r="O4403">
        <v>0</v>
      </c>
      <c r="P4403">
        <v>0</v>
      </c>
      <c r="Q4403">
        <v>0</v>
      </c>
      <c r="R4403">
        <v>0</v>
      </c>
      <c r="S4403">
        <v>4</v>
      </c>
      <c r="T4403">
        <v>0</v>
      </c>
      <c r="U4403">
        <v>15</v>
      </c>
      <c r="V4403">
        <v>0</v>
      </c>
      <c r="W4403">
        <v>0</v>
      </c>
      <c r="X4403">
        <v>0</v>
      </c>
      <c r="Y4403" t="s">
        <v>31</v>
      </c>
      <c r="Z4403">
        <v>55</v>
      </c>
      <c r="AA4403">
        <v>1</v>
      </c>
    </row>
    <row r="4404" spans="1:27" x14ac:dyDescent="0.2">
      <c r="A4404" t="s">
        <v>433</v>
      </c>
      <c r="B4404">
        <v>2023</v>
      </c>
      <c r="C4404">
        <v>17039043</v>
      </c>
      <c r="D4404" t="s">
        <v>5471</v>
      </c>
      <c r="E4404" t="s">
        <v>29</v>
      </c>
      <c r="F4404" t="s">
        <v>41</v>
      </c>
      <c r="G4404">
        <v>0</v>
      </c>
      <c r="H4404">
        <v>0</v>
      </c>
      <c r="I4404">
        <v>0</v>
      </c>
      <c r="J4404">
        <v>0</v>
      </c>
      <c r="K4404">
        <v>0</v>
      </c>
      <c r="L4404">
        <v>0</v>
      </c>
      <c r="M4404">
        <v>0</v>
      </c>
      <c r="N4404">
        <v>0</v>
      </c>
      <c r="O4404">
        <v>1</v>
      </c>
      <c r="P4404">
        <v>0</v>
      </c>
      <c r="Q4404">
        <v>0</v>
      </c>
      <c r="R4404">
        <v>0</v>
      </c>
      <c r="S4404">
        <v>0</v>
      </c>
      <c r="T4404">
        <v>0</v>
      </c>
      <c r="U4404">
        <v>0</v>
      </c>
      <c r="V4404">
        <v>0</v>
      </c>
      <c r="W4404">
        <v>0</v>
      </c>
      <c r="X4404">
        <v>0</v>
      </c>
      <c r="Y4404" t="s">
        <v>51</v>
      </c>
      <c r="Z4404">
        <v>55</v>
      </c>
      <c r="AA4404">
        <v>0</v>
      </c>
    </row>
    <row r="4405" spans="1:27" x14ac:dyDescent="0.2">
      <c r="A4405" t="s">
        <v>1527</v>
      </c>
      <c r="B4405">
        <v>2024</v>
      </c>
      <c r="C4405" s="2" t="s">
        <v>3404</v>
      </c>
      <c r="D4405" t="s">
        <v>5472</v>
      </c>
      <c r="E4405" t="s">
        <v>29</v>
      </c>
      <c r="F4405" t="s">
        <v>30</v>
      </c>
      <c r="G4405">
        <v>0</v>
      </c>
      <c r="H4405">
        <v>0</v>
      </c>
      <c r="I4405">
        <v>0</v>
      </c>
      <c r="J4405">
        <v>0</v>
      </c>
      <c r="K4405">
        <v>0</v>
      </c>
      <c r="L4405">
        <v>0</v>
      </c>
      <c r="M4405">
        <v>0</v>
      </c>
      <c r="N4405">
        <v>0</v>
      </c>
      <c r="O4405">
        <v>30</v>
      </c>
      <c r="P4405">
        <v>0</v>
      </c>
      <c r="Q4405">
        <v>0</v>
      </c>
      <c r="R4405">
        <v>0</v>
      </c>
      <c r="S4405">
        <v>0</v>
      </c>
      <c r="T4405">
        <v>0</v>
      </c>
      <c r="U4405">
        <v>0</v>
      </c>
      <c r="V4405">
        <v>0</v>
      </c>
      <c r="W4405">
        <v>0</v>
      </c>
      <c r="X4405">
        <v>0</v>
      </c>
      <c r="Y4405" t="s">
        <v>31</v>
      </c>
      <c r="AA4405">
        <v>0</v>
      </c>
    </row>
    <row r="4406" spans="1:27" x14ac:dyDescent="0.2">
      <c r="A4406" t="s">
        <v>3329</v>
      </c>
      <c r="B4406">
        <v>2024</v>
      </c>
      <c r="C4406" t="s">
        <v>5473</v>
      </c>
      <c r="D4406" t="s">
        <v>5474</v>
      </c>
      <c r="E4406" t="s">
        <v>29</v>
      </c>
      <c r="F4406" t="s">
        <v>41</v>
      </c>
      <c r="G4406">
        <v>0</v>
      </c>
      <c r="H4406">
        <v>0</v>
      </c>
      <c r="I4406">
        <v>0</v>
      </c>
      <c r="J4406">
        <v>0</v>
      </c>
      <c r="K4406">
        <v>0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0</v>
      </c>
      <c r="T4406">
        <v>0</v>
      </c>
      <c r="U4406">
        <v>1</v>
      </c>
      <c r="V4406">
        <v>0</v>
      </c>
      <c r="W4406">
        <v>0</v>
      </c>
      <c r="X4406">
        <v>0</v>
      </c>
      <c r="Y4406" t="s">
        <v>31</v>
      </c>
      <c r="Z4406">
        <v>45</v>
      </c>
      <c r="AA4406" s="2" t="s">
        <v>3358</v>
      </c>
    </row>
    <row r="4407" spans="1:27" x14ac:dyDescent="0.2">
      <c r="A4407" t="s">
        <v>2614</v>
      </c>
      <c r="B4407">
        <v>2023</v>
      </c>
      <c r="C4407" t="s">
        <v>5475</v>
      </c>
      <c r="D4407" t="s">
        <v>5476</v>
      </c>
      <c r="E4407" t="s">
        <v>29</v>
      </c>
      <c r="F4407" t="s">
        <v>30</v>
      </c>
      <c r="G4407">
        <v>0</v>
      </c>
      <c r="H4407">
        <v>0</v>
      </c>
      <c r="I4407">
        <v>12</v>
      </c>
      <c r="J4407">
        <v>49</v>
      </c>
      <c r="K4407">
        <v>0</v>
      </c>
      <c r="L4407">
        <v>0</v>
      </c>
      <c r="M4407">
        <v>0</v>
      </c>
      <c r="N4407">
        <v>0</v>
      </c>
      <c r="O4407">
        <v>0</v>
      </c>
      <c r="P4407">
        <v>0</v>
      </c>
      <c r="Q4407">
        <v>0</v>
      </c>
      <c r="R4407">
        <v>0</v>
      </c>
      <c r="S4407">
        <v>0</v>
      </c>
      <c r="T4407">
        <v>0</v>
      </c>
      <c r="U4407">
        <v>0</v>
      </c>
      <c r="V4407">
        <v>0</v>
      </c>
      <c r="W4407">
        <v>0</v>
      </c>
      <c r="X4407">
        <v>0</v>
      </c>
      <c r="Y4407" t="s">
        <v>31</v>
      </c>
      <c r="Z4407">
        <v>1000</v>
      </c>
      <c r="AA4407" s="2" t="s">
        <v>3316</v>
      </c>
    </row>
    <row r="4408" spans="1:27" x14ac:dyDescent="0.2">
      <c r="A4408" t="s">
        <v>2614</v>
      </c>
      <c r="B4408">
        <v>2023</v>
      </c>
      <c r="C4408">
        <v>2546121400</v>
      </c>
      <c r="D4408" t="s">
        <v>5477</v>
      </c>
      <c r="E4408" t="s">
        <v>29</v>
      </c>
      <c r="F4408" t="s">
        <v>30</v>
      </c>
      <c r="G4408">
        <v>0</v>
      </c>
      <c r="H4408">
        <v>0</v>
      </c>
      <c r="I4408">
        <v>0</v>
      </c>
      <c r="J4408">
        <v>0</v>
      </c>
      <c r="K4408">
        <v>0</v>
      </c>
      <c r="L4408">
        <v>0</v>
      </c>
      <c r="M4408">
        <v>1</v>
      </c>
      <c r="N4408">
        <v>0</v>
      </c>
      <c r="O4408">
        <v>0</v>
      </c>
      <c r="P4408">
        <v>0</v>
      </c>
      <c r="Q4408">
        <v>0</v>
      </c>
      <c r="R4408">
        <v>0</v>
      </c>
      <c r="S4408">
        <v>0</v>
      </c>
      <c r="T4408">
        <v>0</v>
      </c>
      <c r="U4408">
        <v>0</v>
      </c>
      <c r="V4408">
        <v>0</v>
      </c>
      <c r="W4408">
        <v>0</v>
      </c>
      <c r="X4408">
        <v>0</v>
      </c>
      <c r="Y4408" t="s">
        <v>31</v>
      </c>
      <c r="Z4408">
        <v>1000</v>
      </c>
      <c r="AA4408">
        <v>0</v>
      </c>
    </row>
    <row r="4409" spans="1:27" x14ac:dyDescent="0.2">
      <c r="A4409" t="s">
        <v>2614</v>
      </c>
      <c r="B4409">
        <v>2023</v>
      </c>
      <c r="C4409">
        <v>2546121400</v>
      </c>
      <c r="D4409" t="s">
        <v>5363</v>
      </c>
      <c r="E4409" t="s">
        <v>29</v>
      </c>
      <c r="F4409" t="s">
        <v>30</v>
      </c>
      <c r="G4409">
        <v>0</v>
      </c>
      <c r="H4409">
        <v>0</v>
      </c>
      <c r="I4409">
        <v>0</v>
      </c>
      <c r="J4409">
        <v>0</v>
      </c>
      <c r="K4409">
        <v>0</v>
      </c>
      <c r="L4409">
        <v>0</v>
      </c>
      <c r="M4409">
        <v>1</v>
      </c>
      <c r="N4409">
        <v>0</v>
      </c>
      <c r="O4409">
        <v>0</v>
      </c>
      <c r="P4409">
        <v>0</v>
      </c>
      <c r="Q4409">
        <v>0</v>
      </c>
      <c r="R4409">
        <v>0</v>
      </c>
      <c r="S4409">
        <v>0</v>
      </c>
      <c r="T4409">
        <v>0</v>
      </c>
      <c r="U4409">
        <v>0</v>
      </c>
      <c r="V4409">
        <v>0</v>
      </c>
      <c r="W4409">
        <v>0</v>
      </c>
      <c r="X4409">
        <v>0</v>
      </c>
      <c r="Y4409" t="s">
        <v>31</v>
      </c>
      <c r="Z4409">
        <v>1000</v>
      </c>
      <c r="AA4409">
        <v>0</v>
      </c>
    </row>
    <row r="4410" spans="1:27" x14ac:dyDescent="0.2">
      <c r="A4410" t="s">
        <v>2614</v>
      </c>
      <c r="B4410">
        <v>2023</v>
      </c>
      <c r="C4410">
        <v>2546121400</v>
      </c>
      <c r="D4410" t="s">
        <v>5478</v>
      </c>
      <c r="E4410" t="s">
        <v>29</v>
      </c>
      <c r="F4410" t="s">
        <v>30</v>
      </c>
      <c r="G4410">
        <v>0</v>
      </c>
      <c r="H4410">
        <v>0</v>
      </c>
      <c r="I4410">
        <v>0</v>
      </c>
      <c r="J4410">
        <v>0</v>
      </c>
      <c r="K4410">
        <v>0</v>
      </c>
      <c r="L4410">
        <v>0</v>
      </c>
      <c r="M4410">
        <v>1</v>
      </c>
      <c r="N4410">
        <v>0</v>
      </c>
      <c r="O4410">
        <v>0</v>
      </c>
      <c r="P4410">
        <v>0</v>
      </c>
      <c r="Q4410">
        <v>0</v>
      </c>
      <c r="R4410">
        <v>0</v>
      </c>
      <c r="S4410">
        <v>0</v>
      </c>
      <c r="T4410">
        <v>0</v>
      </c>
      <c r="U4410">
        <v>0</v>
      </c>
      <c r="V4410">
        <v>0</v>
      </c>
      <c r="W4410">
        <v>0</v>
      </c>
      <c r="X4410">
        <v>0</v>
      </c>
      <c r="Y4410" t="s">
        <v>31</v>
      </c>
      <c r="Z4410">
        <v>55</v>
      </c>
      <c r="AA4410">
        <v>0</v>
      </c>
    </row>
    <row r="4411" spans="1:27" x14ac:dyDescent="0.2">
      <c r="A4411" t="s">
        <v>38</v>
      </c>
      <c r="B4411">
        <v>2024</v>
      </c>
      <c r="C4411">
        <v>5637023806</v>
      </c>
      <c r="D4411" t="s">
        <v>99</v>
      </c>
      <c r="E4411" t="s">
        <v>29</v>
      </c>
      <c r="F4411" t="s">
        <v>30</v>
      </c>
      <c r="G4411">
        <v>138</v>
      </c>
      <c r="H4411">
        <v>0</v>
      </c>
      <c r="I4411">
        <v>199</v>
      </c>
      <c r="J4411">
        <v>0</v>
      </c>
      <c r="K4411">
        <v>0</v>
      </c>
      <c r="L4411">
        <v>0</v>
      </c>
      <c r="M4411">
        <v>138</v>
      </c>
      <c r="N4411">
        <v>0</v>
      </c>
      <c r="O4411">
        <v>199</v>
      </c>
      <c r="P4411">
        <v>0</v>
      </c>
      <c r="Q4411">
        <v>0</v>
      </c>
      <c r="R4411">
        <v>0</v>
      </c>
      <c r="S4411">
        <v>0</v>
      </c>
      <c r="T4411">
        <v>0</v>
      </c>
      <c r="U4411">
        <v>0</v>
      </c>
      <c r="V4411">
        <v>0</v>
      </c>
      <c r="W4411">
        <v>0</v>
      </c>
      <c r="X4411">
        <v>0</v>
      </c>
      <c r="Y4411" t="s">
        <v>31</v>
      </c>
      <c r="Z4411">
        <v>78</v>
      </c>
      <c r="AA4411">
        <v>7.5</v>
      </c>
    </row>
    <row r="4412" spans="1:27" x14ac:dyDescent="0.2">
      <c r="A4412" t="s">
        <v>38</v>
      </c>
      <c r="B4412">
        <v>2024</v>
      </c>
      <c r="C4412" t="s">
        <v>5479</v>
      </c>
      <c r="D4412" t="s">
        <v>5480</v>
      </c>
      <c r="E4412" t="s">
        <v>29</v>
      </c>
      <c r="F4412" t="s">
        <v>30</v>
      </c>
      <c r="G4412">
        <v>2</v>
      </c>
      <c r="H4412">
        <v>0</v>
      </c>
      <c r="I4412">
        <v>0</v>
      </c>
      <c r="J4412">
        <v>0</v>
      </c>
      <c r="K4412">
        <v>0</v>
      </c>
      <c r="L4412">
        <v>0</v>
      </c>
      <c r="M4412">
        <v>0</v>
      </c>
      <c r="N4412">
        <v>0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0</v>
      </c>
      <c r="U4412">
        <v>0</v>
      </c>
      <c r="V4412">
        <v>0</v>
      </c>
      <c r="W4412">
        <v>0</v>
      </c>
      <c r="X4412">
        <v>0</v>
      </c>
      <c r="Y4412" t="s">
        <v>31</v>
      </c>
      <c r="Z4412">
        <v>55</v>
      </c>
      <c r="AA4412" s="2" t="s">
        <v>3920</v>
      </c>
    </row>
    <row r="4413" spans="1:27" x14ac:dyDescent="0.2">
      <c r="A4413" t="s">
        <v>560</v>
      </c>
      <c r="B4413">
        <v>2024</v>
      </c>
      <c r="C4413" t="s">
        <v>1763</v>
      </c>
      <c r="D4413" t="s">
        <v>1764</v>
      </c>
      <c r="E4413" t="s">
        <v>29</v>
      </c>
      <c r="F4413" t="s">
        <v>30</v>
      </c>
      <c r="G4413">
        <v>1</v>
      </c>
      <c r="H4413">
        <v>0</v>
      </c>
      <c r="I4413">
        <v>0</v>
      </c>
      <c r="J4413">
        <v>0</v>
      </c>
      <c r="K4413">
        <v>0</v>
      </c>
      <c r="L4413">
        <v>0</v>
      </c>
      <c r="M4413">
        <v>1</v>
      </c>
      <c r="N4413">
        <v>0</v>
      </c>
      <c r="O4413">
        <v>0</v>
      </c>
      <c r="P4413">
        <v>0</v>
      </c>
      <c r="Q4413">
        <v>0</v>
      </c>
      <c r="R4413">
        <v>0</v>
      </c>
      <c r="S4413">
        <v>1</v>
      </c>
      <c r="T4413">
        <v>0</v>
      </c>
      <c r="U4413">
        <v>0</v>
      </c>
      <c r="V4413">
        <v>0</v>
      </c>
      <c r="W4413">
        <v>0</v>
      </c>
      <c r="X4413">
        <v>0</v>
      </c>
      <c r="Y4413" t="s">
        <v>31</v>
      </c>
      <c r="Z4413">
        <v>55</v>
      </c>
      <c r="AA4413" s="2" t="s">
        <v>2716</v>
      </c>
    </row>
    <row r="4414" spans="1:27" ht="119" x14ac:dyDescent="0.2">
      <c r="A4414" t="s">
        <v>1802</v>
      </c>
      <c r="B4414">
        <v>2024</v>
      </c>
      <c r="C4414" t="s">
        <v>5481</v>
      </c>
      <c r="D4414" s="1" t="s">
        <v>5482</v>
      </c>
      <c r="E4414" t="s">
        <v>29</v>
      </c>
      <c r="F4414" t="s">
        <v>30</v>
      </c>
      <c r="G4414">
        <v>8</v>
      </c>
      <c r="H4414">
        <v>0</v>
      </c>
      <c r="I4414">
        <v>0</v>
      </c>
      <c r="J4414">
        <v>0</v>
      </c>
      <c r="K4414">
        <v>8</v>
      </c>
      <c r="L4414">
        <v>0</v>
      </c>
      <c r="M4414">
        <v>0</v>
      </c>
      <c r="N4414">
        <v>0</v>
      </c>
      <c r="O4414">
        <v>0</v>
      </c>
      <c r="P4414">
        <v>0</v>
      </c>
      <c r="Q4414">
        <v>0</v>
      </c>
      <c r="R4414">
        <v>0</v>
      </c>
      <c r="S4414">
        <v>0</v>
      </c>
      <c r="T4414">
        <v>0</v>
      </c>
      <c r="U4414">
        <v>0</v>
      </c>
      <c r="V4414">
        <v>0</v>
      </c>
      <c r="W4414">
        <v>0</v>
      </c>
      <c r="X4414">
        <v>0</v>
      </c>
      <c r="Y4414" t="s">
        <v>31</v>
      </c>
      <c r="Z4414">
        <v>1000</v>
      </c>
      <c r="AA4414" s="2" t="s">
        <v>3920</v>
      </c>
    </row>
    <row r="4415" spans="1:27" ht="102" x14ac:dyDescent="0.2">
      <c r="A4415" t="s">
        <v>1802</v>
      </c>
      <c r="B4415">
        <v>2024</v>
      </c>
      <c r="C4415" t="s">
        <v>5071</v>
      </c>
      <c r="D4415" s="1" t="s">
        <v>5483</v>
      </c>
      <c r="E4415" t="s">
        <v>29</v>
      </c>
      <c r="F4415" t="s">
        <v>30</v>
      </c>
      <c r="G4415">
        <v>0</v>
      </c>
      <c r="H4415">
        <v>0</v>
      </c>
      <c r="I4415">
        <v>0</v>
      </c>
      <c r="J4415">
        <v>0</v>
      </c>
      <c r="K4415">
        <v>0</v>
      </c>
      <c r="L4415">
        <v>0</v>
      </c>
      <c r="M4415">
        <v>0</v>
      </c>
      <c r="N4415">
        <v>0</v>
      </c>
      <c r="O4415">
        <v>0</v>
      </c>
      <c r="P4415">
        <v>0</v>
      </c>
      <c r="Q4415">
        <v>0</v>
      </c>
      <c r="R4415">
        <v>0</v>
      </c>
      <c r="S4415">
        <v>38</v>
      </c>
      <c r="T4415">
        <v>0</v>
      </c>
      <c r="U4415">
        <v>0</v>
      </c>
      <c r="V4415">
        <v>0</v>
      </c>
      <c r="W4415">
        <v>0</v>
      </c>
      <c r="X4415">
        <v>0</v>
      </c>
      <c r="Y4415" t="s">
        <v>31</v>
      </c>
      <c r="Z4415">
        <v>1000</v>
      </c>
      <c r="AA4415" s="2" t="s">
        <v>3316</v>
      </c>
    </row>
    <row r="4416" spans="1:27" x14ac:dyDescent="0.2">
      <c r="A4416" t="s">
        <v>172</v>
      </c>
      <c r="B4416">
        <v>2024</v>
      </c>
      <c r="C4416" t="s">
        <v>5484</v>
      </c>
      <c r="D4416" t="s">
        <v>5485</v>
      </c>
      <c r="E4416" t="s">
        <v>29</v>
      </c>
      <c r="F4416" t="s">
        <v>30</v>
      </c>
      <c r="G4416">
        <v>0</v>
      </c>
      <c r="H4416">
        <v>0</v>
      </c>
      <c r="I4416">
        <v>5</v>
      </c>
      <c r="J4416">
        <v>0</v>
      </c>
      <c r="K4416">
        <v>0</v>
      </c>
      <c r="L4416">
        <v>0</v>
      </c>
      <c r="M4416">
        <v>0</v>
      </c>
      <c r="N4416">
        <v>0</v>
      </c>
      <c r="O4416">
        <v>0</v>
      </c>
      <c r="P4416">
        <v>0</v>
      </c>
      <c r="Q4416">
        <v>0</v>
      </c>
      <c r="R4416">
        <v>0</v>
      </c>
      <c r="S4416">
        <v>0</v>
      </c>
      <c r="T4416">
        <v>0</v>
      </c>
      <c r="U4416">
        <v>0</v>
      </c>
      <c r="V4416">
        <v>0</v>
      </c>
      <c r="W4416">
        <v>0</v>
      </c>
      <c r="X4416">
        <v>0</v>
      </c>
      <c r="Y4416" t="s">
        <v>31</v>
      </c>
      <c r="Z4416">
        <v>55</v>
      </c>
      <c r="AA4416" s="2" t="s">
        <v>3361</v>
      </c>
    </row>
    <row r="4417" spans="1:27" x14ac:dyDescent="0.2">
      <c r="A4417" t="s">
        <v>1048</v>
      </c>
      <c r="B4417">
        <v>2022</v>
      </c>
      <c r="C4417" t="s">
        <v>5486</v>
      </c>
      <c r="D4417" t="s">
        <v>5487</v>
      </c>
      <c r="E4417" t="s">
        <v>29</v>
      </c>
      <c r="F4417" t="s">
        <v>30</v>
      </c>
      <c r="G4417">
        <v>0</v>
      </c>
      <c r="H4417">
        <v>0</v>
      </c>
      <c r="I4417">
        <v>10</v>
      </c>
      <c r="J4417">
        <v>0</v>
      </c>
      <c r="K4417">
        <v>0</v>
      </c>
      <c r="L4417">
        <v>0</v>
      </c>
      <c r="M4417">
        <v>0</v>
      </c>
      <c r="N4417">
        <v>0</v>
      </c>
      <c r="O4417">
        <v>0</v>
      </c>
      <c r="P4417">
        <v>0</v>
      </c>
      <c r="Q4417">
        <v>0</v>
      </c>
      <c r="R4417">
        <v>0</v>
      </c>
      <c r="S4417">
        <v>0</v>
      </c>
      <c r="T4417">
        <v>0</v>
      </c>
      <c r="U4417">
        <v>0</v>
      </c>
      <c r="V4417">
        <v>0</v>
      </c>
      <c r="W4417">
        <v>0</v>
      </c>
      <c r="X4417">
        <v>0</v>
      </c>
      <c r="Y4417" t="s">
        <v>31</v>
      </c>
      <c r="Z4417">
        <v>55</v>
      </c>
      <c r="AA4417">
        <v>0</v>
      </c>
    </row>
    <row r="4418" spans="1:27" x14ac:dyDescent="0.2">
      <c r="A4418" t="s">
        <v>1048</v>
      </c>
      <c r="B4418">
        <v>2022</v>
      </c>
      <c r="C4418" t="s">
        <v>5488</v>
      </c>
      <c r="D4418" t="s">
        <v>5489</v>
      </c>
      <c r="E4418" t="s">
        <v>29</v>
      </c>
      <c r="F4418" t="s">
        <v>30</v>
      </c>
      <c r="G4418">
        <v>0</v>
      </c>
      <c r="H4418">
        <v>0</v>
      </c>
      <c r="I4418">
        <v>0</v>
      </c>
      <c r="J4418">
        <v>0</v>
      </c>
      <c r="K4418">
        <v>0</v>
      </c>
      <c r="L4418">
        <v>0</v>
      </c>
      <c r="M4418">
        <v>119</v>
      </c>
      <c r="N4418">
        <v>0</v>
      </c>
      <c r="O4418">
        <v>30</v>
      </c>
      <c r="P4418">
        <v>0</v>
      </c>
      <c r="Q4418">
        <v>0</v>
      </c>
      <c r="R4418">
        <v>1</v>
      </c>
      <c r="S4418">
        <v>0</v>
      </c>
      <c r="T4418">
        <v>0</v>
      </c>
      <c r="U4418">
        <v>0</v>
      </c>
      <c r="V4418">
        <v>0</v>
      </c>
      <c r="W4418">
        <v>0</v>
      </c>
      <c r="X4418">
        <v>0</v>
      </c>
      <c r="Y4418" t="s">
        <v>51</v>
      </c>
      <c r="Z4418">
        <v>55</v>
      </c>
      <c r="AA4418">
        <v>0</v>
      </c>
    </row>
    <row r="4419" spans="1:27" x14ac:dyDescent="0.2">
      <c r="A4419" t="s">
        <v>1231</v>
      </c>
      <c r="B4419">
        <v>2024</v>
      </c>
      <c r="C4419">
        <v>694310006</v>
      </c>
      <c r="D4419" t="s">
        <v>3507</v>
      </c>
      <c r="E4419" t="s">
        <v>29</v>
      </c>
      <c r="F4419" t="s">
        <v>30</v>
      </c>
      <c r="G4419">
        <v>0</v>
      </c>
      <c r="H4419">
        <v>0</v>
      </c>
      <c r="I4419">
        <v>0</v>
      </c>
      <c r="J4419">
        <v>0</v>
      </c>
      <c r="K4419">
        <v>0</v>
      </c>
      <c r="L4419">
        <v>0</v>
      </c>
      <c r="M4419">
        <v>20</v>
      </c>
      <c r="N4419">
        <v>0</v>
      </c>
      <c r="O4419">
        <v>1</v>
      </c>
      <c r="P4419">
        <v>0</v>
      </c>
      <c r="Q4419">
        <v>2</v>
      </c>
      <c r="R4419">
        <v>0</v>
      </c>
      <c r="S4419">
        <v>0</v>
      </c>
      <c r="T4419">
        <v>0</v>
      </c>
      <c r="U4419">
        <v>0</v>
      </c>
      <c r="V4419">
        <v>0</v>
      </c>
      <c r="W4419">
        <v>0</v>
      </c>
      <c r="X4419">
        <v>0</v>
      </c>
      <c r="Y4419" t="s">
        <v>31</v>
      </c>
      <c r="Z4419">
        <v>55</v>
      </c>
      <c r="AA4419">
        <v>0.13</v>
      </c>
    </row>
    <row r="4420" spans="1:27" x14ac:dyDescent="0.2">
      <c r="A4420" t="s">
        <v>1231</v>
      </c>
      <c r="B4420">
        <v>2024</v>
      </c>
      <c r="C4420">
        <v>694310006</v>
      </c>
      <c r="D4420" t="s">
        <v>3507</v>
      </c>
      <c r="E4420" t="s">
        <v>29</v>
      </c>
      <c r="F4420" t="s">
        <v>30</v>
      </c>
      <c r="G4420">
        <v>0</v>
      </c>
      <c r="H4420">
        <v>0</v>
      </c>
      <c r="I4420">
        <v>0</v>
      </c>
      <c r="J4420">
        <v>0</v>
      </c>
      <c r="K4420">
        <v>0</v>
      </c>
      <c r="L4420">
        <v>0</v>
      </c>
      <c r="M4420">
        <v>21</v>
      </c>
      <c r="N4420">
        <v>0</v>
      </c>
      <c r="O4420">
        <v>1</v>
      </c>
      <c r="P4420">
        <v>0</v>
      </c>
      <c r="Q4420">
        <v>2</v>
      </c>
      <c r="R4420">
        <v>0</v>
      </c>
      <c r="S4420">
        <v>0</v>
      </c>
      <c r="T4420">
        <v>0</v>
      </c>
      <c r="U4420">
        <v>0</v>
      </c>
      <c r="V4420">
        <v>0</v>
      </c>
      <c r="W4420">
        <v>0</v>
      </c>
      <c r="X4420">
        <v>0</v>
      </c>
      <c r="Y4420" t="s">
        <v>31</v>
      </c>
      <c r="Z4420">
        <v>55</v>
      </c>
      <c r="AA4420">
        <v>0.13</v>
      </c>
    </row>
    <row r="4421" spans="1:27" x14ac:dyDescent="0.2">
      <c r="A4421" t="s">
        <v>1231</v>
      </c>
      <c r="B4421">
        <v>2024</v>
      </c>
      <c r="C4421">
        <v>694310006</v>
      </c>
      <c r="D4421" t="s">
        <v>3507</v>
      </c>
      <c r="E4421" t="s">
        <v>29</v>
      </c>
      <c r="F4421" t="s">
        <v>30</v>
      </c>
      <c r="G4421">
        <v>0</v>
      </c>
      <c r="H4421">
        <v>0</v>
      </c>
      <c r="I4421">
        <v>0</v>
      </c>
      <c r="J4421">
        <v>0</v>
      </c>
      <c r="K4421">
        <v>0</v>
      </c>
      <c r="L4421">
        <v>0</v>
      </c>
      <c r="M4421">
        <v>21</v>
      </c>
      <c r="N4421">
        <v>0</v>
      </c>
      <c r="O4421">
        <v>2</v>
      </c>
      <c r="P4421">
        <v>0</v>
      </c>
      <c r="Q4421">
        <v>2</v>
      </c>
      <c r="R4421">
        <v>0</v>
      </c>
      <c r="S4421">
        <v>0</v>
      </c>
      <c r="T4421">
        <v>0</v>
      </c>
      <c r="U4421">
        <v>0</v>
      </c>
      <c r="V4421">
        <v>0</v>
      </c>
      <c r="W4421">
        <v>0</v>
      </c>
      <c r="X4421">
        <v>0</v>
      </c>
      <c r="Y4421" t="s">
        <v>31</v>
      </c>
      <c r="Z4421">
        <v>55</v>
      </c>
      <c r="AA4421">
        <v>0.13</v>
      </c>
    </row>
    <row r="4422" spans="1:27" x14ac:dyDescent="0.2">
      <c r="A4422" t="s">
        <v>1231</v>
      </c>
      <c r="B4422">
        <v>2024</v>
      </c>
      <c r="C4422">
        <v>694520019</v>
      </c>
      <c r="D4422" t="s">
        <v>1832</v>
      </c>
      <c r="E4422" t="s">
        <v>29</v>
      </c>
      <c r="F4422" t="s">
        <v>30</v>
      </c>
      <c r="G4422">
        <v>0</v>
      </c>
      <c r="H4422">
        <v>0</v>
      </c>
      <c r="I4422">
        <v>0</v>
      </c>
      <c r="J4422">
        <v>0</v>
      </c>
      <c r="K4422">
        <v>0</v>
      </c>
      <c r="L4422">
        <v>0</v>
      </c>
      <c r="M4422">
        <v>4</v>
      </c>
      <c r="N4422">
        <v>0</v>
      </c>
      <c r="O4422">
        <v>18</v>
      </c>
      <c r="P4422">
        <v>0</v>
      </c>
      <c r="Q4422">
        <v>0</v>
      </c>
      <c r="R4422">
        <v>0</v>
      </c>
      <c r="S4422">
        <v>4</v>
      </c>
      <c r="T4422">
        <v>0</v>
      </c>
      <c r="U4422">
        <v>18</v>
      </c>
      <c r="V4422">
        <v>0</v>
      </c>
      <c r="W4422">
        <v>0</v>
      </c>
      <c r="X4422">
        <v>0</v>
      </c>
      <c r="Y4422" t="s">
        <v>51</v>
      </c>
      <c r="Z4422">
        <v>55</v>
      </c>
      <c r="AA4422">
        <v>0</v>
      </c>
    </row>
    <row r="4423" spans="1:27" x14ac:dyDescent="0.2">
      <c r="A4423" t="s">
        <v>1231</v>
      </c>
      <c r="B4423">
        <v>2024</v>
      </c>
      <c r="C4423">
        <v>694130017</v>
      </c>
      <c r="D4423" t="s">
        <v>1433</v>
      </c>
      <c r="E4423" t="s">
        <v>29</v>
      </c>
      <c r="F4423" t="s">
        <v>30</v>
      </c>
      <c r="G4423">
        <v>0</v>
      </c>
      <c r="H4423">
        <v>0</v>
      </c>
      <c r="I4423">
        <v>0</v>
      </c>
      <c r="J4423">
        <v>0</v>
      </c>
      <c r="K4423">
        <v>0</v>
      </c>
      <c r="L4423">
        <v>0</v>
      </c>
      <c r="M4423">
        <v>14</v>
      </c>
      <c r="N4423">
        <v>0</v>
      </c>
      <c r="O4423">
        <v>1</v>
      </c>
      <c r="P4423">
        <v>0</v>
      </c>
      <c r="Q4423">
        <v>0</v>
      </c>
      <c r="R4423">
        <v>0</v>
      </c>
      <c r="S4423">
        <v>0</v>
      </c>
      <c r="T4423">
        <v>0</v>
      </c>
      <c r="U4423">
        <v>0</v>
      </c>
      <c r="V4423">
        <v>0</v>
      </c>
      <c r="W4423">
        <v>0</v>
      </c>
      <c r="X4423">
        <v>0</v>
      </c>
      <c r="Y4423" t="s">
        <v>51</v>
      </c>
      <c r="Z4423">
        <v>55</v>
      </c>
      <c r="AA4423">
        <v>0</v>
      </c>
    </row>
    <row r="4424" spans="1:27" x14ac:dyDescent="0.2">
      <c r="A4424" t="s">
        <v>1231</v>
      </c>
      <c r="B4424">
        <v>2024</v>
      </c>
      <c r="C4424">
        <v>694130017</v>
      </c>
      <c r="D4424" t="s">
        <v>1433</v>
      </c>
      <c r="E4424" t="s">
        <v>29</v>
      </c>
      <c r="F4424" t="s">
        <v>30</v>
      </c>
      <c r="G4424">
        <v>0</v>
      </c>
      <c r="H4424">
        <v>0</v>
      </c>
      <c r="I4424">
        <v>0</v>
      </c>
      <c r="J4424">
        <v>0</v>
      </c>
      <c r="K4424">
        <v>0</v>
      </c>
      <c r="L4424">
        <v>0</v>
      </c>
      <c r="M4424">
        <v>16</v>
      </c>
      <c r="N4424">
        <v>0</v>
      </c>
      <c r="O4424">
        <v>8</v>
      </c>
      <c r="P4424">
        <v>0</v>
      </c>
      <c r="Q4424">
        <v>0</v>
      </c>
      <c r="R4424">
        <v>0</v>
      </c>
      <c r="S4424">
        <v>0</v>
      </c>
      <c r="T4424">
        <v>0</v>
      </c>
      <c r="U4424">
        <v>0</v>
      </c>
      <c r="V4424">
        <v>0</v>
      </c>
      <c r="W4424">
        <v>0</v>
      </c>
      <c r="X4424">
        <v>0</v>
      </c>
      <c r="Y4424" t="s">
        <v>51</v>
      </c>
      <c r="Z4424">
        <v>55</v>
      </c>
      <c r="AA4424">
        <v>0</v>
      </c>
    </row>
    <row r="4425" spans="1:27" x14ac:dyDescent="0.2">
      <c r="A4425" t="s">
        <v>1010</v>
      </c>
      <c r="B4425">
        <v>2024</v>
      </c>
      <c r="C4425" t="s">
        <v>1097</v>
      </c>
      <c r="D4425" t="s">
        <v>5490</v>
      </c>
      <c r="E4425" t="s">
        <v>29</v>
      </c>
      <c r="F4425" t="s">
        <v>30</v>
      </c>
      <c r="G4425">
        <v>26</v>
      </c>
      <c r="H4425">
        <v>0</v>
      </c>
      <c r="I4425">
        <v>39</v>
      </c>
      <c r="J4425">
        <v>0</v>
      </c>
      <c r="K4425">
        <v>0</v>
      </c>
      <c r="L4425">
        <v>1</v>
      </c>
      <c r="M4425">
        <v>26</v>
      </c>
      <c r="N4425">
        <v>0</v>
      </c>
      <c r="O4425">
        <v>39</v>
      </c>
      <c r="P4425">
        <v>0</v>
      </c>
      <c r="Q4425">
        <v>0</v>
      </c>
      <c r="R4425">
        <v>1</v>
      </c>
      <c r="S4425">
        <v>26</v>
      </c>
      <c r="T4425">
        <v>0</v>
      </c>
      <c r="U4425">
        <v>39</v>
      </c>
      <c r="V4425">
        <v>0</v>
      </c>
      <c r="W4425">
        <v>0</v>
      </c>
      <c r="X4425">
        <v>1</v>
      </c>
      <c r="Y4425" t="s">
        <v>51</v>
      </c>
      <c r="Z4425">
        <v>55</v>
      </c>
      <c r="AA4425">
        <v>0</v>
      </c>
    </row>
    <row r="4426" spans="1:27" x14ac:dyDescent="0.2">
      <c r="A4426" t="s">
        <v>2421</v>
      </c>
      <c r="B4426">
        <v>2024</v>
      </c>
      <c r="C4426" t="s">
        <v>5491</v>
      </c>
      <c r="D4426" t="s">
        <v>5492</v>
      </c>
      <c r="E4426" t="s">
        <v>29</v>
      </c>
      <c r="F4426" t="s">
        <v>41</v>
      </c>
      <c r="G4426">
        <v>0</v>
      </c>
      <c r="H4426">
        <v>0</v>
      </c>
      <c r="I4426">
        <v>0</v>
      </c>
      <c r="J4426">
        <v>0</v>
      </c>
      <c r="K4426">
        <v>0</v>
      </c>
      <c r="L4426">
        <v>0</v>
      </c>
      <c r="M4426">
        <v>0</v>
      </c>
      <c r="N4426">
        <v>0</v>
      </c>
      <c r="O4426">
        <v>0</v>
      </c>
      <c r="P4426">
        <v>0</v>
      </c>
      <c r="Q4426">
        <v>2</v>
      </c>
      <c r="R4426">
        <v>0</v>
      </c>
      <c r="S4426">
        <v>0</v>
      </c>
      <c r="T4426">
        <v>0</v>
      </c>
      <c r="U4426">
        <v>0</v>
      </c>
      <c r="V4426">
        <v>0</v>
      </c>
      <c r="W4426">
        <v>0</v>
      </c>
      <c r="X4426">
        <v>0</v>
      </c>
      <c r="Y4426" t="s">
        <v>31</v>
      </c>
      <c r="Z4426">
        <v>45</v>
      </c>
      <c r="AA4426" s="2" t="s">
        <v>2716</v>
      </c>
    </row>
    <row r="4427" spans="1:27" x14ac:dyDescent="0.2">
      <c r="A4427" t="s">
        <v>163</v>
      </c>
      <c r="B4427">
        <v>2024</v>
      </c>
      <c r="C4427">
        <v>4906603100</v>
      </c>
      <c r="D4427" t="s">
        <v>5493</v>
      </c>
      <c r="E4427" t="s">
        <v>29</v>
      </c>
      <c r="F4427" t="s">
        <v>30</v>
      </c>
      <c r="G4427">
        <v>0</v>
      </c>
      <c r="H4427">
        <v>0</v>
      </c>
      <c r="I4427">
        <v>0</v>
      </c>
      <c r="J4427">
        <v>0</v>
      </c>
      <c r="K4427">
        <v>0</v>
      </c>
      <c r="L4427">
        <v>0</v>
      </c>
      <c r="M4427">
        <v>4</v>
      </c>
      <c r="N4427">
        <v>0</v>
      </c>
      <c r="O4427">
        <v>0</v>
      </c>
      <c r="P4427">
        <v>0</v>
      </c>
      <c r="Q4427">
        <v>0</v>
      </c>
      <c r="R4427">
        <v>0</v>
      </c>
      <c r="S4427">
        <v>0</v>
      </c>
      <c r="T4427">
        <v>0</v>
      </c>
      <c r="U4427">
        <v>0</v>
      </c>
      <c r="V4427">
        <v>0</v>
      </c>
      <c r="W4427">
        <v>0</v>
      </c>
      <c r="X4427">
        <v>0</v>
      </c>
      <c r="Y4427" t="s">
        <v>31</v>
      </c>
      <c r="Z4427">
        <v>55</v>
      </c>
      <c r="AA4427" s="2" t="s">
        <v>3316</v>
      </c>
    </row>
    <row r="4428" spans="1:27" x14ac:dyDescent="0.2">
      <c r="A4428" t="s">
        <v>1048</v>
      </c>
      <c r="B4428">
        <v>2022</v>
      </c>
      <c r="C4428" t="s">
        <v>3336</v>
      </c>
      <c r="D4428" t="s">
        <v>5494</v>
      </c>
      <c r="E4428" t="s">
        <v>29</v>
      </c>
      <c r="F4428" t="s">
        <v>30</v>
      </c>
      <c r="G4428">
        <v>0</v>
      </c>
      <c r="H4428">
        <v>0</v>
      </c>
      <c r="I4428">
        <v>0</v>
      </c>
      <c r="J4428">
        <v>0</v>
      </c>
      <c r="K4428">
        <v>0</v>
      </c>
      <c r="L4428">
        <v>0</v>
      </c>
      <c r="M4428">
        <v>0</v>
      </c>
      <c r="N4428">
        <v>0</v>
      </c>
      <c r="O4428">
        <v>16</v>
      </c>
      <c r="P4428">
        <v>0</v>
      </c>
      <c r="Q4428">
        <v>0</v>
      </c>
      <c r="R4428">
        <v>0</v>
      </c>
      <c r="S4428">
        <v>0</v>
      </c>
      <c r="T4428">
        <v>0</v>
      </c>
      <c r="U4428">
        <v>16</v>
      </c>
      <c r="V4428">
        <v>0</v>
      </c>
      <c r="W4428">
        <v>0</v>
      </c>
      <c r="X4428">
        <v>0</v>
      </c>
      <c r="Y4428" t="s">
        <v>51</v>
      </c>
      <c r="Z4428">
        <v>55</v>
      </c>
      <c r="AA4428">
        <v>0</v>
      </c>
    </row>
    <row r="4429" spans="1:27" x14ac:dyDescent="0.2">
      <c r="A4429" t="s">
        <v>1048</v>
      </c>
      <c r="B4429">
        <v>2022</v>
      </c>
      <c r="C4429" t="s">
        <v>3336</v>
      </c>
      <c r="D4429" t="s">
        <v>5495</v>
      </c>
      <c r="E4429" t="s">
        <v>29</v>
      </c>
      <c r="F4429" t="s">
        <v>30</v>
      </c>
      <c r="G4429">
        <v>0</v>
      </c>
      <c r="H4429">
        <v>0</v>
      </c>
      <c r="I4429">
        <v>0</v>
      </c>
      <c r="J4429">
        <v>0</v>
      </c>
      <c r="K4429">
        <v>0</v>
      </c>
      <c r="L4429">
        <v>0</v>
      </c>
      <c r="M4429">
        <v>0</v>
      </c>
      <c r="N4429">
        <v>0</v>
      </c>
      <c r="O4429">
        <v>16</v>
      </c>
      <c r="P4429">
        <v>0</v>
      </c>
      <c r="Q4429">
        <v>0</v>
      </c>
      <c r="R4429">
        <v>0</v>
      </c>
      <c r="S4429">
        <v>0</v>
      </c>
      <c r="T4429">
        <v>0</v>
      </c>
      <c r="U4429">
        <v>16</v>
      </c>
      <c r="V4429">
        <v>0</v>
      </c>
      <c r="W4429">
        <v>0</v>
      </c>
      <c r="X4429">
        <v>0</v>
      </c>
      <c r="Y4429" t="s">
        <v>51</v>
      </c>
      <c r="Z4429">
        <v>55</v>
      </c>
      <c r="AA4429">
        <v>0</v>
      </c>
    </row>
    <row r="4430" spans="1:27" x14ac:dyDescent="0.2">
      <c r="A4430" t="s">
        <v>1048</v>
      </c>
      <c r="B4430">
        <v>2022</v>
      </c>
      <c r="C4430" t="s">
        <v>3336</v>
      </c>
      <c r="D4430" t="s">
        <v>5496</v>
      </c>
      <c r="E4430" t="s">
        <v>29</v>
      </c>
      <c r="F4430" t="s">
        <v>30</v>
      </c>
      <c r="G4430">
        <v>0</v>
      </c>
      <c r="H4430">
        <v>0</v>
      </c>
      <c r="I4430">
        <v>0</v>
      </c>
      <c r="J4430">
        <v>0</v>
      </c>
      <c r="K4430">
        <v>0</v>
      </c>
      <c r="L4430">
        <v>0</v>
      </c>
      <c r="M4430">
        <v>0</v>
      </c>
      <c r="N4430">
        <v>0</v>
      </c>
      <c r="O4430">
        <v>16</v>
      </c>
      <c r="P4430">
        <v>0</v>
      </c>
      <c r="Q4430">
        <v>0</v>
      </c>
      <c r="R4430">
        <v>0</v>
      </c>
      <c r="S4430">
        <v>0</v>
      </c>
      <c r="T4430">
        <v>0</v>
      </c>
      <c r="U4430">
        <v>16</v>
      </c>
      <c r="V4430">
        <v>0</v>
      </c>
      <c r="W4430">
        <v>0</v>
      </c>
      <c r="X4430">
        <v>0</v>
      </c>
      <c r="Y4430" t="s">
        <v>51</v>
      </c>
      <c r="Z4430">
        <v>55</v>
      </c>
      <c r="AA4430">
        <v>0</v>
      </c>
    </row>
    <row r="4431" spans="1:27" x14ac:dyDescent="0.2">
      <c r="A4431" t="s">
        <v>1048</v>
      </c>
      <c r="B4431">
        <v>2022</v>
      </c>
      <c r="C4431" t="s">
        <v>3336</v>
      </c>
      <c r="D4431" t="s">
        <v>5497</v>
      </c>
      <c r="E4431" t="s">
        <v>29</v>
      </c>
      <c r="F4431" t="s">
        <v>30</v>
      </c>
      <c r="G4431">
        <v>0</v>
      </c>
      <c r="H4431">
        <v>0</v>
      </c>
      <c r="I4431">
        <v>0</v>
      </c>
      <c r="J4431">
        <v>0</v>
      </c>
      <c r="K4431">
        <v>0</v>
      </c>
      <c r="L4431">
        <v>0</v>
      </c>
      <c r="M4431">
        <v>0</v>
      </c>
      <c r="N4431">
        <v>0</v>
      </c>
      <c r="O4431">
        <v>8</v>
      </c>
      <c r="P4431">
        <v>0</v>
      </c>
      <c r="Q4431">
        <v>0</v>
      </c>
      <c r="R4431">
        <v>0</v>
      </c>
      <c r="S4431">
        <v>0</v>
      </c>
      <c r="T4431">
        <v>0</v>
      </c>
      <c r="U4431">
        <v>8</v>
      </c>
      <c r="V4431">
        <v>0</v>
      </c>
      <c r="W4431">
        <v>0</v>
      </c>
      <c r="X4431">
        <v>0</v>
      </c>
      <c r="Y4431" t="s">
        <v>51</v>
      </c>
      <c r="Z4431">
        <v>55</v>
      </c>
      <c r="AA4431">
        <v>0</v>
      </c>
    </row>
    <row r="4432" spans="1:27" x14ac:dyDescent="0.2">
      <c r="A4432" t="s">
        <v>85</v>
      </c>
      <c r="B4432">
        <v>2024</v>
      </c>
      <c r="C4432" t="s">
        <v>5498</v>
      </c>
      <c r="D4432" t="s">
        <v>1275</v>
      </c>
      <c r="E4432" t="s">
        <v>29</v>
      </c>
      <c r="F4432" t="s">
        <v>30</v>
      </c>
      <c r="G4432">
        <v>0</v>
      </c>
      <c r="H4432">
        <v>0</v>
      </c>
      <c r="I4432">
        <v>0</v>
      </c>
      <c r="J4432">
        <v>0</v>
      </c>
      <c r="K4432">
        <v>0</v>
      </c>
      <c r="L4432">
        <v>0</v>
      </c>
      <c r="M4432">
        <v>0</v>
      </c>
      <c r="N4432">
        <v>0</v>
      </c>
      <c r="O4432">
        <v>0</v>
      </c>
      <c r="P4432">
        <v>0</v>
      </c>
      <c r="Q4432">
        <v>0</v>
      </c>
      <c r="R4432">
        <v>0</v>
      </c>
      <c r="S4432">
        <v>19</v>
      </c>
      <c r="T4432">
        <v>0</v>
      </c>
      <c r="U4432">
        <v>43</v>
      </c>
      <c r="V4432">
        <v>0</v>
      </c>
      <c r="W4432">
        <v>0</v>
      </c>
      <c r="X4432">
        <v>0</v>
      </c>
      <c r="Y4432" t="s">
        <v>31</v>
      </c>
      <c r="Z4432">
        <v>55</v>
      </c>
      <c r="AA4432" s="2" t="s">
        <v>5499</v>
      </c>
    </row>
    <row r="4433" spans="1:27" x14ac:dyDescent="0.2">
      <c r="A4433" t="s">
        <v>1805</v>
      </c>
      <c r="B4433">
        <v>2024</v>
      </c>
      <c r="C4433">
        <v>8311001016</v>
      </c>
      <c r="D4433" t="s">
        <v>5500</v>
      </c>
      <c r="E4433" t="s">
        <v>29</v>
      </c>
      <c r="F4433" t="s">
        <v>41</v>
      </c>
      <c r="G4433">
        <v>0</v>
      </c>
      <c r="H4433">
        <v>0</v>
      </c>
      <c r="I4433">
        <v>0</v>
      </c>
      <c r="J4433">
        <v>0</v>
      </c>
      <c r="K4433">
        <v>0</v>
      </c>
      <c r="L4433">
        <v>0</v>
      </c>
      <c r="M4433">
        <v>1</v>
      </c>
      <c r="N4433">
        <v>0</v>
      </c>
      <c r="O4433">
        <v>0</v>
      </c>
      <c r="P4433">
        <v>0</v>
      </c>
      <c r="Q4433">
        <v>0</v>
      </c>
      <c r="R4433">
        <v>0</v>
      </c>
      <c r="S4433">
        <v>0</v>
      </c>
      <c r="T4433">
        <v>0</v>
      </c>
      <c r="U4433">
        <v>0</v>
      </c>
      <c r="V4433">
        <v>0</v>
      </c>
      <c r="W4433">
        <v>0</v>
      </c>
      <c r="X4433">
        <v>0</v>
      </c>
      <c r="Y4433" t="s">
        <v>31</v>
      </c>
      <c r="AA4433" s="2" t="s">
        <v>3299</v>
      </c>
    </row>
    <row r="4434" spans="1:27" x14ac:dyDescent="0.2">
      <c r="A4434" t="s">
        <v>792</v>
      </c>
      <c r="B4434">
        <v>2024</v>
      </c>
      <c r="C4434">
        <v>39032215</v>
      </c>
      <c r="D4434" t="s">
        <v>5501</v>
      </c>
      <c r="E4434" t="s">
        <v>29</v>
      </c>
      <c r="F4434" t="s">
        <v>30</v>
      </c>
      <c r="G4434">
        <v>0</v>
      </c>
      <c r="H4434">
        <v>0</v>
      </c>
      <c r="I4434">
        <v>0</v>
      </c>
      <c r="J4434">
        <v>0</v>
      </c>
      <c r="K4434">
        <v>0</v>
      </c>
      <c r="L4434">
        <v>0</v>
      </c>
      <c r="M4434">
        <v>0</v>
      </c>
      <c r="N4434">
        <v>0</v>
      </c>
      <c r="O4434">
        <v>56</v>
      </c>
      <c r="P4434">
        <v>0</v>
      </c>
      <c r="Q4434">
        <v>0</v>
      </c>
      <c r="R4434">
        <v>0</v>
      </c>
      <c r="S4434">
        <v>0</v>
      </c>
      <c r="T4434">
        <v>0</v>
      </c>
      <c r="U4434">
        <v>0</v>
      </c>
      <c r="V4434">
        <v>0</v>
      </c>
      <c r="W4434">
        <v>0</v>
      </c>
      <c r="X4434">
        <v>0</v>
      </c>
      <c r="Y4434" t="s">
        <v>31</v>
      </c>
      <c r="Z4434">
        <v>55</v>
      </c>
      <c r="AA4434" s="2" t="s">
        <v>3514</v>
      </c>
    </row>
    <row r="4435" spans="1:27" x14ac:dyDescent="0.2">
      <c r="A4435" t="s">
        <v>2604</v>
      </c>
      <c r="B4435">
        <v>2024</v>
      </c>
      <c r="C4435" t="s">
        <v>2605</v>
      </c>
      <c r="D4435" t="s">
        <v>5502</v>
      </c>
      <c r="E4435" t="s">
        <v>29</v>
      </c>
      <c r="F4435" t="s">
        <v>30</v>
      </c>
      <c r="G4435">
        <v>0</v>
      </c>
      <c r="H4435">
        <v>0</v>
      </c>
      <c r="I4435">
        <v>0</v>
      </c>
      <c r="J4435">
        <v>0</v>
      </c>
      <c r="K4435">
        <v>0</v>
      </c>
      <c r="L4435">
        <v>0</v>
      </c>
      <c r="M4435">
        <v>0</v>
      </c>
      <c r="N4435">
        <v>0</v>
      </c>
      <c r="O4435">
        <v>10</v>
      </c>
      <c r="P4435">
        <v>0</v>
      </c>
      <c r="Q4435">
        <v>0</v>
      </c>
      <c r="R4435">
        <v>0</v>
      </c>
      <c r="S4435">
        <v>0</v>
      </c>
      <c r="T4435">
        <v>0</v>
      </c>
      <c r="U4435">
        <v>0</v>
      </c>
      <c r="V4435">
        <v>0</v>
      </c>
      <c r="W4435">
        <v>0</v>
      </c>
      <c r="X4435">
        <v>0</v>
      </c>
      <c r="Y4435" t="s">
        <v>51</v>
      </c>
      <c r="Z4435">
        <v>55</v>
      </c>
      <c r="AA4435">
        <v>0</v>
      </c>
    </row>
    <row r="4436" spans="1:27" x14ac:dyDescent="0.2">
      <c r="A4436" t="s">
        <v>2614</v>
      </c>
      <c r="B4436">
        <v>2024</v>
      </c>
      <c r="C4436">
        <v>2546121400</v>
      </c>
      <c r="D4436" t="s">
        <v>5503</v>
      </c>
      <c r="E4436" t="s">
        <v>29</v>
      </c>
      <c r="F4436" t="s">
        <v>30</v>
      </c>
      <c r="G4436">
        <v>0</v>
      </c>
      <c r="H4436">
        <v>0</v>
      </c>
      <c r="I4436">
        <v>0</v>
      </c>
      <c r="J4436">
        <v>0</v>
      </c>
      <c r="K4436">
        <v>0</v>
      </c>
      <c r="L4436">
        <v>0</v>
      </c>
      <c r="M4436">
        <v>1</v>
      </c>
      <c r="N4436">
        <v>0</v>
      </c>
      <c r="O4436">
        <v>0</v>
      </c>
      <c r="P4436">
        <v>0</v>
      </c>
      <c r="Q4436">
        <v>0</v>
      </c>
      <c r="R4436">
        <v>0</v>
      </c>
      <c r="S4436">
        <v>0</v>
      </c>
      <c r="T4436">
        <v>0</v>
      </c>
      <c r="U4436">
        <v>0</v>
      </c>
      <c r="V4436">
        <v>0</v>
      </c>
      <c r="W4436">
        <v>0</v>
      </c>
      <c r="X4436">
        <v>0</v>
      </c>
      <c r="Y4436" t="s">
        <v>31</v>
      </c>
      <c r="Z4436">
        <v>1000</v>
      </c>
      <c r="AA4436">
        <v>0</v>
      </c>
    </row>
    <row r="4437" spans="1:27" x14ac:dyDescent="0.2">
      <c r="A4437" t="s">
        <v>2614</v>
      </c>
      <c r="B4437">
        <v>2024</v>
      </c>
      <c r="C4437">
        <v>2546121400</v>
      </c>
      <c r="D4437" t="s">
        <v>5504</v>
      </c>
      <c r="E4437" t="s">
        <v>29</v>
      </c>
      <c r="F4437" t="s">
        <v>30</v>
      </c>
      <c r="G4437">
        <v>0</v>
      </c>
      <c r="H4437">
        <v>0</v>
      </c>
      <c r="I4437">
        <v>0</v>
      </c>
      <c r="J4437">
        <v>0</v>
      </c>
      <c r="K4437">
        <v>0</v>
      </c>
      <c r="L4437">
        <v>0</v>
      </c>
      <c r="M4437">
        <v>1</v>
      </c>
      <c r="N4437">
        <v>0</v>
      </c>
      <c r="O4437">
        <v>0</v>
      </c>
      <c r="P4437">
        <v>0</v>
      </c>
      <c r="Q4437">
        <v>0</v>
      </c>
      <c r="R4437">
        <v>0</v>
      </c>
      <c r="S4437">
        <v>0</v>
      </c>
      <c r="T4437">
        <v>0</v>
      </c>
      <c r="U4437">
        <v>0</v>
      </c>
      <c r="V4437">
        <v>0</v>
      </c>
      <c r="W4437">
        <v>0</v>
      </c>
      <c r="X4437">
        <v>0</v>
      </c>
      <c r="Y4437" t="s">
        <v>31</v>
      </c>
      <c r="Z4437">
        <v>55</v>
      </c>
      <c r="AA4437">
        <v>0</v>
      </c>
    </row>
    <row r="4438" spans="1:27" x14ac:dyDescent="0.2">
      <c r="A4438" t="s">
        <v>1558</v>
      </c>
      <c r="B4438">
        <v>2024</v>
      </c>
      <c r="C4438" t="s">
        <v>1559</v>
      </c>
      <c r="D4438" t="s">
        <v>2394</v>
      </c>
      <c r="E4438" t="s">
        <v>29</v>
      </c>
      <c r="F4438" t="s">
        <v>41</v>
      </c>
      <c r="G4438">
        <v>0</v>
      </c>
      <c r="H4438">
        <v>0</v>
      </c>
      <c r="I4438">
        <v>1</v>
      </c>
      <c r="J4438">
        <v>0</v>
      </c>
      <c r="K4438">
        <v>0</v>
      </c>
      <c r="L4438">
        <v>0</v>
      </c>
      <c r="M4438">
        <v>0</v>
      </c>
      <c r="N4438">
        <v>0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0</v>
      </c>
      <c r="V4438">
        <v>0</v>
      </c>
      <c r="W4438">
        <v>0</v>
      </c>
      <c r="X4438">
        <v>0</v>
      </c>
      <c r="Y4438" t="s">
        <v>31</v>
      </c>
      <c r="AA4438">
        <v>0</v>
      </c>
    </row>
    <row r="4439" spans="1:27" x14ac:dyDescent="0.2">
      <c r="A4439" t="s">
        <v>1418</v>
      </c>
      <c r="B4439">
        <v>2024</v>
      </c>
      <c r="C4439" t="s">
        <v>5505</v>
      </c>
      <c r="D4439" t="s">
        <v>5506</v>
      </c>
      <c r="E4439" t="s">
        <v>29</v>
      </c>
      <c r="F4439" t="s">
        <v>30</v>
      </c>
      <c r="G4439">
        <v>2</v>
      </c>
      <c r="H4439">
        <v>0</v>
      </c>
      <c r="I4439">
        <v>6</v>
      </c>
      <c r="J4439">
        <v>0</v>
      </c>
      <c r="K4439">
        <v>0</v>
      </c>
      <c r="L4439">
        <v>0</v>
      </c>
      <c r="M4439">
        <v>0</v>
      </c>
      <c r="N4439">
        <v>0</v>
      </c>
      <c r="O4439">
        <v>0</v>
      </c>
      <c r="P4439">
        <v>0</v>
      </c>
      <c r="Q4439">
        <v>0</v>
      </c>
      <c r="R4439">
        <v>0</v>
      </c>
      <c r="S4439">
        <v>0</v>
      </c>
      <c r="T4439">
        <v>0</v>
      </c>
      <c r="U4439">
        <v>0</v>
      </c>
      <c r="V4439">
        <v>0</v>
      </c>
      <c r="W4439">
        <v>0</v>
      </c>
      <c r="X4439">
        <v>0</v>
      </c>
      <c r="Y4439" t="s">
        <v>31</v>
      </c>
      <c r="Z4439">
        <v>55</v>
      </c>
      <c r="AA4439">
        <v>0.5</v>
      </c>
    </row>
    <row r="4440" spans="1:27" x14ac:dyDescent="0.2">
      <c r="A4440" t="s">
        <v>1637</v>
      </c>
      <c r="B4440">
        <v>2024</v>
      </c>
      <c r="C4440" t="s">
        <v>5507</v>
      </c>
      <c r="D4440" t="s">
        <v>5508</v>
      </c>
      <c r="E4440" t="s">
        <v>29</v>
      </c>
      <c r="F4440" t="s">
        <v>30</v>
      </c>
      <c r="G4440">
        <v>22</v>
      </c>
      <c r="H4440">
        <v>0</v>
      </c>
      <c r="I4440">
        <v>22</v>
      </c>
      <c r="J4440">
        <v>0</v>
      </c>
      <c r="K4440">
        <v>0</v>
      </c>
      <c r="L4440">
        <v>0</v>
      </c>
      <c r="M4440">
        <v>0</v>
      </c>
      <c r="N4440">
        <v>0</v>
      </c>
      <c r="O4440">
        <v>0</v>
      </c>
      <c r="P4440">
        <v>0</v>
      </c>
      <c r="Q4440">
        <v>0</v>
      </c>
      <c r="R4440">
        <v>0</v>
      </c>
      <c r="S4440">
        <v>0</v>
      </c>
      <c r="T4440">
        <v>0</v>
      </c>
      <c r="U4440">
        <v>0</v>
      </c>
      <c r="V4440">
        <v>0</v>
      </c>
      <c r="W4440">
        <v>0</v>
      </c>
      <c r="X4440">
        <v>0</v>
      </c>
      <c r="Y4440" t="s">
        <v>31</v>
      </c>
      <c r="Z4440">
        <v>55</v>
      </c>
      <c r="AA4440">
        <v>0</v>
      </c>
    </row>
    <row r="4441" spans="1:27" x14ac:dyDescent="0.2">
      <c r="A4441" t="s">
        <v>1247</v>
      </c>
      <c r="B4441">
        <v>2024</v>
      </c>
      <c r="C4441" s="2" t="s">
        <v>5509</v>
      </c>
      <c r="D4441" t="s">
        <v>3255</v>
      </c>
      <c r="E4441" t="s">
        <v>29</v>
      </c>
      <c r="F4441" t="s">
        <v>30</v>
      </c>
      <c r="G4441">
        <v>0</v>
      </c>
      <c r="H4441">
        <v>0</v>
      </c>
      <c r="I4441">
        <v>0</v>
      </c>
      <c r="J4441">
        <v>0</v>
      </c>
      <c r="K4441">
        <v>0</v>
      </c>
      <c r="L4441">
        <v>0</v>
      </c>
      <c r="M4441">
        <v>0</v>
      </c>
      <c r="N4441">
        <v>0</v>
      </c>
      <c r="O4441">
        <v>0</v>
      </c>
      <c r="P4441">
        <v>0</v>
      </c>
      <c r="Q4441">
        <v>0</v>
      </c>
      <c r="R4441">
        <v>0</v>
      </c>
      <c r="S4441">
        <v>67</v>
      </c>
      <c r="T4441">
        <v>0</v>
      </c>
      <c r="U4441">
        <v>67</v>
      </c>
      <c r="V4441">
        <v>0</v>
      </c>
      <c r="W4441">
        <v>15</v>
      </c>
      <c r="X4441">
        <v>0</v>
      </c>
      <c r="Y4441" t="s">
        <v>31</v>
      </c>
      <c r="Z4441">
        <v>55</v>
      </c>
      <c r="AA4441">
        <v>1</v>
      </c>
    </row>
    <row r="4442" spans="1:27" x14ac:dyDescent="0.2">
      <c r="A4442" t="s">
        <v>3560</v>
      </c>
      <c r="B4442">
        <v>2024</v>
      </c>
      <c r="C4442" t="s">
        <v>3561</v>
      </c>
      <c r="D4442" t="s">
        <v>5510</v>
      </c>
      <c r="E4442" t="s">
        <v>29</v>
      </c>
      <c r="F4442" t="s">
        <v>30</v>
      </c>
      <c r="G4442">
        <v>0</v>
      </c>
      <c r="H4442">
        <v>0</v>
      </c>
      <c r="I4442">
        <v>0</v>
      </c>
      <c r="J4442">
        <v>0</v>
      </c>
      <c r="K4442">
        <v>0</v>
      </c>
      <c r="L4442">
        <v>0</v>
      </c>
      <c r="M4442">
        <v>3</v>
      </c>
      <c r="N4442">
        <v>3</v>
      </c>
      <c r="O4442">
        <v>0</v>
      </c>
      <c r="P4442">
        <v>24</v>
      </c>
      <c r="Q4442">
        <v>0</v>
      </c>
      <c r="R4442">
        <v>0</v>
      </c>
      <c r="S4442">
        <v>0</v>
      </c>
      <c r="T4442">
        <v>0</v>
      </c>
      <c r="U4442">
        <v>0</v>
      </c>
      <c r="V4442">
        <v>0</v>
      </c>
      <c r="W4442">
        <v>0</v>
      </c>
      <c r="X4442">
        <v>0</v>
      </c>
      <c r="Y4442" t="s">
        <v>31</v>
      </c>
      <c r="Z4442">
        <v>55</v>
      </c>
      <c r="AA4442">
        <v>0</v>
      </c>
    </row>
    <row r="4443" spans="1:27" x14ac:dyDescent="0.2">
      <c r="A4443" t="s">
        <v>88</v>
      </c>
      <c r="B4443">
        <v>2024</v>
      </c>
      <c r="C4443" t="s">
        <v>5511</v>
      </c>
      <c r="D4443" t="s">
        <v>5512</v>
      </c>
      <c r="E4443" t="s">
        <v>29</v>
      </c>
      <c r="F4443" t="s">
        <v>30</v>
      </c>
      <c r="G4443">
        <v>0</v>
      </c>
      <c r="H4443">
        <v>0</v>
      </c>
      <c r="I4443">
        <v>0</v>
      </c>
      <c r="J4443">
        <v>0</v>
      </c>
      <c r="K4443">
        <v>0</v>
      </c>
      <c r="L4443">
        <v>0</v>
      </c>
      <c r="M4443">
        <v>0</v>
      </c>
      <c r="N4443">
        <v>0</v>
      </c>
      <c r="O4443">
        <v>0</v>
      </c>
      <c r="P4443">
        <v>0</v>
      </c>
      <c r="Q4443">
        <v>0</v>
      </c>
      <c r="R4443">
        <v>0</v>
      </c>
      <c r="S4443">
        <v>39</v>
      </c>
      <c r="T4443">
        <v>0</v>
      </c>
      <c r="U4443">
        <v>40</v>
      </c>
      <c r="V4443">
        <v>0</v>
      </c>
      <c r="W4443">
        <v>0</v>
      </c>
      <c r="X4443">
        <v>0</v>
      </c>
      <c r="Y4443" t="s">
        <v>31</v>
      </c>
      <c r="Z4443">
        <v>55</v>
      </c>
      <c r="AA4443" s="2" t="s">
        <v>5513</v>
      </c>
    </row>
    <row r="4444" spans="1:27" x14ac:dyDescent="0.2">
      <c r="A4444" t="s">
        <v>1678</v>
      </c>
      <c r="B4444">
        <v>2024</v>
      </c>
      <c r="C4444">
        <v>54012120</v>
      </c>
      <c r="D4444" t="s">
        <v>4206</v>
      </c>
      <c r="E4444" t="s">
        <v>29</v>
      </c>
      <c r="F4444" t="s">
        <v>30</v>
      </c>
      <c r="G4444">
        <v>0</v>
      </c>
      <c r="H4444">
        <v>0</v>
      </c>
      <c r="I4444">
        <v>0</v>
      </c>
      <c r="J4444">
        <v>0</v>
      </c>
      <c r="K4444">
        <v>0</v>
      </c>
      <c r="L4444">
        <v>0</v>
      </c>
      <c r="M4444">
        <v>24</v>
      </c>
      <c r="N4444">
        <v>0</v>
      </c>
      <c r="O4444">
        <v>95</v>
      </c>
      <c r="P4444">
        <v>0</v>
      </c>
      <c r="Q4444">
        <v>0</v>
      </c>
      <c r="R4444">
        <v>0</v>
      </c>
      <c r="S4444">
        <v>0</v>
      </c>
      <c r="T4444">
        <v>0</v>
      </c>
      <c r="U4444">
        <v>0</v>
      </c>
      <c r="V4444">
        <v>0</v>
      </c>
      <c r="W4444">
        <v>0</v>
      </c>
      <c r="X4444">
        <v>0</v>
      </c>
      <c r="Y4444" t="s">
        <v>31</v>
      </c>
      <c r="Z4444">
        <v>55</v>
      </c>
      <c r="AA4444">
        <v>0</v>
      </c>
    </row>
    <row r="4445" spans="1:27" x14ac:dyDescent="0.2">
      <c r="A4445" t="s">
        <v>353</v>
      </c>
      <c r="B4445">
        <v>2024</v>
      </c>
      <c r="C4445">
        <v>2042920100</v>
      </c>
      <c r="D4445" t="s">
        <v>5514</v>
      </c>
      <c r="E4445" t="s">
        <v>29</v>
      </c>
      <c r="F4445" t="s">
        <v>30</v>
      </c>
      <c r="G4445">
        <v>0</v>
      </c>
      <c r="H4445">
        <v>0</v>
      </c>
      <c r="I4445">
        <v>0</v>
      </c>
      <c r="J4445">
        <v>0</v>
      </c>
      <c r="K4445">
        <v>0</v>
      </c>
      <c r="L4445">
        <v>0</v>
      </c>
      <c r="M4445">
        <v>0</v>
      </c>
      <c r="N4445">
        <v>0</v>
      </c>
      <c r="O4445">
        <v>0</v>
      </c>
      <c r="P4445">
        <v>0</v>
      </c>
      <c r="Q4445">
        <v>0</v>
      </c>
      <c r="R4445">
        <v>0</v>
      </c>
      <c r="S4445">
        <v>0</v>
      </c>
      <c r="T4445">
        <v>0</v>
      </c>
      <c r="U4445">
        <v>12</v>
      </c>
      <c r="V4445">
        <v>0</v>
      </c>
      <c r="W4445">
        <v>0</v>
      </c>
      <c r="X4445">
        <v>0</v>
      </c>
      <c r="Y4445" t="s">
        <v>51</v>
      </c>
      <c r="Z4445">
        <v>55</v>
      </c>
      <c r="AA4445">
        <v>0</v>
      </c>
    </row>
    <row r="4446" spans="1:27" x14ac:dyDescent="0.2">
      <c r="A4446" t="s">
        <v>1509</v>
      </c>
      <c r="B4446">
        <v>2024</v>
      </c>
      <c r="C4446">
        <v>1560180485</v>
      </c>
      <c r="D4446" t="s">
        <v>5515</v>
      </c>
      <c r="E4446" t="s">
        <v>29</v>
      </c>
      <c r="F4446" t="s">
        <v>30</v>
      </c>
      <c r="G4446">
        <v>0</v>
      </c>
      <c r="H4446">
        <v>0</v>
      </c>
      <c r="I4446">
        <v>0</v>
      </c>
      <c r="J4446">
        <v>0</v>
      </c>
      <c r="K4446">
        <v>0</v>
      </c>
      <c r="L4446">
        <v>0</v>
      </c>
      <c r="M4446">
        <v>0</v>
      </c>
      <c r="N4446">
        <v>0</v>
      </c>
      <c r="O4446">
        <v>0</v>
      </c>
      <c r="P4446">
        <v>0</v>
      </c>
      <c r="Q4446">
        <v>0</v>
      </c>
      <c r="R4446">
        <v>0</v>
      </c>
      <c r="S4446">
        <v>0</v>
      </c>
      <c r="T4446">
        <v>0</v>
      </c>
      <c r="U4446">
        <v>12</v>
      </c>
      <c r="V4446">
        <v>0</v>
      </c>
      <c r="W4446">
        <v>0</v>
      </c>
      <c r="X4446">
        <v>0</v>
      </c>
      <c r="Y4446" t="s">
        <v>51</v>
      </c>
      <c r="Z4446">
        <v>1000</v>
      </c>
      <c r="AA4446">
        <v>0</v>
      </c>
    </row>
    <row r="4447" spans="1:27" x14ac:dyDescent="0.2">
      <c r="A4447" t="s">
        <v>1509</v>
      </c>
      <c r="B4447">
        <v>2024</v>
      </c>
      <c r="C4447">
        <v>1560200025</v>
      </c>
      <c r="D4447" t="s">
        <v>5516</v>
      </c>
      <c r="E4447" t="s">
        <v>29</v>
      </c>
      <c r="F4447" t="s">
        <v>30</v>
      </c>
      <c r="G4447">
        <v>0</v>
      </c>
      <c r="H4447">
        <v>0</v>
      </c>
      <c r="I4447">
        <v>0</v>
      </c>
      <c r="J4447">
        <v>0</v>
      </c>
      <c r="K4447">
        <v>0</v>
      </c>
      <c r="L4447">
        <v>0</v>
      </c>
      <c r="M4447">
        <v>0</v>
      </c>
      <c r="N4447">
        <v>0</v>
      </c>
      <c r="O4447">
        <v>0</v>
      </c>
      <c r="P4447">
        <v>0</v>
      </c>
      <c r="Q4447">
        <v>0</v>
      </c>
      <c r="R4447">
        <v>0</v>
      </c>
      <c r="S4447">
        <v>12</v>
      </c>
      <c r="T4447">
        <v>0</v>
      </c>
      <c r="U4447">
        <v>0</v>
      </c>
      <c r="V4447">
        <v>0</v>
      </c>
      <c r="W4447">
        <v>0</v>
      </c>
      <c r="X4447">
        <v>0</v>
      </c>
      <c r="Y4447" t="s">
        <v>51</v>
      </c>
      <c r="Z4447">
        <v>1000</v>
      </c>
      <c r="AA4447">
        <v>0</v>
      </c>
    </row>
    <row r="4448" spans="1:27" x14ac:dyDescent="0.2">
      <c r="A4448" t="s">
        <v>1509</v>
      </c>
      <c r="B4448">
        <v>2024</v>
      </c>
      <c r="C4448">
        <v>1560180485</v>
      </c>
      <c r="D4448" t="s">
        <v>5517</v>
      </c>
      <c r="E4448" t="s">
        <v>29</v>
      </c>
      <c r="F4448" t="s">
        <v>30</v>
      </c>
      <c r="G4448">
        <v>0</v>
      </c>
      <c r="H4448">
        <v>0</v>
      </c>
      <c r="I4448">
        <v>0</v>
      </c>
      <c r="J4448">
        <v>0</v>
      </c>
      <c r="K4448">
        <v>0</v>
      </c>
      <c r="L4448">
        <v>0</v>
      </c>
      <c r="M4448">
        <v>0</v>
      </c>
      <c r="N4448">
        <v>0</v>
      </c>
      <c r="O4448">
        <v>0</v>
      </c>
      <c r="P4448">
        <v>0</v>
      </c>
      <c r="Q4448">
        <v>0</v>
      </c>
      <c r="R4448">
        <v>0</v>
      </c>
      <c r="S4448">
        <v>12</v>
      </c>
      <c r="T4448">
        <v>0</v>
      </c>
      <c r="U4448">
        <v>0</v>
      </c>
      <c r="V4448">
        <v>0</v>
      </c>
      <c r="W4448">
        <v>0</v>
      </c>
      <c r="X4448">
        <v>0</v>
      </c>
      <c r="Y4448" t="s">
        <v>51</v>
      </c>
      <c r="Z4448">
        <v>1000</v>
      </c>
      <c r="AA4448">
        <v>0</v>
      </c>
    </row>
    <row r="4449" spans="1:27" ht="102" x14ac:dyDescent="0.2">
      <c r="A4449" t="s">
        <v>1802</v>
      </c>
      <c r="B4449">
        <v>2024</v>
      </c>
      <c r="C4449" t="s">
        <v>5518</v>
      </c>
      <c r="D4449" s="1" t="s">
        <v>5519</v>
      </c>
      <c r="E4449" t="s">
        <v>29</v>
      </c>
      <c r="F4449" t="s">
        <v>30</v>
      </c>
      <c r="G4449">
        <v>10</v>
      </c>
      <c r="H4449">
        <v>0</v>
      </c>
      <c r="I4449">
        <v>3</v>
      </c>
      <c r="J4449">
        <v>0</v>
      </c>
      <c r="K4449">
        <v>0</v>
      </c>
      <c r="L4449">
        <v>0</v>
      </c>
      <c r="M4449">
        <v>0</v>
      </c>
      <c r="N4449">
        <v>0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0</v>
      </c>
      <c r="U4449">
        <v>0</v>
      </c>
      <c r="V4449">
        <v>0</v>
      </c>
      <c r="W4449">
        <v>0</v>
      </c>
      <c r="X4449">
        <v>0</v>
      </c>
      <c r="Y4449" t="s">
        <v>31</v>
      </c>
      <c r="Z4449">
        <v>1000</v>
      </c>
      <c r="AA4449" s="2" t="s">
        <v>3316</v>
      </c>
    </row>
    <row r="4450" spans="1:27" ht="102" x14ac:dyDescent="0.2">
      <c r="A4450" t="s">
        <v>1802</v>
      </c>
      <c r="B4450">
        <v>2024</v>
      </c>
      <c r="C4450" t="s">
        <v>5520</v>
      </c>
      <c r="D4450" s="1" t="s">
        <v>5521</v>
      </c>
      <c r="E4450" t="s">
        <v>29</v>
      </c>
      <c r="F4450" t="s">
        <v>30</v>
      </c>
      <c r="G4450">
        <v>4</v>
      </c>
      <c r="H4450">
        <v>0</v>
      </c>
      <c r="I4450">
        <v>4</v>
      </c>
      <c r="J4450">
        <v>0</v>
      </c>
      <c r="K4450">
        <v>7</v>
      </c>
      <c r="L4450">
        <v>0</v>
      </c>
      <c r="M4450">
        <v>0</v>
      </c>
      <c r="N4450">
        <v>0</v>
      </c>
      <c r="O4450">
        <v>0</v>
      </c>
      <c r="P4450">
        <v>0</v>
      </c>
      <c r="Q4450">
        <v>0</v>
      </c>
      <c r="R4450">
        <v>0</v>
      </c>
      <c r="S4450">
        <v>0</v>
      </c>
      <c r="T4450">
        <v>0</v>
      </c>
      <c r="U4450">
        <v>0</v>
      </c>
      <c r="V4450">
        <v>0</v>
      </c>
      <c r="W4450">
        <v>0</v>
      </c>
      <c r="X4450">
        <v>0</v>
      </c>
      <c r="Y4450" t="s">
        <v>31</v>
      </c>
      <c r="Z4450">
        <v>1000</v>
      </c>
      <c r="AA4450" s="2" t="s">
        <v>3299</v>
      </c>
    </row>
    <row r="4451" spans="1:27" ht="102" x14ac:dyDescent="0.2">
      <c r="A4451" t="s">
        <v>1802</v>
      </c>
      <c r="B4451">
        <v>2024</v>
      </c>
      <c r="C4451" t="s">
        <v>5522</v>
      </c>
      <c r="D4451" s="1" t="s">
        <v>5523</v>
      </c>
      <c r="E4451" t="s">
        <v>29</v>
      </c>
      <c r="F4451" t="s">
        <v>30</v>
      </c>
      <c r="G4451">
        <v>0</v>
      </c>
      <c r="H4451">
        <v>0</v>
      </c>
      <c r="I4451">
        <v>0</v>
      </c>
      <c r="J4451">
        <v>0</v>
      </c>
      <c r="K4451">
        <v>0</v>
      </c>
      <c r="L4451">
        <v>0</v>
      </c>
      <c r="M4451">
        <v>4</v>
      </c>
      <c r="N4451">
        <v>0</v>
      </c>
      <c r="O4451">
        <v>0</v>
      </c>
      <c r="P4451">
        <v>0</v>
      </c>
      <c r="Q4451">
        <v>0</v>
      </c>
      <c r="R4451">
        <v>0</v>
      </c>
      <c r="S4451">
        <v>0</v>
      </c>
      <c r="T4451">
        <v>0</v>
      </c>
      <c r="U4451">
        <v>0</v>
      </c>
      <c r="V4451">
        <v>0</v>
      </c>
      <c r="W4451">
        <v>0</v>
      </c>
      <c r="X4451">
        <v>0</v>
      </c>
      <c r="Y4451" t="s">
        <v>31</v>
      </c>
      <c r="Z4451">
        <v>1000</v>
      </c>
      <c r="AA4451" s="2" t="s">
        <v>5103</v>
      </c>
    </row>
    <row r="4452" spans="1:27" x14ac:dyDescent="0.2">
      <c r="A4452" t="s">
        <v>172</v>
      </c>
      <c r="B4452">
        <v>2024</v>
      </c>
      <c r="C4452" t="s">
        <v>5524</v>
      </c>
      <c r="D4452" t="s">
        <v>5525</v>
      </c>
      <c r="E4452" t="s">
        <v>29</v>
      </c>
      <c r="F4452" t="s">
        <v>30</v>
      </c>
      <c r="G4452">
        <v>20</v>
      </c>
      <c r="H4452">
        <v>0</v>
      </c>
      <c r="I4452">
        <v>0</v>
      </c>
      <c r="J4452">
        <v>0</v>
      </c>
      <c r="K4452">
        <v>0</v>
      </c>
      <c r="L4452">
        <v>0</v>
      </c>
      <c r="M4452">
        <v>0</v>
      </c>
      <c r="N4452">
        <v>0</v>
      </c>
      <c r="O4452">
        <v>0</v>
      </c>
      <c r="P4452">
        <v>0</v>
      </c>
      <c r="Q4452">
        <v>0</v>
      </c>
      <c r="R4452">
        <v>0</v>
      </c>
      <c r="S4452">
        <v>0</v>
      </c>
      <c r="T4452">
        <v>0</v>
      </c>
      <c r="U4452">
        <v>0</v>
      </c>
      <c r="V4452">
        <v>0</v>
      </c>
      <c r="W4452">
        <v>0</v>
      </c>
      <c r="X4452">
        <v>0</v>
      </c>
      <c r="Y4452" t="s">
        <v>31</v>
      </c>
      <c r="Z4452">
        <v>55</v>
      </c>
      <c r="AA4452">
        <v>0.5</v>
      </c>
    </row>
    <row r="4453" spans="1:27" x14ac:dyDescent="0.2">
      <c r="A4453" t="s">
        <v>584</v>
      </c>
      <c r="B4453">
        <v>2024</v>
      </c>
      <c r="C4453" t="s">
        <v>5526</v>
      </c>
      <c r="D4453" t="s">
        <v>5527</v>
      </c>
      <c r="E4453" t="s">
        <v>29</v>
      </c>
      <c r="F4453" t="s">
        <v>30</v>
      </c>
      <c r="G4453">
        <v>0</v>
      </c>
      <c r="H4453">
        <v>0</v>
      </c>
      <c r="I4453">
        <v>143</v>
      </c>
      <c r="J4453">
        <v>0</v>
      </c>
      <c r="K4453">
        <v>0</v>
      </c>
      <c r="L4453">
        <v>0</v>
      </c>
      <c r="M4453">
        <v>0</v>
      </c>
      <c r="N4453">
        <v>0</v>
      </c>
      <c r="O4453">
        <v>0</v>
      </c>
      <c r="P4453">
        <v>0</v>
      </c>
      <c r="Q4453">
        <v>0</v>
      </c>
      <c r="R4453">
        <v>0</v>
      </c>
      <c r="S4453">
        <v>0</v>
      </c>
      <c r="T4453">
        <v>0</v>
      </c>
      <c r="U4453">
        <v>0</v>
      </c>
      <c r="V4453">
        <v>0</v>
      </c>
      <c r="W4453">
        <v>0</v>
      </c>
      <c r="X4453">
        <v>0</v>
      </c>
      <c r="Y4453" t="s">
        <v>51</v>
      </c>
      <c r="AA4453">
        <v>0</v>
      </c>
    </row>
    <row r="4454" spans="1:27" x14ac:dyDescent="0.2">
      <c r="A4454" t="s">
        <v>172</v>
      </c>
      <c r="B4454">
        <v>2024</v>
      </c>
      <c r="C4454" t="s">
        <v>5528</v>
      </c>
      <c r="D4454" t="s">
        <v>5529</v>
      </c>
      <c r="E4454" t="s">
        <v>29</v>
      </c>
      <c r="F4454" t="s">
        <v>30</v>
      </c>
      <c r="G4454">
        <v>79</v>
      </c>
      <c r="H4454">
        <v>0</v>
      </c>
      <c r="I4454">
        <v>8</v>
      </c>
      <c r="J4454">
        <v>0</v>
      </c>
      <c r="K4454">
        <v>0</v>
      </c>
      <c r="L4454">
        <v>0</v>
      </c>
      <c r="M4454">
        <v>0</v>
      </c>
      <c r="N4454">
        <v>0</v>
      </c>
      <c r="O4454">
        <v>0</v>
      </c>
      <c r="P4454">
        <v>0</v>
      </c>
      <c r="Q4454">
        <v>0</v>
      </c>
      <c r="R4454">
        <v>0</v>
      </c>
      <c r="S4454">
        <v>0</v>
      </c>
      <c r="T4454">
        <v>0</v>
      </c>
      <c r="U4454">
        <v>0</v>
      </c>
      <c r="V4454">
        <v>0</v>
      </c>
      <c r="W4454">
        <v>0</v>
      </c>
      <c r="X4454">
        <v>0</v>
      </c>
      <c r="Y4454" t="s">
        <v>31</v>
      </c>
      <c r="Z4454">
        <v>55</v>
      </c>
      <c r="AA4454" s="2" t="s">
        <v>5323</v>
      </c>
    </row>
    <row r="4455" spans="1:27" x14ac:dyDescent="0.2">
      <c r="A4455" t="s">
        <v>172</v>
      </c>
      <c r="B4455">
        <v>2024</v>
      </c>
      <c r="C4455" t="s">
        <v>5530</v>
      </c>
      <c r="D4455" t="s">
        <v>5531</v>
      </c>
      <c r="E4455" t="s">
        <v>29</v>
      </c>
      <c r="F4455" t="s">
        <v>30</v>
      </c>
      <c r="G4455">
        <v>39</v>
      </c>
      <c r="H4455">
        <v>0</v>
      </c>
      <c r="I4455">
        <v>0</v>
      </c>
      <c r="J4455">
        <v>0</v>
      </c>
      <c r="K4455">
        <v>0</v>
      </c>
      <c r="L4455">
        <v>0</v>
      </c>
      <c r="M4455">
        <v>0</v>
      </c>
      <c r="N4455">
        <v>0</v>
      </c>
      <c r="O4455">
        <v>0</v>
      </c>
      <c r="P4455">
        <v>0</v>
      </c>
      <c r="Q4455">
        <v>0</v>
      </c>
      <c r="R4455">
        <v>0</v>
      </c>
      <c r="S4455">
        <v>0</v>
      </c>
      <c r="T4455">
        <v>0</v>
      </c>
      <c r="U4455">
        <v>0</v>
      </c>
      <c r="V4455">
        <v>0</v>
      </c>
      <c r="W4455">
        <v>0</v>
      </c>
      <c r="X4455">
        <v>0</v>
      </c>
      <c r="Y4455" t="s">
        <v>31</v>
      </c>
      <c r="Z4455">
        <v>55</v>
      </c>
      <c r="AA4455">
        <v>0.5</v>
      </c>
    </row>
    <row r="4456" spans="1:27" x14ac:dyDescent="0.2">
      <c r="A4456" t="s">
        <v>172</v>
      </c>
      <c r="B4456">
        <v>2024</v>
      </c>
      <c r="C4456" t="s">
        <v>5532</v>
      </c>
      <c r="D4456" t="s">
        <v>5533</v>
      </c>
      <c r="E4456" t="s">
        <v>29</v>
      </c>
      <c r="F4456" t="s">
        <v>30</v>
      </c>
      <c r="G4456">
        <v>0</v>
      </c>
      <c r="H4456">
        <v>0</v>
      </c>
      <c r="I4456">
        <v>0</v>
      </c>
      <c r="J4456">
        <v>0</v>
      </c>
      <c r="K4456">
        <v>30</v>
      </c>
      <c r="L4456">
        <v>0</v>
      </c>
      <c r="M4456">
        <v>0</v>
      </c>
      <c r="N4456">
        <v>0</v>
      </c>
      <c r="O4456">
        <v>0</v>
      </c>
      <c r="P4456">
        <v>0</v>
      </c>
      <c r="Q4456">
        <v>0</v>
      </c>
      <c r="R4456">
        <v>0</v>
      </c>
      <c r="S4456">
        <v>0</v>
      </c>
      <c r="T4456">
        <v>0</v>
      </c>
      <c r="U4456">
        <v>0</v>
      </c>
      <c r="V4456">
        <v>0</v>
      </c>
      <c r="W4456">
        <v>0</v>
      </c>
      <c r="X4456">
        <v>0</v>
      </c>
      <c r="Y4456" t="s">
        <v>31</v>
      </c>
      <c r="Z4456">
        <v>55</v>
      </c>
      <c r="AA4456" s="2" t="s">
        <v>3390</v>
      </c>
    </row>
    <row r="4457" spans="1:27" x14ac:dyDescent="0.2">
      <c r="A4457" t="s">
        <v>321</v>
      </c>
      <c r="B4457">
        <v>2024</v>
      </c>
      <c r="C4457" t="s">
        <v>2672</v>
      </c>
      <c r="D4457" t="s">
        <v>2673</v>
      </c>
      <c r="E4457" t="s">
        <v>29</v>
      </c>
      <c r="F4457" t="s">
        <v>30</v>
      </c>
      <c r="G4457">
        <v>0</v>
      </c>
      <c r="H4457">
        <v>0</v>
      </c>
      <c r="I4457">
        <v>0</v>
      </c>
      <c r="J4457">
        <v>0</v>
      </c>
      <c r="K4457">
        <v>0</v>
      </c>
      <c r="L4457">
        <v>0</v>
      </c>
      <c r="M4457">
        <v>0</v>
      </c>
      <c r="N4457">
        <v>0</v>
      </c>
      <c r="O4457">
        <v>0</v>
      </c>
      <c r="P4457">
        <v>0</v>
      </c>
      <c r="Q4457">
        <v>0</v>
      </c>
      <c r="R4457">
        <v>0</v>
      </c>
      <c r="S4457">
        <v>4</v>
      </c>
      <c r="T4457">
        <v>0</v>
      </c>
      <c r="U4457">
        <v>0</v>
      </c>
      <c r="V4457">
        <v>0</v>
      </c>
      <c r="W4457">
        <v>0</v>
      </c>
      <c r="X4457">
        <v>0</v>
      </c>
      <c r="Y4457" t="s">
        <v>51</v>
      </c>
      <c r="Z4457">
        <v>55</v>
      </c>
      <c r="AA4457">
        <v>0</v>
      </c>
    </row>
    <row r="4458" spans="1:27" x14ac:dyDescent="0.2">
      <c r="A4458" t="s">
        <v>321</v>
      </c>
      <c r="B4458">
        <v>2024</v>
      </c>
      <c r="C4458" s="3">
        <v>30235</v>
      </c>
      <c r="D4458" t="s">
        <v>5534</v>
      </c>
      <c r="E4458" t="s">
        <v>29</v>
      </c>
      <c r="F4458" t="s">
        <v>30</v>
      </c>
      <c r="G4458">
        <v>5</v>
      </c>
      <c r="H4458">
        <v>0</v>
      </c>
      <c r="I4458">
        <v>5</v>
      </c>
      <c r="J4458">
        <v>0</v>
      </c>
      <c r="K4458">
        <v>4</v>
      </c>
      <c r="L4458">
        <v>0</v>
      </c>
      <c r="M4458">
        <v>0</v>
      </c>
      <c r="N4458">
        <v>0</v>
      </c>
      <c r="O4458">
        <v>0</v>
      </c>
      <c r="P4458">
        <v>0</v>
      </c>
      <c r="Q4458">
        <v>0</v>
      </c>
      <c r="R4458">
        <v>0</v>
      </c>
      <c r="S4458">
        <v>0</v>
      </c>
      <c r="T4458">
        <v>0</v>
      </c>
      <c r="U4458">
        <v>0</v>
      </c>
      <c r="V4458">
        <v>0</v>
      </c>
      <c r="W4458">
        <v>0</v>
      </c>
      <c r="X4458">
        <v>0</v>
      </c>
      <c r="Y4458" t="s">
        <v>31</v>
      </c>
      <c r="Z4458">
        <v>55</v>
      </c>
      <c r="AA4458" s="2" t="s">
        <v>3244</v>
      </c>
    </row>
    <row r="4459" spans="1:27" x14ac:dyDescent="0.2">
      <c r="A4459" t="s">
        <v>1075</v>
      </c>
      <c r="B4459">
        <v>2024</v>
      </c>
      <c r="C4459" t="s">
        <v>2291</v>
      </c>
      <c r="D4459" t="s">
        <v>5535</v>
      </c>
      <c r="E4459" t="s">
        <v>29</v>
      </c>
      <c r="F4459" t="s">
        <v>30</v>
      </c>
      <c r="G4459">
        <v>0</v>
      </c>
      <c r="H4459">
        <v>0</v>
      </c>
      <c r="I4459">
        <v>0</v>
      </c>
      <c r="J4459">
        <v>0</v>
      </c>
      <c r="K4459">
        <v>0</v>
      </c>
      <c r="L4459">
        <v>0</v>
      </c>
      <c r="M4459">
        <v>0</v>
      </c>
      <c r="N4459">
        <v>0</v>
      </c>
      <c r="O4459">
        <v>0</v>
      </c>
      <c r="P4459">
        <v>0</v>
      </c>
      <c r="Q4459">
        <v>0</v>
      </c>
      <c r="R4459">
        <v>0</v>
      </c>
      <c r="S4459">
        <v>6</v>
      </c>
      <c r="T4459">
        <v>0</v>
      </c>
      <c r="U4459">
        <v>5</v>
      </c>
      <c r="V4459">
        <v>0</v>
      </c>
      <c r="W4459">
        <v>0</v>
      </c>
      <c r="X4459">
        <v>0</v>
      </c>
      <c r="Y4459" t="s">
        <v>31</v>
      </c>
      <c r="Z4459">
        <v>55</v>
      </c>
      <c r="AA4459" s="2" t="s">
        <v>5536</v>
      </c>
    </row>
    <row r="4460" spans="1:27" x14ac:dyDescent="0.2">
      <c r="A4460" t="s">
        <v>172</v>
      </c>
      <c r="B4460">
        <v>2024</v>
      </c>
      <c r="C4460" t="s">
        <v>5537</v>
      </c>
      <c r="D4460" t="s">
        <v>5538</v>
      </c>
      <c r="E4460" t="s">
        <v>29</v>
      </c>
      <c r="F4460" t="s">
        <v>30</v>
      </c>
      <c r="G4460">
        <v>65</v>
      </c>
      <c r="H4460">
        <v>0</v>
      </c>
      <c r="I4460">
        <v>29</v>
      </c>
      <c r="J4460">
        <v>0</v>
      </c>
      <c r="K4460">
        <v>0</v>
      </c>
      <c r="L4460">
        <v>0</v>
      </c>
      <c r="M4460">
        <v>65</v>
      </c>
      <c r="N4460">
        <v>0</v>
      </c>
      <c r="O4460">
        <v>29</v>
      </c>
      <c r="P4460">
        <v>0</v>
      </c>
      <c r="Q4460">
        <v>0</v>
      </c>
      <c r="R4460">
        <v>0</v>
      </c>
      <c r="S4460">
        <v>0</v>
      </c>
      <c r="T4460">
        <v>0</v>
      </c>
      <c r="U4460">
        <v>0</v>
      </c>
      <c r="V4460">
        <v>0</v>
      </c>
      <c r="W4460">
        <v>0</v>
      </c>
      <c r="X4460">
        <v>0</v>
      </c>
      <c r="Y4460" t="s">
        <v>31</v>
      </c>
      <c r="Z4460">
        <v>55</v>
      </c>
      <c r="AA4460" s="2" t="s">
        <v>5539</v>
      </c>
    </row>
    <row r="4461" spans="1:27" x14ac:dyDescent="0.2">
      <c r="A4461" t="s">
        <v>172</v>
      </c>
      <c r="B4461">
        <v>2024</v>
      </c>
      <c r="C4461" t="s">
        <v>181</v>
      </c>
      <c r="D4461" t="s">
        <v>182</v>
      </c>
      <c r="E4461" t="s">
        <v>29</v>
      </c>
      <c r="F4461" t="s">
        <v>30</v>
      </c>
      <c r="G4461">
        <v>0</v>
      </c>
      <c r="H4461">
        <v>0</v>
      </c>
      <c r="I4461">
        <v>0</v>
      </c>
      <c r="J4461">
        <v>0</v>
      </c>
      <c r="K4461">
        <v>0</v>
      </c>
      <c r="L4461">
        <v>0</v>
      </c>
      <c r="M4461">
        <v>0</v>
      </c>
      <c r="N4461">
        <v>0</v>
      </c>
      <c r="O4461">
        <v>0</v>
      </c>
      <c r="P4461">
        <v>0</v>
      </c>
      <c r="Q4461">
        <v>51</v>
      </c>
      <c r="R4461">
        <v>0</v>
      </c>
      <c r="S4461">
        <v>0</v>
      </c>
      <c r="T4461">
        <v>0</v>
      </c>
      <c r="U4461">
        <v>0</v>
      </c>
      <c r="V4461">
        <v>0</v>
      </c>
      <c r="W4461">
        <v>0</v>
      </c>
      <c r="X4461">
        <v>0</v>
      </c>
      <c r="Y4461" t="s">
        <v>31</v>
      </c>
      <c r="Z4461">
        <v>55</v>
      </c>
      <c r="AA4461" s="2" t="s">
        <v>5540</v>
      </c>
    </row>
    <row r="4462" spans="1:27" x14ac:dyDescent="0.2">
      <c r="A4462" t="s">
        <v>460</v>
      </c>
      <c r="B4462">
        <v>2024</v>
      </c>
      <c r="C4462" t="s">
        <v>461</v>
      </c>
      <c r="D4462" t="s">
        <v>715</v>
      </c>
      <c r="E4462" t="s">
        <v>29</v>
      </c>
      <c r="F4462" t="s">
        <v>30</v>
      </c>
      <c r="G4462">
        <v>0</v>
      </c>
      <c r="H4462">
        <v>0</v>
      </c>
      <c r="I4462">
        <v>0</v>
      </c>
      <c r="J4462">
        <v>0</v>
      </c>
      <c r="K4462">
        <v>0</v>
      </c>
      <c r="L4462">
        <v>0</v>
      </c>
      <c r="M4462">
        <v>0</v>
      </c>
      <c r="N4462">
        <v>0</v>
      </c>
      <c r="O4462">
        <v>0</v>
      </c>
      <c r="P4462">
        <v>0</v>
      </c>
      <c r="Q4462">
        <v>0</v>
      </c>
      <c r="R4462">
        <v>0</v>
      </c>
      <c r="S4462">
        <v>2</v>
      </c>
      <c r="T4462">
        <v>0</v>
      </c>
      <c r="U4462">
        <v>10</v>
      </c>
      <c r="V4462">
        <v>0</v>
      </c>
      <c r="W4462">
        <v>0</v>
      </c>
      <c r="X4462">
        <v>0</v>
      </c>
      <c r="Y4462" t="s">
        <v>31</v>
      </c>
      <c r="Z4462">
        <v>55</v>
      </c>
      <c r="AA4462" s="2" t="s">
        <v>5091</v>
      </c>
    </row>
    <row r="4463" spans="1:27" x14ac:dyDescent="0.2">
      <c r="A4463" t="s">
        <v>172</v>
      </c>
      <c r="B4463">
        <v>2024</v>
      </c>
      <c r="C4463" t="s">
        <v>5541</v>
      </c>
      <c r="D4463" t="s">
        <v>5542</v>
      </c>
      <c r="E4463" t="s">
        <v>29</v>
      </c>
      <c r="F4463" t="s">
        <v>30</v>
      </c>
      <c r="G4463">
        <v>0</v>
      </c>
      <c r="H4463">
        <v>0</v>
      </c>
      <c r="I4463">
        <v>0</v>
      </c>
      <c r="J4463">
        <v>0</v>
      </c>
      <c r="K4463">
        <v>0</v>
      </c>
      <c r="L4463">
        <v>0</v>
      </c>
      <c r="M4463">
        <v>0</v>
      </c>
      <c r="N4463">
        <v>0</v>
      </c>
      <c r="O4463">
        <v>0</v>
      </c>
      <c r="P4463">
        <v>0</v>
      </c>
      <c r="Q4463">
        <v>0</v>
      </c>
      <c r="R4463">
        <v>0</v>
      </c>
      <c r="S4463">
        <v>75</v>
      </c>
      <c r="T4463">
        <v>0</v>
      </c>
      <c r="U4463">
        <v>94</v>
      </c>
      <c r="V4463">
        <v>0</v>
      </c>
      <c r="W4463">
        <v>10</v>
      </c>
      <c r="X4463">
        <v>0</v>
      </c>
      <c r="Y4463" t="s">
        <v>51</v>
      </c>
      <c r="AA4463">
        <v>0</v>
      </c>
    </row>
    <row r="4464" spans="1:27" x14ac:dyDescent="0.2">
      <c r="A4464" t="s">
        <v>649</v>
      </c>
      <c r="B4464">
        <v>2024</v>
      </c>
      <c r="C4464">
        <v>3112003013</v>
      </c>
      <c r="D4464" t="s">
        <v>5543</v>
      </c>
      <c r="E4464" t="s">
        <v>29</v>
      </c>
      <c r="F4464" t="s">
        <v>30</v>
      </c>
      <c r="G4464">
        <v>0</v>
      </c>
      <c r="H4464">
        <v>0</v>
      </c>
      <c r="I4464">
        <v>0</v>
      </c>
      <c r="J4464">
        <v>0</v>
      </c>
      <c r="K4464">
        <v>0</v>
      </c>
      <c r="L4464">
        <v>0</v>
      </c>
      <c r="M4464">
        <v>0</v>
      </c>
      <c r="N4464">
        <v>0</v>
      </c>
      <c r="O4464">
        <v>0</v>
      </c>
      <c r="P4464">
        <v>0</v>
      </c>
      <c r="Q4464">
        <v>0</v>
      </c>
      <c r="R4464">
        <v>0</v>
      </c>
      <c r="S4464">
        <v>0</v>
      </c>
      <c r="T4464">
        <v>0</v>
      </c>
      <c r="U4464">
        <v>8</v>
      </c>
      <c r="V4464">
        <v>0</v>
      </c>
      <c r="W4464">
        <v>0</v>
      </c>
      <c r="X4464">
        <v>0</v>
      </c>
      <c r="Y4464" t="s">
        <v>31</v>
      </c>
      <c r="Z4464">
        <v>55</v>
      </c>
      <c r="AA4464">
        <v>0</v>
      </c>
    </row>
    <row r="4465" spans="1:27" x14ac:dyDescent="0.2">
      <c r="A4465" t="s">
        <v>649</v>
      </c>
      <c r="B4465">
        <v>2024</v>
      </c>
      <c r="C4465">
        <v>3148041001</v>
      </c>
      <c r="D4465" t="s">
        <v>5544</v>
      </c>
      <c r="E4465" t="s">
        <v>29</v>
      </c>
      <c r="F4465" t="s">
        <v>30</v>
      </c>
      <c r="G4465">
        <v>0</v>
      </c>
      <c r="H4465">
        <v>0</v>
      </c>
      <c r="I4465">
        <v>0</v>
      </c>
      <c r="J4465">
        <v>0</v>
      </c>
      <c r="K4465">
        <v>0</v>
      </c>
      <c r="L4465">
        <v>0</v>
      </c>
      <c r="M4465">
        <v>0</v>
      </c>
      <c r="N4465">
        <v>0</v>
      </c>
      <c r="O4465">
        <v>0</v>
      </c>
      <c r="P4465">
        <v>0</v>
      </c>
      <c r="Q4465">
        <v>0</v>
      </c>
      <c r="R4465">
        <v>0</v>
      </c>
      <c r="S4465">
        <v>0</v>
      </c>
      <c r="T4465">
        <v>0</v>
      </c>
      <c r="U4465">
        <v>24</v>
      </c>
      <c r="V4465">
        <v>0</v>
      </c>
      <c r="W4465">
        <v>0</v>
      </c>
      <c r="X4465">
        <v>0</v>
      </c>
      <c r="Y4465" t="s">
        <v>31</v>
      </c>
      <c r="Z4465">
        <v>55</v>
      </c>
      <c r="AA4465">
        <v>0</v>
      </c>
    </row>
    <row r="4466" spans="1:27" x14ac:dyDescent="0.2">
      <c r="A4466" t="s">
        <v>649</v>
      </c>
      <c r="B4466">
        <v>2024</v>
      </c>
      <c r="C4466">
        <v>3148041001</v>
      </c>
      <c r="D4466" t="s">
        <v>5545</v>
      </c>
      <c r="E4466" t="s">
        <v>29</v>
      </c>
      <c r="F4466" t="s">
        <v>30</v>
      </c>
      <c r="G4466">
        <v>0</v>
      </c>
      <c r="H4466">
        <v>0</v>
      </c>
      <c r="I4466">
        <v>0</v>
      </c>
      <c r="J4466">
        <v>0</v>
      </c>
      <c r="K4466">
        <v>0</v>
      </c>
      <c r="L4466">
        <v>0</v>
      </c>
      <c r="M4466">
        <v>0</v>
      </c>
      <c r="N4466">
        <v>0</v>
      </c>
      <c r="O4466">
        <v>0</v>
      </c>
      <c r="P4466">
        <v>0</v>
      </c>
      <c r="Q4466">
        <v>0</v>
      </c>
      <c r="R4466">
        <v>0</v>
      </c>
      <c r="S4466">
        <v>0</v>
      </c>
      <c r="T4466">
        <v>0</v>
      </c>
      <c r="U4466">
        <v>24</v>
      </c>
      <c r="V4466">
        <v>0</v>
      </c>
      <c r="W4466">
        <v>0</v>
      </c>
      <c r="X4466">
        <v>0</v>
      </c>
      <c r="Y4466" t="s">
        <v>31</v>
      </c>
      <c r="Z4466">
        <v>55</v>
      </c>
      <c r="AA4466">
        <v>0</v>
      </c>
    </row>
    <row r="4467" spans="1:27" x14ac:dyDescent="0.2">
      <c r="A4467" t="s">
        <v>876</v>
      </c>
      <c r="B4467">
        <v>2024</v>
      </c>
      <c r="C4467">
        <v>30534061</v>
      </c>
      <c r="D4467" t="s">
        <v>980</v>
      </c>
      <c r="E4467" t="s">
        <v>29</v>
      </c>
      <c r="F4467" t="s">
        <v>30</v>
      </c>
      <c r="G4467">
        <v>0</v>
      </c>
      <c r="H4467">
        <v>0</v>
      </c>
      <c r="I4467">
        <v>0</v>
      </c>
      <c r="J4467">
        <v>0</v>
      </c>
      <c r="K4467">
        <v>0</v>
      </c>
      <c r="L4467">
        <v>0</v>
      </c>
      <c r="M4467">
        <v>0</v>
      </c>
      <c r="N4467">
        <v>0</v>
      </c>
      <c r="O4467">
        <v>0</v>
      </c>
      <c r="P4467">
        <v>0</v>
      </c>
      <c r="Q4467">
        <v>0</v>
      </c>
      <c r="R4467">
        <v>0</v>
      </c>
      <c r="S4467">
        <v>2</v>
      </c>
      <c r="T4467">
        <v>0</v>
      </c>
      <c r="U4467">
        <v>0</v>
      </c>
      <c r="V4467">
        <v>0</v>
      </c>
      <c r="W4467">
        <v>0</v>
      </c>
      <c r="X4467">
        <v>0</v>
      </c>
      <c r="Y4467" t="s">
        <v>31</v>
      </c>
      <c r="Z4467">
        <v>55</v>
      </c>
      <c r="AA4467">
        <v>0</v>
      </c>
    </row>
    <row r="4468" spans="1:27" x14ac:dyDescent="0.2">
      <c r="A4468" t="s">
        <v>2287</v>
      </c>
      <c r="B4468">
        <v>2022</v>
      </c>
      <c r="C4468" t="s">
        <v>4965</v>
      </c>
      <c r="D4468" t="s">
        <v>5546</v>
      </c>
      <c r="E4468" t="s">
        <v>29</v>
      </c>
      <c r="F4468" t="s">
        <v>30</v>
      </c>
      <c r="G4468">
        <v>0</v>
      </c>
      <c r="H4468">
        <v>0</v>
      </c>
      <c r="I4468">
        <v>0</v>
      </c>
      <c r="J4468">
        <v>0</v>
      </c>
      <c r="K4468">
        <v>0</v>
      </c>
      <c r="L4468">
        <v>0</v>
      </c>
      <c r="M4468">
        <v>0</v>
      </c>
      <c r="N4468">
        <v>0</v>
      </c>
      <c r="O4468">
        <v>0</v>
      </c>
      <c r="P4468">
        <v>0</v>
      </c>
      <c r="Q4468">
        <v>0</v>
      </c>
      <c r="R4468">
        <v>0</v>
      </c>
      <c r="S4468">
        <v>3</v>
      </c>
      <c r="T4468">
        <v>2</v>
      </c>
      <c r="U4468">
        <v>10</v>
      </c>
      <c r="V4468">
        <v>2</v>
      </c>
      <c r="W4468">
        <v>5</v>
      </c>
      <c r="X4468">
        <v>0</v>
      </c>
      <c r="Y4468" t="s">
        <v>31</v>
      </c>
      <c r="Z4468">
        <v>99</v>
      </c>
      <c r="AA4468">
        <v>0</v>
      </c>
    </row>
    <row r="4469" spans="1:27" x14ac:dyDescent="0.2">
      <c r="A4469" t="s">
        <v>533</v>
      </c>
      <c r="B4469">
        <v>2024</v>
      </c>
      <c r="C4469" t="s">
        <v>2211</v>
      </c>
      <c r="D4469" t="s">
        <v>5547</v>
      </c>
      <c r="E4469" t="s">
        <v>29</v>
      </c>
      <c r="F4469" t="s">
        <v>41</v>
      </c>
      <c r="G4469">
        <v>0</v>
      </c>
      <c r="H4469">
        <v>0</v>
      </c>
      <c r="I4469">
        <v>0</v>
      </c>
      <c r="J4469">
        <v>0</v>
      </c>
      <c r="K4469">
        <v>1</v>
      </c>
      <c r="L4469">
        <v>0</v>
      </c>
      <c r="M4469">
        <v>0</v>
      </c>
      <c r="N4469">
        <v>0</v>
      </c>
      <c r="O4469">
        <v>0</v>
      </c>
      <c r="P4469">
        <v>0</v>
      </c>
      <c r="Q4469">
        <v>1</v>
      </c>
      <c r="R4469">
        <v>0</v>
      </c>
      <c r="S4469">
        <v>0</v>
      </c>
      <c r="T4469">
        <v>0</v>
      </c>
      <c r="U4469">
        <v>0</v>
      </c>
      <c r="V4469">
        <v>0</v>
      </c>
      <c r="W4469">
        <v>1</v>
      </c>
      <c r="X4469">
        <v>0</v>
      </c>
      <c r="Y4469" t="s">
        <v>31</v>
      </c>
      <c r="Z4469">
        <v>1000</v>
      </c>
      <c r="AA4469" s="2" t="s">
        <v>3299</v>
      </c>
    </row>
    <row r="4470" spans="1:27" x14ac:dyDescent="0.2">
      <c r="A4470" t="s">
        <v>649</v>
      </c>
      <c r="B4470">
        <v>2024</v>
      </c>
      <c r="C4470" t="s">
        <v>5548</v>
      </c>
      <c r="D4470" t="s">
        <v>5549</v>
      </c>
      <c r="E4470" t="s">
        <v>29</v>
      </c>
      <c r="F4470" t="s">
        <v>30</v>
      </c>
      <c r="G4470">
        <v>0</v>
      </c>
      <c r="H4470">
        <v>0</v>
      </c>
      <c r="I4470">
        <v>2</v>
      </c>
      <c r="J4470">
        <v>0</v>
      </c>
      <c r="K4470">
        <v>0</v>
      </c>
      <c r="L4470">
        <v>0</v>
      </c>
      <c r="M4470">
        <v>0</v>
      </c>
      <c r="N4470">
        <v>0</v>
      </c>
      <c r="O4470">
        <v>0</v>
      </c>
      <c r="P4470">
        <v>0</v>
      </c>
      <c r="Q4470">
        <v>0</v>
      </c>
      <c r="R4470">
        <v>0</v>
      </c>
      <c r="S4470">
        <v>0</v>
      </c>
      <c r="T4470">
        <v>0</v>
      </c>
      <c r="U4470">
        <v>0</v>
      </c>
      <c r="V4470">
        <v>0</v>
      </c>
      <c r="W4470">
        <v>0</v>
      </c>
      <c r="X4470">
        <v>0</v>
      </c>
      <c r="Y4470" t="s">
        <v>31</v>
      </c>
      <c r="Z4470">
        <v>55</v>
      </c>
      <c r="AA4470">
        <v>0.25</v>
      </c>
    </row>
    <row r="4471" spans="1:27" x14ac:dyDescent="0.2">
      <c r="A4471" t="s">
        <v>1051</v>
      </c>
      <c r="B4471">
        <v>2024</v>
      </c>
      <c r="C4471" t="s">
        <v>5550</v>
      </c>
      <c r="D4471" t="s">
        <v>1053</v>
      </c>
      <c r="E4471" t="s">
        <v>29</v>
      </c>
      <c r="F4471" t="s">
        <v>30</v>
      </c>
      <c r="G4471">
        <v>0</v>
      </c>
      <c r="H4471">
        <v>0</v>
      </c>
      <c r="I4471">
        <v>0</v>
      </c>
      <c r="J4471">
        <v>0</v>
      </c>
      <c r="K4471">
        <v>0</v>
      </c>
      <c r="L4471">
        <v>0</v>
      </c>
      <c r="M4471">
        <v>0</v>
      </c>
      <c r="N4471">
        <v>0</v>
      </c>
      <c r="O4471">
        <v>0</v>
      </c>
      <c r="P4471">
        <v>0</v>
      </c>
      <c r="Q4471">
        <v>0</v>
      </c>
      <c r="R4471">
        <v>0</v>
      </c>
      <c r="S4471">
        <v>11</v>
      </c>
      <c r="T4471">
        <v>0</v>
      </c>
      <c r="U4471">
        <v>98</v>
      </c>
      <c r="V4471">
        <v>0</v>
      </c>
      <c r="W4471">
        <v>0</v>
      </c>
      <c r="X4471">
        <v>0</v>
      </c>
      <c r="Y4471" t="s">
        <v>31</v>
      </c>
      <c r="Z4471">
        <v>55</v>
      </c>
      <c r="AA4471" s="2" t="s">
        <v>2716</v>
      </c>
    </row>
    <row r="4472" spans="1:27" x14ac:dyDescent="0.2">
      <c r="A4472" t="s">
        <v>318</v>
      </c>
      <c r="B4472">
        <v>2024</v>
      </c>
      <c r="C4472">
        <v>16141009</v>
      </c>
      <c r="D4472" t="s">
        <v>5551</v>
      </c>
      <c r="E4472" t="s">
        <v>29</v>
      </c>
      <c r="F4472" t="s">
        <v>30</v>
      </c>
      <c r="G4472">
        <v>6</v>
      </c>
      <c r="H4472">
        <v>0</v>
      </c>
      <c r="I4472">
        <v>11</v>
      </c>
      <c r="J4472">
        <v>0</v>
      </c>
      <c r="K4472">
        <v>0</v>
      </c>
      <c r="L4472">
        <v>0</v>
      </c>
      <c r="M4472">
        <v>0</v>
      </c>
      <c r="N4472">
        <v>0</v>
      </c>
      <c r="O4472">
        <v>0</v>
      </c>
      <c r="P4472">
        <v>0</v>
      </c>
      <c r="Q4472">
        <v>0</v>
      </c>
      <c r="R4472">
        <v>0</v>
      </c>
      <c r="S4472">
        <v>0</v>
      </c>
      <c r="T4472">
        <v>0</v>
      </c>
      <c r="U4472">
        <v>0</v>
      </c>
      <c r="V4472">
        <v>0</v>
      </c>
      <c r="W4472">
        <v>0</v>
      </c>
      <c r="X4472">
        <v>0</v>
      </c>
      <c r="Y4472" t="s">
        <v>51</v>
      </c>
      <c r="Z4472">
        <v>55</v>
      </c>
      <c r="AA4472">
        <v>0</v>
      </c>
    </row>
    <row r="4473" spans="1:27" x14ac:dyDescent="0.2">
      <c r="A4473" t="s">
        <v>928</v>
      </c>
      <c r="B4473">
        <v>2024</v>
      </c>
      <c r="C4473" t="s">
        <v>5552</v>
      </c>
      <c r="D4473" t="s">
        <v>5553</v>
      </c>
      <c r="E4473" t="s">
        <v>29</v>
      </c>
      <c r="F4473" t="s">
        <v>41</v>
      </c>
      <c r="G4473">
        <v>0</v>
      </c>
      <c r="H4473">
        <v>0</v>
      </c>
      <c r="I4473">
        <v>0</v>
      </c>
      <c r="J4473">
        <v>0</v>
      </c>
      <c r="K4473">
        <v>0</v>
      </c>
      <c r="L4473">
        <v>0</v>
      </c>
      <c r="M4473">
        <v>0</v>
      </c>
      <c r="N4473">
        <v>0</v>
      </c>
      <c r="O4473">
        <v>0</v>
      </c>
      <c r="P4473">
        <v>0</v>
      </c>
      <c r="Q4473">
        <v>1</v>
      </c>
      <c r="R4473">
        <v>0</v>
      </c>
      <c r="S4473">
        <v>0</v>
      </c>
      <c r="T4473">
        <v>0</v>
      </c>
      <c r="U4473">
        <v>0</v>
      </c>
      <c r="V4473">
        <v>0</v>
      </c>
      <c r="W4473">
        <v>0</v>
      </c>
      <c r="X4473">
        <v>0</v>
      </c>
      <c r="Y4473" t="s">
        <v>51</v>
      </c>
      <c r="Z4473">
        <v>55</v>
      </c>
      <c r="AA4473">
        <v>0</v>
      </c>
    </row>
    <row r="4474" spans="1:27" x14ac:dyDescent="0.2">
      <c r="A4474" t="s">
        <v>1231</v>
      </c>
      <c r="B4474">
        <v>2024</v>
      </c>
      <c r="C4474">
        <v>694310006</v>
      </c>
      <c r="D4474" t="s">
        <v>3507</v>
      </c>
      <c r="E4474" t="s">
        <v>29</v>
      </c>
      <c r="F4474" t="s">
        <v>30</v>
      </c>
      <c r="G4474">
        <v>0</v>
      </c>
      <c r="H4474">
        <v>0</v>
      </c>
      <c r="I4474">
        <v>0</v>
      </c>
      <c r="J4474">
        <v>0</v>
      </c>
      <c r="K4474">
        <v>0</v>
      </c>
      <c r="L4474">
        <v>0</v>
      </c>
      <c r="M4474">
        <v>13</v>
      </c>
      <c r="N4474">
        <v>0</v>
      </c>
      <c r="O4474">
        <v>1</v>
      </c>
      <c r="P4474">
        <v>0</v>
      </c>
      <c r="Q4474">
        <v>1</v>
      </c>
      <c r="R4474">
        <v>0</v>
      </c>
      <c r="S4474">
        <v>0</v>
      </c>
      <c r="T4474">
        <v>0</v>
      </c>
      <c r="U4474">
        <v>0</v>
      </c>
      <c r="V4474">
        <v>0</v>
      </c>
      <c r="W4474">
        <v>0</v>
      </c>
      <c r="X4474">
        <v>0</v>
      </c>
      <c r="Y4474" t="s">
        <v>31</v>
      </c>
      <c r="Z4474">
        <v>55</v>
      </c>
      <c r="AA4474">
        <v>0.13</v>
      </c>
    </row>
    <row r="4475" spans="1:27" x14ac:dyDescent="0.2">
      <c r="A4475" t="s">
        <v>1231</v>
      </c>
      <c r="B4475">
        <v>2024</v>
      </c>
      <c r="C4475">
        <v>694310006</v>
      </c>
      <c r="D4475" t="s">
        <v>3507</v>
      </c>
      <c r="E4475" t="s">
        <v>29</v>
      </c>
      <c r="F4475" t="s">
        <v>30</v>
      </c>
      <c r="G4475">
        <v>0</v>
      </c>
      <c r="H4475">
        <v>0</v>
      </c>
      <c r="I4475">
        <v>0</v>
      </c>
      <c r="J4475">
        <v>0</v>
      </c>
      <c r="K4475">
        <v>0</v>
      </c>
      <c r="L4475">
        <v>0</v>
      </c>
      <c r="M4475">
        <v>20</v>
      </c>
      <c r="N4475">
        <v>0</v>
      </c>
      <c r="O4475">
        <v>2</v>
      </c>
      <c r="P4475">
        <v>0</v>
      </c>
      <c r="Q4475">
        <v>2</v>
      </c>
      <c r="R4475">
        <v>0</v>
      </c>
      <c r="S4475">
        <v>0</v>
      </c>
      <c r="T4475">
        <v>0</v>
      </c>
      <c r="U4475">
        <v>0</v>
      </c>
      <c r="V4475">
        <v>0</v>
      </c>
      <c r="W4475">
        <v>0</v>
      </c>
      <c r="X4475">
        <v>0</v>
      </c>
      <c r="Y4475" t="s">
        <v>31</v>
      </c>
      <c r="Z4475">
        <v>55</v>
      </c>
      <c r="AA4475">
        <v>0.13</v>
      </c>
    </row>
    <row r="4476" spans="1:27" x14ac:dyDescent="0.2">
      <c r="A4476" t="s">
        <v>1231</v>
      </c>
      <c r="B4476">
        <v>2024</v>
      </c>
      <c r="C4476">
        <v>694310006</v>
      </c>
      <c r="D4476" t="s">
        <v>3507</v>
      </c>
      <c r="E4476" t="s">
        <v>29</v>
      </c>
      <c r="F4476" t="s">
        <v>30</v>
      </c>
      <c r="G4476">
        <v>0</v>
      </c>
      <c r="H4476">
        <v>0</v>
      </c>
      <c r="I4476">
        <v>0</v>
      </c>
      <c r="J4476">
        <v>0</v>
      </c>
      <c r="K4476">
        <v>0</v>
      </c>
      <c r="L4476">
        <v>0</v>
      </c>
      <c r="M4476">
        <v>21</v>
      </c>
      <c r="N4476">
        <v>0</v>
      </c>
      <c r="O4476">
        <v>2</v>
      </c>
      <c r="P4476">
        <v>0</v>
      </c>
      <c r="Q4476">
        <v>1</v>
      </c>
      <c r="R4476">
        <v>0</v>
      </c>
      <c r="S4476">
        <v>0</v>
      </c>
      <c r="T4476">
        <v>0</v>
      </c>
      <c r="U4476">
        <v>0</v>
      </c>
      <c r="V4476">
        <v>0</v>
      </c>
      <c r="W4476">
        <v>0</v>
      </c>
      <c r="X4476">
        <v>0</v>
      </c>
      <c r="Y4476" t="s">
        <v>31</v>
      </c>
      <c r="Z4476">
        <v>55</v>
      </c>
      <c r="AA4476">
        <v>0.13</v>
      </c>
    </row>
    <row r="4477" spans="1:27" x14ac:dyDescent="0.2">
      <c r="A4477" t="s">
        <v>1231</v>
      </c>
      <c r="B4477">
        <v>2024</v>
      </c>
      <c r="C4477">
        <v>694190087</v>
      </c>
      <c r="D4477" t="s">
        <v>1831</v>
      </c>
      <c r="E4477" t="s">
        <v>29</v>
      </c>
      <c r="F4477" t="s">
        <v>30</v>
      </c>
      <c r="G4477">
        <v>0</v>
      </c>
      <c r="H4477">
        <v>0</v>
      </c>
      <c r="I4477">
        <v>0</v>
      </c>
      <c r="J4477">
        <v>0</v>
      </c>
      <c r="K4477">
        <v>0</v>
      </c>
      <c r="L4477">
        <v>0</v>
      </c>
      <c r="M4477">
        <v>1</v>
      </c>
      <c r="N4477">
        <v>0</v>
      </c>
      <c r="O4477">
        <v>1</v>
      </c>
      <c r="P4477">
        <v>0</v>
      </c>
      <c r="Q4477">
        <v>1</v>
      </c>
      <c r="R4477">
        <v>0</v>
      </c>
      <c r="S4477">
        <v>0</v>
      </c>
      <c r="T4477">
        <v>0</v>
      </c>
      <c r="U4477">
        <v>0</v>
      </c>
      <c r="V4477">
        <v>0</v>
      </c>
      <c r="W4477">
        <v>0</v>
      </c>
      <c r="X4477">
        <v>0</v>
      </c>
      <c r="Y4477" t="s">
        <v>51</v>
      </c>
      <c r="Z4477">
        <v>55</v>
      </c>
      <c r="AA4477">
        <v>0</v>
      </c>
    </row>
    <row r="4478" spans="1:27" x14ac:dyDescent="0.2">
      <c r="A4478" t="s">
        <v>1231</v>
      </c>
      <c r="B4478">
        <v>2024</v>
      </c>
      <c r="C4478">
        <v>694190087</v>
      </c>
      <c r="D4478" t="s">
        <v>1831</v>
      </c>
      <c r="E4478" t="s">
        <v>29</v>
      </c>
      <c r="F4478" t="s">
        <v>30</v>
      </c>
      <c r="G4478">
        <v>0</v>
      </c>
      <c r="H4478">
        <v>0</v>
      </c>
      <c r="I4478">
        <v>0</v>
      </c>
      <c r="J4478">
        <v>0</v>
      </c>
      <c r="K4478">
        <v>0</v>
      </c>
      <c r="L4478">
        <v>0</v>
      </c>
      <c r="M4478">
        <v>1</v>
      </c>
      <c r="N4478">
        <v>0</v>
      </c>
      <c r="O4478">
        <v>1</v>
      </c>
      <c r="P4478">
        <v>0</v>
      </c>
      <c r="Q4478">
        <v>1</v>
      </c>
      <c r="R4478">
        <v>0</v>
      </c>
      <c r="S4478">
        <v>0</v>
      </c>
      <c r="T4478">
        <v>0</v>
      </c>
      <c r="U4478">
        <v>0</v>
      </c>
      <c r="V4478">
        <v>0</v>
      </c>
      <c r="W4478">
        <v>0</v>
      </c>
      <c r="X4478">
        <v>0</v>
      </c>
      <c r="Y4478" t="s">
        <v>51</v>
      </c>
      <c r="Z4478">
        <v>55</v>
      </c>
      <c r="AA4478">
        <v>0</v>
      </c>
    </row>
    <row r="4479" spans="1:27" x14ac:dyDescent="0.2">
      <c r="A4479" t="s">
        <v>1231</v>
      </c>
      <c r="B4479">
        <v>2024</v>
      </c>
      <c r="C4479">
        <v>694190087</v>
      </c>
      <c r="D4479" t="s">
        <v>1831</v>
      </c>
      <c r="E4479" t="s">
        <v>29</v>
      </c>
      <c r="F4479" t="s">
        <v>30</v>
      </c>
      <c r="G4479">
        <v>0</v>
      </c>
      <c r="H4479">
        <v>0</v>
      </c>
      <c r="I4479">
        <v>0</v>
      </c>
      <c r="J4479">
        <v>0</v>
      </c>
      <c r="K4479">
        <v>0</v>
      </c>
      <c r="L4479">
        <v>0</v>
      </c>
      <c r="M4479">
        <v>2</v>
      </c>
      <c r="N4479">
        <v>0</v>
      </c>
      <c r="O4479">
        <v>2</v>
      </c>
      <c r="P4479">
        <v>0</v>
      </c>
      <c r="Q4479">
        <v>2</v>
      </c>
      <c r="R4479">
        <v>0</v>
      </c>
      <c r="S4479">
        <v>0</v>
      </c>
      <c r="T4479">
        <v>0</v>
      </c>
      <c r="U4479">
        <v>0</v>
      </c>
      <c r="V4479">
        <v>0</v>
      </c>
      <c r="W4479">
        <v>0</v>
      </c>
      <c r="X4479">
        <v>0</v>
      </c>
      <c r="Y4479" t="s">
        <v>51</v>
      </c>
      <c r="Z4479">
        <v>55</v>
      </c>
      <c r="AA4479">
        <v>0</v>
      </c>
    </row>
    <row r="4480" spans="1:27" x14ac:dyDescent="0.2">
      <c r="A4480" t="s">
        <v>1231</v>
      </c>
      <c r="B4480">
        <v>2024</v>
      </c>
      <c r="C4480">
        <v>694520019</v>
      </c>
      <c r="D4480" t="s">
        <v>1832</v>
      </c>
      <c r="E4480" t="s">
        <v>29</v>
      </c>
      <c r="F4480" t="s">
        <v>30</v>
      </c>
      <c r="G4480">
        <v>0</v>
      </c>
      <c r="H4480">
        <v>0</v>
      </c>
      <c r="I4480">
        <v>0</v>
      </c>
      <c r="J4480">
        <v>0</v>
      </c>
      <c r="K4480">
        <v>0</v>
      </c>
      <c r="L4480">
        <v>0</v>
      </c>
      <c r="M4480">
        <v>4</v>
      </c>
      <c r="N4480">
        <v>0</v>
      </c>
      <c r="O4480">
        <v>8</v>
      </c>
      <c r="P4480">
        <v>0</v>
      </c>
      <c r="Q4480">
        <v>0</v>
      </c>
      <c r="R4480">
        <v>0</v>
      </c>
      <c r="S4480">
        <v>4</v>
      </c>
      <c r="T4480">
        <v>0</v>
      </c>
      <c r="U4480">
        <v>8</v>
      </c>
      <c r="V4480">
        <v>0</v>
      </c>
      <c r="W4480">
        <v>0</v>
      </c>
      <c r="X4480">
        <v>0</v>
      </c>
      <c r="Y4480" t="s">
        <v>51</v>
      </c>
      <c r="Z4480">
        <v>55</v>
      </c>
      <c r="AA4480">
        <v>0</v>
      </c>
    </row>
    <row r="4481" spans="1:27" x14ac:dyDescent="0.2">
      <c r="A4481" t="s">
        <v>1231</v>
      </c>
      <c r="B4481">
        <v>2024</v>
      </c>
      <c r="C4481">
        <v>694310009</v>
      </c>
      <c r="D4481" t="s">
        <v>5554</v>
      </c>
      <c r="E4481" t="s">
        <v>29</v>
      </c>
      <c r="F4481" t="s">
        <v>30</v>
      </c>
      <c r="G4481">
        <v>0</v>
      </c>
      <c r="H4481">
        <v>0</v>
      </c>
      <c r="I4481">
        <v>0</v>
      </c>
      <c r="J4481">
        <v>0</v>
      </c>
      <c r="K4481">
        <v>0</v>
      </c>
      <c r="L4481">
        <v>0</v>
      </c>
      <c r="M4481">
        <v>21</v>
      </c>
      <c r="N4481">
        <v>0</v>
      </c>
      <c r="O4481">
        <v>1</v>
      </c>
      <c r="P4481">
        <v>0</v>
      </c>
      <c r="Q4481">
        <v>2</v>
      </c>
      <c r="R4481">
        <v>0</v>
      </c>
      <c r="S4481">
        <v>0</v>
      </c>
      <c r="T4481">
        <v>0</v>
      </c>
      <c r="U4481">
        <v>0</v>
      </c>
      <c r="V4481">
        <v>0</v>
      </c>
      <c r="W4481">
        <v>0</v>
      </c>
      <c r="X4481">
        <v>0</v>
      </c>
      <c r="Y4481" t="s">
        <v>31</v>
      </c>
      <c r="Z4481">
        <v>55</v>
      </c>
      <c r="AA4481">
        <v>0.13</v>
      </c>
    </row>
    <row r="4482" spans="1:27" x14ac:dyDescent="0.2">
      <c r="A4482" t="s">
        <v>163</v>
      </c>
      <c r="B4482">
        <v>2024</v>
      </c>
      <c r="C4482">
        <v>4941503900</v>
      </c>
      <c r="D4482" t="s">
        <v>5555</v>
      </c>
      <c r="E4482" t="s">
        <v>29</v>
      </c>
      <c r="F4482" t="s">
        <v>30</v>
      </c>
      <c r="G4482">
        <v>0</v>
      </c>
      <c r="H4482">
        <v>0</v>
      </c>
      <c r="I4482">
        <v>0</v>
      </c>
      <c r="J4482">
        <v>0</v>
      </c>
      <c r="K4482">
        <v>0</v>
      </c>
      <c r="L4482">
        <v>0</v>
      </c>
      <c r="M4482">
        <v>0</v>
      </c>
      <c r="N4482">
        <v>0</v>
      </c>
      <c r="O4482">
        <v>0</v>
      </c>
      <c r="P4482">
        <v>0</v>
      </c>
      <c r="Q4482">
        <v>0</v>
      </c>
      <c r="R4482">
        <v>0</v>
      </c>
      <c r="S4482">
        <v>1</v>
      </c>
      <c r="T4482">
        <v>0</v>
      </c>
      <c r="U4482">
        <v>0</v>
      </c>
      <c r="V4482">
        <v>0</v>
      </c>
      <c r="W4482">
        <v>0</v>
      </c>
      <c r="X4482">
        <v>0</v>
      </c>
      <c r="Y4482" t="s">
        <v>31</v>
      </c>
      <c r="Z4482">
        <v>55</v>
      </c>
      <c r="AA4482">
        <v>0</v>
      </c>
    </row>
    <row r="4483" spans="1:27" x14ac:dyDescent="0.2">
      <c r="A4483" t="s">
        <v>2483</v>
      </c>
      <c r="B4483">
        <v>2024</v>
      </c>
      <c r="C4483" t="s">
        <v>5556</v>
      </c>
      <c r="D4483" t="s">
        <v>5557</v>
      </c>
      <c r="E4483" t="s">
        <v>29</v>
      </c>
      <c r="F4483" t="s">
        <v>30</v>
      </c>
      <c r="G4483">
        <v>3</v>
      </c>
      <c r="H4483">
        <v>0</v>
      </c>
      <c r="I4483">
        <v>5</v>
      </c>
      <c r="J4483">
        <v>0</v>
      </c>
      <c r="K4483">
        <v>0</v>
      </c>
      <c r="L4483">
        <v>59</v>
      </c>
      <c r="M4483">
        <v>3</v>
      </c>
      <c r="N4483">
        <v>0</v>
      </c>
      <c r="O4483">
        <v>5</v>
      </c>
      <c r="P4483">
        <v>0</v>
      </c>
      <c r="Q4483">
        <v>0</v>
      </c>
      <c r="R4483">
        <v>59</v>
      </c>
      <c r="S4483">
        <v>0</v>
      </c>
      <c r="T4483">
        <v>0</v>
      </c>
      <c r="U4483">
        <v>0</v>
      </c>
      <c r="V4483">
        <v>0</v>
      </c>
      <c r="W4483">
        <v>0</v>
      </c>
      <c r="X4483">
        <v>0</v>
      </c>
      <c r="Y4483" t="s">
        <v>31</v>
      </c>
      <c r="AA4483" s="2" t="s">
        <v>2716</v>
      </c>
    </row>
    <row r="4484" spans="1:27" x14ac:dyDescent="0.2">
      <c r="A4484" t="s">
        <v>777</v>
      </c>
      <c r="B4484">
        <v>2023</v>
      </c>
      <c r="C4484" t="s">
        <v>5558</v>
      </c>
      <c r="D4484" t="s">
        <v>5559</v>
      </c>
      <c r="E4484" t="s">
        <v>29</v>
      </c>
      <c r="F4484" t="s">
        <v>30</v>
      </c>
      <c r="G4484">
        <v>0</v>
      </c>
      <c r="H4484">
        <v>0</v>
      </c>
      <c r="I4484">
        <v>1</v>
      </c>
      <c r="J4484">
        <v>0</v>
      </c>
      <c r="K4484">
        <v>0</v>
      </c>
      <c r="L4484">
        <v>0</v>
      </c>
      <c r="M4484">
        <v>0</v>
      </c>
      <c r="N4484">
        <v>0</v>
      </c>
      <c r="O4484">
        <v>0</v>
      </c>
      <c r="P4484">
        <v>0</v>
      </c>
      <c r="Q4484">
        <v>0</v>
      </c>
      <c r="R4484">
        <v>0</v>
      </c>
      <c r="S4484">
        <v>0</v>
      </c>
      <c r="T4484">
        <v>0</v>
      </c>
      <c r="U4484">
        <v>0</v>
      </c>
      <c r="V4484">
        <v>0</v>
      </c>
      <c r="W4484">
        <v>0</v>
      </c>
      <c r="X4484">
        <v>0</v>
      </c>
      <c r="Y4484" t="s">
        <v>31</v>
      </c>
      <c r="Z4484">
        <v>55</v>
      </c>
      <c r="AA4484">
        <v>0</v>
      </c>
    </row>
    <row r="4485" spans="1:27" x14ac:dyDescent="0.2">
      <c r="A4485" t="s">
        <v>172</v>
      </c>
      <c r="B4485">
        <v>2024</v>
      </c>
      <c r="C4485" t="s">
        <v>4416</v>
      </c>
      <c r="D4485" t="s">
        <v>4417</v>
      </c>
      <c r="E4485" t="s">
        <v>29</v>
      </c>
      <c r="F4485" t="s">
        <v>30</v>
      </c>
      <c r="G4485">
        <v>0</v>
      </c>
      <c r="H4485">
        <v>0</v>
      </c>
      <c r="I4485">
        <v>0</v>
      </c>
      <c r="J4485">
        <v>0</v>
      </c>
      <c r="K4485">
        <v>0</v>
      </c>
      <c r="L4485">
        <v>0</v>
      </c>
      <c r="M4485">
        <v>0</v>
      </c>
      <c r="N4485">
        <v>0</v>
      </c>
      <c r="O4485">
        <v>0</v>
      </c>
      <c r="P4485">
        <v>0</v>
      </c>
      <c r="Q4485">
        <v>0</v>
      </c>
      <c r="R4485">
        <v>0</v>
      </c>
      <c r="S4485">
        <v>0</v>
      </c>
      <c r="T4485">
        <v>0</v>
      </c>
      <c r="U4485">
        <v>0</v>
      </c>
      <c r="V4485">
        <v>0</v>
      </c>
      <c r="W4485">
        <v>13</v>
      </c>
      <c r="X4485">
        <v>0</v>
      </c>
      <c r="Y4485" t="s">
        <v>31</v>
      </c>
      <c r="AA4485">
        <v>0</v>
      </c>
    </row>
    <row r="4486" spans="1:27" x14ac:dyDescent="0.2">
      <c r="A4486" t="s">
        <v>27</v>
      </c>
      <c r="B4486">
        <v>2024</v>
      </c>
      <c r="C4486">
        <v>7281007065</v>
      </c>
      <c r="D4486" t="s">
        <v>5560</v>
      </c>
      <c r="E4486" t="s">
        <v>29</v>
      </c>
      <c r="F4486" t="s">
        <v>30</v>
      </c>
      <c r="G4486">
        <v>12</v>
      </c>
      <c r="H4486">
        <v>0</v>
      </c>
      <c r="I4486">
        <v>0</v>
      </c>
      <c r="J4486">
        <v>0</v>
      </c>
      <c r="K4486">
        <v>0</v>
      </c>
      <c r="L4486">
        <v>0</v>
      </c>
      <c r="M4486">
        <v>0</v>
      </c>
      <c r="N4486">
        <v>0</v>
      </c>
      <c r="O4486">
        <v>0</v>
      </c>
      <c r="P4486">
        <v>0</v>
      </c>
      <c r="Q4486">
        <v>0</v>
      </c>
      <c r="R4486">
        <v>0</v>
      </c>
      <c r="S4486">
        <v>0</v>
      </c>
      <c r="T4486">
        <v>0</v>
      </c>
      <c r="U4486">
        <v>0</v>
      </c>
      <c r="V4486">
        <v>0</v>
      </c>
      <c r="W4486">
        <v>0</v>
      </c>
      <c r="X4486">
        <v>0</v>
      </c>
      <c r="Y4486" t="s">
        <v>51</v>
      </c>
      <c r="AA4486">
        <v>0</v>
      </c>
    </row>
    <row r="4487" spans="1:27" x14ac:dyDescent="0.2">
      <c r="A4487" t="s">
        <v>1576</v>
      </c>
      <c r="B4487">
        <v>2024</v>
      </c>
      <c r="C4487">
        <v>1432010500</v>
      </c>
      <c r="D4487" t="s">
        <v>5561</v>
      </c>
      <c r="E4487" t="s">
        <v>29</v>
      </c>
      <c r="F4487" t="s">
        <v>41</v>
      </c>
      <c r="G4487">
        <v>0</v>
      </c>
      <c r="H4487">
        <v>0</v>
      </c>
      <c r="I4487">
        <v>36</v>
      </c>
      <c r="J4487">
        <v>0</v>
      </c>
      <c r="K4487">
        <v>0</v>
      </c>
      <c r="L4487">
        <v>0</v>
      </c>
      <c r="M4487">
        <v>0</v>
      </c>
      <c r="N4487">
        <v>0</v>
      </c>
      <c r="O4487">
        <v>0</v>
      </c>
      <c r="P4487">
        <v>0</v>
      </c>
      <c r="Q4487">
        <v>0</v>
      </c>
      <c r="R4487">
        <v>0</v>
      </c>
      <c r="S4487">
        <v>0</v>
      </c>
      <c r="T4487">
        <v>0</v>
      </c>
      <c r="U4487">
        <v>0</v>
      </c>
      <c r="V4487">
        <v>0</v>
      </c>
      <c r="W4487">
        <v>0</v>
      </c>
      <c r="X4487">
        <v>0</v>
      </c>
      <c r="Y4487" t="s">
        <v>31</v>
      </c>
      <c r="Z4487">
        <v>55</v>
      </c>
      <c r="AA4487" s="2" t="s">
        <v>3299</v>
      </c>
    </row>
    <row r="4488" spans="1:27" x14ac:dyDescent="0.2">
      <c r="A4488" t="s">
        <v>1576</v>
      </c>
      <c r="B4488">
        <v>2024</v>
      </c>
      <c r="C4488">
        <v>1510104400</v>
      </c>
      <c r="D4488" t="s">
        <v>2205</v>
      </c>
      <c r="E4488" t="s">
        <v>29</v>
      </c>
      <c r="F4488" t="s">
        <v>30</v>
      </c>
      <c r="G4488">
        <v>0</v>
      </c>
      <c r="H4488">
        <v>0</v>
      </c>
      <c r="I4488">
        <v>0</v>
      </c>
      <c r="J4488">
        <v>0</v>
      </c>
      <c r="K4488">
        <v>0</v>
      </c>
      <c r="L4488">
        <v>0</v>
      </c>
      <c r="M4488">
        <v>0</v>
      </c>
      <c r="N4488">
        <v>0</v>
      </c>
      <c r="O4488">
        <v>0</v>
      </c>
      <c r="P4488">
        <v>0</v>
      </c>
      <c r="Q4488">
        <v>0</v>
      </c>
      <c r="R4488">
        <v>0</v>
      </c>
      <c r="S4488">
        <v>59</v>
      </c>
      <c r="T4488">
        <v>0</v>
      </c>
      <c r="U4488">
        <v>0</v>
      </c>
      <c r="V4488">
        <v>0</v>
      </c>
      <c r="W4488">
        <v>0</v>
      </c>
      <c r="X4488">
        <v>0</v>
      </c>
      <c r="Y4488" t="s">
        <v>31</v>
      </c>
      <c r="AA4488">
        <v>1</v>
      </c>
    </row>
    <row r="4489" spans="1:27" ht="119" x14ac:dyDescent="0.2">
      <c r="A4489" t="s">
        <v>32</v>
      </c>
      <c r="B4489">
        <v>2024</v>
      </c>
      <c r="C4489" t="s">
        <v>5562</v>
      </c>
      <c r="D4489" s="1" t="s">
        <v>5563</v>
      </c>
      <c r="E4489" t="s">
        <v>29</v>
      </c>
      <c r="F4489" t="s">
        <v>30</v>
      </c>
      <c r="G4489">
        <v>0</v>
      </c>
      <c r="H4489">
        <v>0</v>
      </c>
      <c r="I4489">
        <v>0</v>
      </c>
      <c r="J4489">
        <v>0</v>
      </c>
      <c r="K4489">
        <v>0</v>
      </c>
      <c r="L4489">
        <v>0</v>
      </c>
      <c r="M4489">
        <v>10</v>
      </c>
      <c r="N4489">
        <v>0</v>
      </c>
      <c r="O4489">
        <v>0</v>
      </c>
      <c r="P4489">
        <v>0</v>
      </c>
      <c r="Q4489">
        <v>0</v>
      </c>
      <c r="R4489">
        <v>0</v>
      </c>
      <c r="S4489">
        <v>0</v>
      </c>
      <c r="T4489">
        <v>0</v>
      </c>
      <c r="U4489">
        <v>0</v>
      </c>
      <c r="V4489">
        <v>0</v>
      </c>
      <c r="W4489">
        <v>0</v>
      </c>
      <c r="X4489">
        <v>0</v>
      </c>
      <c r="Y4489" t="s">
        <v>31</v>
      </c>
      <c r="AA4489">
        <v>1</v>
      </c>
    </row>
    <row r="4490" spans="1:27" ht="119" x14ac:dyDescent="0.2">
      <c r="A4490" t="s">
        <v>32</v>
      </c>
      <c r="B4490">
        <v>2024</v>
      </c>
      <c r="C4490" t="s">
        <v>5562</v>
      </c>
      <c r="D4490" s="1" t="s">
        <v>5564</v>
      </c>
      <c r="E4490" t="s">
        <v>29</v>
      </c>
      <c r="F4490" t="s">
        <v>30</v>
      </c>
      <c r="G4490">
        <v>0</v>
      </c>
      <c r="H4490">
        <v>0</v>
      </c>
      <c r="I4490">
        <v>0</v>
      </c>
      <c r="J4490">
        <v>0</v>
      </c>
      <c r="K4490">
        <v>0</v>
      </c>
      <c r="L4490">
        <v>0</v>
      </c>
      <c r="M4490">
        <v>10</v>
      </c>
      <c r="N4490">
        <v>0</v>
      </c>
      <c r="O4490">
        <v>0</v>
      </c>
      <c r="P4490">
        <v>0</v>
      </c>
      <c r="Q4490">
        <v>0</v>
      </c>
      <c r="R4490">
        <v>0</v>
      </c>
      <c r="S4490">
        <v>0</v>
      </c>
      <c r="T4490">
        <v>0</v>
      </c>
      <c r="U4490">
        <v>0</v>
      </c>
      <c r="V4490">
        <v>0</v>
      </c>
      <c r="W4490">
        <v>0</v>
      </c>
      <c r="X4490">
        <v>0</v>
      </c>
      <c r="Y4490" t="s">
        <v>31</v>
      </c>
      <c r="AA4490">
        <v>1</v>
      </c>
    </row>
    <row r="4491" spans="1:27" x14ac:dyDescent="0.2">
      <c r="A4491" t="s">
        <v>324</v>
      </c>
      <c r="B4491">
        <v>2024</v>
      </c>
      <c r="C4491" s="2" t="s">
        <v>5565</v>
      </c>
      <c r="D4491" t="s">
        <v>1493</v>
      </c>
      <c r="E4491" t="s">
        <v>29</v>
      </c>
      <c r="F4491" t="s">
        <v>30</v>
      </c>
      <c r="G4491">
        <v>0</v>
      </c>
      <c r="H4491">
        <v>0</v>
      </c>
      <c r="I4491">
        <v>5</v>
      </c>
      <c r="J4491">
        <v>0</v>
      </c>
      <c r="K4491">
        <v>0</v>
      </c>
      <c r="L4491">
        <v>0</v>
      </c>
      <c r="M4491">
        <v>0</v>
      </c>
      <c r="N4491">
        <v>0</v>
      </c>
      <c r="O4491">
        <v>0</v>
      </c>
      <c r="P4491">
        <v>0</v>
      </c>
      <c r="Q4491">
        <v>0</v>
      </c>
      <c r="R4491">
        <v>0</v>
      </c>
      <c r="S4491">
        <v>0</v>
      </c>
      <c r="T4491">
        <v>0</v>
      </c>
      <c r="U4491">
        <v>0</v>
      </c>
      <c r="V4491">
        <v>0</v>
      </c>
      <c r="W4491">
        <v>0</v>
      </c>
      <c r="X4491">
        <v>0</v>
      </c>
      <c r="Y4491" t="s">
        <v>31</v>
      </c>
      <c r="Z4491">
        <v>55</v>
      </c>
      <c r="AA4491" s="2" t="s">
        <v>5540</v>
      </c>
    </row>
    <row r="4492" spans="1:27" x14ac:dyDescent="0.2">
      <c r="A4492" t="s">
        <v>1367</v>
      </c>
      <c r="B4492">
        <v>2024</v>
      </c>
      <c r="C4492" t="s">
        <v>5566</v>
      </c>
      <c r="D4492" t="s">
        <v>5567</v>
      </c>
      <c r="E4492" t="s">
        <v>29</v>
      </c>
      <c r="F4492" t="s">
        <v>30</v>
      </c>
      <c r="G4492">
        <v>0</v>
      </c>
      <c r="H4492">
        <v>0</v>
      </c>
      <c r="I4492">
        <v>1</v>
      </c>
      <c r="J4492">
        <v>0</v>
      </c>
      <c r="K4492">
        <v>1</v>
      </c>
      <c r="L4492">
        <v>0</v>
      </c>
      <c r="M4492">
        <v>0</v>
      </c>
      <c r="N4492">
        <v>0</v>
      </c>
      <c r="O4492">
        <v>0</v>
      </c>
      <c r="P4492">
        <v>0</v>
      </c>
      <c r="Q4492">
        <v>0</v>
      </c>
      <c r="R4492">
        <v>0</v>
      </c>
      <c r="S4492">
        <v>0</v>
      </c>
      <c r="T4492">
        <v>0</v>
      </c>
      <c r="U4492">
        <v>0</v>
      </c>
      <c r="V4492">
        <v>0</v>
      </c>
      <c r="W4492">
        <v>0</v>
      </c>
      <c r="X4492">
        <v>0</v>
      </c>
      <c r="Y4492" t="s">
        <v>31</v>
      </c>
      <c r="Z4492">
        <v>90</v>
      </c>
      <c r="AA4492" s="2" t="s">
        <v>3299</v>
      </c>
    </row>
    <row r="4493" spans="1:27" x14ac:dyDescent="0.2">
      <c r="A4493" t="s">
        <v>436</v>
      </c>
      <c r="B4493">
        <v>2024</v>
      </c>
      <c r="C4493" t="s">
        <v>437</v>
      </c>
      <c r="D4493" t="s">
        <v>652</v>
      </c>
      <c r="E4493" t="s">
        <v>29</v>
      </c>
      <c r="F4493" t="s">
        <v>30</v>
      </c>
      <c r="G4493">
        <v>0</v>
      </c>
      <c r="H4493">
        <v>0</v>
      </c>
      <c r="I4493">
        <v>0</v>
      </c>
      <c r="J4493">
        <v>0</v>
      </c>
      <c r="K4493">
        <v>0</v>
      </c>
      <c r="L4493">
        <v>0</v>
      </c>
      <c r="M4493">
        <v>0</v>
      </c>
      <c r="N4493">
        <v>0</v>
      </c>
      <c r="O4493">
        <v>0</v>
      </c>
      <c r="P4493">
        <v>0</v>
      </c>
      <c r="Q4493">
        <v>0</v>
      </c>
      <c r="R4493">
        <v>0</v>
      </c>
      <c r="S4493">
        <v>6</v>
      </c>
      <c r="T4493">
        <v>0</v>
      </c>
      <c r="U4493">
        <v>18</v>
      </c>
      <c r="V4493">
        <v>0</v>
      </c>
      <c r="W4493">
        <v>0</v>
      </c>
      <c r="X4493">
        <v>0</v>
      </c>
      <c r="Y4493" t="s">
        <v>31</v>
      </c>
      <c r="AA4493" s="2" t="s">
        <v>3358</v>
      </c>
    </row>
    <row r="4494" spans="1:27" x14ac:dyDescent="0.2">
      <c r="A4494" t="s">
        <v>72</v>
      </c>
      <c r="B4494">
        <v>2024</v>
      </c>
      <c r="C4494" t="s">
        <v>154</v>
      </c>
      <c r="D4494" t="s">
        <v>155</v>
      </c>
      <c r="E4494" t="s">
        <v>29</v>
      </c>
      <c r="F4494" t="s">
        <v>30</v>
      </c>
      <c r="G4494">
        <v>0</v>
      </c>
      <c r="H4494">
        <v>0</v>
      </c>
      <c r="I4494">
        <v>0</v>
      </c>
      <c r="J4494">
        <v>0</v>
      </c>
      <c r="K4494">
        <v>0</v>
      </c>
      <c r="L4494">
        <v>0</v>
      </c>
      <c r="M4494">
        <v>0</v>
      </c>
      <c r="N4494">
        <v>0</v>
      </c>
      <c r="O4494">
        <v>0</v>
      </c>
      <c r="P4494">
        <v>0</v>
      </c>
      <c r="Q4494">
        <v>0</v>
      </c>
      <c r="R4494">
        <v>0</v>
      </c>
      <c r="S4494">
        <v>47</v>
      </c>
      <c r="T4494">
        <v>0</v>
      </c>
      <c r="U4494">
        <v>0</v>
      </c>
      <c r="V4494">
        <v>0</v>
      </c>
      <c r="W4494">
        <v>0</v>
      </c>
      <c r="X4494">
        <v>0</v>
      </c>
      <c r="Y4494" t="s">
        <v>31</v>
      </c>
      <c r="Z4494">
        <v>55</v>
      </c>
      <c r="AA4494">
        <v>0</v>
      </c>
    </row>
    <row r="4495" spans="1:27" x14ac:dyDescent="0.2">
      <c r="A4495" t="s">
        <v>88</v>
      </c>
      <c r="B4495">
        <v>2024</v>
      </c>
      <c r="C4495" t="s">
        <v>5568</v>
      </c>
      <c r="D4495" t="s">
        <v>5569</v>
      </c>
      <c r="E4495" t="s">
        <v>29</v>
      </c>
      <c r="F4495" t="s">
        <v>30</v>
      </c>
      <c r="G4495">
        <v>0</v>
      </c>
      <c r="H4495">
        <v>0</v>
      </c>
      <c r="I4495">
        <v>0</v>
      </c>
      <c r="J4495">
        <v>0</v>
      </c>
      <c r="K4495">
        <v>5</v>
      </c>
      <c r="L4495">
        <v>0</v>
      </c>
      <c r="M4495">
        <v>0</v>
      </c>
      <c r="N4495">
        <v>0</v>
      </c>
      <c r="O4495">
        <v>2</v>
      </c>
      <c r="P4495">
        <v>0</v>
      </c>
      <c r="Q4495">
        <v>3</v>
      </c>
      <c r="R4495">
        <v>0</v>
      </c>
      <c r="S4495">
        <v>0</v>
      </c>
      <c r="T4495">
        <v>0</v>
      </c>
      <c r="U4495">
        <v>0</v>
      </c>
      <c r="V4495">
        <v>0</v>
      </c>
      <c r="W4495">
        <v>0</v>
      </c>
      <c r="X4495">
        <v>0</v>
      </c>
      <c r="Y4495" t="s">
        <v>51</v>
      </c>
      <c r="AA4495">
        <v>0</v>
      </c>
    </row>
    <row r="4496" spans="1:27" x14ac:dyDescent="0.2">
      <c r="A4496" t="s">
        <v>172</v>
      </c>
      <c r="B4496">
        <v>2024</v>
      </c>
      <c r="C4496" t="s">
        <v>5570</v>
      </c>
      <c r="D4496" t="s">
        <v>5571</v>
      </c>
      <c r="E4496" t="s">
        <v>29</v>
      </c>
      <c r="F4496" t="s">
        <v>30</v>
      </c>
      <c r="G4496">
        <v>0</v>
      </c>
      <c r="H4496">
        <v>0</v>
      </c>
      <c r="I4496">
        <v>0</v>
      </c>
      <c r="J4496">
        <v>0</v>
      </c>
      <c r="K4496">
        <v>45</v>
      </c>
      <c r="L4496">
        <v>0</v>
      </c>
      <c r="M4496">
        <v>0</v>
      </c>
      <c r="N4496">
        <v>0</v>
      </c>
      <c r="O4496">
        <v>0</v>
      </c>
      <c r="P4496">
        <v>0</v>
      </c>
      <c r="Q4496">
        <v>0</v>
      </c>
      <c r="R4496">
        <v>0</v>
      </c>
      <c r="S4496">
        <v>0</v>
      </c>
      <c r="T4496">
        <v>0</v>
      </c>
      <c r="U4496">
        <v>0</v>
      </c>
      <c r="V4496">
        <v>0</v>
      </c>
      <c r="W4496">
        <v>0</v>
      </c>
      <c r="X4496">
        <v>0</v>
      </c>
      <c r="Y4496" t="s">
        <v>51</v>
      </c>
      <c r="Z4496">
        <v>55</v>
      </c>
      <c r="AA4496">
        <v>0</v>
      </c>
    </row>
    <row r="4497" spans="1:27" x14ac:dyDescent="0.2">
      <c r="A4497" t="s">
        <v>172</v>
      </c>
      <c r="B4497">
        <v>2024</v>
      </c>
      <c r="C4497" t="s">
        <v>5572</v>
      </c>
      <c r="D4497" t="s">
        <v>5573</v>
      </c>
      <c r="E4497" t="s">
        <v>29</v>
      </c>
      <c r="F4497" t="s">
        <v>30</v>
      </c>
      <c r="G4497">
        <v>0</v>
      </c>
      <c r="H4497">
        <v>0</v>
      </c>
      <c r="I4497">
        <v>0</v>
      </c>
      <c r="J4497">
        <v>0</v>
      </c>
      <c r="K4497">
        <v>0</v>
      </c>
      <c r="L4497">
        <v>0</v>
      </c>
      <c r="M4497">
        <v>31</v>
      </c>
      <c r="N4497">
        <v>0</v>
      </c>
      <c r="O4497">
        <v>44</v>
      </c>
      <c r="P4497">
        <v>0</v>
      </c>
      <c r="Q4497">
        <v>0</v>
      </c>
      <c r="R4497">
        <v>0</v>
      </c>
      <c r="S4497">
        <v>0</v>
      </c>
      <c r="T4497">
        <v>0</v>
      </c>
      <c r="U4497">
        <v>0</v>
      </c>
      <c r="V4497">
        <v>0</v>
      </c>
      <c r="W4497">
        <v>0</v>
      </c>
      <c r="X4497">
        <v>0</v>
      </c>
      <c r="Y4497" t="s">
        <v>31</v>
      </c>
      <c r="Z4497">
        <v>55</v>
      </c>
      <c r="AA4497" s="2" t="s">
        <v>3316</v>
      </c>
    </row>
    <row r="4498" spans="1:27" x14ac:dyDescent="0.2">
      <c r="A4498" t="s">
        <v>433</v>
      </c>
      <c r="B4498">
        <v>2024</v>
      </c>
      <c r="C4498">
        <v>16741078</v>
      </c>
      <c r="D4498" t="s">
        <v>5574</v>
      </c>
      <c r="E4498" t="s">
        <v>29</v>
      </c>
      <c r="F4498" t="s">
        <v>41</v>
      </c>
      <c r="G4498">
        <v>0</v>
      </c>
      <c r="H4498">
        <v>0</v>
      </c>
      <c r="I4498">
        <v>0</v>
      </c>
      <c r="J4498">
        <v>0</v>
      </c>
      <c r="K4498">
        <v>0</v>
      </c>
      <c r="L4498">
        <v>0</v>
      </c>
      <c r="M4498">
        <v>0</v>
      </c>
      <c r="N4498">
        <v>0</v>
      </c>
      <c r="O4498">
        <v>0</v>
      </c>
      <c r="P4498">
        <v>0</v>
      </c>
      <c r="Q4498">
        <v>0</v>
      </c>
      <c r="R4498">
        <v>0</v>
      </c>
      <c r="S4498">
        <v>0</v>
      </c>
      <c r="T4498">
        <v>0</v>
      </c>
      <c r="U4498">
        <v>1</v>
      </c>
      <c r="V4498">
        <v>0</v>
      </c>
      <c r="W4498">
        <v>0</v>
      </c>
      <c r="X4498">
        <v>0</v>
      </c>
      <c r="Y4498" t="s">
        <v>51</v>
      </c>
      <c r="Z4498">
        <v>55</v>
      </c>
      <c r="AA4498">
        <v>0</v>
      </c>
    </row>
    <row r="4499" spans="1:27" x14ac:dyDescent="0.2">
      <c r="A4499" t="s">
        <v>433</v>
      </c>
      <c r="B4499">
        <v>2024</v>
      </c>
      <c r="C4499">
        <v>16741019</v>
      </c>
      <c r="D4499" t="s">
        <v>5575</v>
      </c>
      <c r="E4499" t="s">
        <v>29</v>
      </c>
      <c r="F4499" t="s">
        <v>41</v>
      </c>
      <c r="G4499">
        <v>0</v>
      </c>
      <c r="H4499">
        <v>0</v>
      </c>
      <c r="I4499">
        <v>0</v>
      </c>
      <c r="J4499">
        <v>0</v>
      </c>
      <c r="K4499">
        <v>0</v>
      </c>
      <c r="L4499">
        <v>0</v>
      </c>
      <c r="M4499">
        <v>0</v>
      </c>
      <c r="N4499">
        <v>0</v>
      </c>
      <c r="O4499">
        <v>0</v>
      </c>
      <c r="P4499">
        <v>0</v>
      </c>
      <c r="Q4499">
        <v>0</v>
      </c>
      <c r="R4499">
        <v>0</v>
      </c>
      <c r="S4499">
        <v>0</v>
      </c>
      <c r="T4499">
        <v>0</v>
      </c>
      <c r="U4499">
        <v>1</v>
      </c>
      <c r="V4499">
        <v>0</v>
      </c>
      <c r="W4499">
        <v>0</v>
      </c>
      <c r="X4499">
        <v>0</v>
      </c>
      <c r="Y4499" t="s">
        <v>51</v>
      </c>
      <c r="Z4499">
        <v>55</v>
      </c>
      <c r="AA4499">
        <v>0</v>
      </c>
    </row>
    <row r="4500" spans="1:27" x14ac:dyDescent="0.2">
      <c r="A4500" t="s">
        <v>883</v>
      </c>
      <c r="B4500">
        <v>2024</v>
      </c>
      <c r="C4500">
        <v>34183060</v>
      </c>
      <c r="D4500" t="s">
        <v>5576</v>
      </c>
      <c r="E4500" t="s">
        <v>29</v>
      </c>
      <c r="F4500" t="s">
        <v>30</v>
      </c>
      <c r="G4500">
        <v>0</v>
      </c>
      <c r="H4500">
        <v>0</v>
      </c>
      <c r="I4500">
        <v>0</v>
      </c>
      <c r="J4500">
        <v>0</v>
      </c>
      <c r="K4500">
        <v>0</v>
      </c>
      <c r="L4500">
        <v>0</v>
      </c>
      <c r="M4500">
        <v>0</v>
      </c>
      <c r="N4500">
        <v>0</v>
      </c>
      <c r="O4500">
        <v>0</v>
      </c>
      <c r="P4500">
        <v>0</v>
      </c>
      <c r="Q4500">
        <v>0</v>
      </c>
      <c r="R4500">
        <v>0</v>
      </c>
      <c r="S4500">
        <v>121</v>
      </c>
      <c r="T4500">
        <v>0</v>
      </c>
      <c r="U4500">
        <v>102</v>
      </c>
      <c r="V4500">
        <v>0</v>
      </c>
      <c r="W4500">
        <v>0</v>
      </c>
      <c r="X4500">
        <v>0</v>
      </c>
      <c r="Y4500" t="s">
        <v>31</v>
      </c>
      <c r="Z4500">
        <v>99</v>
      </c>
      <c r="AA4500" s="2" t="s">
        <v>3514</v>
      </c>
    </row>
    <row r="4501" spans="1:27" x14ac:dyDescent="0.2">
      <c r="A4501" t="s">
        <v>883</v>
      </c>
      <c r="B4501">
        <v>2024</v>
      </c>
      <c r="C4501">
        <v>33281130</v>
      </c>
      <c r="D4501" t="s">
        <v>5577</v>
      </c>
      <c r="E4501" t="s">
        <v>29</v>
      </c>
      <c r="F4501" t="s">
        <v>30</v>
      </c>
      <c r="G4501">
        <v>12</v>
      </c>
      <c r="H4501">
        <v>0</v>
      </c>
      <c r="I4501">
        <v>0</v>
      </c>
      <c r="J4501">
        <v>0</v>
      </c>
      <c r="K4501">
        <v>0</v>
      </c>
      <c r="L4501">
        <v>0</v>
      </c>
      <c r="M4501">
        <v>0</v>
      </c>
      <c r="N4501">
        <v>0</v>
      </c>
      <c r="O4501">
        <v>0</v>
      </c>
      <c r="P4501">
        <v>0</v>
      </c>
      <c r="Q4501">
        <v>0</v>
      </c>
      <c r="R4501">
        <v>0</v>
      </c>
      <c r="S4501">
        <v>0</v>
      </c>
      <c r="T4501">
        <v>0</v>
      </c>
      <c r="U4501">
        <v>0</v>
      </c>
      <c r="V4501">
        <v>0</v>
      </c>
      <c r="W4501">
        <v>0</v>
      </c>
      <c r="X4501">
        <v>0</v>
      </c>
      <c r="Y4501" t="s">
        <v>31</v>
      </c>
      <c r="Z4501">
        <v>1000</v>
      </c>
      <c r="AA4501">
        <v>0.5</v>
      </c>
    </row>
    <row r="4502" spans="1:27" x14ac:dyDescent="0.2">
      <c r="A4502" t="s">
        <v>1515</v>
      </c>
      <c r="B4502">
        <v>2024</v>
      </c>
      <c r="C4502">
        <v>1600093295</v>
      </c>
      <c r="D4502" t="s">
        <v>5578</v>
      </c>
      <c r="E4502" t="s">
        <v>29</v>
      </c>
      <c r="F4502" t="s">
        <v>30</v>
      </c>
      <c r="G4502">
        <v>2</v>
      </c>
      <c r="H4502">
        <v>0</v>
      </c>
      <c r="I4502">
        <v>0</v>
      </c>
      <c r="J4502">
        <v>0</v>
      </c>
      <c r="K4502">
        <v>1</v>
      </c>
      <c r="L4502">
        <v>0</v>
      </c>
      <c r="M4502">
        <v>2</v>
      </c>
      <c r="N4502">
        <v>0</v>
      </c>
      <c r="O4502">
        <v>0</v>
      </c>
      <c r="P4502">
        <v>0</v>
      </c>
      <c r="Q4502">
        <v>1</v>
      </c>
      <c r="R4502">
        <v>0</v>
      </c>
      <c r="S4502">
        <v>0</v>
      </c>
      <c r="T4502">
        <v>0</v>
      </c>
      <c r="U4502">
        <v>0</v>
      </c>
      <c r="V4502">
        <v>0</v>
      </c>
      <c r="W4502">
        <v>0</v>
      </c>
      <c r="X4502">
        <v>0</v>
      </c>
      <c r="Y4502" t="s">
        <v>31</v>
      </c>
      <c r="Z4502">
        <v>55</v>
      </c>
      <c r="AA4502">
        <v>0</v>
      </c>
    </row>
    <row r="4503" spans="1:27" x14ac:dyDescent="0.2">
      <c r="A4503" t="s">
        <v>1515</v>
      </c>
      <c r="B4503">
        <v>2024</v>
      </c>
      <c r="C4503">
        <v>1600093295</v>
      </c>
      <c r="D4503" t="s">
        <v>5579</v>
      </c>
      <c r="E4503" t="s">
        <v>29</v>
      </c>
      <c r="F4503" t="s">
        <v>30</v>
      </c>
      <c r="G4503">
        <v>0</v>
      </c>
      <c r="H4503">
        <v>0</v>
      </c>
      <c r="I4503">
        <v>0</v>
      </c>
      <c r="J4503">
        <v>0</v>
      </c>
      <c r="K4503">
        <v>2</v>
      </c>
      <c r="L4503">
        <v>0</v>
      </c>
      <c r="M4503">
        <v>0</v>
      </c>
      <c r="N4503">
        <v>0</v>
      </c>
      <c r="O4503">
        <v>0</v>
      </c>
      <c r="P4503">
        <v>0</v>
      </c>
      <c r="Q4503">
        <v>2</v>
      </c>
      <c r="R4503">
        <v>0</v>
      </c>
      <c r="S4503">
        <v>0</v>
      </c>
      <c r="T4503">
        <v>0</v>
      </c>
      <c r="U4503">
        <v>0</v>
      </c>
      <c r="V4503">
        <v>0</v>
      </c>
      <c r="W4503">
        <v>0</v>
      </c>
      <c r="X4503">
        <v>0</v>
      </c>
      <c r="Y4503" t="s">
        <v>31</v>
      </c>
      <c r="Z4503">
        <v>55</v>
      </c>
      <c r="AA4503">
        <v>0</v>
      </c>
    </row>
    <row r="4504" spans="1:27" x14ac:dyDescent="0.2">
      <c r="A4504" t="s">
        <v>2614</v>
      </c>
      <c r="B4504">
        <v>2023</v>
      </c>
      <c r="C4504">
        <v>2546121400</v>
      </c>
      <c r="D4504" t="s">
        <v>3314</v>
      </c>
      <c r="E4504" t="s">
        <v>29</v>
      </c>
      <c r="F4504" t="s">
        <v>30</v>
      </c>
      <c r="G4504">
        <v>0</v>
      </c>
      <c r="H4504">
        <v>0</v>
      </c>
      <c r="I4504">
        <v>0</v>
      </c>
      <c r="J4504">
        <v>0</v>
      </c>
      <c r="K4504">
        <v>0</v>
      </c>
      <c r="L4504">
        <v>0</v>
      </c>
      <c r="M4504">
        <v>1</v>
      </c>
      <c r="N4504">
        <v>0</v>
      </c>
      <c r="O4504">
        <v>0</v>
      </c>
      <c r="P4504">
        <v>0</v>
      </c>
      <c r="Q4504">
        <v>0</v>
      </c>
      <c r="R4504">
        <v>0</v>
      </c>
      <c r="S4504">
        <v>0</v>
      </c>
      <c r="T4504">
        <v>0</v>
      </c>
      <c r="U4504">
        <v>0</v>
      </c>
      <c r="V4504">
        <v>0</v>
      </c>
      <c r="W4504">
        <v>0</v>
      </c>
      <c r="X4504">
        <v>0</v>
      </c>
      <c r="Y4504" t="s">
        <v>31</v>
      </c>
      <c r="Z4504">
        <v>1000</v>
      </c>
      <c r="AA4504">
        <v>0</v>
      </c>
    </row>
    <row r="4505" spans="1:27" x14ac:dyDescent="0.2">
      <c r="A4505" t="s">
        <v>4258</v>
      </c>
      <c r="B4505">
        <v>2024</v>
      </c>
      <c r="C4505" t="s">
        <v>5580</v>
      </c>
      <c r="D4505" t="s">
        <v>4260</v>
      </c>
      <c r="E4505" t="s">
        <v>29</v>
      </c>
      <c r="F4505" t="s">
        <v>30</v>
      </c>
      <c r="G4505">
        <v>0</v>
      </c>
      <c r="H4505">
        <v>0</v>
      </c>
      <c r="I4505">
        <v>0</v>
      </c>
      <c r="J4505">
        <v>0</v>
      </c>
      <c r="K4505">
        <v>0</v>
      </c>
      <c r="L4505">
        <v>0</v>
      </c>
      <c r="M4505">
        <v>0</v>
      </c>
      <c r="N4505">
        <v>0</v>
      </c>
      <c r="O4505">
        <v>0</v>
      </c>
      <c r="P4505">
        <v>0</v>
      </c>
      <c r="Q4505">
        <v>0</v>
      </c>
      <c r="R4505">
        <v>0</v>
      </c>
      <c r="S4505">
        <v>70</v>
      </c>
      <c r="T4505">
        <v>0</v>
      </c>
      <c r="U4505">
        <v>0</v>
      </c>
      <c r="V4505">
        <v>0</v>
      </c>
      <c r="W4505">
        <v>0</v>
      </c>
      <c r="X4505">
        <v>0</v>
      </c>
      <c r="Y4505" t="s">
        <v>31</v>
      </c>
      <c r="Z4505">
        <v>55</v>
      </c>
      <c r="AA4505">
        <v>0</v>
      </c>
    </row>
    <row r="4506" spans="1:27" x14ac:dyDescent="0.2">
      <c r="A4506" t="s">
        <v>959</v>
      </c>
      <c r="B4506">
        <v>2024</v>
      </c>
      <c r="C4506">
        <v>6106013049</v>
      </c>
      <c r="D4506" t="s">
        <v>5581</v>
      </c>
      <c r="E4506" t="s">
        <v>29</v>
      </c>
      <c r="F4506" t="s">
        <v>30</v>
      </c>
      <c r="G4506">
        <v>17</v>
      </c>
      <c r="H4506">
        <v>0</v>
      </c>
      <c r="I4506">
        <v>0</v>
      </c>
      <c r="J4506">
        <v>0</v>
      </c>
      <c r="K4506">
        <v>0</v>
      </c>
      <c r="L4506">
        <v>0</v>
      </c>
      <c r="M4506">
        <v>0</v>
      </c>
      <c r="N4506">
        <v>0</v>
      </c>
      <c r="O4506">
        <v>0</v>
      </c>
      <c r="P4506">
        <v>0</v>
      </c>
      <c r="Q4506">
        <v>0</v>
      </c>
      <c r="R4506">
        <v>0</v>
      </c>
      <c r="S4506">
        <v>0</v>
      </c>
      <c r="T4506">
        <v>0</v>
      </c>
      <c r="U4506">
        <v>0</v>
      </c>
      <c r="V4506">
        <v>0</v>
      </c>
      <c r="W4506">
        <v>0</v>
      </c>
      <c r="X4506">
        <v>0</v>
      </c>
      <c r="Y4506" t="s">
        <v>31</v>
      </c>
      <c r="Z4506">
        <v>55</v>
      </c>
      <c r="AA4506">
        <v>0.25</v>
      </c>
    </row>
    <row r="4507" spans="1:27" x14ac:dyDescent="0.2">
      <c r="A4507" t="s">
        <v>75</v>
      </c>
      <c r="B4507">
        <v>2024</v>
      </c>
      <c r="C4507">
        <v>4453512400</v>
      </c>
      <c r="D4507" t="s">
        <v>341</v>
      </c>
      <c r="E4507" t="s">
        <v>29</v>
      </c>
      <c r="F4507" t="s">
        <v>30</v>
      </c>
      <c r="G4507">
        <v>0</v>
      </c>
      <c r="H4507">
        <v>0</v>
      </c>
      <c r="I4507">
        <v>0</v>
      </c>
      <c r="J4507">
        <v>0</v>
      </c>
      <c r="K4507">
        <v>0</v>
      </c>
      <c r="L4507">
        <v>0</v>
      </c>
      <c r="M4507">
        <v>0</v>
      </c>
      <c r="N4507">
        <v>0</v>
      </c>
      <c r="O4507">
        <v>0</v>
      </c>
      <c r="P4507">
        <v>0</v>
      </c>
      <c r="Q4507">
        <v>0</v>
      </c>
      <c r="R4507">
        <v>0</v>
      </c>
      <c r="S4507">
        <v>2</v>
      </c>
      <c r="T4507">
        <v>0</v>
      </c>
      <c r="U4507">
        <v>0</v>
      </c>
      <c r="V4507">
        <v>0</v>
      </c>
      <c r="W4507">
        <v>0</v>
      </c>
      <c r="X4507">
        <v>0</v>
      </c>
      <c r="Y4507" t="s">
        <v>31</v>
      </c>
      <c r="Z4507">
        <v>55</v>
      </c>
      <c r="AA4507">
        <v>6</v>
      </c>
    </row>
    <row r="4508" spans="1:27" x14ac:dyDescent="0.2">
      <c r="A4508" t="s">
        <v>75</v>
      </c>
      <c r="B4508">
        <v>2024</v>
      </c>
      <c r="C4508">
        <v>5343331300</v>
      </c>
      <c r="D4508" t="s">
        <v>5582</v>
      </c>
      <c r="E4508" t="s">
        <v>29</v>
      </c>
      <c r="F4508" t="s">
        <v>30</v>
      </c>
      <c r="G4508">
        <v>0</v>
      </c>
      <c r="H4508">
        <v>0</v>
      </c>
      <c r="I4508">
        <v>0</v>
      </c>
      <c r="J4508">
        <v>0</v>
      </c>
      <c r="K4508">
        <v>0</v>
      </c>
      <c r="L4508">
        <v>0</v>
      </c>
      <c r="M4508">
        <v>0</v>
      </c>
      <c r="N4508">
        <v>0</v>
      </c>
      <c r="O4508">
        <v>0</v>
      </c>
      <c r="P4508">
        <v>0</v>
      </c>
      <c r="Q4508">
        <v>0</v>
      </c>
      <c r="R4508">
        <v>0</v>
      </c>
      <c r="S4508">
        <v>12</v>
      </c>
      <c r="T4508">
        <v>0</v>
      </c>
      <c r="U4508">
        <v>37</v>
      </c>
      <c r="V4508">
        <v>0</v>
      </c>
      <c r="W4508">
        <v>0</v>
      </c>
      <c r="X4508">
        <v>0</v>
      </c>
      <c r="Y4508" t="s">
        <v>51</v>
      </c>
      <c r="AA4508">
        <v>0</v>
      </c>
    </row>
    <row r="4509" spans="1:27" x14ac:dyDescent="0.2">
      <c r="A4509" t="s">
        <v>75</v>
      </c>
      <c r="B4509">
        <v>2024</v>
      </c>
      <c r="C4509">
        <v>4450810700</v>
      </c>
      <c r="D4509" t="s">
        <v>5583</v>
      </c>
      <c r="E4509" t="s">
        <v>29</v>
      </c>
      <c r="F4509" t="s">
        <v>30</v>
      </c>
      <c r="G4509">
        <v>0</v>
      </c>
      <c r="H4509">
        <v>0</v>
      </c>
      <c r="I4509">
        <v>0</v>
      </c>
      <c r="J4509">
        <v>0</v>
      </c>
      <c r="K4509">
        <v>0</v>
      </c>
      <c r="L4509">
        <v>0</v>
      </c>
      <c r="M4509">
        <v>1</v>
      </c>
      <c r="N4509">
        <v>0</v>
      </c>
      <c r="O4509">
        <v>0</v>
      </c>
      <c r="P4509">
        <v>0</v>
      </c>
      <c r="Q4509">
        <v>0</v>
      </c>
      <c r="R4509">
        <v>0</v>
      </c>
      <c r="S4509">
        <v>0</v>
      </c>
      <c r="T4509">
        <v>0</v>
      </c>
      <c r="U4509">
        <v>0</v>
      </c>
      <c r="V4509">
        <v>0</v>
      </c>
      <c r="W4509">
        <v>0</v>
      </c>
      <c r="X4509">
        <v>0</v>
      </c>
      <c r="Y4509" t="s">
        <v>31</v>
      </c>
      <c r="Z4509">
        <v>55</v>
      </c>
      <c r="AA4509">
        <v>1</v>
      </c>
    </row>
    <row r="4510" spans="1:27" x14ac:dyDescent="0.2">
      <c r="A4510" t="s">
        <v>530</v>
      </c>
      <c r="B4510">
        <v>2024</v>
      </c>
      <c r="C4510" t="s">
        <v>5584</v>
      </c>
      <c r="D4510" t="s">
        <v>5585</v>
      </c>
      <c r="E4510" t="s">
        <v>29</v>
      </c>
      <c r="F4510" t="s">
        <v>30</v>
      </c>
      <c r="G4510">
        <v>0</v>
      </c>
      <c r="H4510">
        <v>0</v>
      </c>
      <c r="I4510">
        <v>0</v>
      </c>
      <c r="J4510">
        <v>1</v>
      </c>
      <c r="K4510">
        <v>0</v>
      </c>
      <c r="L4510">
        <v>0</v>
      </c>
      <c r="M4510">
        <v>0</v>
      </c>
      <c r="N4510">
        <v>0</v>
      </c>
      <c r="O4510">
        <v>0</v>
      </c>
      <c r="P4510">
        <v>0</v>
      </c>
      <c r="Q4510">
        <v>0</v>
      </c>
      <c r="R4510">
        <v>0</v>
      </c>
      <c r="S4510">
        <v>0</v>
      </c>
      <c r="T4510">
        <v>0</v>
      </c>
      <c r="U4510">
        <v>0</v>
      </c>
      <c r="V4510">
        <v>0</v>
      </c>
      <c r="W4510">
        <v>0</v>
      </c>
      <c r="X4510">
        <v>0</v>
      </c>
      <c r="Y4510" t="s">
        <v>51</v>
      </c>
      <c r="AA4510">
        <v>0</v>
      </c>
    </row>
    <row r="4511" spans="1:27" x14ac:dyDescent="0.2">
      <c r="A4511" t="s">
        <v>1048</v>
      </c>
      <c r="B4511">
        <v>2023</v>
      </c>
      <c r="C4511" t="s">
        <v>5586</v>
      </c>
      <c r="D4511" t="s">
        <v>5587</v>
      </c>
      <c r="E4511" t="s">
        <v>29</v>
      </c>
      <c r="F4511" t="s">
        <v>30</v>
      </c>
      <c r="G4511">
        <v>0</v>
      </c>
      <c r="H4511">
        <v>1</v>
      </c>
      <c r="I4511">
        <v>0</v>
      </c>
      <c r="J4511">
        <v>0</v>
      </c>
      <c r="K4511">
        <v>0</v>
      </c>
      <c r="L4511">
        <v>15</v>
      </c>
      <c r="M4511">
        <v>0</v>
      </c>
      <c r="N4511">
        <v>0</v>
      </c>
      <c r="O4511">
        <v>0</v>
      </c>
      <c r="P4511">
        <v>0</v>
      </c>
      <c r="Q4511">
        <v>0</v>
      </c>
      <c r="R4511">
        <v>0</v>
      </c>
      <c r="S4511">
        <v>0</v>
      </c>
      <c r="T4511">
        <v>0</v>
      </c>
      <c r="U4511">
        <v>0</v>
      </c>
      <c r="V4511">
        <v>0</v>
      </c>
      <c r="W4511">
        <v>0</v>
      </c>
      <c r="X4511">
        <v>0</v>
      </c>
      <c r="Y4511" t="s">
        <v>31</v>
      </c>
      <c r="AA4511" s="2" t="s">
        <v>4011</v>
      </c>
    </row>
    <row r="4512" spans="1:27" x14ac:dyDescent="0.2">
      <c r="A4512" t="s">
        <v>75</v>
      </c>
      <c r="B4512">
        <v>2024</v>
      </c>
      <c r="C4512">
        <v>4332503100</v>
      </c>
      <c r="D4512" t="s">
        <v>5588</v>
      </c>
      <c r="E4512" t="s">
        <v>29</v>
      </c>
      <c r="F4512" t="s">
        <v>30</v>
      </c>
      <c r="G4512">
        <v>0</v>
      </c>
      <c r="H4512">
        <v>0</v>
      </c>
      <c r="I4512">
        <v>0</v>
      </c>
      <c r="J4512">
        <v>0</v>
      </c>
      <c r="K4512">
        <v>0</v>
      </c>
      <c r="L4512">
        <v>0</v>
      </c>
      <c r="M4512">
        <v>0</v>
      </c>
      <c r="N4512">
        <v>0</v>
      </c>
      <c r="O4512">
        <v>0</v>
      </c>
      <c r="P4512">
        <v>0</v>
      </c>
      <c r="Q4512">
        <v>0</v>
      </c>
      <c r="R4512">
        <v>0</v>
      </c>
      <c r="S4512">
        <v>0</v>
      </c>
      <c r="T4512">
        <v>0</v>
      </c>
      <c r="U4512">
        <v>0</v>
      </c>
      <c r="V4512">
        <v>0</v>
      </c>
      <c r="W4512">
        <v>0</v>
      </c>
      <c r="X4512">
        <v>0</v>
      </c>
      <c r="Y4512" t="s">
        <v>51</v>
      </c>
      <c r="AA4512">
        <v>0</v>
      </c>
    </row>
    <row r="4513" spans="1:27" x14ac:dyDescent="0.2">
      <c r="A4513" t="s">
        <v>172</v>
      </c>
      <c r="B4513">
        <v>2024</v>
      </c>
      <c r="C4513" t="s">
        <v>5589</v>
      </c>
      <c r="D4513" t="s">
        <v>5590</v>
      </c>
      <c r="E4513" t="s">
        <v>29</v>
      </c>
      <c r="F4513" t="s">
        <v>30</v>
      </c>
      <c r="G4513">
        <v>0</v>
      </c>
      <c r="H4513">
        <v>0</v>
      </c>
      <c r="I4513">
        <v>0</v>
      </c>
      <c r="J4513">
        <v>0</v>
      </c>
      <c r="K4513">
        <v>2</v>
      </c>
      <c r="L4513">
        <v>0</v>
      </c>
      <c r="M4513">
        <v>0</v>
      </c>
      <c r="N4513">
        <v>0</v>
      </c>
      <c r="O4513">
        <v>0</v>
      </c>
      <c r="P4513">
        <v>0</v>
      </c>
      <c r="Q4513">
        <v>0</v>
      </c>
      <c r="R4513">
        <v>0</v>
      </c>
      <c r="S4513">
        <v>0</v>
      </c>
      <c r="T4513">
        <v>0</v>
      </c>
      <c r="U4513">
        <v>0</v>
      </c>
      <c r="V4513">
        <v>0</v>
      </c>
      <c r="W4513">
        <v>0</v>
      </c>
      <c r="X4513">
        <v>0</v>
      </c>
      <c r="Y4513" t="s">
        <v>31</v>
      </c>
      <c r="Z4513">
        <v>55</v>
      </c>
      <c r="AA4513">
        <v>0.13</v>
      </c>
    </row>
    <row r="4514" spans="1:27" x14ac:dyDescent="0.2">
      <c r="A4514" t="s">
        <v>172</v>
      </c>
      <c r="B4514">
        <v>2024</v>
      </c>
      <c r="C4514" t="s">
        <v>5591</v>
      </c>
      <c r="D4514" t="s">
        <v>5592</v>
      </c>
      <c r="E4514" t="s">
        <v>29</v>
      </c>
      <c r="F4514" t="s">
        <v>30</v>
      </c>
      <c r="G4514">
        <v>103</v>
      </c>
      <c r="H4514">
        <v>0</v>
      </c>
      <c r="I4514">
        <v>0</v>
      </c>
      <c r="J4514">
        <v>0</v>
      </c>
      <c r="K4514">
        <v>0</v>
      </c>
      <c r="L4514">
        <v>0</v>
      </c>
      <c r="M4514">
        <v>0</v>
      </c>
      <c r="N4514">
        <v>0</v>
      </c>
      <c r="O4514">
        <v>0</v>
      </c>
      <c r="P4514">
        <v>0</v>
      </c>
      <c r="Q4514">
        <v>0</v>
      </c>
      <c r="R4514">
        <v>0</v>
      </c>
      <c r="S4514">
        <v>0</v>
      </c>
      <c r="T4514">
        <v>0</v>
      </c>
      <c r="U4514">
        <v>0</v>
      </c>
      <c r="V4514">
        <v>0</v>
      </c>
      <c r="W4514">
        <v>0</v>
      </c>
      <c r="X4514">
        <v>0</v>
      </c>
      <c r="Y4514" t="s">
        <v>31</v>
      </c>
      <c r="Z4514">
        <v>55</v>
      </c>
      <c r="AA4514">
        <v>0</v>
      </c>
    </row>
    <row r="4515" spans="1:27" x14ac:dyDescent="0.2">
      <c r="A4515" t="s">
        <v>75</v>
      </c>
      <c r="B4515">
        <v>2024</v>
      </c>
      <c r="C4515">
        <v>6774001800</v>
      </c>
      <c r="D4515" t="s">
        <v>5593</v>
      </c>
      <c r="E4515" t="s">
        <v>29</v>
      </c>
      <c r="F4515" t="s">
        <v>30</v>
      </c>
      <c r="G4515">
        <v>0</v>
      </c>
      <c r="H4515">
        <v>0</v>
      </c>
      <c r="I4515">
        <v>0</v>
      </c>
      <c r="J4515">
        <v>0</v>
      </c>
      <c r="K4515">
        <v>0</v>
      </c>
      <c r="L4515">
        <v>0</v>
      </c>
      <c r="M4515">
        <v>0</v>
      </c>
      <c r="N4515">
        <v>0</v>
      </c>
      <c r="O4515">
        <v>0</v>
      </c>
      <c r="P4515">
        <v>0</v>
      </c>
      <c r="Q4515">
        <v>0</v>
      </c>
      <c r="R4515">
        <v>0</v>
      </c>
      <c r="S4515">
        <v>0</v>
      </c>
      <c r="T4515">
        <v>0</v>
      </c>
      <c r="U4515">
        <v>0</v>
      </c>
      <c r="V4515">
        <v>0</v>
      </c>
      <c r="W4515">
        <v>0</v>
      </c>
      <c r="X4515">
        <v>0</v>
      </c>
      <c r="Y4515" t="s">
        <v>51</v>
      </c>
      <c r="AA4515">
        <v>0</v>
      </c>
    </row>
    <row r="4516" spans="1:27" x14ac:dyDescent="0.2">
      <c r="A4516" t="s">
        <v>1576</v>
      </c>
      <c r="B4516">
        <v>2024</v>
      </c>
      <c r="C4516">
        <v>1512705600</v>
      </c>
      <c r="D4516" t="s">
        <v>5594</v>
      </c>
      <c r="E4516" t="s">
        <v>29</v>
      </c>
      <c r="F4516" t="s">
        <v>30</v>
      </c>
      <c r="G4516">
        <v>0</v>
      </c>
      <c r="H4516">
        <v>0</v>
      </c>
      <c r="I4516">
        <v>0</v>
      </c>
      <c r="J4516">
        <v>0</v>
      </c>
      <c r="K4516">
        <v>0</v>
      </c>
      <c r="L4516">
        <v>0</v>
      </c>
      <c r="M4516">
        <v>0</v>
      </c>
      <c r="N4516">
        <v>0</v>
      </c>
      <c r="O4516">
        <v>6</v>
      </c>
      <c r="P4516">
        <v>0</v>
      </c>
      <c r="Q4516">
        <v>0</v>
      </c>
      <c r="R4516">
        <v>0</v>
      </c>
      <c r="S4516">
        <v>0</v>
      </c>
      <c r="T4516">
        <v>0</v>
      </c>
      <c r="U4516">
        <v>0</v>
      </c>
      <c r="V4516">
        <v>0</v>
      </c>
      <c r="W4516">
        <v>0</v>
      </c>
      <c r="X4516">
        <v>0</v>
      </c>
      <c r="Y4516" t="s">
        <v>31</v>
      </c>
      <c r="AA4516" s="2" t="s">
        <v>3299</v>
      </c>
    </row>
    <row r="4517" spans="1:27" x14ac:dyDescent="0.2">
      <c r="A4517" t="s">
        <v>1576</v>
      </c>
      <c r="B4517">
        <v>2024</v>
      </c>
      <c r="C4517">
        <v>1512705600</v>
      </c>
      <c r="D4517" t="s">
        <v>5595</v>
      </c>
      <c r="E4517" t="s">
        <v>29</v>
      </c>
      <c r="F4517" t="s">
        <v>30</v>
      </c>
      <c r="G4517">
        <v>0</v>
      </c>
      <c r="H4517">
        <v>0</v>
      </c>
      <c r="I4517">
        <v>0</v>
      </c>
      <c r="J4517">
        <v>0</v>
      </c>
      <c r="K4517">
        <v>0</v>
      </c>
      <c r="L4517">
        <v>0</v>
      </c>
      <c r="M4517">
        <v>0</v>
      </c>
      <c r="N4517">
        <v>0</v>
      </c>
      <c r="O4517">
        <v>6</v>
      </c>
      <c r="P4517">
        <v>0</v>
      </c>
      <c r="Q4517">
        <v>0</v>
      </c>
      <c r="R4517">
        <v>0</v>
      </c>
      <c r="S4517">
        <v>0</v>
      </c>
      <c r="T4517">
        <v>0</v>
      </c>
      <c r="U4517">
        <v>0</v>
      </c>
      <c r="V4517">
        <v>0</v>
      </c>
      <c r="W4517">
        <v>0</v>
      </c>
      <c r="X4517">
        <v>0</v>
      </c>
      <c r="Y4517" t="s">
        <v>31</v>
      </c>
      <c r="AA4517" s="2" t="s">
        <v>3299</v>
      </c>
    </row>
    <row r="4518" spans="1:27" x14ac:dyDescent="0.2">
      <c r="A4518" t="s">
        <v>3423</v>
      </c>
      <c r="B4518">
        <v>2024</v>
      </c>
      <c r="C4518" t="s">
        <v>5596</v>
      </c>
      <c r="D4518" t="s">
        <v>5597</v>
      </c>
      <c r="E4518" t="s">
        <v>29</v>
      </c>
      <c r="F4518" t="s">
        <v>30</v>
      </c>
      <c r="G4518">
        <v>0</v>
      </c>
      <c r="H4518">
        <v>0</v>
      </c>
      <c r="I4518">
        <v>0</v>
      </c>
      <c r="J4518">
        <v>0</v>
      </c>
      <c r="K4518">
        <v>0</v>
      </c>
      <c r="L4518">
        <v>0</v>
      </c>
      <c r="M4518">
        <v>40</v>
      </c>
      <c r="N4518">
        <v>0</v>
      </c>
      <c r="O4518">
        <v>68</v>
      </c>
      <c r="P4518">
        <v>0</v>
      </c>
      <c r="Q4518">
        <v>0</v>
      </c>
      <c r="R4518">
        <v>0</v>
      </c>
      <c r="S4518">
        <v>0</v>
      </c>
      <c r="T4518">
        <v>0</v>
      </c>
      <c r="U4518">
        <v>0</v>
      </c>
      <c r="V4518">
        <v>0</v>
      </c>
      <c r="W4518">
        <v>0</v>
      </c>
      <c r="X4518">
        <v>0</v>
      </c>
      <c r="Y4518" t="s">
        <v>31</v>
      </c>
      <c r="AA4518" s="2" t="s">
        <v>5598</v>
      </c>
    </row>
    <row r="4519" spans="1:27" x14ac:dyDescent="0.2">
      <c r="A4519" t="s">
        <v>436</v>
      </c>
      <c r="B4519">
        <v>2024</v>
      </c>
      <c r="C4519" t="s">
        <v>437</v>
      </c>
      <c r="D4519" t="s">
        <v>653</v>
      </c>
      <c r="E4519" t="s">
        <v>29</v>
      </c>
      <c r="F4519" t="s">
        <v>30</v>
      </c>
      <c r="G4519">
        <v>0</v>
      </c>
      <c r="H4519">
        <v>0</v>
      </c>
      <c r="I4519">
        <v>0</v>
      </c>
      <c r="J4519">
        <v>0</v>
      </c>
      <c r="K4519">
        <v>0</v>
      </c>
      <c r="L4519">
        <v>0</v>
      </c>
      <c r="M4519">
        <v>0</v>
      </c>
      <c r="N4519">
        <v>0</v>
      </c>
      <c r="O4519">
        <v>0</v>
      </c>
      <c r="P4519">
        <v>0</v>
      </c>
      <c r="Q4519">
        <v>0</v>
      </c>
      <c r="R4519">
        <v>0</v>
      </c>
      <c r="S4519">
        <v>6</v>
      </c>
      <c r="T4519">
        <v>0</v>
      </c>
      <c r="U4519">
        <v>18</v>
      </c>
      <c r="V4519">
        <v>0</v>
      </c>
      <c r="W4519">
        <v>0</v>
      </c>
      <c r="X4519">
        <v>0</v>
      </c>
      <c r="Y4519" t="s">
        <v>31</v>
      </c>
      <c r="AA4519" s="2" t="s">
        <v>3358</v>
      </c>
    </row>
    <row r="4520" spans="1:27" x14ac:dyDescent="0.2">
      <c r="A4520" t="s">
        <v>436</v>
      </c>
      <c r="B4520">
        <v>2024</v>
      </c>
      <c r="C4520" t="s">
        <v>437</v>
      </c>
      <c r="D4520" t="s">
        <v>658</v>
      </c>
      <c r="E4520" t="s">
        <v>29</v>
      </c>
      <c r="F4520" t="s">
        <v>30</v>
      </c>
      <c r="G4520">
        <v>0</v>
      </c>
      <c r="H4520">
        <v>0</v>
      </c>
      <c r="I4520">
        <v>0</v>
      </c>
      <c r="J4520">
        <v>0</v>
      </c>
      <c r="K4520">
        <v>0</v>
      </c>
      <c r="L4520">
        <v>0</v>
      </c>
      <c r="M4520">
        <v>0</v>
      </c>
      <c r="N4520">
        <v>0</v>
      </c>
      <c r="O4520">
        <v>0</v>
      </c>
      <c r="P4520">
        <v>0</v>
      </c>
      <c r="Q4520">
        <v>0</v>
      </c>
      <c r="R4520">
        <v>0</v>
      </c>
      <c r="S4520">
        <v>6</v>
      </c>
      <c r="T4520">
        <v>0</v>
      </c>
      <c r="U4520">
        <v>18</v>
      </c>
      <c r="V4520">
        <v>0</v>
      </c>
      <c r="W4520">
        <v>0</v>
      </c>
      <c r="X4520">
        <v>0</v>
      </c>
      <c r="Y4520" t="s">
        <v>31</v>
      </c>
      <c r="AA4520" s="2" t="s">
        <v>3358</v>
      </c>
    </row>
    <row r="4521" spans="1:27" x14ac:dyDescent="0.2">
      <c r="A4521" t="s">
        <v>436</v>
      </c>
      <c r="B4521">
        <v>2024</v>
      </c>
      <c r="C4521" t="s">
        <v>437</v>
      </c>
      <c r="D4521" t="s">
        <v>740</v>
      </c>
      <c r="E4521" t="s">
        <v>29</v>
      </c>
      <c r="F4521" t="s">
        <v>30</v>
      </c>
      <c r="G4521">
        <v>0</v>
      </c>
      <c r="H4521">
        <v>0</v>
      </c>
      <c r="I4521">
        <v>0</v>
      </c>
      <c r="J4521">
        <v>0</v>
      </c>
      <c r="K4521">
        <v>0</v>
      </c>
      <c r="L4521">
        <v>0</v>
      </c>
      <c r="M4521">
        <v>0</v>
      </c>
      <c r="N4521">
        <v>0</v>
      </c>
      <c r="O4521">
        <v>0</v>
      </c>
      <c r="P4521">
        <v>0</v>
      </c>
      <c r="Q4521">
        <v>0</v>
      </c>
      <c r="R4521">
        <v>0</v>
      </c>
      <c r="S4521">
        <v>6</v>
      </c>
      <c r="T4521">
        <v>0</v>
      </c>
      <c r="U4521">
        <v>18</v>
      </c>
      <c r="V4521">
        <v>0</v>
      </c>
      <c r="W4521">
        <v>0</v>
      </c>
      <c r="X4521">
        <v>0</v>
      </c>
      <c r="Y4521" t="s">
        <v>31</v>
      </c>
      <c r="AA4521" s="2" t="s">
        <v>3358</v>
      </c>
    </row>
    <row r="4522" spans="1:27" x14ac:dyDescent="0.2">
      <c r="A4522" t="s">
        <v>1188</v>
      </c>
      <c r="B4522">
        <v>2024</v>
      </c>
      <c r="C4522" t="s">
        <v>1370</v>
      </c>
      <c r="D4522" t="s">
        <v>5470</v>
      </c>
      <c r="E4522" t="s">
        <v>29</v>
      </c>
      <c r="F4522" t="s">
        <v>30</v>
      </c>
      <c r="G4522">
        <v>0</v>
      </c>
      <c r="H4522">
        <v>0</v>
      </c>
      <c r="I4522">
        <v>0</v>
      </c>
      <c r="J4522">
        <v>0</v>
      </c>
      <c r="K4522">
        <v>0</v>
      </c>
      <c r="L4522">
        <v>0</v>
      </c>
      <c r="M4522">
        <v>0</v>
      </c>
      <c r="N4522">
        <v>0</v>
      </c>
      <c r="O4522">
        <v>0</v>
      </c>
      <c r="P4522">
        <v>0</v>
      </c>
      <c r="Q4522">
        <v>0</v>
      </c>
      <c r="R4522">
        <v>0</v>
      </c>
      <c r="S4522">
        <v>4</v>
      </c>
      <c r="T4522">
        <v>0</v>
      </c>
      <c r="U4522">
        <v>16</v>
      </c>
      <c r="V4522">
        <v>0</v>
      </c>
      <c r="W4522">
        <v>0</v>
      </c>
      <c r="X4522">
        <v>0</v>
      </c>
      <c r="Y4522" t="s">
        <v>31</v>
      </c>
      <c r="Z4522">
        <v>55</v>
      </c>
      <c r="AA4522">
        <v>1</v>
      </c>
    </row>
    <row r="4523" spans="1:27" x14ac:dyDescent="0.2">
      <c r="A4523" t="s">
        <v>1769</v>
      </c>
      <c r="B4523">
        <v>2024</v>
      </c>
      <c r="C4523" t="s">
        <v>5599</v>
      </c>
      <c r="D4523" t="s">
        <v>5600</v>
      </c>
      <c r="E4523" t="s">
        <v>29</v>
      </c>
      <c r="F4523" t="s">
        <v>30</v>
      </c>
      <c r="G4523">
        <v>37</v>
      </c>
      <c r="H4523">
        <v>0</v>
      </c>
      <c r="I4523">
        <v>0</v>
      </c>
      <c r="J4523">
        <v>0</v>
      </c>
      <c r="K4523">
        <v>0</v>
      </c>
      <c r="L4523">
        <v>0</v>
      </c>
      <c r="M4523">
        <v>0</v>
      </c>
      <c r="N4523">
        <v>0</v>
      </c>
      <c r="O4523">
        <v>0</v>
      </c>
      <c r="P4523">
        <v>0</v>
      </c>
      <c r="Q4523">
        <v>0</v>
      </c>
      <c r="R4523">
        <v>0</v>
      </c>
      <c r="S4523">
        <v>0</v>
      </c>
      <c r="T4523">
        <v>0</v>
      </c>
      <c r="U4523">
        <v>0</v>
      </c>
      <c r="V4523">
        <v>0</v>
      </c>
      <c r="W4523">
        <v>0</v>
      </c>
      <c r="X4523">
        <v>0</v>
      </c>
      <c r="Y4523" t="s">
        <v>31</v>
      </c>
      <c r="Z4523">
        <v>55</v>
      </c>
      <c r="AA4523" s="2" t="s">
        <v>3312</v>
      </c>
    </row>
    <row r="4524" spans="1:27" x14ac:dyDescent="0.2">
      <c r="A4524" t="s">
        <v>1769</v>
      </c>
      <c r="B4524">
        <v>2024</v>
      </c>
      <c r="C4524" t="s">
        <v>5601</v>
      </c>
      <c r="D4524" t="s">
        <v>5602</v>
      </c>
      <c r="E4524" t="s">
        <v>29</v>
      </c>
      <c r="F4524" t="s">
        <v>30</v>
      </c>
      <c r="G4524">
        <v>23</v>
      </c>
      <c r="H4524">
        <v>0</v>
      </c>
      <c r="I4524">
        <v>0</v>
      </c>
      <c r="J4524">
        <v>0</v>
      </c>
      <c r="K4524">
        <v>0</v>
      </c>
      <c r="L4524">
        <v>0</v>
      </c>
      <c r="M4524">
        <v>0</v>
      </c>
      <c r="N4524">
        <v>0</v>
      </c>
      <c r="O4524">
        <v>0</v>
      </c>
      <c r="P4524">
        <v>0</v>
      </c>
      <c r="Q4524">
        <v>0</v>
      </c>
      <c r="R4524">
        <v>0</v>
      </c>
      <c r="S4524">
        <v>0</v>
      </c>
      <c r="T4524">
        <v>0</v>
      </c>
      <c r="U4524">
        <v>0</v>
      </c>
      <c r="V4524">
        <v>0</v>
      </c>
      <c r="W4524">
        <v>0</v>
      </c>
      <c r="X4524">
        <v>0</v>
      </c>
      <c r="Y4524" t="s">
        <v>31</v>
      </c>
      <c r="AA4524">
        <v>0.5</v>
      </c>
    </row>
    <row r="4525" spans="1:27" x14ac:dyDescent="0.2">
      <c r="A4525" t="s">
        <v>1509</v>
      </c>
      <c r="B4525">
        <v>2024</v>
      </c>
      <c r="C4525">
        <v>238013042</v>
      </c>
      <c r="D4525" t="s">
        <v>3342</v>
      </c>
      <c r="E4525" t="s">
        <v>29</v>
      </c>
      <c r="F4525" t="s">
        <v>30</v>
      </c>
      <c r="G4525">
        <v>0</v>
      </c>
      <c r="H4525">
        <v>0</v>
      </c>
      <c r="I4525">
        <v>0</v>
      </c>
      <c r="J4525">
        <v>0</v>
      </c>
      <c r="K4525">
        <v>0</v>
      </c>
      <c r="L4525">
        <v>0</v>
      </c>
      <c r="M4525">
        <v>0</v>
      </c>
      <c r="N4525">
        <v>0</v>
      </c>
      <c r="O4525">
        <v>0</v>
      </c>
      <c r="P4525">
        <v>0</v>
      </c>
      <c r="Q4525">
        <v>0</v>
      </c>
      <c r="R4525">
        <v>0</v>
      </c>
      <c r="S4525">
        <v>68</v>
      </c>
      <c r="T4525">
        <v>0</v>
      </c>
      <c r="U4525">
        <v>0</v>
      </c>
      <c r="V4525">
        <v>0</v>
      </c>
      <c r="W4525">
        <v>0</v>
      </c>
      <c r="X4525">
        <v>0</v>
      </c>
      <c r="Y4525" t="s">
        <v>51</v>
      </c>
      <c r="Z4525">
        <v>45</v>
      </c>
      <c r="AA4525">
        <v>0</v>
      </c>
    </row>
    <row r="4526" spans="1:27" x14ac:dyDescent="0.2">
      <c r="A4526" t="s">
        <v>1509</v>
      </c>
      <c r="B4526">
        <v>2024</v>
      </c>
      <c r="C4526">
        <v>1560180485</v>
      </c>
      <c r="D4526" t="s">
        <v>5603</v>
      </c>
      <c r="E4526" t="s">
        <v>29</v>
      </c>
      <c r="F4526" t="s">
        <v>30</v>
      </c>
      <c r="G4526">
        <v>0</v>
      </c>
      <c r="H4526">
        <v>0</v>
      </c>
      <c r="I4526">
        <v>0</v>
      </c>
      <c r="J4526">
        <v>0</v>
      </c>
      <c r="K4526">
        <v>0</v>
      </c>
      <c r="L4526">
        <v>0</v>
      </c>
      <c r="M4526">
        <v>0</v>
      </c>
      <c r="N4526">
        <v>0</v>
      </c>
      <c r="O4526">
        <v>0</v>
      </c>
      <c r="P4526">
        <v>0</v>
      </c>
      <c r="Q4526">
        <v>0</v>
      </c>
      <c r="R4526">
        <v>0</v>
      </c>
      <c r="S4526">
        <v>0</v>
      </c>
      <c r="T4526">
        <v>0</v>
      </c>
      <c r="U4526">
        <v>12</v>
      </c>
      <c r="V4526">
        <v>0</v>
      </c>
      <c r="W4526">
        <v>0</v>
      </c>
      <c r="X4526">
        <v>0</v>
      </c>
      <c r="Y4526" t="s">
        <v>51</v>
      </c>
      <c r="Z4526">
        <v>1000</v>
      </c>
      <c r="AA4526">
        <v>0</v>
      </c>
    </row>
    <row r="4527" spans="1:27" x14ac:dyDescent="0.2">
      <c r="A4527" t="s">
        <v>1509</v>
      </c>
      <c r="B4527">
        <v>2024</v>
      </c>
      <c r="C4527">
        <v>1560180485</v>
      </c>
      <c r="D4527" t="s">
        <v>5604</v>
      </c>
      <c r="E4527" t="s">
        <v>29</v>
      </c>
      <c r="F4527" t="s">
        <v>30</v>
      </c>
      <c r="G4527">
        <v>0</v>
      </c>
      <c r="H4527">
        <v>0</v>
      </c>
      <c r="I4527">
        <v>0</v>
      </c>
      <c r="J4527">
        <v>0</v>
      </c>
      <c r="K4527">
        <v>0</v>
      </c>
      <c r="L4527">
        <v>0</v>
      </c>
      <c r="M4527">
        <v>0</v>
      </c>
      <c r="N4527">
        <v>0</v>
      </c>
      <c r="O4527">
        <v>0</v>
      </c>
      <c r="P4527">
        <v>0</v>
      </c>
      <c r="Q4527">
        <v>0</v>
      </c>
      <c r="R4527">
        <v>0</v>
      </c>
      <c r="S4527">
        <v>12</v>
      </c>
      <c r="T4527">
        <v>0</v>
      </c>
      <c r="U4527">
        <v>0</v>
      </c>
      <c r="V4527">
        <v>0</v>
      </c>
      <c r="W4527">
        <v>0</v>
      </c>
      <c r="X4527">
        <v>0</v>
      </c>
      <c r="Y4527" t="s">
        <v>51</v>
      </c>
      <c r="Z4527">
        <v>1000</v>
      </c>
      <c r="AA4527">
        <v>0</v>
      </c>
    </row>
    <row r="4528" spans="1:27" x14ac:dyDescent="0.2">
      <c r="A4528" t="s">
        <v>1048</v>
      </c>
      <c r="B4528">
        <v>2022</v>
      </c>
      <c r="C4528" t="s">
        <v>3336</v>
      </c>
      <c r="D4528" t="s">
        <v>5605</v>
      </c>
      <c r="E4528" t="s">
        <v>29</v>
      </c>
      <c r="F4528" t="s">
        <v>30</v>
      </c>
      <c r="G4528">
        <v>0</v>
      </c>
      <c r="H4528">
        <v>0</v>
      </c>
      <c r="I4528">
        <v>0</v>
      </c>
      <c r="J4528">
        <v>0</v>
      </c>
      <c r="K4528">
        <v>0</v>
      </c>
      <c r="L4528">
        <v>0</v>
      </c>
      <c r="M4528">
        <v>0</v>
      </c>
      <c r="N4528">
        <v>0</v>
      </c>
      <c r="O4528">
        <v>8</v>
      </c>
      <c r="P4528">
        <v>0</v>
      </c>
      <c r="Q4528">
        <v>0</v>
      </c>
      <c r="R4528">
        <v>0</v>
      </c>
      <c r="S4528">
        <v>0</v>
      </c>
      <c r="T4528">
        <v>0</v>
      </c>
      <c r="U4528">
        <v>8</v>
      </c>
      <c r="V4528">
        <v>0</v>
      </c>
      <c r="W4528">
        <v>0</v>
      </c>
      <c r="X4528">
        <v>0</v>
      </c>
      <c r="Y4528" t="s">
        <v>51</v>
      </c>
      <c r="Z4528">
        <v>55</v>
      </c>
      <c r="AA4528">
        <v>0</v>
      </c>
    </row>
    <row r="4529" spans="1:27" x14ac:dyDescent="0.2">
      <c r="A4529" t="s">
        <v>75</v>
      </c>
      <c r="B4529">
        <v>2024</v>
      </c>
      <c r="C4529">
        <v>6454100100</v>
      </c>
      <c r="D4529" t="s">
        <v>5606</v>
      </c>
      <c r="E4529" t="s">
        <v>29</v>
      </c>
      <c r="F4529" t="s">
        <v>41</v>
      </c>
      <c r="G4529">
        <v>0</v>
      </c>
      <c r="H4529">
        <v>0</v>
      </c>
      <c r="I4529">
        <v>0</v>
      </c>
      <c r="J4529">
        <v>0</v>
      </c>
      <c r="K4529">
        <v>0</v>
      </c>
      <c r="L4529">
        <v>0</v>
      </c>
      <c r="M4529">
        <v>0</v>
      </c>
      <c r="N4529">
        <v>0</v>
      </c>
      <c r="O4529">
        <v>0</v>
      </c>
      <c r="P4529">
        <v>0</v>
      </c>
      <c r="Q4529">
        <v>0</v>
      </c>
      <c r="R4529">
        <v>0</v>
      </c>
      <c r="S4529">
        <v>0</v>
      </c>
      <c r="T4529">
        <v>0</v>
      </c>
      <c r="U4529">
        <v>0</v>
      </c>
      <c r="V4529">
        <v>0</v>
      </c>
      <c r="W4529">
        <v>7</v>
      </c>
      <c r="X4529">
        <v>0</v>
      </c>
      <c r="Y4529" t="s">
        <v>51</v>
      </c>
      <c r="AA4529">
        <v>0</v>
      </c>
    </row>
    <row r="4530" spans="1:27" x14ac:dyDescent="0.2">
      <c r="A4530" t="s">
        <v>1527</v>
      </c>
      <c r="B4530">
        <v>2024</v>
      </c>
      <c r="C4530" s="2" t="s">
        <v>3404</v>
      </c>
      <c r="D4530" t="s">
        <v>5607</v>
      </c>
      <c r="E4530" t="s">
        <v>29</v>
      </c>
      <c r="F4530" t="s">
        <v>30</v>
      </c>
      <c r="G4530">
        <v>0</v>
      </c>
      <c r="H4530">
        <v>0</v>
      </c>
      <c r="I4530">
        <v>0</v>
      </c>
      <c r="J4530">
        <v>0</v>
      </c>
      <c r="K4530">
        <v>0</v>
      </c>
      <c r="L4530">
        <v>0</v>
      </c>
      <c r="M4530">
        <v>24</v>
      </c>
      <c r="N4530">
        <v>0</v>
      </c>
      <c r="O4530">
        <v>0</v>
      </c>
      <c r="P4530">
        <v>0</v>
      </c>
      <c r="Q4530">
        <v>0</v>
      </c>
      <c r="R4530">
        <v>0</v>
      </c>
      <c r="S4530">
        <v>0</v>
      </c>
      <c r="T4530">
        <v>0</v>
      </c>
      <c r="U4530">
        <v>0</v>
      </c>
      <c r="V4530">
        <v>0</v>
      </c>
      <c r="W4530">
        <v>0</v>
      </c>
      <c r="X4530">
        <v>0</v>
      </c>
      <c r="Y4530" t="s">
        <v>31</v>
      </c>
      <c r="AA4530">
        <v>0</v>
      </c>
    </row>
    <row r="4531" spans="1:27" x14ac:dyDescent="0.2">
      <c r="A4531" t="s">
        <v>460</v>
      </c>
      <c r="B4531">
        <v>2024</v>
      </c>
      <c r="C4531" t="s">
        <v>461</v>
      </c>
      <c r="D4531" t="s">
        <v>900</v>
      </c>
      <c r="E4531" t="s">
        <v>29</v>
      </c>
      <c r="F4531" t="s">
        <v>30</v>
      </c>
      <c r="G4531">
        <v>0</v>
      </c>
      <c r="H4531">
        <v>0</v>
      </c>
      <c r="I4531">
        <v>0</v>
      </c>
      <c r="J4531">
        <v>0</v>
      </c>
      <c r="K4531">
        <v>0</v>
      </c>
      <c r="L4531">
        <v>0</v>
      </c>
      <c r="M4531">
        <v>0</v>
      </c>
      <c r="N4531">
        <v>0</v>
      </c>
      <c r="O4531">
        <v>0</v>
      </c>
      <c r="P4531">
        <v>0</v>
      </c>
      <c r="Q4531">
        <v>0</v>
      </c>
      <c r="R4531">
        <v>0</v>
      </c>
      <c r="S4531">
        <v>3</v>
      </c>
      <c r="T4531">
        <v>0</v>
      </c>
      <c r="U4531">
        <v>13</v>
      </c>
      <c r="V4531">
        <v>0</v>
      </c>
      <c r="W4531">
        <v>0</v>
      </c>
      <c r="X4531">
        <v>0</v>
      </c>
      <c r="Y4531" t="s">
        <v>31</v>
      </c>
      <c r="Z4531">
        <v>55</v>
      </c>
      <c r="AA4531" s="2" t="s">
        <v>5091</v>
      </c>
    </row>
    <row r="4532" spans="1:27" x14ac:dyDescent="0.2">
      <c r="A4532" t="s">
        <v>406</v>
      </c>
      <c r="B4532">
        <v>2024</v>
      </c>
      <c r="C4532" t="s">
        <v>718</v>
      </c>
      <c r="D4532" t="s">
        <v>719</v>
      </c>
      <c r="E4532" t="s">
        <v>29</v>
      </c>
      <c r="F4532" t="s">
        <v>41</v>
      </c>
      <c r="G4532">
        <v>0</v>
      </c>
      <c r="H4532">
        <v>0</v>
      </c>
      <c r="I4532">
        <v>0</v>
      </c>
      <c r="J4532">
        <v>0</v>
      </c>
      <c r="K4532">
        <v>22</v>
      </c>
      <c r="L4532">
        <v>0</v>
      </c>
      <c r="M4532">
        <v>0</v>
      </c>
      <c r="N4532">
        <v>0</v>
      </c>
      <c r="O4532">
        <v>0</v>
      </c>
      <c r="P4532">
        <v>0</v>
      </c>
      <c r="Q4532">
        <v>6</v>
      </c>
      <c r="R4532">
        <v>0</v>
      </c>
      <c r="S4532">
        <v>0</v>
      </c>
      <c r="T4532">
        <v>0</v>
      </c>
      <c r="U4532">
        <v>0</v>
      </c>
      <c r="V4532">
        <v>0</v>
      </c>
      <c r="W4532">
        <v>0</v>
      </c>
      <c r="X4532">
        <v>0</v>
      </c>
      <c r="Y4532" t="s">
        <v>31</v>
      </c>
      <c r="Z4532">
        <v>55</v>
      </c>
      <c r="AA4532">
        <v>0</v>
      </c>
    </row>
    <row r="4533" spans="1:27" x14ac:dyDescent="0.2">
      <c r="A4533" t="s">
        <v>406</v>
      </c>
      <c r="B4533">
        <v>2024</v>
      </c>
      <c r="C4533" t="s">
        <v>686</v>
      </c>
      <c r="D4533" t="s">
        <v>687</v>
      </c>
      <c r="E4533" t="s">
        <v>29</v>
      </c>
      <c r="F4533" t="s">
        <v>30</v>
      </c>
      <c r="G4533">
        <v>14</v>
      </c>
      <c r="H4533">
        <v>0</v>
      </c>
      <c r="I4533">
        <v>14</v>
      </c>
      <c r="J4533">
        <v>0</v>
      </c>
      <c r="K4533">
        <v>14</v>
      </c>
      <c r="L4533">
        <v>0</v>
      </c>
      <c r="M4533">
        <v>14</v>
      </c>
      <c r="N4533">
        <v>0</v>
      </c>
      <c r="O4533">
        <v>14</v>
      </c>
      <c r="P4533">
        <v>0</v>
      </c>
      <c r="Q4533">
        <v>14</v>
      </c>
      <c r="R4533">
        <v>0</v>
      </c>
      <c r="S4533">
        <v>0</v>
      </c>
      <c r="T4533">
        <v>0</v>
      </c>
      <c r="U4533">
        <v>0</v>
      </c>
      <c r="V4533">
        <v>0</v>
      </c>
      <c r="W4533">
        <v>0</v>
      </c>
      <c r="X4533">
        <v>0</v>
      </c>
      <c r="Y4533" t="s">
        <v>31</v>
      </c>
      <c r="Z4533">
        <v>55</v>
      </c>
      <c r="AA4533">
        <v>0</v>
      </c>
    </row>
    <row r="4534" spans="1:27" x14ac:dyDescent="0.2">
      <c r="A4534" t="s">
        <v>406</v>
      </c>
      <c r="B4534">
        <v>2024</v>
      </c>
      <c r="C4534" t="s">
        <v>5608</v>
      </c>
      <c r="D4534" t="s">
        <v>687</v>
      </c>
      <c r="E4534" t="s">
        <v>29</v>
      </c>
      <c r="F4534" t="s">
        <v>41</v>
      </c>
      <c r="G4534">
        <v>0</v>
      </c>
      <c r="H4534">
        <v>0</v>
      </c>
      <c r="I4534">
        <v>0</v>
      </c>
      <c r="J4534">
        <v>0</v>
      </c>
      <c r="K4534">
        <v>6</v>
      </c>
      <c r="L4534">
        <v>0</v>
      </c>
      <c r="M4534">
        <v>0</v>
      </c>
      <c r="N4534">
        <v>0</v>
      </c>
      <c r="O4534">
        <v>0</v>
      </c>
      <c r="P4534">
        <v>0</v>
      </c>
      <c r="Q4534">
        <v>0</v>
      </c>
      <c r="R4534">
        <v>0</v>
      </c>
      <c r="S4534">
        <v>0</v>
      </c>
      <c r="T4534">
        <v>0</v>
      </c>
      <c r="U4534">
        <v>0</v>
      </c>
      <c r="V4534">
        <v>0</v>
      </c>
      <c r="W4534">
        <v>0</v>
      </c>
      <c r="X4534">
        <v>0</v>
      </c>
      <c r="Y4534" t="s">
        <v>31</v>
      </c>
      <c r="Z4534">
        <v>55</v>
      </c>
      <c r="AA4534">
        <v>0</v>
      </c>
    </row>
    <row r="4535" spans="1:27" ht="85" x14ac:dyDescent="0.2">
      <c r="A4535" t="s">
        <v>2411</v>
      </c>
      <c r="B4535">
        <v>2024</v>
      </c>
      <c r="C4535" t="s">
        <v>5368</v>
      </c>
      <c r="D4535" s="1" t="s">
        <v>5609</v>
      </c>
      <c r="E4535" t="s">
        <v>29</v>
      </c>
      <c r="F4535" t="s">
        <v>30</v>
      </c>
      <c r="G4535">
        <v>0</v>
      </c>
      <c r="H4535">
        <v>0</v>
      </c>
      <c r="I4535">
        <v>0</v>
      </c>
      <c r="J4535">
        <v>0</v>
      </c>
      <c r="K4535">
        <v>0</v>
      </c>
      <c r="L4535">
        <v>0</v>
      </c>
      <c r="M4535">
        <v>0</v>
      </c>
      <c r="N4535">
        <v>0</v>
      </c>
      <c r="O4535">
        <v>0</v>
      </c>
      <c r="P4535">
        <v>0</v>
      </c>
      <c r="Q4535">
        <v>0</v>
      </c>
      <c r="R4535">
        <v>0</v>
      </c>
      <c r="S4535">
        <v>24</v>
      </c>
      <c r="T4535">
        <v>0</v>
      </c>
      <c r="U4535">
        <v>5</v>
      </c>
      <c r="V4535">
        <v>0</v>
      </c>
      <c r="W4535">
        <v>0</v>
      </c>
      <c r="X4535">
        <v>0</v>
      </c>
      <c r="Y4535" t="s">
        <v>31</v>
      </c>
      <c r="Z4535">
        <v>1000</v>
      </c>
      <c r="AA4535" s="2" t="s">
        <v>3299</v>
      </c>
    </row>
    <row r="4536" spans="1:27" x14ac:dyDescent="0.2">
      <c r="A4536" t="s">
        <v>1449</v>
      </c>
      <c r="B4536">
        <v>2024</v>
      </c>
      <c r="C4536" t="s">
        <v>2216</v>
      </c>
      <c r="D4536" t="s">
        <v>2217</v>
      </c>
      <c r="E4536" t="s">
        <v>29</v>
      </c>
      <c r="F4536" t="s">
        <v>30</v>
      </c>
      <c r="G4536">
        <v>0</v>
      </c>
      <c r="H4536">
        <v>0</v>
      </c>
      <c r="I4536">
        <v>0</v>
      </c>
      <c r="J4536">
        <v>0</v>
      </c>
      <c r="K4536">
        <v>0</v>
      </c>
      <c r="L4536">
        <v>0</v>
      </c>
      <c r="M4536">
        <v>21</v>
      </c>
      <c r="N4536">
        <v>0</v>
      </c>
      <c r="O4536">
        <v>0</v>
      </c>
      <c r="P4536">
        <v>0</v>
      </c>
      <c r="Q4536">
        <v>0</v>
      </c>
      <c r="R4536">
        <v>0</v>
      </c>
      <c r="S4536">
        <v>0</v>
      </c>
      <c r="T4536">
        <v>0</v>
      </c>
      <c r="U4536">
        <v>0</v>
      </c>
      <c r="V4536">
        <v>0</v>
      </c>
      <c r="W4536">
        <v>0</v>
      </c>
      <c r="X4536">
        <v>0</v>
      </c>
      <c r="Y4536" t="s">
        <v>31</v>
      </c>
      <c r="AA4536">
        <v>0.5</v>
      </c>
    </row>
    <row r="4537" spans="1:27" x14ac:dyDescent="0.2">
      <c r="A4537" t="s">
        <v>1449</v>
      </c>
      <c r="B4537">
        <v>2024</v>
      </c>
      <c r="C4537" t="s">
        <v>5610</v>
      </c>
      <c r="D4537" t="s">
        <v>5611</v>
      </c>
      <c r="E4537" t="s">
        <v>29</v>
      </c>
      <c r="F4537" t="s">
        <v>30</v>
      </c>
      <c r="G4537">
        <v>7</v>
      </c>
      <c r="H4537">
        <v>0</v>
      </c>
      <c r="I4537">
        <v>2</v>
      </c>
      <c r="J4537">
        <v>0</v>
      </c>
      <c r="K4537">
        <v>1</v>
      </c>
      <c r="L4537">
        <v>0</v>
      </c>
      <c r="M4537">
        <v>0</v>
      </c>
      <c r="N4537">
        <v>0</v>
      </c>
      <c r="O4537">
        <v>0</v>
      </c>
      <c r="P4537">
        <v>0</v>
      </c>
      <c r="Q4537">
        <v>0</v>
      </c>
      <c r="R4537">
        <v>0</v>
      </c>
      <c r="S4537">
        <v>0</v>
      </c>
      <c r="T4537">
        <v>0</v>
      </c>
      <c r="U4537">
        <v>0</v>
      </c>
      <c r="V4537">
        <v>0</v>
      </c>
      <c r="W4537">
        <v>0</v>
      </c>
      <c r="X4537">
        <v>0</v>
      </c>
      <c r="Y4537" t="s">
        <v>31</v>
      </c>
      <c r="AA4537" s="2" t="s">
        <v>5540</v>
      </c>
    </row>
    <row r="4538" spans="1:27" x14ac:dyDescent="0.2">
      <c r="A4538" t="s">
        <v>1449</v>
      </c>
      <c r="B4538">
        <v>2024</v>
      </c>
      <c r="C4538" t="s">
        <v>2143</v>
      </c>
      <c r="D4538" t="s">
        <v>5612</v>
      </c>
      <c r="E4538" t="s">
        <v>29</v>
      </c>
      <c r="F4538" t="s">
        <v>30</v>
      </c>
      <c r="G4538">
        <v>0</v>
      </c>
      <c r="H4538">
        <v>0</v>
      </c>
      <c r="I4538">
        <v>0</v>
      </c>
      <c r="J4538">
        <v>0</v>
      </c>
      <c r="K4538">
        <v>0</v>
      </c>
      <c r="L4538">
        <v>0</v>
      </c>
      <c r="M4538">
        <v>0</v>
      </c>
      <c r="N4538">
        <v>0</v>
      </c>
      <c r="O4538">
        <v>0</v>
      </c>
      <c r="P4538">
        <v>0</v>
      </c>
      <c r="Q4538">
        <v>0</v>
      </c>
      <c r="R4538">
        <v>0</v>
      </c>
      <c r="S4538">
        <v>13</v>
      </c>
      <c r="T4538">
        <v>0</v>
      </c>
      <c r="U4538">
        <v>25</v>
      </c>
      <c r="V4538">
        <v>0</v>
      </c>
      <c r="W4538">
        <v>0</v>
      </c>
      <c r="X4538">
        <v>0</v>
      </c>
      <c r="Y4538" t="s">
        <v>31</v>
      </c>
      <c r="AA4538" s="2" t="s">
        <v>3316</v>
      </c>
    </row>
    <row r="4539" spans="1:27" x14ac:dyDescent="0.2">
      <c r="A4539" t="s">
        <v>649</v>
      </c>
      <c r="B4539">
        <v>2024</v>
      </c>
      <c r="C4539">
        <v>3112003013</v>
      </c>
      <c r="D4539" t="s">
        <v>5613</v>
      </c>
      <c r="E4539" t="s">
        <v>29</v>
      </c>
      <c r="F4539" t="s">
        <v>30</v>
      </c>
      <c r="G4539">
        <v>0</v>
      </c>
      <c r="H4539">
        <v>0</v>
      </c>
      <c r="I4539">
        <v>0</v>
      </c>
      <c r="J4539">
        <v>0</v>
      </c>
      <c r="K4539">
        <v>0</v>
      </c>
      <c r="L4539">
        <v>0</v>
      </c>
      <c r="M4539">
        <v>0</v>
      </c>
      <c r="N4539">
        <v>0</v>
      </c>
      <c r="O4539">
        <v>0</v>
      </c>
      <c r="P4539">
        <v>0</v>
      </c>
      <c r="Q4539">
        <v>0</v>
      </c>
      <c r="R4539">
        <v>0</v>
      </c>
      <c r="S4539">
        <v>8</v>
      </c>
      <c r="T4539">
        <v>0</v>
      </c>
      <c r="U4539">
        <v>0</v>
      </c>
      <c r="V4539">
        <v>0</v>
      </c>
      <c r="W4539">
        <v>0</v>
      </c>
      <c r="X4539">
        <v>0</v>
      </c>
      <c r="Y4539" t="s">
        <v>31</v>
      </c>
      <c r="Z4539">
        <v>55</v>
      </c>
      <c r="AA4539">
        <v>0</v>
      </c>
    </row>
    <row r="4540" spans="1:27" x14ac:dyDescent="0.2">
      <c r="A4540" t="s">
        <v>649</v>
      </c>
      <c r="B4540">
        <v>2024</v>
      </c>
      <c r="C4540">
        <v>3112003013</v>
      </c>
      <c r="D4540" t="s">
        <v>5614</v>
      </c>
      <c r="E4540" t="s">
        <v>29</v>
      </c>
      <c r="F4540" t="s">
        <v>30</v>
      </c>
      <c r="G4540">
        <v>0</v>
      </c>
      <c r="H4540">
        <v>0</v>
      </c>
      <c r="I4540">
        <v>0</v>
      </c>
      <c r="J4540">
        <v>0</v>
      </c>
      <c r="K4540">
        <v>0</v>
      </c>
      <c r="L4540">
        <v>0</v>
      </c>
      <c r="M4540">
        <v>0</v>
      </c>
      <c r="N4540">
        <v>0</v>
      </c>
      <c r="O4540">
        <v>0</v>
      </c>
      <c r="P4540">
        <v>0</v>
      </c>
      <c r="Q4540">
        <v>0</v>
      </c>
      <c r="R4540">
        <v>0</v>
      </c>
      <c r="S4540">
        <v>0</v>
      </c>
      <c r="T4540">
        <v>0</v>
      </c>
      <c r="U4540">
        <v>8</v>
      </c>
      <c r="V4540">
        <v>0</v>
      </c>
      <c r="W4540">
        <v>0</v>
      </c>
      <c r="X4540">
        <v>0</v>
      </c>
      <c r="Y4540" t="s">
        <v>31</v>
      </c>
      <c r="Z4540">
        <v>55</v>
      </c>
      <c r="AA4540">
        <v>0</v>
      </c>
    </row>
    <row r="4541" spans="1:27" x14ac:dyDescent="0.2">
      <c r="A4541" t="s">
        <v>928</v>
      </c>
      <c r="B4541">
        <v>2024</v>
      </c>
      <c r="C4541" t="s">
        <v>5615</v>
      </c>
      <c r="D4541" t="s">
        <v>5616</v>
      </c>
      <c r="E4541" t="s">
        <v>29</v>
      </c>
      <c r="F4541" t="s">
        <v>41</v>
      </c>
      <c r="G4541">
        <v>0</v>
      </c>
      <c r="H4541">
        <v>0</v>
      </c>
      <c r="I4541">
        <v>0</v>
      </c>
      <c r="J4541">
        <v>0</v>
      </c>
      <c r="K4541">
        <v>0</v>
      </c>
      <c r="L4541">
        <v>0</v>
      </c>
      <c r="M4541">
        <v>0</v>
      </c>
      <c r="N4541">
        <v>0</v>
      </c>
      <c r="O4541">
        <v>1</v>
      </c>
      <c r="P4541">
        <v>0</v>
      </c>
      <c r="Q4541">
        <v>0</v>
      </c>
      <c r="R4541">
        <v>0</v>
      </c>
      <c r="S4541">
        <v>0</v>
      </c>
      <c r="T4541">
        <v>0</v>
      </c>
      <c r="U4541">
        <v>1</v>
      </c>
      <c r="V4541">
        <v>0</v>
      </c>
      <c r="W4541">
        <v>0</v>
      </c>
      <c r="X4541">
        <v>0</v>
      </c>
      <c r="Y4541" t="s">
        <v>51</v>
      </c>
      <c r="Z4541">
        <v>55</v>
      </c>
      <c r="AA4541">
        <v>0</v>
      </c>
    </row>
    <row r="4542" spans="1:27" x14ac:dyDescent="0.2">
      <c r="A4542" t="s">
        <v>928</v>
      </c>
      <c r="B4542">
        <v>2024</v>
      </c>
      <c r="C4542" t="s">
        <v>5617</v>
      </c>
      <c r="D4542" t="s">
        <v>5618</v>
      </c>
      <c r="E4542" t="s">
        <v>29</v>
      </c>
      <c r="F4542" t="s">
        <v>41</v>
      </c>
      <c r="G4542">
        <v>0</v>
      </c>
      <c r="H4542">
        <v>0</v>
      </c>
      <c r="I4542">
        <v>0</v>
      </c>
      <c r="J4542">
        <v>0</v>
      </c>
      <c r="K4542">
        <v>0</v>
      </c>
      <c r="L4542">
        <v>0</v>
      </c>
      <c r="M4542">
        <v>0</v>
      </c>
      <c r="N4542">
        <v>0</v>
      </c>
      <c r="O4542">
        <v>1</v>
      </c>
      <c r="P4542">
        <v>0</v>
      </c>
      <c r="Q4542">
        <v>0</v>
      </c>
      <c r="R4542">
        <v>0</v>
      </c>
      <c r="S4542">
        <v>0</v>
      </c>
      <c r="T4542">
        <v>0</v>
      </c>
      <c r="U4542">
        <v>1</v>
      </c>
      <c r="V4542">
        <v>0</v>
      </c>
      <c r="W4542">
        <v>0</v>
      </c>
      <c r="X4542">
        <v>0</v>
      </c>
      <c r="Y4542" t="s">
        <v>51</v>
      </c>
      <c r="Z4542">
        <v>55</v>
      </c>
      <c r="AA4542">
        <v>0</v>
      </c>
    </row>
    <row r="4543" spans="1:27" x14ac:dyDescent="0.2">
      <c r="A4543" t="s">
        <v>928</v>
      </c>
      <c r="B4543">
        <v>2024</v>
      </c>
      <c r="C4543" t="s">
        <v>5619</v>
      </c>
      <c r="D4543" t="s">
        <v>5620</v>
      </c>
      <c r="E4543" t="s">
        <v>29</v>
      </c>
      <c r="F4543" t="s">
        <v>41</v>
      </c>
      <c r="G4543">
        <v>0</v>
      </c>
      <c r="H4543">
        <v>0</v>
      </c>
      <c r="I4543">
        <v>0</v>
      </c>
      <c r="J4543">
        <v>0</v>
      </c>
      <c r="K4543">
        <v>0</v>
      </c>
      <c r="L4543">
        <v>0</v>
      </c>
      <c r="M4543">
        <v>0</v>
      </c>
      <c r="N4543">
        <v>0</v>
      </c>
      <c r="O4543">
        <v>0</v>
      </c>
      <c r="P4543">
        <v>0</v>
      </c>
      <c r="Q4543">
        <v>1</v>
      </c>
      <c r="R4543">
        <v>0</v>
      </c>
      <c r="S4543">
        <v>0</v>
      </c>
      <c r="T4543">
        <v>0</v>
      </c>
      <c r="U4543">
        <v>0</v>
      </c>
      <c r="V4543">
        <v>0</v>
      </c>
      <c r="W4543">
        <v>1</v>
      </c>
      <c r="X4543">
        <v>0</v>
      </c>
      <c r="Y4543" t="s">
        <v>51</v>
      </c>
      <c r="Z4543">
        <v>55</v>
      </c>
      <c r="AA4543">
        <v>0</v>
      </c>
    </row>
    <row r="4544" spans="1:27" x14ac:dyDescent="0.2">
      <c r="A4544" t="s">
        <v>928</v>
      </c>
      <c r="B4544">
        <v>2024</v>
      </c>
      <c r="C4544" t="s">
        <v>5621</v>
      </c>
      <c r="D4544" t="s">
        <v>5622</v>
      </c>
      <c r="E4544" t="s">
        <v>29</v>
      </c>
      <c r="F4544" t="s">
        <v>41</v>
      </c>
      <c r="G4544">
        <v>0</v>
      </c>
      <c r="H4544">
        <v>0</v>
      </c>
      <c r="I4544">
        <v>0</v>
      </c>
      <c r="J4544">
        <v>0</v>
      </c>
      <c r="K4544">
        <v>0</v>
      </c>
      <c r="L4544">
        <v>0</v>
      </c>
      <c r="M4544">
        <v>0</v>
      </c>
      <c r="N4544">
        <v>0</v>
      </c>
      <c r="O4544">
        <v>1</v>
      </c>
      <c r="P4544">
        <v>0</v>
      </c>
      <c r="Q4544">
        <v>0</v>
      </c>
      <c r="R4544">
        <v>0</v>
      </c>
      <c r="S4544">
        <v>0</v>
      </c>
      <c r="T4544">
        <v>0</v>
      </c>
      <c r="U4544">
        <v>0</v>
      </c>
      <c r="V4544">
        <v>0</v>
      </c>
      <c r="W4544">
        <v>0</v>
      </c>
      <c r="X4544">
        <v>0</v>
      </c>
      <c r="Y4544" t="s">
        <v>51</v>
      </c>
      <c r="Z4544">
        <v>55</v>
      </c>
      <c r="AA4544">
        <v>0</v>
      </c>
    </row>
    <row r="4545" spans="1:27" x14ac:dyDescent="0.2">
      <c r="A4545" t="s">
        <v>708</v>
      </c>
      <c r="B4545">
        <v>2024</v>
      </c>
      <c r="C4545" t="s">
        <v>5623</v>
      </c>
      <c r="D4545" t="s">
        <v>5624</v>
      </c>
      <c r="E4545" t="s">
        <v>29</v>
      </c>
      <c r="F4545" t="s">
        <v>30</v>
      </c>
      <c r="G4545">
        <v>0</v>
      </c>
      <c r="H4545">
        <v>0</v>
      </c>
      <c r="I4545">
        <v>71</v>
      </c>
      <c r="J4545">
        <v>0</v>
      </c>
      <c r="K4545">
        <v>0</v>
      </c>
      <c r="L4545">
        <v>0</v>
      </c>
      <c r="M4545">
        <v>0</v>
      </c>
      <c r="N4545">
        <v>0</v>
      </c>
      <c r="O4545">
        <v>0</v>
      </c>
      <c r="P4545">
        <v>0</v>
      </c>
      <c r="Q4545">
        <v>0</v>
      </c>
      <c r="R4545">
        <v>0</v>
      </c>
      <c r="S4545">
        <v>0</v>
      </c>
      <c r="T4545">
        <v>0</v>
      </c>
      <c r="U4545">
        <v>0</v>
      </c>
      <c r="V4545">
        <v>0</v>
      </c>
      <c r="W4545">
        <v>0</v>
      </c>
      <c r="X4545">
        <v>0</v>
      </c>
      <c r="Y4545" t="s">
        <v>31</v>
      </c>
      <c r="AA4545">
        <v>0.5</v>
      </c>
    </row>
    <row r="4546" spans="1:27" x14ac:dyDescent="0.2">
      <c r="A4546" t="s">
        <v>1116</v>
      </c>
      <c r="B4546">
        <v>2024</v>
      </c>
      <c r="C4546" t="s">
        <v>5625</v>
      </c>
      <c r="D4546" t="s">
        <v>5626</v>
      </c>
      <c r="E4546" t="s">
        <v>29</v>
      </c>
      <c r="F4546" t="s">
        <v>30</v>
      </c>
      <c r="G4546">
        <v>1</v>
      </c>
      <c r="H4546">
        <v>0</v>
      </c>
      <c r="I4546">
        <v>0</v>
      </c>
      <c r="J4546">
        <v>0</v>
      </c>
      <c r="K4546">
        <v>0</v>
      </c>
      <c r="L4546">
        <v>7</v>
      </c>
      <c r="M4546">
        <v>0</v>
      </c>
      <c r="N4546">
        <v>0</v>
      </c>
      <c r="O4546">
        <v>0</v>
      </c>
      <c r="P4546">
        <v>0</v>
      </c>
      <c r="Q4546">
        <v>0</v>
      </c>
      <c r="R4546">
        <v>0</v>
      </c>
      <c r="S4546">
        <v>0</v>
      </c>
      <c r="T4546">
        <v>0</v>
      </c>
      <c r="U4546">
        <v>0</v>
      </c>
      <c r="V4546">
        <v>0</v>
      </c>
      <c r="W4546">
        <v>0</v>
      </c>
      <c r="X4546">
        <v>0</v>
      </c>
      <c r="Y4546" t="s">
        <v>31</v>
      </c>
      <c r="AA4546" s="2" t="s">
        <v>3920</v>
      </c>
    </row>
    <row r="4547" spans="1:27" x14ac:dyDescent="0.2">
      <c r="A4547" t="s">
        <v>271</v>
      </c>
      <c r="B4547">
        <v>2024</v>
      </c>
      <c r="C4547">
        <v>8623013</v>
      </c>
      <c r="D4547" t="s">
        <v>5627</v>
      </c>
      <c r="E4547" t="s">
        <v>29</v>
      </c>
      <c r="F4547" t="s">
        <v>30</v>
      </c>
      <c r="G4547">
        <v>0</v>
      </c>
      <c r="H4547">
        <v>0</v>
      </c>
      <c r="I4547">
        <v>118</v>
      </c>
      <c r="J4547">
        <v>0</v>
      </c>
      <c r="K4547">
        <v>0</v>
      </c>
      <c r="L4547">
        <v>0</v>
      </c>
      <c r="M4547">
        <v>0</v>
      </c>
      <c r="N4547">
        <v>0</v>
      </c>
      <c r="O4547">
        <v>0</v>
      </c>
      <c r="P4547">
        <v>0</v>
      </c>
      <c r="Q4547">
        <v>0</v>
      </c>
      <c r="R4547">
        <v>0</v>
      </c>
      <c r="S4547">
        <v>0</v>
      </c>
      <c r="T4547">
        <v>0</v>
      </c>
      <c r="U4547">
        <v>0</v>
      </c>
      <c r="V4547">
        <v>0</v>
      </c>
      <c r="W4547">
        <v>0</v>
      </c>
      <c r="X4547">
        <v>0</v>
      </c>
      <c r="Y4547" t="s">
        <v>31</v>
      </c>
      <c r="AA4547" s="2" t="s">
        <v>3514</v>
      </c>
    </row>
    <row r="4548" spans="1:27" x14ac:dyDescent="0.2">
      <c r="A4548" t="s">
        <v>1038</v>
      </c>
      <c r="B4548">
        <v>2024</v>
      </c>
      <c r="C4548">
        <v>8047006925</v>
      </c>
      <c r="D4548" t="s">
        <v>5628</v>
      </c>
      <c r="E4548" t="s">
        <v>29</v>
      </c>
      <c r="F4548" t="s">
        <v>30</v>
      </c>
      <c r="G4548">
        <v>0</v>
      </c>
      <c r="H4548">
        <v>0</v>
      </c>
      <c r="I4548">
        <v>0</v>
      </c>
      <c r="J4548">
        <v>0</v>
      </c>
      <c r="K4548">
        <v>0</v>
      </c>
      <c r="L4548">
        <v>0</v>
      </c>
      <c r="M4548">
        <v>49</v>
      </c>
      <c r="N4548">
        <v>0</v>
      </c>
      <c r="O4548">
        <v>6</v>
      </c>
      <c r="P4548">
        <v>0</v>
      </c>
      <c r="Q4548">
        <v>0</v>
      </c>
      <c r="R4548">
        <v>0</v>
      </c>
      <c r="S4548">
        <v>0</v>
      </c>
      <c r="T4548">
        <v>0</v>
      </c>
      <c r="U4548">
        <v>0</v>
      </c>
      <c r="V4548">
        <v>0</v>
      </c>
      <c r="W4548">
        <v>0</v>
      </c>
      <c r="X4548">
        <v>0</v>
      </c>
      <c r="Y4548" t="s">
        <v>31</v>
      </c>
      <c r="AA4548" s="2" t="s">
        <v>3659</v>
      </c>
    </row>
    <row r="4549" spans="1:27" x14ac:dyDescent="0.2">
      <c r="A4549" t="s">
        <v>318</v>
      </c>
      <c r="B4549">
        <v>2024</v>
      </c>
      <c r="C4549">
        <v>16513078</v>
      </c>
      <c r="D4549" t="s">
        <v>5209</v>
      </c>
      <c r="E4549" t="s">
        <v>29</v>
      </c>
      <c r="F4549" t="s">
        <v>30</v>
      </c>
      <c r="G4549">
        <v>0</v>
      </c>
      <c r="H4549">
        <v>0</v>
      </c>
      <c r="I4549">
        <v>0</v>
      </c>
      <c r="J4549">
        <v>0</v>
      </c>
      <c r="K4549">
        <v>0</v>
      </c>
      <c r="L4549">
        <v>0</v>
      </c>
      <c r="M4549">
        <v>0</v>
      </c>
      <c r="N4549">
        <v>0</v>
      </c>
      <c r="O4549">
        <v>0</v>
      </c>
      <c r="P4549">
        <v>0</v>
      </c>
      <c r="Q4549">
        <v>0</v>
      </c>
      <c r="R4549">
        <v>0</v>
      </c>
      <c r="S4549">
        <v>61</v>
      </c>
      <c r="T4549">
        <v>0</v>
      </c>
      <c r="U4549">
        <v>21</v>
      </c>
      <c r="V4549">
        <v>0</v>
      </c>
      <c r="W4549">
        <v>0</v>
      </c>
      <c r="X4549">
        <v>0</v>
      </c>
      <c r="Y4549" t="s">
        <v>31</v>
      </c>
      <c r="Z4549">
        <v>67</v>
      </c>
      <c r="AA4549" s="2" t="s">
        <v>3394</v>
      </c>
    </row>
    <row r="4550" spans="1:27" x14ac:dyDescent="0.2">
      <c r="A4550" t="s">
        <v>318</v>
      </c>
      <c r="B4550">
        <v>2024</v>
      </c>
      <c r="C4550">
        <v>20522042</v>
      </c>
      <c r="D4550" t="s">
        <v>5082</v>
      </c>
      <c r="E4550" t="s">
        <v>29</v>
      </c>
      <c r="F4550" t="s">
        <v>30</v>
      </c>
      <c r="G4550">
        <v>0</v>
      </c>
      <c r="H4550">
        <v>0</v>
      </c>
      <c r="I4550">
        <v>0</v>
      </c>
      <c r="J4550">
        <v>0</v>
      </c>
      <c r="K4550">
        <v>0</v>
      </c>
      <c r="L4550">
        <v>0</v>
      </c>
      <c r="M4550">
        <v>0</v>
      </c>
      <c r="N4550">
        <v>0</v>
      </c>
      <c r="O4550">
        <v>0</v>
      </c>
      <c r="P4550">
        <v>0</v>
      </c>
      <c r="Q4550">
        <v>0</v>
      </c>
      <c r="R4550">
        <v>0</v>
      </c>
      <c r="S4550">
        <v>10</v>
      </c>
      <c r="T4550">
        <v>0</v>
      </c>
      <c r="U4550">
        <v>0</v>
      </c>
      <c r="V4550">
        <v>0</v>
      </c>
      <c r="W4550">
        <v>0</v>
      </c>
      <c r="X4550">
        <v>0</v>
      </c>
      <c r="Y4550" t="s">
        <v>51</v>
      </c>
      <c r="Z4550">
        <v>55</v>
      </c>
      <c r="AA4550">
        <v>0</v>
      </c>
    </row>
    <row r="4551" spans="1:27" ht="102" x14ac:dyDescent="0.2">
      <c r="A4551" t="s">
        <v>32</v>
      </c>
      <c r="B4551">
        <v>2024</v>
      </c>
      <c r="C4551" t="s">
        <v>5629</v>
      </c>
      <c r="D4551" s="1" t="s">
        <v>5630</v>
      </c>
      <c r="E4551" t="s">
        <v>29</v>
      </c>
      <c r="F4551" t="s">
        <v>30</v>
      </c>
      <c r="G4551">
        <v>0</v>
      </c>
      <c r="H4551">
        <v>0</v>
      </c>
      <c r="I4551">
        <v>0</v>
      </c>
      <c r="J4551">
        <v>0</v>
      </c>
      <c r="K4551">
        <v>0</v>
      </c>
      <c r="L4551">
        <v>0</v>
      </c>
      <c r="M4551">
        <v>8</v>
      </c>
      <c r="N4551">
        <v>0</v>
      </c>
      <c r="O4551">
        <v>0</v>
      </c>
      <c r="P4551">
        <v>0</v>
      </c>
      <c r="Q4551">
        <v>0</v>
      </c>
      <c r="R4551">
        <v>0</v>
      </c>
      <c r="S4551">
        <v>0</v>
      </c>
      <c r="T4551">
        <v>0</v>
      </c>
      <c r="U4551">
        <v>0</v>
      </c>
      <c r="V4551">
        <v>0</v>
      </c>
      <c r="W4551">
        <v>0</v>
      </c>
      <c r="X4551">
        <v>0</v>
      </c>
      <c r="Y4551" t="s">
        <v>31</v>
      </c>
      <c r="AA4551">
        <v>1</v>
      </c>
    </row>
    <row r="4552" spans="1:27" ht="119" x14ac:dyDescent="0.2">
      <c r="A4552" t="s">
        <v>32</v>
      </c>
      <c r="B4552">
        <v>2024</v>
      </c>
      <c r="C4552" t="s">
        <v>5629</v>
      </c>
      <c r="D4552" s="1" t="s">
        <v>5631</v>
      </c>
      <c r="E4552" t="s">
        <v>29</v>
      </c>
      <c r="F4552" t="s">
        <v>30</v>
      </c>
      <c r="G4552">
        <v>0</v>
      </c>
      <c r="H4552">
        <v>0</v>
      </c>
      <c r="I4552">
        <v>0</v>
      </c>
      <c r="J4552">
        <v>0</v>
      </c>
      <c r="K4552">
        <v>0</v>
      </c>
      <c r="L4552">
        <v>0</v>
      </c>
      <c r="M4552">
        <v>10</v>
      </c>
      <c r="N4552">
        <v>0</v>
      </c>
      <c r="O4552">
        <v>0</v>
      </c>
      <c r="P4552">
        <v>0</v>
      </c>
      <c r="Q4552">
        <v>0</v>
      </c>
      <c r="R4552">
        <v>0</v>
      </c>
      <c r="S4552">
        <v>0</v>
      </c>
      <c r="T4552">
        <v>0</v>
      </c>
      <c r="U4552">
        <v>0</v>
      </c>
      <c r="V4552">
        <v>0</v>
      </c>
      <c r="W4552">
        <v>0</v>
      </c>
      <c r="X4552">
        <v>0</v>
      </c>
      <c r="Y4552" t="s">
        <v>31</v>
      </c>
      <c r="AA4552">
        <v>1</v>
      </c>
    </row>
    <row r="4553" spans="1:27" ht="119" x14ac:dyDescent="0.2">
      <c r="A4553" t="s">
        <v>32</v>
      </c>
      <c r="B4553">
        <v>2024</v>
      </c>
      <c r="C4553" t="s">
        <v>5562</v>
      </c>
      <c r="D4553" s="1" t="s">
        <v>5632</v>
      </c>
      <c r="E4553" t="s">
        <v>29</v>
      </c>
      <c r="F4553" t="s">
        <v>30</v>
      </c>
      <c r="G4553">
        <v>0</v>
      </c>
      <c r="H4553">
        <v>0</v>
      </c>
      <c r="I4553">
        <v>0</v>
      </c>
      <c r="J4553">
        <v>0</v>
      </c>
      <c r="K4553">
        <v>0</v>
      </c>
      <c r="L4553">
        <v>0</v>
      </c>
      <c r="M4553">
        <v>4</v>
      </c>
      <c r="N4553">
        <v>0</v>
      </c>
      <c r="O4553">
        <v>6</v>
      </c>
      <c r="P4553">
        <v>0</v>
      </c>
      <c r="Q4553">
        <v>0</v>
      </c>
      <c r="R4553">
        <v>0</v>
      </c>
      <c r="S4553">
        <v>0</v>
      </c>
      <c r="T4553">
        <v>0</v>
      </c>
      <c r="U4553">
        <v>0</v>
      </c>
      <c r="V4553">
        <v>0</v>
      </c>
      <c r="W4553">
        <v>0</v>
      </c>
      <c r="X4553">
        <v>0</v>
      </c>
      <c r="Y4553" t="s">
        <v>31</v>
      </c>
      <c r="AA4553">
        <v>1</v>
      </c>
    </row>
    <row r="4554" spans="1:27" x14ac:dyDescent="0.2">
      <c r="A4554" t="s">
        <v>433</v>
      </c>
      <c r="B4554">
        <v>2024</v>
      </c>
      <c r="C4554">
        <v>16741078</v>
      </c>
      <c r="D4554" t="s">
        <v>5633</v>
      </c>
      <c r="E4554" t="s">
        <v>29</v>
      </c>
      <c r="F4554" t="s">
        <v>41</v>
      </c>
      <c r="G4554">
        <v>0</v>
      </c>
      <c r="H4554">
        <v>0</v>
      </c>
      <c r="I4554">
        <v>0</v>
      </c>
      <c r="J4554">
        <v>0</v>
      </c>
      <c r="K4554">
        <v>0</v>
      </c>
      <c r="L4554">
        <v>0</v>
      </c>
      <c r="M4554">
        <v>0</v>
      </c>
      <c r="N4554">
        <v>0</v>
      </c>
      <c r="O4554">
        <v>0</v>
      </c>
      <c r="P4554">
        <v>0</v>
      </c>
      <c r="Q4554">
        <v>0</v>
      </c>
      <c r="R4554">
        <v>0</v>
      </c>
      <c r="S4554">
        <v>0</v>
      </c>
      <c r="T4554">
        <v>0</v>
      </c>
      <c r="U4554">
        <v>0</v>
      </c>
      <c r="V4554">
        <v>0</v>
      </c>
      <c r="W4554">
        <v>1</v>
      </c>
      <c r="X4554">
        <v>0</v>
      </c>
      <c r="Y4554" t="s">
        <v>51</v>
      </c>
      <c r="Z4554">
        <v>55</v>
      </c>
      <c r="AA4554">
        <v>0</v>
      </c>
    </row>
    <row r="4555" spans="1:27" x14ac:dyDescent="0.2">
      <c r="A4555" t="s">
        <v>433</v>
      </c>
      <c r="B4555">
        <v>2024</v>
      </c>
      <c r="C4555">
        <v>16741019</v>
      </c>
      <c r="D4555" t="s">
        <v>5634</v>
      </c>
      <c r="E4555" t="s">
        <v>29</v>
      </c>
      <c r="F4555" t="s">
        <v>41</v>
      </c>
      <c r="G4555">
        <v>0</v>
      </c>
      <c r="H4555">
        <v>0</v>
      </c>
      <c r="I4555">
        <v>0</v>
      </c>
      <c r="J4555">
        <v>0</v>
      </c>
      <c r="K4555">
        <v>0</v>
      </c>
      <c r="L4555">
        <v>0</v>
      </c>
      <c r="M4555">
        <v>0</v>
      </c>
      <c r="N4555">
        <v>0</v>
      </c>
      <c r="O4555">
        <v>0</v>
      </c>
      <c r="P4555">
        <v>0</v>
      </c>
      <c r="Q4555">
        <v>0</v>
      </c>
      <c r="R4555">
        <v>0</v>
      </c>
      <c r="S4555">
        <v>0</v>
      </c>
      <c r="T4555">
        <v>0</v>
      </c>
      <c r="U4555">
        <v>0</v>
      </c>
      <c r="V4555">
        <v>0</v>
      </c>
      <c r="W4555">
        <v>1</v>
      </c>
      <c r="X4555">
        <v>0</v>
      </c>
      <c r="Y4555" t="s">
        <v>51</v>
      </c>
      <c r="Z4555">
        <v>55</v>
      </c>
      <c r="AA4555">
        <v>0</v>
      </c>
    </row>
    <row r="4556" spans="1:27" x14ac:dyDescent="0.2">
      <c r="A4556" t="s">
        <v>1316</v>
      </c>
      <c r="B4556">
        <v>2024</v>
      </c>
      <c r="C4556" t="s">
        <v>5635</v>
      </c>
      <c r="D4556" t="s">
        <v>5636</v>
      </c>
      <c r="E4556" t="s">
        <v>29</v>
      </c>
      <c r="F4556" t="s">
        <v>30</v>
      </c>
      <c r="G4556">
        <v>25</v>
      </c>
      <c r="H4556">
        <v>0</v>
      </c>
      <c r="I4556">
        <v>0</v>
      </c>
      <c r="J4556">
        <v>0</v>
      </c>
      <c r="K4556">
        <v>49</v>
      </c>
      <c r="L4556">
        <v>0</v>
      </c>
      <c r="M4556">
        <v>0</v>
      </c>
      <c r="N4556">
        <v>0</v>
      </c>
      <c r="O4556">
        <v>0</v>
      </c>
      <c r="P4556">
        <v>0</v>
      </c>
      <c r="Q4556">
        <v>0</v>
      </c>
      <c r="R4556">
        <v>0</v>
      </c>
      <c r="S4556">
        <v>0</v>
      </c>
      <c r="T4556">
        <v>0</v>
      </c>
      <c r="U4556">
        <v>0</v>
      </c>
      <c r="V4556">
        <v>0</v>
      </c>
      <c r="W4556">
        <v>0</v>
      </c>
      <c r="X4556">
        <v>0</v>
      </c>
      <c r="Y4556" t="s">
        <v>31</v>
      </c>
      <c r="Z4556">
        <v>75</v>
      </c>
      <c r="AA4556" s="2" t="s">
        <v>3299</v>
      </c>
    </row>
    <row r="4557" spans="1:27" x14ac:dyDescent="0.2">
      <c r="A4557" t="s">
        <v>649</v>
      </c>
      <c r="B4557">
        <v>2024</v>
      </c>
      <c r="C4557">
        <v>3112003013</v>
      </c>
      <c r="D4557" t="s">
        <v>5637</v>
      </c>
      <c r="E4557" t="s">
        <v>29</v>
      </c>
      <c r="F4557" t="s">
        <v>30</v>
      </c>
      <c r="G4557">
        <v>0</v>
      </c>
      <c r="H4557">
        <v>0</v>
      </c>
      <c r="I4557">
        <v>0</v>
      </c>
      <c r="J4557">
        <v>0</v>
      </c>
      <c r="K4557">
        <v>0</v>
      </c>
      <c r="L4557">
        <v>0</v>
      </c>
      <c r="M4557">
        <v>0</v>
      </c>
      <c r="N4557">
        <v>0</v>
      </c>
      <c r="O4557">
        <v>0</v>
      </c>
      <c r="P4557">
        <v>0</v>
      </c>
      <c r="Q4557">
        <v>0</v>
      </c>
      <c r="R4557">
        <v>0</v>
      </c>
      <c r="S4557">
        <v>0</v>
      </c>
      <c r="T4557">
        <v>0</v>
      </c>
      <c r="U4557">
        <v>8</v>
      </c>
      <c r="V4557">
        <v>0</v>
      </c>
      <c r="W4557">
        <v>0</v>
      </c>
      <c r="X4557">
        <v>0</v>
      </c>
      <c r="Y4557" t="s">
        <v>31</v>
      </c>
      <c r="Z4557">
        <v>55</v>
      </c>
      <c r="AA4557">
        <v>0</v>
      </c>
    </row>
    <row r="4558" spans="1:27" x14ac:dyDescent="0.2">
      <c r="A4558" t="s">
        <v>649</v>
      </c>
      <c r="B4558">
        <v>2024</v>
      </c>
      <c r="C4558">
        <v>3148041001</v>
      </c>
      <c r="D4558" t="s">
        <v>5638</v>
      </c>
      <c r="E4558" t="s">
        <v>29</v>
      </c>
      <c r="F4558" t="s">
        <v>30</v>
      </c>
      <c r="G4558">
        <v>0</v>
      </c>
      <c r="H4558">
        <v>0</v>
      </c>
      <c r="I4558">
        <v>0</v>
      </c>
      <c r="J4558">
        <v>0</v>
      </c>
      <c r="K4558">
        <v>0</v>
      </c>
      <c r="L4558">
        <v>0</v>
      </c>
      <c r="M4558">
        <v>0</v>
      </c>
      <c r="N4558">
        <v>0</v>
      </c>
      <c r="O4558">
        <v>0</v>
      </c>
      <c r="P4558">
        <v>0</v>
      </c>
      <c r="Q4558">
        <v>0</v>
      </c>
      <c r="R4558">
        <v>0</v>
      </c>
      <c r="S4558">
        <v>0</v>
      </c>
      <c r="T4558">
        <v>0</v>
      </c>
      <c r="U4558">
        <v>24</v>
      </c>
      <c r="V4558">
        <v>0</v>
      </c>
      <c r="W4558">
        <v>0</v>
      </c>
      <c r="X4558">
        <v>0</v>
      </c>
      <c r="Y4558" t="s">
        <v>31</v>
      </c>
      <c r="Z4558">
        <v>55</v>
      </c>
      <c r="AA4558">
        <v>0</v>
      </c>
    </row>
    <row r="4559" spans="1:27" x14ac:dyDescent="0.2">
      <c r="A4559" t="s">
        <v>883</v>
      </c>
      <c r="B4559">
        <v>2024</v>
      </c>
      <c r="C4559">
        <v>41650520</v>
      </c>
      <c r="D4559" t="s">
        <v>5639</v>
      </c>
      <c r="E4559" t="s">
        <v>29</v>
      </c>
      <c r="F4559" t="s">
        <v>41</v>
      </c>
      <c r="G4559">
        <v>0</v>
      </c>
      <c r="H4559">
        <v>0</v>
      </c>
      <c r="I4559">
        <v>0</v>
      </c>
      <c r="J4559">
        <v>0</v>
      </c>
      <c r="K4559">
        <v>0</v>
      </c>
      <c r="L4559">
        <v>0</v>
      </c>
      <c r="M4559">
        <v>0</v>
      </c>
      <c r="N4559">
        <v>0</v>
      </c>
      <c r="O4559">
        <v>0</v>
      </c>
      <c r="P4559">
        <v>0</v>
      </c>
      <c r="Q4559">
        <v>0</v>
      </c>
      <c r="R4559">
        <v>0</v>
      </c>
      <c r="S4559">
        <v>0</v>
      </c>
      <c r="T4559">
        <v>0</v>
      </c>
      <c r="U4559">
        <v>0</v>
      </c>
      <c r="V4559">
        <v>0</v>
      </c>
      <c r="W4559">
        <v>0</v>
      </c>
      <c r="X4559">
        <v>0</v>
      </c>
      <c r="Y4559" t="s">
        <v>31</v>
      </c>
      <c r="Z4559">
        <v>1000</v>
      </c>
      <c r="AA4559">
        <v>0</v>
      </c>
    </row>
    <row r="4560" spans="1:27" x14ac:dyDescent="0.2">
      <c r="A4560" t="s">
        <v>883</v>
      </c>
      <c r="B4560">
        <v>2024</v>
      </c>
      <c r="C4560">
        <v>41650510</v>
      </c>
      <c r="D4560" t="s">
        <v>5640</v>
      </c>
      <c r="E4560" t="s">
        <v>29</v>
      </c>
      <c r="F4560" t="s">
        <v>41</v>
      </c>
      <c r="G4560">
        <v>0</v>
      </c>
      <c r="H4560">
        <v>0</v>
      </c>
      <c r="I4560">
        <v>0</v>
      </c>
      <c r="J4560">
        <v>0</v>
      </c>
      <c r="K4560">
        <v>0</v>
      </c>
      <c r="L4560">
        <v>0</v>
      </c>
      <c r="M4560">
        <v>0</v>
      </c>
      <c r="N4560">
        <v>0</v>
      </c>
      <c r="O4560">
        <v>0</v>
      </c>
      <c r="P4560">
        <v>0</v>
      </c>
      <c r="Q4560">
        <v>0</v>
      </c>
      <c r="R4560">
        <v>0</v>
      </c>
      <c r="S4560">
        <v>0</v>
      </c>
      <c r="T4560">
        <v>0</v>
      </c>
      <c r="U4560">
        <v>0</v>
      </c>
      <c r="V4560">
        <v>0</v>
      </c>
      <c r="W4560">
        <v>0</v>
      </c>
      <c r="X4560">
        <v>0</v>
      </c>
      <c r="Y4560" t="s">
        <v>31</v>
      </c>
      <c r="Z4560">
        <v>1000</v>
      </c>
      <c r="AA4560">
        <v>0</v>
      </c>
    </row>
    <row r="4561" spans="1:27" x14ac:dyDescent="0.2">
      <c r="A4561" t="s">
        <v>1515</v>
      </c>
      <c r="B4561">
        <v>2024</v>
      </c>
      <c r="C4561">
        <v>2290070305</v>
      </c>
      <c r="D4561" t="s">
        <v>5641</v>
      </c>
      <c r="E4561" t="s">
        <v>29</v>
      </c>
      <c r="F4561" t="s">
        <v>30</v>
      </c>
      <c r="G4561">
        <v>0</v>
      </c>
      <c r="H4561">
        <v>0</v>
      </c>
      <c r="I4561">
        <v>1</v>
      </c>
      <c r="J4561">
        <v>0</v>
      </c>
      <c r="K4561">
        <v>0</v>
      </c>
      <c r="L4561">
        <v>0</v>
      </c>
      <c r="M4561">
        <v>0</v>
      </c>
      <c r="N4561">
        <v>0</v>
      </c>
      <c r="O4561">
        <v>1</v>
      </c>
      <c r="P4561">
        <v>0</v>
      </c>
      <c r="Q4561">
        <v>0</v>
      </c>
      <c r="R4561">
        <v>0</v>
      </c>
      <c r="S4561">
        <v>0</v>
      </c>
      <c r="T4561">
        <v>0</v>
      </c>
      <c r="U4561">
        <v>0</v>
      </c>
      <c r="V4561">
        <v>0</v>
      </c>
      <c r="W4561">
        <v>0</v>
      </c>
      <c r="X4561">
        <v>0</v>
      </c>
      <c r="Y4561" t="s">
        <v>31</v>
      </c>
      <c r="Z4561">
        <v>55</v>
      </c>
      <c r="AA4561">
        <v>0</v>
      </c>
    </row>
    <row r="4562" spans="1:27" x14ac:dyDescent="0.2">
      <c r="A4562" t="s">
        <v>1515</v>
      </c>
      <c r="B4562">
        <v>2024</v>
      </c>
      <c r="C4562">
        <v>2290070305</v>
      </c>
      <c r="D4562" t="s">
        <v>5642</v>
      </c>
      <c r="E4562" t="s">
        <v>29</v>
      </c>
      <c r="F4562" t="s">
        <v>30</v>
      </c>
      <c r="G4562">
        <v>0</v>
      </c>
      <c r="H4562">
        <v>0</v>
      </c>
      <c r="I4562">
        <v>1</v>
      </c>
      <c r="J4562">
        <v>0</v>
      </c>
      <c r="K4562">
        <v>0</v>
      </c>
      <c r="L4562">
        <v>0</v>
      </c>
      <c r="M4562">
        <v>0</v>
      </c>
      <c r="N4562">
        <v>0</v>
      </c>
      <c r="O4562">
        <v>1</v>
      </c>
      <c r="P4562">
        <v>0</v>
      </c>
      <c r="Q4562">
        <v>0</v>
      </c>
      <c r="R4562">
        <v>0</v>
      </c>
      <c r="S4562">
        <v>0</v>
      </c>
      <c r="T4562">
        <v>0</v>
      </c>
      <c r="U4562">
        <v>0</v>
      </c>
      <c r="V4562">
        <v>0</v>
      </c>
      <c r="W4562">
        <v>0</v>
      </c>
      <c r="X4562">
        <v>0</v>
      </c>
      <c r="Y4562" t="s">
        <v>31</v>
      </c>
      <c r="Z4562">
        <v>55</v>
      </c>
      <c r="AA4562">
        <v>0</v>
      </c>
    </row>
    <row r="4563" spans="1:27" x14ac:dyDescent="0.2">
      <c r="A4563" t="s">
        <v>1048</v>
      </c>
      <c r="B4563">
        <v>2023</v>
      </c>
      <c r="C4563" t="s">
        <v>5486</v>
      </c>
      <c r="D4563" t="s">
        <v>5643</v>
      </c>
      <c r="E4563" t="s">
        <v>29</v>
      </c>
      <c r="F4563" t="s">
        <v>30</v>
      </c>
      <c r="G4563">
        <v>0</v>
      </c>
      <c r="H4563">
        <v>0</v>
      </c>
      <c r="I4563">
        <v>0</v>
      </c>
      <c r="J4563">
        <v>0</v>
      </c>
      <c r="K4563">
        <v>0</v>
      </c>
      <c r="L4563">
        <v>0</v>
      </c>
      <c r="M4563">
        <v>0</v>
      </c>
      <c r="N4563">
        <v>0</v>
      </c>
      <c r="O4563">
        <v>66</v>
      </c>
      <c r="P4563">
        <v>1</v>
      </c>
      <c r="Q4563">
        <v>32</v>
      </c>
      <c r="R4563">
        <v>0</v>
      </c>
      <c r="S4563">
        <v>0</v>
      </c>
      <c r="T4563">
        <v>0</v>
      </c>
      <c r="U4563">
        <v>0</v>
      </c>
      <c r="V4563">
        <v>0</v>
      </c>
      <c r="W4563">
        <v>0</v>
      </c>
      <c r="X4563">
        <v>0</v>
      </c>
      <c r="Y4563" t="s">
        <v>31</v>
      </c>
      <c r="Z4563">
        <v>55</v>
      </c>
      <c r="AA4563" s="2" t="s">
        <v>2716</v>
      </c>
    </row>
    <row r="4564" spans="1:27" x14ac:dyDescent="0.2">
      <c r="A4564" t="s">
        <v>928</v>
      </c>
      <c r="B4564">
        <v>2024</v>
      </c>
      <c r="C4564" t="s">
        <v>5079</v>
      </c>
      <c r="D4564" t="s">
        <v>5080</v>
      </c>
      <c r="E4564" t="s">
        <v>29</v>
      </c>
      <c r="F4564" t="s">
        <v>41</v>
      </c>
      <c r="G4564">
        <v>0</v>
      </c>
      <c r="H4564">
        <v>0</v>
      </c>
      <c r="I4564">
        <v>0</v>
      </c>
      <c r="J4564">
        <v>0</v>
      </c>
      <c r="K4564">
        <v>0</v>
      </c>
      <c r="L4564">
        <v>0</v>
      </c>
      <c r="M4564">
        <v>0</v>
      </c>
      <c r="N4564">
        <v>0</v>
      </c>
      <c r="O4564">
        <v>0</v>
      </c>
      <c r="P4564">
        <v>0</v>
      </c>
      <c r="Q4564">
        <v>0</v>
      </c>
      <c r="R4564">
        <v>0</v>
      </c>
      <c r="S4564">
        <v>1</v>
      </c>
      <c r="T4564">
        <v>0</v>
      </c>
      <c r="U4564">
        <v>0</v>
      </c>
      <c r="V4564">
        <v>0</v>
      </c>
      <c r="W4564">
        <v>0</v>
      </c>
      <c r="X4564">
        <v>0</v>
      </c>
      <c r="Y4564" t="s">
        <v>51</v>
      </c>
      <c r="Z4564">
        <v>55</v>
      </c>
      <c r="AA4564">
        <v>0</v>
      </c>
    </row>
    <row r="4565" spans="1:27" x14ac:dyDescent="0.2">
      <c r="A4565" t="s">
        <v>928</v>
      </c>
      <c r="B4565">
        <v>2024</v>
      </c>
      <c r="C4565" t="s">
        <v>5206</v>
      </c>
      <c r="D4565" t="s">
        <v>5207</v>
      </c>
      <c r="E4565" t="s">
        <v>29</v>
      </c>
      <c r="F4565" t="s">
        <v>41</v>
      </c>
      <c r="G4565">
        <v>0</v>
      </c>
      <c r="H4565">
        <v>0</v>
      </c>
      <c r="I4565">
        <v>0</v>
      </c>
      <c r="J4565">
        <v>0</v>
      </c>
      <c r="K4565">
        <v>0</v>
      </c>
      <c r="L4565">
        <v>0</v>
      </c>
      <c r="M4565">
        <v>0</v>
      </c>
      <c r="N4565">
        <v>0</v>
      </c>
      <c r="O4565">
        <v>0</v>
      </c>
      <c r="P4565">
        <v>0</v>
      </c>
      <c r="Q4565">
        <v>0</v>
      </c>
      <c r="R4565">
        <v>0</v>
      </c>
      <c r="S4565">
        <v>0</v>
      </c>
      <c r="T4565">
        <v>0</v>
      </c>
      <c r="U4565">
        <v>0</v>
      </c>
      <c r="V4565">
        <v>0</v>
      </c>
      <c r="W4565">
        <v>1</v>
      </c>
      <c r="X4565">
        <v>0</v>
      </c>
      <c r="Y4565" t="s">
        <v>51</v>
      </c>
      <c r="Z4565">
        <v>55</v>
      </c>
      <c r="AA4565">
        <v>0</v>
      </c>
    </row>
    <row r="4566" spans="1:27" x14ac:dyDescent="0.2">
      <c r="A4566" t="s">
        <v>928</v>
      </c>
      <c r="B4566">
        <v>2024</v>
      </c>
      <c r="C4566" t="s">
        <v>3103</v>
      </c>
      <c r="D4566" t="s">
        <v>3104</v>
      </c>
      <c r="E4566" t="s">
        <v>29</v>
      </c>
      <c r="F4566" t="s">
        <v>41</v>
      </c>
      <c r="G4566">
        <v>0</v>
      </c>
      <c r="H4566">
        <v>0</v>
      </c>
      <c r="I4566">
        <v>0</v>
      </c>
      <c r="J4566">
        <v>0</v>
      </c>
      <c r="K4566">
        <v>0</v>
      </c>
      <c r="L4566">
        <v>0</v>
      </c>
      <c r="M4566">
        <v>0</v>
      </c>
      <c r="N4566">
        <v>0</v>
      </c>
      <c r="O4566">
        <v>0</v>
      </c>
      <c r="P4566">
        <v>0</v>
      </c>
      <c r="Q4566">
        <v>0</v>
      </c>
      <c r="R4566">
        <v>0</v>
      </c>
      <c r="S4566">
        <v>0</v>
      </c>
      <c r="T4566">
        <v>0</v>
      </c>
      <c r="U4566">
        <v>0</v>
      </c>
      <c r="V4566">
        <v>0</v>
      </c>
      <c r="W4566">
        <v>1</v>
      </c>
      <c r="X4566">
        <v>0</v>
      </c>
      <c r="Y4566" t="s">
        <v>51</v>
      </c>
      <c r="Z4566">
        <v>55</v>
      </c>
      <c r="AA4566">
        <v>0</v>
      </c>
    </row>
    <row r="4567" spans="1:27" x14ac:dyDescent="0.2">
      <c r="A4567" t="s">
        <v>928</v>
      </c>
      <c r="B4567">
        <v>2024</v>
      </c>
      <c r="C4567" t="s">
        <v>5644</v>
      </c>
      <c r="D4567" t="s">
        <v>5645</v>
      </c>
      <c r="E4567" t="s">
        <v>29</v>
      </c>
      <c r="F4567" t="s">
        <v>41</v>
      </c>
      <c r="G4567">
        <v>10</v>
      </c>
      <c r="H4567">
        <v>0</v>
      </c>
      <c r="I4567">
        <v>5</v>
      </c>
      <c r="J4567">
        <v>0</v>
      </c>
      <c r="K4567">
        <v>14</v>
      </c>
      <c r="L4567">
        <v>0</v>
      </c>
      <c r="M4567">
        <v>0</v>
      </c>
      <c r="N4567">
        <v>0</v>
      </c>
      <c r="O4567">
        <v>0</v>
      </c>
      <c r="P4567">
        <v>0</v>
      </c>
      <c r="Q4567">
        <v>0</v>
      </c>
      <c r="R4567">
        <v>0</v>
      </c>
      <c r="S4567">
        <v>0</v>
      </c>
      <c r="T4567">
        <v>0</v>
      </c>
      <c r="U4567">
        <v>0</v>
      </c>
      <c r="V4567">
        <v>0</v>
      </c>
      <c r="W4567">
        <v>0</v>
      </c>
      <c r="X4567">
        <v>0</v>
      </c>
      <c r="Y4567" t="s">
        <v>31</v>
      </c>
      <c r="Z4567">
        <v>55</v>
      </c>
      <c r="AA4567">
        <v>0</v>
      </c>
    </row>
    <row r="4568" spans="1:27" x14ac:dyDescent="0.2">
      <c r="A4568" t="s">
        <v>1316</v>
      </c>
      <c r="B4568">
        <v>2024</v>
      </c>
      <c r="C4568" t="s">
        <v>5635</v>
      </c>
      <c r="D4568" t="s">
        <v>5646</v>
      </c>
      <c r="E4568" t="s">
        <v>29</v>
      </c>
      <c r="F4568" t="s">
        <v>30</v>
      </c>
      <c r="G4568">
        <v>0</v>
      </c>
      <c r="H4568">
        <v>0</v>
      </c>
      <c r="I4568">
        <v>0</v>
      </c>
      <c r="J4568">
        <v>0</v>
      </c>
      <c r="K4568">
        <v>0</v>
      </c>
      <c r="L4568">
        <v>0</v>
      </c>
      <c r="M4568">
        <v>12</v>
      </c>
      <c r="N4568">
        <v>0</v>
      </c>
      <c r="O4568">
        <v>0</v>
      </c>
      <c r="P4568">
        <v>0</v>
      </c>
      <c r="Q4568">
        <v>24</v>
      </c>
      <c r="R4568">
        <v>0</v>
      </c>
      <c r="S4568">
        <v>0</v>
      </c>
      <c r="T4568">
        <v>0</v>
      </c>
      <c r="U4568">
        <v>0</v>
      </c>
      <c r="V4568">
        <v>0</v>
      </c>
      <c r="W4568">
        <v>0</v>
      </c>
      <c r="X4568">
        <v>0</v>
      </c>
      <c r="Y4568" t="s">
        <v>31</v>
      </c>
      <c r="Z4568">
        <v>75</v>
      </c>
      <c r="AA4568" s="2" t="s">
        <v>3299</v>
      </c>
    </row>
    <row r="4569" spans="1:27" x14ac:dyDescent="0.2">
      <c r="A4569" t="s">
        <v>1418</v>
      </c>
      <c r="B4569">
        <v>2024</v>
      </c>
      <c r="C4569" t="s">
        <v>5647</v>
      </c>
      <c r="D4569" t="s">
        <v>5648</v>
      </c>
      <c r="E4569" t="s">
        <v>29</v>
      </c>
      <c r="F4569" t="s">
        <v>30</v>
      </c>
      <c r="G4569">
        <v>0</v>
      </c>
      <c r="H4569">
        <v>0</v>
      </c>
      <c r="I4569">
        <v>0</v>
      </c>
      <c r="J4569">
        <v>0</v>
      </c>
      <c r="K4569">
        <v>0</v>
      </c>
      <c r="L4569">
        <v>0</v>
      </c>
      <c r="M4569">
        <v>36</v>
      </c>
      <c r="N4569">
        <v>0</v>
      </c>
      <c r="O4569">
        <v>146</v>
      </c>
      <c r="P4569">
        <v>0</v>
      </c>
      <c r="Q4569">
        <v>0</v>
      </c>
      <c r="R4569">
        <v>0</v>
      </c>
      <c r="S4569">
        <v>0</v>
      </c>
      <c r="T4569">
        <v>0</v>
      </c>
      <c r="U4569">
        <v>0</v>
      </c>
      <c r="V4569">
        <v>0</v>
      </c>
      <c r="W4569">
        <v>0</v>
      </c>
      <c r="X4569">
        <v>0</v>
      </c>
      <c r="Y4569" t="s">
        <v>31</v>
      </c>
      <c r="Z4569">
        <v>55</v>
      </c>
      <c r="AA4569" s="2" t="s">
        <v>3514</v>
      </c>
    </row>
    <row r="4570" spans="1:27" x14ac:dyDescent="0.2">
      <c r="A4570" t="s">
        <v>1418</v>
      </c>
      <c r="B4570">
        <v>2024</v>
      </c>
      <c r="C4570" t="s">
        <v>4276</v>
      </c>
      <c r="D4570" t="s">
        <v>4277</v>
      </c>
      <c r="E4570" t="s">
        <v>29</v>
      </c>
      <c r="F4570" t="s">
        <v>30</v>
      </c>
      <c r="G4570">
        <v>5</v>
      </c>
      <c r="H4570">
        <v>0</v>
      </c>
      <c r="I4570">
        <v>18</v>
      </c>
      <c r="J4570">
        <v>0</v>
      </c>
      <c r="K4570">
        <v>0</v>
      </c>
      <c r="L4570">
        <v>0</v>
      </c>
      <c r="M4570">
        <v>0</v>
      </c>
      <c r="N4570">
        <v>0</v>
      </c>
      <c r="O4570">
        <v>0</v>
      </c>
      <c r="P4570">
        <v>0</v>
      </c>
      <c r="Q4570">
        <v>0</v>
      </c>
      <c r="R4570">
        <v>0</v>
      </c>
      <c r="S4570">
        <v>0</v>
      </c>
      <c r="T4570">
        <v>0</v>
      </c>
      <c r="U4570">
        <v>0</v>
      </c>
      <c r="V4570">
        <v>0</v>
      </c>
      <c r="W4570">
        <v>0</v>
      </c>
      <c r="X4570">
        <v>0</v>
      </c>
      <c r="Y4570" t="s">
        <v>31</v>
      </c>
      <c r="Z4570">
        <v>55</v>
      </c>
      <c r="AA4570">
        <v>0.5</v>
      </c>
    </row>
    <row r="4571" spans="1:27" x14ac:dyDescent="0.2">
      <c r="A4571" t="s">
        <v>1285</v>
      </c>
      <c r="B4571">
        <v>2024</v>
      </c>
      <c r="C4571">
        <v>2200320500</v>
      </c>
      <c r="D4571" t="s">
        <v>5649</v>
      </c>
      <c r="E4571" t="s">
        <v>29</v>
      </c>
      <c r="F4571" t="s">
        <v>30</v>
      </c>
      <c r="G4571">
        <v>0</v>
      </c>
      <c r="H4571">
        <v>0</v>
      </c>
      <c r="I4571">
        <v>0</v>
      </c>
      <c r="J4571">
        <v>0</v>
      </c>
      <c r="K4571">
        <v>0</v>
      </c>
      <c r="L4571">
        <v>0</v>
      </c>
      <c r="M4571">
        <v>30</v>
      </c>
      <c r="N4571">
        <v>0</v>
      </c>
      <c r="O4571">
        <v>0</v>
      </c>
      <c r="P4571">
        <v>0</v>
      </c>
      <c r="Q4571">
        <v>0</v>
      </c>
      <c r="R4571">
        <v>0</v>
      </c>
      <c r="S4571">
        <v>30</v>
      </c>
      <c r="T4571">
        <v>0</v>
      </c>
      <c r="U4571">
        <v>0</v>
      </c>
      <c r="V4571">
        <v>0</v>
      </c>
      <c r="W4571">
        <v>0</v>
      </c>
      <c r="X4571">
        <v>0</v>
      </c>
      <c r="Y4571" t="s">
        <v>31</v>
      </c>
      <c r="Z4571">
        <v>55</v>
      </c>
      <c r="AA4571" s="2" t="s">
        <v>3316</v>
      </c>
    </row>
    <row r="4572" spans="1:27" x14ac:dyDescent="0.2">
      <c r="A4572" t="s">
        <v>1285</v>
      </c>
      <c r="B4572">
        <v>2024</v>
      </c>
      <c r="C4572">
        <v>2202025200</v>
      </c>
      <c r="D4572" t="s">
        <v>5650</v>
      </c>
      <c r="E4572" t="s">
        <v>29</v>
      </c>
      <c r="F4572" t="s">
        <v>30</v>
      </c>
      <c r="G4572">
        <v>13</v>
      </c>
      <c r="H4572">
        <v>0</v>
      </c>
      <c r="I4572">
        <v>209</v>
      </c>
      <c r="J4572">
        <v>0</v>
      </c>
      <c r="K4572">
        <v>0</v>
      </c>
      <c r="L4572">
        <v>2</v>
      </c>
      <c r="M4572">
        <v>0</v>
      </c>
      <c r="N4572">
        <v>0</v>
      </c>
      <c r="O4572">
        <v>0</v>
      </c>
      <c r="P4572">
        <v>0</v>
      </c>
      <c r="Q4572">
        <v>0</v>
      </c>
      <c r="R4572">
        <v>0</v>
      </c>
      <c r="S4572">
        <v>0</v>
      </c>
      <c r="T4572">
        <v>0</v>
      </c>
      <c r="U4572">
        <v>0</v>
      </c>
      <c r="V4572">
        <v>0</v>
      </c>
      <c r="W4572">
        <v>0</v>
      </c>
      <c r="X4572">
        <v>0</v>
      </c>
      <c r="Y4572" t="s">
        <v>51</v>
      </c>
      <c r="Z4572">
        <v>55</v>
      </c>
      <c r="AA4572">
        <v>0</v>
      </c>
    </row>
    <row r="4573" spans="1:27" x14ac:dyDescent="0.2">
      <c r="A4573" t="s">
        <v>904</v>
      </c>
      <c r="B4573">
        <v>2024</v>
      </c>
      <c r="C4573" t="s">
        <v>5651</v>
      </c>
      <c r="D4573" t="s">
        <v>5652</v>
      </c>
      <c r="E4573" t="s">
        <v>29</v>
      </c>
      <c r="F4573" t="s">
        <v>30</v>
      </c>
      <c r="G4573">
        <v>2</v>
      </c>
      <c r="H4573">
        <v>0</v>
      </c>
      <c r="I4573">
        <v>0</v>
      </c>
      <c r="J4573">
        <v>0</v>
      </c>
      <c r="K4573">
        <v>0</v>
      </c>
      <c r="L4573">
        <v>22</v>
      </c>
      <c r="M4573">
        <v>0</v>
      </c>
      <c r="N4573">
        <v>0</v>
      </c>
      <c r="O4573">
        <v>0</v>
      </c>
      <c r="P4573">
        <v>0</v>
      </c>
      <c r="Q4573">
        <v>0</v>
      </c>
      <c r="R4573">
        <v>0</v>
      </c>
      <c r="S4573">
        <v>0</v>
      </c>
      <c r="T4573">
        <v>0</v>
      </c>
      <c r="U4573">
        <v>0</v>
      </c>
      <c r="V4573">
        <v>0</v>
      </c>
      <c r="W4573">
        <v>0</v>
      </c>
      <c r="X4573">
        <v>0</v>
      </c>
      <c r="Y4573" t="s">
        <v>31</v>
      </c>
      <c r="Z4573">
        <v>55</v>
      </c>
      <c r="AA4573" s="2" t="s">
        <v>3299</v>
      </c>
    </row>
    <row r="4574" spans="1:27" x14ac:dyDescent="0.2">
      <c r="A4574" t="s">
        <v>1624</v>
      </c>
      <c r="B4574">
        <v>2024</v>
      </c>
      <c r="C4574" t="s">
        <v>5653</v>
      </c>
      <c r="D4574" t="s">
        <v>5654</v>
      </c>
      <c r="E4574" t="s">
        <v>29</v>
      </c>
      <c r="F4574" t="s">
        <v>30</v>
      </c>
      <c r="G4574">
        <v>0</v>
      </c>
      <c r="H4574">
        <v>0</v>
      </c>
      <c r="I4574">
        <v>181</v>
      </c>
      <c r="J4574">
        <v>0</v>
      </c>
      <c r="K4574">
        <v>46</v>
      </c>
      <c r="L4574">
        <v>0</v>
      </c>
      <c r="M4574">
        <v>0</v>
      </c>
      <c r="N4574">
        <v>0</v>
      </c>
      <c r="O4574">
        <v>0</v>
      </c>
      <c r="P4574">
        <v>0</v>
      </c>
      <c r="Q4574">
        <v>0</v>
      </c>
      <c r="R4574">
        <v>0</v>
      </c>
      <c r="S4574">
        <v>0</v>
      </c>
      <c r="T4574">
        <v>0</v>
      </c>
      <c r="U4574">
        <v>0</v>
      </c>
      <c r="V4574">
        <v>0</v>
      </c>
      <c r="W4574">
        <v>0</v>
      </c>
      <c r="X4574">
        <v>0</v>
      </c>
      <c r="Y4574" t="s">
        <v>31</v>
      </c>
      <c r="AA4574">
        <v>0</v>
      </c>
    </row>
    <row r="4575" spans="1:27" x14ac:dyDescent="0.2">
      <c r="A4575" t="s">
        <v>227</v>
      </c>
      <c r="B4575">
        <v>2024</v>
      </c>
      <c r="C4575" t="s">
        <v>5655</v>
      </c>
      <c r="D4575" t="s">
        <v>5656</v>
      </c>
      <c r="E4575" t="s">
        <v>29</v>
      </c>
      <c r="F4575" t="s">
        <v>41</v>
      </c>
      <c r="G4575">
        <v>0</v>
      </c>
      <c r="H4575">
        <v>0</v>
      </c>
      <c r="I4575">
        <v>0</v>
      </c>
      <c r="J4575">
        <v>0</v>
      </c>
      <c r="K4575">
        <v>0</v>
      </c>
      <c r="L4575">
        <v>0</v>
      </c>
      <c r="M4575">
        <v>0</v>
      </c>
      <c r="N4575">
        <v>0</v>
      </c>
      <c r="O4575">
        <v>0</v>
      </c>
      <c r="P4575">
        <v>0</v>
      </c>
      <c r="Q4575">
        <v>3</v>
      </c>
      <c r="R4575">
        <v>0</v>
      </c>
      <c r="S4575">
        <v>0</v>
      </c>
      <c r="T4575">
        <v>0</v>
      </c>
      <c r="U4575">
        <v>0</v>
      </c>
      <c r="V4575">
        <v>0</v>
      </c>
      <c r="W4575">
        <v>0</v>
      </c>
      <c r="X4575">
        <v>0</v>
      </c>
      <c r="Y4575" t="s">
        <v>31</v>
      </c>
      <c r="Z4575">
        <v>1000</v>
      </c>
      <c r="AA4575" s="2" t="s">
        <v>5657</v>
      </c>
    </row>
    <row r="4576" spans="1:27" x14ac:dyDescent="0.2">
      <c r="A4576" t="s">
        <v>1509</v>
      </c>
      <c r="B4576">
        <v>2024</v>
      </c>
      <c r="C4576">
        <v>238013042</v>
      </c>
      <c r="D4576" t="s">
        <v>3342</v>
      </c>
      <c r="E4576" t="s">
        <v>29</v>
      </c>
      <c r="F4576" t="s">
        <v>30</v>
      </c>
      <c r="G4576">
        <v>0</v>
      </c>
      <c r="H4576">
        <v>0</v>
      </c>
      <c r="I4576">
        <v>0</v>
      </c>
      <c r="J4576">
        <v>0</v>
      </c>
      <c r="K4576">
        <v>0</v>
      </c>
      <c r="L4576">
        <v>0</v>
      </c>
      <c r="M4576">
        <v>0</v>
      </c>
      <c r="N4576">
        <v>0</v>
      </c>
      <c r="O4576">
        <v>0</v>
      </c>
      <c r="P4576">
        <v>0</v>
      </c>
      <c r="Q4576">
        <v>0</v>
      </c>
      <c r="R4576">
        <v>0</v>
      </c>
      <c r="S4576">
        <v>34</v>
      </c>
      <c r="T4576">
        <v>0</v>
      </c>
      <c r="U4576">
        <v>0</v>
      </c>
      <c r="V4576">
        <v>0</v>
      </c>
      <c r="W4576">
        <v>0</v>
      </c>
      <c r="X4576">
        <v>0</v>
      </c>
      <c r="Y4576" t="s">
        <v>51</v>
      </c>
      <c r="Z4576">
        <v>45</v>
      </c>
      <c r="AA4576">
        <v>0</v>
      </c>
    </row>
    <row r="4577" spans="1:27" x14ac:dyDescent="0.2">
      <c r="A4577" t="s">
        <v>1509</v>
      </c>
      <c r="B4577">
        <v>2024</v>
      </c>
      <c r="C4577">
        <v>1560180485</v>
      </c>
      <c r="D4577" t="s">
        <v>5658</v>
      </c>
      <c r="E4577" t="s">
        <v>29</v>
      </c>
      <c r="F4577" t="s">
        <v>30</v>
      </c>
      <c r="G4577">
        <v>0</v>
      </c>
      <c r="H4577">
        <v>0</v>
      </c>
      <c r="I4577">
        <v>0</v>
      </c>
      <c r="J4577">
        <v>0</v>
      </c>
      <c r="K4577">
        <v>0</v>
      </c>
      <c r="L4577">
        <v>0</v>
      </c>
      <c r="M4577">
        <v>0</v>
      </c>
      <c r="N4577">
        <v>0</v>
      </c>
      <c r="O4577">
        <v>0</v>
      </c>
      <c r="P4577">
        <v>0</v>
      </c>
      <c r="Q4577">
        <v>0</v>
      </c>
      <c r="R4577">
        <v>0</v>
      </c>
      <c r="S4577">
        <v>0</v>
      </c>
      <c r="T4577">
        <v>0</v>
      </c>
      <c r="U4577">
        <v>11</v>
      </c>
      <c r="V4577">
        <v>0</v>
      </c>
      <c r="W4577">
        <v>0</v>
      </c>
      <c r="X4577">
        <v>0</v>
      </c>
      <c r="Y4577" t="s">
        <v>51</v>
      </c>
      <c r="Z4577">
        <v>1000</v>
      </c>
      <c r="AA4577">
        <v>0</v>
      </c>
    </row>
    <row r="4578" spans="1:27" x14ac:dyDescent="0.2">
      <c r="A4578" t="s">
        <v>1706</v>
      </c>
      <c r="B4578">
        <v>2024</v>
      </c>
      <c r="C4578">
        <v>200040012</v>
      </c>
      <c r="D4578" t="s">
        <v>5659</v>
      </c>
      <c r="E4578" t="s">
        <v>29</v>
      </c>
      <c r="F4578" t="s">
        <v>41</v>
      </c>
      <c r="G4578">
        <v>0</v>
      </c>
      <c r="H4578">
        <v>0</v>
      </c>
      <c r="I4578">
        <v>0</v>
      </c>
      <c r="J4578">
        <v>0</v>
      </c>
      <c r="K4578">
        <v>0</v>
      </c>
      <c r="L4578">
        <v>0</v>
      </c>
      <c r="M4578">
        <v>0</v>
      </c>
      <c r="N4578">
        <v>0</v>
      </c>
      <c r="O4578">
        <v>0</v>
      </c>
      <c r="P4578">
        <v>0</v>
      </c>
      <c r="Q4578">
        <v>0</v>
      </c>
      <c r="R4578">
        <v>0</v>
      </c>
      <c r="S4578">
        <v>0</v>
      </c>
      <c r="T4578">
        <v>0</v>
      </c>
      <c r="U4578">
        <v>0</v>
      </c>
      <c r="V4578">
        <v>0</v>
      </c>
      <c r="W4578">
        <v>0</v>
      </c>
      <c r="X4578">
        <v>0</v>
      </c>
      <c r="Y4578" t="s">
        <v>31</v>
      </c>
      <c r="AA4578">
        <v>0</v>
      </c>
    </row>
    <row r="4579" spans="1:27" x14ac:dyDescent="0.2">
      <c r="A4579" t="s">
        <v>460</v>
      </c>
      <c r="B4579">
        <v>2024</v>
      </c>
      <c r="C4579" t="s">
        <v>461</v>
      </c>
      <c r="D4579" t="s">
        <v>858</v>
      </c>
      <c r="E4579" t="s">
        <v>29</v>
      </c>
      <c r="F4579" t="s">
        <v>30</v>
      </c>
      <c r="G4579">
        <v>0</v>
      </c>
      <c r="H4579">
        <v>0</v>
      </c>
      <c r="I4579">
        <v>0</v>
      </c>
      <c r="J4579">
        <v>0</v>
      </c>
      <c r="K4579">
        <v>0</v>
      </c>
      <c r="L4579">
        <v>0</v>
      </c>
      <c r="M4579">
        <v>0</v>
      </c>
      <c r="N4579">
        <v>0</v>
      </c>
      <c r="O4579">
        <v>0</v>
      </c>
      <c r="P4579">
        <v>0</v>
      </c>
      <c r="Q4579">
        <v>0</v>
      </c>
      <c r="R4579">
        <v>0</v>
      </c>
      <c r="S4579">
        <v>5</v>
      </c>
      <c r="T4579">
        <v>0</v>
      </c>
      <c r="U4579">
        <v>19</v>
      </c>
      <c r="V4579">
        <v>0</v>
      </c>
      <c r="W4579">
        <v>0</v>
      </c>
      <c r="X4579">
        <v>0</v>
      </c>
      <c r="Y4579" t="s">
        <v>31</v>
      </c>
      <c r="Z4579">
        <v>55</v>
      </c>
      <c r="AA4579" s="2" t="s">
        <v>5091</v>
      </c>
    </row>
    <row r="4580" spans="1:27" x14ac:dyDescent="0.2">
      <c r="A4580" t="s">
        <v>1678</v>
      </c>
      <c r="B4580">
        <v>2024</v>
      </c>
      <c r="C4580">
        <v>59240810</v>
      </c>
      <c r="D4580" t="s">
        <v>5660</v>
      </c>
      <c r="E4580" t="s">
        <v>29</v>
      </c>
      <c r="F4580" t="s">
        <v>30</v>
      </c>
      <c r="G4580">
        <v>31</v>
      </c>
      <c r="H4580">
        <v>0</v>
      </c>
      <c r="I4580">
        <v>40</v>
      </c>
      <c r="J4580">
        <v>0</v>
      </c>
      <c r="K4580">
        <v>0</v>
      </c>
      <c r="L4580">
        <v>0</v>
      </c>
      <c r="M4580">
        <v>0</v>
      </c>
      <c r="N4580">
        <v>0</v>
      </c>
      <c r="O4580">
        <v>0</v>
      </c>
      <c r="P4580">
        <v>0</v>
      </c>
      <c r="Q4580">
        <v>0</v>
      </c>
      <c r="R4580">
        <v>0</v>
      </c>
      <c r="S4580">
        <v>0</v>
      </c>
      <c r="T4580">
        <v>0</v>
      </c>
      <c r="U4580">
        <v>0</v>
      </c>
      <c r="V4580">
        <v>0</v>
      </c>
      <c r="W4580">
        <v>0</v>
      </c>
      <c r="X4580">
        <v>0</v>
      </c>
      <c r="Y4580" t="s">
        <v>31</v>
      </c>
      <c r="Z4580">
        <v>55</v>
      </c>
      <c r="AA4580">
        <v>0.25</v>
      </c>
    </row>
    <row r="4581" spans="1:27" x14ac:dyDescent="0.2">
      <c r="A4581" t="s">
        <v>353</v>
      </c>
      <c r="B4581">
        <v>2024</v>
      </c>
      <c r="C4581">
        <v>2042920100</v>
      </c>
      <c r="D4581" t="s">
        <v>5661</v>
      </c>
      <c r="E4581" t="s">
        <v>29</v>
      </c>
      <c r="F4581" t="s">
        <v>30</v>
      </c>
      <c r="G4581">
        <v>0</v>
      </c>
      <c r="H4581">
        <v>0</v>
      </c>
      <c r="I4581">
        <v>0</v>
      </c>
      <c r="J4581">
        <v>0</v>
      </c>
      <c r="K4581">
        <v>0</v>
      </c>
      <c r="L4581">
        <v>0</v>
      </c>
      <c r="M4581">
        <v>0</v>
      </c>
      <c r="N4581">
        <v>0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0</v>
      </c>
      <c r="U4581">
        <v>12</v>
      </c>
      <c r="V4581">
        <v>0</v>
      </c>
      <c r="W4581">
        <v>0</v>
      </c>
      <c r="X4581">
        <v>0</v>
      </c>
      <c r="Y4581" t="s">
        <v>51</v>
      </c>
      <c r="Z4581">
        <v>55</v>
      </c>
      <c r="AA4581">
        <v>0</v>
      </c>
    </row>
    <row r="4582" spans="1:27" x14ac:dyDescent="0.2">
      <c r="A4582" t="s">
        <v>353</v>
      </c>
      <c r="B4582">
        <v>2024</v>
      </c>
      <c r="C4582">
        <v>2042920100</v>
      </c>
      <c r="D4582" t="s">
        <v>5662</v>
      </c>
      <c r="E4582" t="s">
        <v>29</v>
      </c>
      <c r="F4582" t="s">
        <v>30</v>
      </c>
      <c r="G4582">
        <v>0</v>
      </c>
      <c r="H4582">
        <v>0</v>
      </c>
      <c r="I4582">
        <v>0</v>
      </c>
      <c r="J4582">
        <v>0</v>
      </c>
      <c r="K4582">
        <v>0</v>
      </c>
      <c r="L4582">
        <v>0</v>
      </c>
      <c r="M4582">
        <v>0</v>
      </c>
      <c r="N4582">
        <v>0</v>
      </c>
      <c r="O4582">
        <v>0</v>
      </c>
      <c r="P4582">
        <v>0</v>
      </c>
      <c r="Q4582">
        <v>0</v>
      </c>
      <c r="R4582">
        <v>0</v>
      </c>
      <c r="S4582">
        <v>0</v>
      </c>
      <c r="T4582">
        <v>0</v>
      </c>
      <c r="U4582">
        <v>24</v>
      </c>
      <c r="V4582">
        <v>0</v>
      </c>
      <c r="W4582">
        <v>0</v>
      </c>
      <c r="X4582">
        <v>0</v>
      </c>
      <c r="Y4582" t="s">
        <v>51</v>
      </c>
      <c r="Z4582">
        <v>55</v>
      </c>
      <c r="AA4582">
        <v>0</v>
      </c>
    </row>
    <row r="4583" spans="1:27" x14ac:dyDescent="0.2">
      <c r="A4583" t="s">
        <v>5663</v>
      </c>
      <c r="B4583">
        <v>2024</v>
      </c>
      <c r="C4583">
        <v>40714203</v>
      </c>
      <c r="D4583" t="s">
        <v>5664</v>
      </c>
      <c r="E4583" t="s">
        <v>29</v>
      </c>
      <c r="F4583" t="s">
        <v>30</v>
      </c>
      <c r="G4583">
        <v>0</v>
      </c>
      <c r="H4583">
        <v>0</v>
      </c>
      <c r="I4583">
        <v>34</v>
      </c>
      <c r="J4583">
        <v>0</v>
      </c>
      <c r="K4583">
        <v>0</v>
      </c>
      <c r="L4583">
        <v>0</v>
      </c>
      <c r="M4583">
        <v>0</v>
      </c>
      <c r="N4583">
        <v>0</v>
      </c>
      <c r="O4583">
        <v>0</v>
      </c>
      <c r="P4583">
        <v>0</v>
      </c>
      <c r="Q4583">
        <v>0</v>
      </c>
      <c r="R4583">
        <v>0</v>
      </c>
      <c r="S4583">
        <v>0</v>
      </c>
      <c r="T4583">
        <v>0</v>
      </c>
      <c r="U4583">
        <v>0</v>
      </c>
      <c r="V4583">
        <v>0</v>
      </c>
      <c r="W4583">
        <v>0</v>
      </c>
      <c r="X4583">
        <v>0</v>
      </c>
      <c r="Y4583" t="s">
        <v>31</v>
      </c>
      <c r="AA4583">
        <v>0.02</v>
      </c>
    </row>
    <row r="4584" spans="1:27" x14ac:dyDescent="0.2">
      <c r="A4584" t="s">
        <v>5665</v>
      </c>
      <c r="B4584">
        <v>2024</v>
      </c>
      <c r="C4584" t="s">
        <v>5666</v>
      </c>
      <c r="D4584" t="s">
        <v>5667</v>
      </c>
      <c r="E4584" t="s">
        <v>29</v>
      </c>
      <c r="F4584" t="s">
        <v>30</v>
      </c>
      <c r="G4584">
        <v>40</v>
      </c>
      <c r="H4584">
        <v>0</v>
      </c>
      <c r="I4584">
        <v>0</v>
      </c>
      <c r="J4584">
        <v>0</v>
      </c>
      <c r="K4584">
        <v>0</v>
      </c>
      <c r="L4584">
        <v>0</v>
      </c>
      <c r="M4584">
        <v>0</v>
      </c>
      <c r="N4584">
        <v>0</v>
      </c>
      <c r="O4584">
        <v>0</v>
      </c>
      <c r="P4584">
        <v>0</v>
      </c>
      <c r="Q4584">
        <v>0</v>
      </c>
      <c r="R4584">
        <v>0</v>
      </c>
      <c r="S4584">
        <v>0</v>
      </c>
      <c r="T4584">
        <v>0</v>
      </c>
      <c r="U4584">
        <v>0</v>
      </c>
      <c r="V4584">
        <v>0</v>
      </c>
      <c r="W4584">
        <v>0</v>
      </c>
      <c r="X4584">
        <v>0</v>
      </c>
      <c r="Y4584" t="s">
        <v>31</v>
      </c>
      <c r="Z4584">
        <v>99</v>
      </c>
      <c r="AA4584">
        <v>0.75</v>
      </c>
    </row>
    <row r="4585" spans="1:27" x14ac:dyDescent="0.2">
      <c r="A4585" t="s">
        <v>406</v>
      </c>
      <c r="B4585">
        <v>2024</v>
      </c>
      <c r="C4585" t="s">
        <v>686</v>
      </c>
      <c r="D4585" t="s">
        <v>687</v>
      </c>
      <c r="E4585" t="s">
        <v>29</v>
      </c>
      <c r="F4585" t="s">
        <v>41</v>
      </c>
      <c r="G4585">
        <v>0</v>
      </c>
      <c r="H4585">
        <v>0</v>
      </c>
      <c r="I4585">
        <v>0</v>
      </c>
      <c r="J4585">
        <v>0</v>
      </c>
      <c r="K4585">
        <v>18</v>
      </c>
      <c r="L4585">
        <v>0</v>
      </c>
      <c r="M4585">
        <v>0</v>
      </c>
      <c r="N4585">
        <v>0</v>
      </c>
      <c r="O4585">
        <v>0</v>
      </c>
      <c r="P4585">
        <v>0</v>
      </c>
      <c r="Q4585">
        <v>18</v>
      </c>
      <c r="R4585">
        <v>0</v>
      </c>
      <c r="S4585">
        <v>0</v>
      </c>
      <c r="T4585">
        <v>0</v>
      </c>
      <c r="U4585">
        <v>0</v>
      </c>
      <c r="V4585">
        <v>0</v>
      </c>
      <c r="W4585">
        <v>0</v>
      </c>
      <c r="X4585">
        <v>0</v>
      </c>
      <c r="Y4585" t="s">
        <v>31</v>
      </c>
      <c r="Z4585">
        <v>55</v>
      </c>
      <c r="AA4585">
        <v>0</v>
      </c>
    </row>
    <row r="4586" spans="1:27" x14ac:dyDescent="0.2">
      <c r="A4586" t="s">
        <v>406</v>
      </c>
      <c r="B4586">
        <v>2024</v>
      </c>
      <c r="C4586" t="s">
        <v>5668</v>
      </c>
      <c r="D4586" t="s">
        <v>5669</v>
      </c>
      <c r="E4586" t="s">
        <v>29</v>
      </c>
      <c r="F4586" t="s">
        <v>41</v>
      </c>
      <c r="G4586">
        <v>0</v>
      </c>
      <c r="H4586">
        <v>0</v>
      </c>
      <c r="I4586">
        <v>0</v>
      </c>
      <c r="J4586">
        <v>0</v>
      </c>
      <c r="K4586">
        <v>33</v>
      </c>
      <c r="L4586">
        <v>0</v>
      </c>
      <c r="M4586">
        <v>0</v>
      </c>
      <c r="N4586">
        <v>0</v>
      </c>
      <c r="O4586">
        <v>0</v>
      </c>
      <c r="P4586">
        <v>0</v>
      </c>
      <c r="Q4586">
        <v>0</v>
      </c>
      <c r="R4586">
        <v>0</v>
      </c>
      <c r="S4586">
        <v>0</v>
      </c>
      <c r="T4586">
        <v>0</v>
      </c>
      <c r="U4586">
        <v>0</v>
      </c>
      <c r="V4586">
        <v>0</v>
      </c>
      <c r="W4586">
        <v>0</v>
      </c>
      <c r="X4586">
        <v>0</v>
      </c>
      <c r="Y4586" t="s">
        <v>31</v>
      </c>
      <c r="Z4586">
        <v>55</v>
      </c>
      <c r="AA4586">
        <v>0</v>
      </c>
    </row>
    <row r="4587" spans="1:27" x14ac:dyDescent="0.2">
      <c r="A4587" t="s">
        <v>5670</v>
      </c>
      <c r="B4587">
        <v>2024</v>
      </c>
      <c r="C4587" t="s">
        <v>5671</v>
      </c>
      <c r="D4587" t="s">
        <v>5672</v>
      </c>
      <c r="E4587" t="s">
        <v>29</v>
      </c>
      <c r="F4587" t="s">
        <v>41</v>
      </c>
      <c r="G4587">
        <v>0</v>
      </c>
      <c r="H4587">
        <v>0</v>
      </c>
      <c r="I4587">
        <v>0</v>
      </c>
      <c r="J4587">
        <v>0</v>
      </c>
      <c r="K4587">
        <v>0</v>
      </c>
      <c r="L4587">
        <v>0</v>
      </c>
      <c r="M4587">
        <v>0</v>
      </c>
      <c r="N4587">
        <v>0</v>
      </c>
      <c r="O4587">
        <v>0</v>
      </c>
      <c r="P4587">
        <v>0</v>
      </c>
      <c r="Q4587">
        <v>0</v>
      </c>
      <c r="R4587">
        <v>0</v>
      </c>
      <c r="S4587">
        <v>0</v>
      </c>
      <c r="T4587">
        <v>0</v>
      </c>
      <c r="U4587">
        <v>0</v>
      </c>
      <c r="V4587">
        <v>0</v>
      </c>
      <c r="W4587">
        <v>0</v>
      </c>
      <c r="X4587">
        <v>0</v>
      </c>
      <c r="Y4587" t="s">
        <v>31</v>
      </c>
      <c r="AA4587">
        <v>0</v>
      </c>
    </row>
    <row r="4588" spans="1:27" x14ac:dyDescent="0.2">
      <c r="A4588" t="s">
        <v>75</v>
      </c>
      <c r="B4588">
        <v>2024</v>
      </c>
      <c r="C4588">
        <v>4492700400</v>
      </c>
      <c r="D4588" t="s">
        <v>5673</v>
      </c>
      <c r="E4588" t="s">
        <v>29</v>
      </c>
      <c r="F4588" t="s">
        <v>30</v>
      </c>
      <c r="G4588">
        <v>0</v>
      </c>
      <c r="H4588">
        <v>0</v>
      </c>
      <c r="I4588">
        <v>0</v>
      </c>
      <c r="J4588">
        <v>0</v>
      </c>
      <c r="K4588">
        <v>0</v>
      </c>
      <c r="L4588">
        <v>0</v>
      </c>
      <c r="M4588">
        <v>1</v>
      </c>
      <c r="N4588">
        <v>0</v>
      </c>
      <c r="O4588">
        <v>0</v>
      </c>
      <c r="P4588">
        <v>0</v>
      </c>
      <c r="Q4588">
        <v>0</v>
      </c>
      <c r="R4588">
        <v>0</v>
      </c>
      <c r="S4588">
        <v>0</v>
      </c>
      <c r="T4588">
        <v>0</v>
      </c>
      <c r="U4588">
        <v>0</v>
      </c>
      <c r="V4588">
        <v>0</v>
      </c>
      <c r="W4588">
        <v>0</v>
      </c>
      <c r="X4588">
        <v>0</v>
      </c>
      <c r="Y4588" t="s">
        <v>31</v>
      </c>
      <c r="Z4588">
        <v>55</v>
      </c>
      <c r="AA4588" s="2" t="s">
        <v>5251</v>
      </c>
    </row>
    <row r="4589" spans="1:27" x14ac:dyDescent="0.2">
      <c r="A4589" t="s">
        <v>75</v>
      </c>
      <c r="B4589">
        <v>2024</v>
      </c>
      <c r="C4589">
        <v>4446040400</v>
      </c>
      <c r="D4589" t="s">
        <v>544</v>
      </c>
      <c r="E4589" t="s">
        <v>29</v>
      </c>
      <c r="F4589" t="s">
        <v>30</v>
      </c>
      <c r="G4589">
        <v>0</v>
      </c>
      <c r="H4589">
        <v>0</v>
      </c>
      <c r="I4589">
        <v>0</v>
      </c>
      <c r="J4589">
        <v>0</v>
      </c>
      <c r="K4589">
        <v>0</v>
      </c>
      <c r="L4589">
        <v>0</v>
      </c>
      <c r="M4589">
        <v>0</v>
      </c>
      <c r="N4589">
        <v>0</v>
      </c>
      <c r="O4589">
        <v>0</v>
      </c>
      <c r="P4589">
        <v>0</v>
      </c>
      <c r="Q4589">
        <v>0</v>
      </c>
      <c r="R4589">
        <v>0</v>
      </c>
      <c r="S4589">
        <v>1</v>
      </c>
      <c r="T4589">
        <v>0</v>
      </c>
      <c r="U4589">
        <v>0</v>
      </c>
      <c r="V4589">
        <v>0</v>
      </c>
      <c r="W4589">
        <v>0</v>
      </c>
      <c r="X4589">
        <v>0</v>
      </c>
      <c r="Y4589" t="s">
        <v>31</v>
      </c>
      <c r="Z4589">
        <v>55</v>
      </c>
      <c r="AA4589">
        <v>0.5</v>
      </c>
    </row>
    <row r="4590" spans="1:27" x14ac:dyDescent="0.2">
      <c r="A4590" t="s">
        <v>75</v>
      </c>
      <c r="B4590">
        <v>2024</v>
      </c>
      <c r="C4590">
        <v>3130601000</v>
      </c>
      <c r="D4590" t="s">
        <v>5674</v>
      </c>
      <c r="E4590" t="s">
        <v>29</v>
      </c>
      <c r="F4590" t="s">
        <v>30</v>
      </c>
      <c r="G4590">
        <v>0</v>
      </c>
      <c r="H4590">
        <v>0</v>
      </c>
      <c r="I4590">
        <v>0</v>
      </c>
      <c r="J4590">
        <v>0</v>
      </c>
      <c r="K4590">
        <v>0</v>
      </c>
      <c r="L4590">
        <v>0</v>
      </c>
      <c r="M4590">
        <v>0</v>
      </c>
      <c r="N4590">
        <v>0</v>
      </c>
      <c r="O4590">
        <v>0</v>
      </c>
      <c r="P4590">
        <v>0</v>
      </c>
      <c r="Q4590">
        <v>0</v>
      </c>
      <c r="R4590">
        <v>0</v>
      </c>
      <c r="S4590">
        <v>0</v>
      </c>
      <c r="T4590">
        <v>0</v>
      </c>
      <c r="U4590">
        <v>0</v>
      </c>
      <c r="V4590">
        <v>0</v>
      </c>
      <c r="W4590">
        <v>0</v>
      </c>
      <c r="X4590">
        <v>0</v>
      </c>
      <c r="Y4590" t="s">
        <v>51</v>
      </c>
      <c r="AA4590">
        <v>0</v>
      </c>
    </row>
    <row r="4591" spans="1:27" x14ac:dyDescent="0.2">
      <c r="A4591" t="s">
        <v>75</v>
      </c>
      <c r="B4591">
        <v>2024</v>
      </c>
      <c r="C4591">
        <v>3130601000</v>
      </c>
      <c r="D4591" t="s">
        <v>344</v>
      </c>
      <c r="E4591" t="s">
        <v>29</v>
      </c>
      <c r="F4591" t="s">
        <v>30</v>
      </c>
      <c r="G4591">
        <v>0</v>
      </c>
      <c r="H4591">
        <v>0</v>
      </c>
      <c r="I4591">
        <v>0</v>
      </c>
      <c r="J4591">
        <v>0</v>
      </c>
      <c r="K4591">
        <v>0</v>
      </c>
      <c r="L4591">
        <v>0</v>
      </c>
      <c r="M4591">
        <v>0</v>
      </c>
      <c r="N4591">
        <v>0</v>
      </c>
      <c r="O4591">
        <v>0</v>
      </c>
      <c r="P4591">
        <v>0</v>
      </c>
      <c r="Q4591">
        <v>0</v>
      </c>
      <c r="R4591">
        <v>0</v>
      </c>
      <c r="S4591">
        <v>4</v>
      </c>
      <c r="T4591">
        <v>0</v>
      </c>
      <c r="U4591">
        <v>0</v>
      </c>
      <c r="V4591">
        <v>0</v>
      </c>
      <c r="W4591">
        <v>0</v>
      </c>
      <c r="X4591">
        <v>0</v>
      </c>
      <c r="Y4591" t="s">
        <v>51</v>
      </c>
      <c r="AA4591">
        <v>0</v>
      </c>
    </row>
    <row r="4592" spans="1:27" x14ac:dyDescent="0.2">
      <c r="A4592" t="s">
        <v>75</v>
      </c>
      <c r="B4592">
        <v>2024</v>
      </c>
      <c r="C4592">
        <v>3130601000</v>
      </c>
      <c r="D4592" t="s">
        <v>275</v>
      </c>
      <c r="E4592" t="s">
        <v>29</v>
      </c>
      <c r="F4592" t="s">
        <v>30</v>
      </c>
      <c r="G4592">
        <v>0</v>
      </c>
      <c r="H4592">
        <v>0</v>
      </c>
      <c r="I4592">
        <v>0</v>
      </c>
      <c r="J4592">
        <v>0</v>
      </c>
      <c r="K4592">
        <v>0</v>
      </c>
      <c r="L4592">
        <v>0</v>
      </c>
      <c r="M4592">
        <v>0</v>
      </c>
      <c r="N4592">
        <v>0</v>
      </c>
      <c r="O4592">
        <v>0</v>
      </c>
      <c r="P4592">
        <v>0</v>
      </c>
      <c r="Q4592">
        <v>0</v>
      </c>
      <c r="R4592">
        <v>0</v>
      </c>
      <c r="S4592">
        <v>2</v>
      </c>
      <c r="T4592">
        <v>0</v>
      </c>
      <c r="U4592">
        <v>0</v>
      </c>
      <c r="V4592">
        <v>0</v>
      </c>
      <c r="W4592">
        <v>0</v>
      </c>
      <c r="X4592">
        <v>0</v>
      </c>
      <c r="Y4592" t="s">
        <v>51</v>
      </c>
      <c r="AA4592">
        <v>0</v>
      </c>
    </row>
    <row r="4593" spans="1:27" x14ac:dyDescent="0.2">
      <c r="A4593" t="s">
        <v>75</v>
      </c>
      <c r="B4593">
        <v>2024</v>
      </c>
      <c r="C4593">
        <v>4461032300</v>
      </c>
      <c r="D4593" t="s">
        <v>5675</v>
      </c>
      <c r="E4593" t="s">
        <v>29</v>
      </c>
      <c r="F4593" t="s">
        <v>30</v>
      </c>
      <c r="G4593">
        <v>0</v>
      </c>
      <c r="H4593">
        <v>0</v>
      </c>
      <c r="I4593">
        <v>0</v>
      </c>
      <c r="J4593">
        <v>0</v>
      </c>
      <c r="K4593">
        <v>0</v>
      </c>
      <c r="L4593">
        <v>0</v>
      </c>
      <c r="M4593">
        <v>1</v>
      </c>
      <c r="N4593">
        <v>0</v>
      </c>
      <c r="O4593">
        <v>0</v>
      </c>
      <c r="P4593">
        <v>0</v>
      </c>
      <c r="Q4593">
        <v>0</v>
      </c>
      <c r="R4593">
        <v>0</v>
      </c>
      <c r="S4593">
        <v>0</v>
      </c>
      <c r="T4593">
        <v>0</v>
      </c>
      <c r="U4593">
        <v>0</v>
      </c>
      <c r="V4593">
        <v>0</v>
      </c>
      <c r="W4593">
        <v>0</v>
      </c>
      <c r="X4593">
        <v>0</v>
      </c>
      <c r="Y4593" t="s">
        <v>31</v>
      </c>
      <c r="Z4593">
        <v>55</v>
      </c>
      <c r="AA4593">
        <v>1</v>
      </c>
    </row>
    <row r="4594" spans="1:27" x14ac:dyDescent="0.2">
      <c r="A4594" t="s">
        <v>75</v>
      </c>
      <c r="B4594">
        <v>2024</v>
      </c>
      <c r="C4594">
        <v>6461005400</v>
      </c>
      <c r="D4594" t="s">
        <v>5676</v>
      </c>
      <c r="E4594" t="s">
        <v>29</v>
      </c>
      <c r="F4594" t="s">
        <v>30</v>
      </c>
      <c r="G4594">
        <v>0</v>
      </c>
      <c r="H4594">
        <v>0</v>
      </c>
      <c r="I4594">
        <v>0</v>
      </c>
      <c r="J4594">
        <v>0</v>
      </c>
      <c r="K4594">
        <v>0</v>
      </c>
      <c r="L4594">
        <v>0</v>
      </c>
      <c r="M4594">
        <v>0</v>
      </c>
      <c r="N4594">
        <v>0</v>
      </c>
      <c r="O4594">
        <v>0</v>
      </c>
      <c r="P4594">
        <v>0</v>
      </c>
      <c r="Q4594">
        <v>0</v>
      </c>
      <c r="R4594">
        <v>0</v>
      </c>
      <c r="S4594">
        <v>0</v>
      </c>
      <c r="T4594">
        <v>0</v>
      </c>
      <c r="U4594">
        <v>0</v>
      </c>
      <c r="V4594">
        <v>0</v>
      </c>
      <c r="W4594">
        <v>0</v>
      </c>
      <c r="X4594">
        <v>0</v>
      </c>
      <c r="Y4594" t="s">
        <v>51</v>
      </c>
      <c r="AA4594">
        <v>0</v>
      </c>
    </row>
    <row r="4595" spans="1:27" x14ac:dyDescent="0.2">
      <c r="A4595" t="s">
        <v>75</v>
      </c>
      <c r="B4595">
        <v>2024</v>
      </c>
      <c r="C4595">
        <v>6461005400</v>
      </c>
      <c r="D4595" t="s">
        <v>5677</v>
      </c>
      <c r="E4595" t="s">
        <v>29</v>
      </c>
      <c r="F4595" t="s">
        <v>30</v>
      </c>
      <c r="G4595">
        <v>0</v>
      </c>
      <c r="H4595">
        <v>0</v>
      </c>
      <c r="I4595">
        <v>0</v>
      </c>
      <c r="J4595">
        <v>0</v>
      </c>
      <c r="K4595">
        <v>0</v>
      </c>
      <c r="L4595">
        <v>0</v>
      </c>
      <c r="M4595">
        <v>0</v>
      </c>
      <c r="N4595">
        <v>0</v>
      </c>
      <c r="O4595">
        <v>0</v>
      </c>
      <c r="P4595">
        <v>0</v>
      </c>
      <c r="Q4595">
        <v>0</v>
      </c>
      <c r="R4595">
        <v>0</v>
      </c>
      <c r="S4595">
        <v>0</v>
      </c>
      <c r="T4595">
        <v>0</v>
      </c>
      <c r="U4595">
        <v>0</v>
      </c>
      <c r="V4595">
        <v>0</v>
      </c>
      <c r="W4595">
        <v>0</v>
      </c>
      <c r="X4595">
        <v>0</v>
      </c>
      <c r="Y4595" t="s">
        <v>51</v>
      </c>
      <c r="AA4595">
        <v>0</v>
      </c>
    </row>
    <row r="4596" spans="1:27" x14ac:dyDescent="0.2">
      <c r="A4596" t="s">
        <v>75</v>
      </c>
      <c r="B4596">
        <v>2024</v>
      </c>
      <c r="C4596">
        <v>6461005400</v>
      </c>
      <c r="D4596" t="s">
        <v>5678</v>
      </c>
      <c r="E4596" t="s">
        <v>29</v>
      </c>
      <c r="F4596" t="s">
        <v>30</v>
      </c>
      <c r="G4596">
        <v>0</v>
      </c>
      <c r="H4596">
        <v>0</v>
      </c>
      <c r="I4596">
        <v>0</v>
      </c>
      <c r="J4596">
        <v>0</v>
      </c>
      <c r="K4596">
        <v>0</v>
      </c>
      <c r="L4596">
        <v>0</v>
      </c>
      <c r="M4596">
        <v>0</v>
      </c>
      <c r="N4596">
        <v>0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0</v>
      </c>
      <c r="U4596">
        <v>0</v>
      </c>
      <c r="V4596">
        <v>0</v>
      </c>
      <c r="W4596">
        <v>0</v>
      </c>
      <c r="X4596">
        <v>0</v>
      </c>
      <c r="Y4596" t="s">
        <v>51</v>
      </c>
      <c r="AA4596">
        <v>0</v>
      </c>
    </row>
    <row r="4597" spans="1:27" x14ac:dyDescent="0.2">
      <c r="A4597" t="s">
        <v>75</v>
      </c>
      <c r="B4597">
        <v>2024</v>
      </c>
      <c r="C4597">
        <v>6461002000</v>
      </c>
      <c r="D4597" t="s">
        <v>5679</v>
      </c>
      <c r="E4597" t="s">
        <v>29</v>
      </c>
      <c r="F4597" t="s">
        <v>30</v>
      </c>
      <c r="G4597">
        <v>0</v>
      </c>
      <c r="H4597">
        <v>0</v>
      </c>
      <c r="I4597">
        <v>0</v>
      </c>
      <c r="J4597">
        <v>0</v>
      </c>
      <c r="K4597">
        <v>0</v>
      </c>
      <c r="L4597">
        <v>0</v>
      </c>
      <c r="M4597">
        <v>0</v>
      </c>
      <c r="N4597">
        <v>0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0</v>
      </c>
      <c r="U4597">
        <v>0</v>
      </c>
      <c r="V4597">
        <v>0</v>
      </c>
      <c r="W4597">
        <v>0</v>
      </c>
      <c r="X4597">
        <v>0</v>
      </c>
      <c r="Y4597" t="s">
        <v>51</v>
      </c>
      <c r="AA4597">
        <v>0</v>
      </c>
    </row>
    <row r="4598" spans="1:27" x14ac:dyDescent="0.2">
      <c r="A4598" t="s">
        <v>75</v>
      </c>
      <c r="B4598">
        <v>2024</v>
      </c>
      <c r="C4598">
        <v>3504830400</v>
      </c>
      <c r="D4598" t="s">
        <v>5680</v>
      </c>
      <c r="E4598" t="s">
        <v>29</v>
      </c>
      <c r="F4598" t="s">
        <v>30</v>
      </c>
      <c r="G4598">
        <v>0</v>
      </c>
      <c r="H4598">
        <v>0</v>
      </c>
      <c r="I4598">
        <v>0</v>
      </c>
      <c r="J4598">
        <v>0</v>
      </c>
      <c r="K4598">
        <v>0</v>
      </c>
      <c r="L4598">
        <v>0</v>
      </c>
      <c r="M4598">
        <v>0</v>
      </c>
      <c r="N4598">
        <v>0</v>
      </c>
      <c r="O4598">
        <v>0</v>
      </c>
      <c r="P4598">
        <v>0</v>
      </c>
      <c r="Q4598">
        <v>0</v>
      </c>
      <c r="R4598">
        <v>0</v>
      </c>
      <c r="S4598">
        <v>0</v>
      </c>
      <c r="T4598">
        <v>0</v>
      </c>
      <c r="U4598">
        <v>1</v>
      </c>
      <c r="V4598">
        <v>0</v>
      </c>
      <c r="W4598">
        <v>0</v>
      </c>
      <c r="X4598">
        <v>0</v>
      </c>
      <c r="Y4598" t="s">
        <v>31</v>
      </c>
      <c r="Z4598">
        <v>55</v>
      </c>
      <c r="AA4598">
        <v>1</v>
      </c>
    </row>
    <row r="4599" spans="1:27" x14ac:dyDescent="0.2">
      <c r="A4599" t="s">
        <v>3429</v>
      </c>
      <c r="B4599">
        <v>2024</v>
      </c>
      <c r="C4599">
        <v>5773006036</v>
      </c>
      <c r="D4599" t="s">
        <v>5681</v>
      </c>
      <c r="E4599" t="s">
        <v>29</v>
      </c>
      <c r="F4599" t="s">
        <v>30</v>
      </c>
      <c r="G4599">
        <v>0</v>
      </c>
      <c r="H4599">
        <v>0</v>
      </c>
      <c r="I4599">
        <v>0</v>
      </c>
      <c r="J4599">
        <v>0</v>
      </c>
      <c r="K4599">
        <v>0</v>
      </c>
      <c r="L4599">
        <v>0</v>
      </c>
      <c r="M4599">
        <v>26</v>
      </c>
      <c r="N4599">
        <v>0</v>
      </c>
      <c r="O4599">
        <v>0</v>
      </c>
      <c r="P4599">
        <v>0</v>
      </c>
      <c r="Q4599">
        <v>0</v>
      </c>
      <c r="R4599">
        <v>0</v>
      </c>
      <c r="S4599">
        <v>0</v>
      </c>
      <c r="T4599">
        <v>0</v>
      </c>
      <c r="U4599">
        <v>0</v>
      </c>
      <c r="V4599">
        <v>0</v>
      </c>
      <c r="W4599">
        <v>0</v>
      </c>
      <c r="X4599">
        <v>0</v>
      </c>
      <c r="Y4599" t="s">
        <v>31</v>
      </c>
      <c r="Z4599">
        <v>55</v>
      </c>
      <c r="AA4599" s="2" t="s">
        <v>3316</v>
      </c>
    </row>
    <row r="4600" spans="1:27" x14ac:dyDescent="0.2">
      <c r="A4600" t="s">
        <v>1449</v>
      </c>
      <c r="B4600">
        <v>2024</v>
      </c>
      <c r="C4600" t="s">
        <v>3437</v>
      </c>
      <c r="D4600" t="s">
        <v>5682</v>
      </c>
      <c r="E4600" t="s">
        <v>29</v>
      </c>
      <c r="F4600" t="s">
        <v>30</v>
      </c>
      <c r="G4600">
        <v>0</v>
      </c>
      <c r="H4600">
        <v>0</v>
      </c>
      <c r="I4600">
        <v>0</v>
      </c>
      <c r="J4600">
        <v>0</v>
      </c>
      <c r="K4600">
        <v>0</v>
      </c>
      <c r="L4600">
        <v>0</v>
      </c>
      <c r="M4600">
        <v>0</v>
      </c>
      <c r="N4600">
        <v>0</v>
      </c>
      <c r="O4600">
        <v>0</v>
      </c>
      <c r="P4600">
        <v>0</v>
      </c>
      <c r="Q4600">
        <v>0</v>
      </c>
      <c r="R4600">
        <v>0</v>
      </c>
      <c r="S4600">
        <v>7</v>
      </c>
      <c r="T4600">
        <v>0</v>
      </c>
      <c r="U4600">
        <v>0</v>
      </c>
      <c r="V4600">
        <v>0</v>
      </c>
      <c r="W4600">
        <v>0</v>
      </c>
      <c r="X4600">
        <v>0</v>
      </c>
      <c r="Y4600" t="s">
        <v>31</v>
      </c>
      <c r="AA4600" s="2" t="s">
        <v>3920</v>
      </c>
    </row>
    <row r="4601" spans="1:27" x14ac:dyDescent="0.2">
      <c r="A4601" t="s">
        <v>1449</v>
      </c>
      <c r="B4601">
        <v>2024</v>
      </c>
      <c r="C4601" t="s">
        <v>5683</v>
      </c>
      <c r="D4601" t="s">
        <v>5684</v>
      </c>
      <c r="E4601" t="s">
        <v>29</v>
      </c>
      <c r="F4601" t="s">
        <v>30</v>
      </c>
      <c r="G4601">
        <v>22</v>
      </c>
      <c r="H4601">
        <v>0</v>
      </c>
      <c r="I4601">
        <v>0</v>
      </c>
      <c r="J4601">
        <v>0</v>
      </c>
      <c r="K4601">
        <v>0</v>
      </c>
      <c r="L4601">
        <v>0</v>
      </c>
      <c r="M4601">
        <v>0</v>
      </c>
      <c r="N4601">
        <v>0</v>
      </c>
      <c r="O4601">
        <v>0</v>
      </c>
      <c r="P4601">
        <v>0</v>
      </c>
      <c r="Q4601">
        <v>0</v>
      </c>
      <c r="R4601">
        <v>0</v>
      </c>
      <c r="S4601">
        <v>0</v>
      </c>
      <c r="T4601">
        <v>0</v>
      </c>
      <c r="U4601">
        <v>0</v>
      </c>
      <c r="V4601">
        <v>0</v>
      </c>
      <c r="W4601">
        <v>0</v>
      </c>
      <c r="X4601">
        <v>0</v>
      </c>
      <c r="Y4601" t="s">
        <v>31</v>
      </c>
      <c r="AA4601">
        <v>0.5</v>
      </c>
    </row>
    <row r="4602" spans="1:27" x14ac:dyDescent="0.2">
      <c r="A4602" t="s">
        <v>1449</v>
      </c>
      <c r="B4602">
        <v>2024</v>
      </c>
      <c r="C4602" t="s">
        <v>5685</v>
      </c>
      <c r="D4602" t="s">
        <v>5686</v>
      </c>
      <c r="E4602" t="s">
        <v>29</v>
      </c>
      <c r="F4602" t="s">
        <v>30</v>
      </c>
      <c r="G4602">
        <v>0</v>
      </c>
      <c r="H4602">
        <v>0</v>
      </c>
      <c r="I4602">
        <v>0</v>
      </c>
      <c r="J4602">
        <v>0</v>
      </c>
      <c r="K4602">
        <v>0</v>
      </c>
      <c r="L4602">
        <v>0</v>
      </c>
      <c r="M4602">
        <v>0</v>
      </c>
      <c r="N4602">
        <v>0</v>
      </c>
      <c r="O4602">
        <v>0</v>
      </c>
      <c r="P4602">
        <v>0</v>
      </c>
      <c r="Q4602">
        <v>0</v>
      </c>
      <c r="R4602">
        <v>0</v>
      </c>
      <c r="S4602">
        <v>0</v>
      </c>
      <c r="T4602">
        <v>0</v>
      </c>
      <c r="U4602">
        <v>0</v>
      </c>
      <c r="V4602">
        <v>0</v>
      </c>
      <c r="W4602">
        <v>0</v>
      </c>
      <c r="X4602">
        <v>0</v>
      </c>
      <c r="Y4602" t="s">
        <v>31</v>
      </c>
      <c r="AA4602">
        <v>0.25</v>
      </c>
    </row>
    <row r="4603" spans="1:27" x14ac:dyDescent="0.2">
      <c r="A4603" t="s">
        <v>1449</v>
      </c>
      <c r="B4603">
        <v>2024</v>
      </c>
      <c r="C4603" t="s">
        <v>5687</v>
      </c>
      <c r="D4603" t="s">
        <v>5688</v>
      </c>
      <c r="E4603" t="s">
        <v>29</v>
      </c>
      <c r="F4603" t="s">
        <v>30</v>
      </c>
      <c r="G4603">
        <v>3</v>
      </c>
      <c r="H4603">
        <v>0</v>
      </c>
      <c r="I4603">
        <v>0</v>
      </c>
      <c r="J4603">
        <v>0</v>
      </c>
      <c r="K4603">
        <v>0</v>
      </c>
      <c r="L4603">
        <v>0</v>
      </c>
      <c r="M4603">
        <v>0</v>
      </c>
      <c r="N4603">
        <v>0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0</v>
      </c>
      <c r="U4603">
        <v>0</v>
      </c>
      <c r="V4603">
        <v>0</v>
      </c>
      <c r="W4603">
        <v>0</v>
      </c>
      <c r="X4603">
        <v>0</v>
      </c>
      <c r="Y4603" t="s">
        <v>31</v>
      </c>
      <c r="AA4603" s="2" t="s">
        <v>3299</v>
      </c>
    </row>
    <row r="4604" spans="1:27" x14ac:dyDescent="0.2">
      <c r="A4604" t="s">
        <v>1449</v>
      </c>
      <c r="B4604">
        <v>2024</v>
      </c>
      <c r="C4604" t="s">
        <v>1838</v>
      </c>
      <c r="D4604" t="s">
        <v>5689</v>
      </c>
      <c r="E4604" t="s">
        <v>29</v>
      </c>
      <c r="F4604" t="s">
        <v>30</v>
      </c>
      <c r="G4604">
        <v>0</v>
      </c>
      <c r="H4604">
        <v>0</v>
      </c>
      <c r="I4604">
        <v>0</v>
      </c>
      <c r="J4604">
        <v>0</v>
      </c>
      <c r="K4604">
        <v>0</v>
      </c>
      <c r="L4604">
        <v>0</v>
      </c>
      <c r="M4604">
        <v>7</v>
      </c>
      <c r="N4604">
        <v>0</v>
      </c>
      <c r="O4604">
        <v>1</v>
      </c>
      <c r="P4604">
        <v>0</v>
      </c>
      <c r="Q4604">
        <v>0</v>
      </c>
      <c r="R4604">
        <v>0</v>
      </c>
      <c r="S4604">
        <v>0</v>
      </c>
      <c r="T4604">
        <v>0</v>
      </c>
      <c r="U4604">
        <v>0</v>
      </c>
      <c r="V4604">
        <v>0</v>
      </c>
      <c r="W4604">
        <v>0</v>
      </c>
      <c r="X4604">
        <v>0</v>
      </c>
      <c r="Y4604" t="s">
        <v>31</v>
      </c>
      <c r="AA4604" s="2" t="s">
        <v>3299</v>
      </c>
    </row>
    <row r="4605" spans="1:27" x14ac:dyDescent="0.2">
      <c r="A4605" t="s">
        <v>5690</v>
      </c>
      <c r="B4605">
        <v>2024</v>
      </c>
      <c r="C4605">
        <v>6358015058</v>
      </c>
      <c r="D4605" t="s">
        <v>5691</v>
      </c>
      <c r="E4605" t="s">
        <v>29</v>
      </c>
      <c r="F4605" t="s">
        <v>41</v>
      </c>
      <c r="G4605">
        <v>0</v>
      </c>
      <c r="H4605">
        <v>0</v>
      </c>
      <c r="I4605">
        <v>0</v>
      </c>
      <c r="J4605">
        <v>0</v>
      </c>
      <c r="K4605">
        <v>3</v>
      </c>
      <c r="L4605">
        <v>0</v>
      </c>
      <c r="M4605">
        <v>0</v>
      </c>
      <c r="N4605">
        <v>0</v>
      </c>
      <c r="O4605">
        <v>0</v>
      </c>
      <c r="P4605">
        <v>0</v>
      </c>
      <c r="Q4605">
        <v>0</v>
      </c>
      <c r="R4605">
        <v>0</v>
      </c>
      <c r="S4605">
        <v>0</v>
      </c>
      <c r="T4605">
        <v>0</v>
      </c>
      <c r="U4605">
        <v>0</v>
      </c>
      <c r="V4605">
        <v>0</v>
      </c>
      <c r="W4605">
        <v>0</v>
      </c>
      <c r="X4605">
        <v>0</v>
      </c>
      <c r="Y4605" t="s">
        <v>31</v>
      </c>
      <c r="Z4605">
        <v>55</v>
      </c>
      <c r="AA4605" s="2" t="s">
        <v>2716</v>
      </c>
    </row>
    <row r="4606" spans="1:27" x14ac:dyDescent="0.2">
      <c r="A4606" t="s">
        <v>75</v>
      </c>
      <c r="B4606">
        <v>2024</v>
      </c>
      <c r="C4606">
        <v>5480200470</v>
      </c>
      <c r="D4606" t="s">
        <v>3645</v>
      </c>
      <c r="E4606" t="s">
        <v>29</v>
      </c>
      <c r="F4606" t="s">
        <v>41</v>
      </c>
      <c r="G4606">
        <v>0</v>
      </c>
      <c r="H4606">
        <v>0</v>
      </c>
      <c r="I4606">
        <v>0</v>
      </c>
      <c r="J4606">
        <v>0</v>
      </c>
      <c r="K4606">
        <v>0</v>
      </c>
      <c r="L4606">
        <v>0</v>
      </c>
      <c r="M4606">
        <v>0</v>
      </c>
      <c r="N4606">
        <v>0</v>
      </c>
      <c r="O4606">
        <v>0</v>
      </c>
      <c r="P4606">
        <v>0</v>
      </c>
      <c r="Q4606">
        <v>0</v>
      </c>
      <c r="R4606">
        <v>0</v>
      </c>
      <c r="S4606">
        <v>0</v>
      </c>
      <c r="T4606">
        <v>0</v>
      </c>
      <c r="U4606">
        <v>0</v>
      </c>
      <c r="V4606">
        <v>0</v>
      </c>
      <c r="W4606">
        <v>0</v>
      </c>
      <c r="X4606">
        <v>0</v>
      </c>
      <c r="Y4606" t="s">
        <v>51</v>
      </c>
      <c r="AA4606">
        <v>0</v>
      </c>
    </row>
    <row r="4607" spans="1:27" x14ac:dyDescent="0.2">
      <c r="A4607" t="s">
        <v>75</v>
      </c>
      <c r="B4607">
        <v>2024</v>
      </c>
      <c r="C4607">
        <v>5480200470</v>
      </c>
      <c r="D4607" t="s">
        <v>3645</v>
      </c>
      <c r="E4607" t="s">
        <v>29</v>
      </c>
      <c r="F4607" t="s">
        <v>41</v>
      </c>
      <c r="G4607">
        <v>0</v>
      </c>
      <c r="H4607">
        <v>0</v>
      </c>
      <c r="I4607">
        <v>0</v>
      </c>
      <c r="J4607">
        <v>0</v>
      </c>
      <c r="K4607">
        <v>0</v>
      </c>
      <c r="L4607">
        <v>0</v>
      </c>
      <c r="M4607">
        <v>0</v>
      </c>
      <c r="N4607">
        <v>0</v>
      </c>
      <c r="O4607">
        <v>1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  <c r="V4607">
        <v>0</v>
      </c>
      <c r="W4607">
        <v>0</v>
      </c>
      <c r="X4607">
        <v>0</v>
      </c>
      <c r="Y4607" t="s">
        <v>51</v>
      </c>
      <c r="Z4607">
        <v>55</v>
      </c>
      <c r="AA4607">
        <v>0</v>
      </c>
    </row>
    <row r="4608" spans="1:27" x14ac:dyDescent="0.2">
      <c r="A4608" t="s">
        <v>75</v>
      </c>
      <c r="B4608">
        <v>2024</v>
      </c>
      <c r="C4608">
        <v>4712222500</v>
      </c>
      <c r="D4608" t="s">
        <v>5692</v>
      </c>
      <c r="E4608" t="s">
        <v>29</v>
      </c>
      <c r="F4608" t="s">
        <v>30</v>
      </c>
      <c r="G4608">
        <v>0</v>
      </c>
      <c r="H4608">
        <v>0</v>
      </c>
      <c r="I4608">
        <v>0</v>
      </c>
      <c r="J4608">
        <v>0</v>
      </c>
      <c r="K4608">
        <v>0</v>
      </c>
      <c r="L4608">
        <v>0</v>
      </c>
      <c r="M4608">
        <v>0</v>
      </c>
      <c r="N4608">
        <v>0</v>
      </c>
      <c r="O4608">
        <v>72</v>
      </c>
      <c r="P4608">
        <v>0</v>
      </c>
      <c r="Q4608">
        <v>0</v>
      </c>
      <c r="R4608">
        <v>0</v>
      </c>
      <c r="S4608">
        <v>0</v>
      </c>
      <c r="T4608">
        <v>0</v>
      </c>
      <c r="U4608">
        <v>0</v>
      </c>
      <c r="V4608">
        <v>0</v>
      </c>
      <c r="W4608">
        <v>0</v>
      </c>
      <c r="X4608">
        <v>0</v>
      </c>
      <c r="Y4608" t="s">
        <v>31</v>
      </c>
      <c r="Z4608">
        <v>55</v>
      </c>
      <c r="AA4608" s="2" t="s">
        <v>5693</v>
      </c>
    </row>
    <row r="4609" spans="1:27" x14ac:dyDescent="0.2">
      <c r="A4609" t="s">
        <v>278</v>
      </c>
      <c r="B4609">
        <v>2024</v>
      </c>
      <c r="C4609">
        <v>15026004</v>
      </c>
      <c r="D4609" t="s">
        <v>5694</v>
      </c>
      <c r="E4609" t="s">
        <v>29</v>
      </c>
      <c r="F4609" t="s">
        <v>30</v>
      </c>
      <c r="G4609">
        <v>0</v>
      </c>
      <c r="H4609">
        <v>0</v>
      </c>
      <c r="I4609">
        <v>0</v>
      </c>
      <c r="J4609">
        <v>0</v>
      </c>
      <c r="K4609">
        <v>0</v>
      </c>
      <c r="L4609">
        <v>0</v>
      </c>
      <c r="M4609">
        <v>84</v>
      </c>
      <c r="N4609">
        <v>0</v>
      </c>
      <c r="O4609">
        <v>0</v>
      </c>
      <c r="P4609">
        <v>0</v>
      </c>
      <c r="Q4609">
        <v>1</v>
      </c>
      <c r="R4609">
        <v>0</v>
      </c>
      <c r="S4609">
        <v>0</v>
      </c>
      <c r="T4609">
        <v>0</v>
      </c>
      <c r="U4609">
        <v>0</v>
      </c>
      <c r="V4609">
        <v>0</v>
      </c>
      <c r="W4609">
        <v>0</v>
      </c>
      <c r="X4609">
        <v>0</v>
      </c>
      <c r="Y4609" t="s">
        <v>31</v>
      </c>
      <c r="Z4609">
        <v>1000</v>
      </c>
      <c r="AA4609">
        <v>0.01</v>
      </c>
    </row>
    <row r="4610" spans="1:27" x14ac:dyDescent="0.2">
      <c r="A4610" t="s">
        <v>38</v>
      </c>
      <c r="B4610">
        <v>2024</v>
      </c>
      <c r="C4610" s="3">
        <v>13635</v>
      </c>
      <c r="D4610" t="s">
        <v>57</v>
      </c>
      <c r="E4610" t="s">
        <v>29</v>
      </c>
      <c r="F4610" t="s">
        <v>30</v>
      </c>
      <c r="G4610">
        <v>4</v>
      </c>
      <c r="H4610">
        <v>0</v>
      </c>
      <c r="I4610">
        <v>0</v>
      </c>
      <c r="J4610">
        <v>0</v>
      </c>
      <c r="K4610">
        <v>0</v>
      </c>
      <c r="L4610">
        <v>0</v>
      </c>
      <c r="M4610">
        <v>4</v>
      </c>
      <c r="N4610">
        <v>0</v>
      </c>
      <c r="O4610">
        <v>0</v>
      </c>
      <c r="P4610">
        <v>0</v>
      </c>
      <c r="Q4610">
        <v>0</v>
      </c>
      <c r="R4610">
        <v>0</v>
      </c>
      <c r="S4610">
        <v>4</v>
      </c>
      <c r="T4610">
        <v>0</v>
      </c>
      <c r="U4610">
        <v>0</v>
      </c>
      <c r="V4610">
        <v>0</v>
      </c>
      <c r="W4610">
        <v>0</v>
      </c>
      <c r="X4610">
        <v>0</v>
      </c>
      <c r="Y4610" t="s">
        <v>31</v>
      </c>
      <c r="Z4610">
        <v>55</v>
      </c>
      <c r="AA4610" s="2" t="s">
        <v>3920</v>
      </c>
    </row>
    <row r="4611" spans="1:27" x14ac:dyDescent="0.2">
      <c r="A4611" t="s">
        <v>38</v>
      </c>
      <c r="B4611">
        <v>2024</v>
      </c>
      <c r="C4611">
        <v>5674010023</v>
      </c>
      <c r="D4611" t="s">
        <v>112</v>
      </c>
      <c r="E4611" t="s">
        <v>29</v>
      </c>
      <c r="F4611" t="s">
        <v>30</v>
      </c>
      <c r="G4611">
        <v>26</v>
      </c>
      <c r="H4611">
        <v>0</v>
      </c>
      <c r="I4611">
        <v>100</v>
      </c>
      <c r="J4611">
        <v>0</v>
      </c>
      <c r="K4611">
        <v>0</v>
      </c>
      <c r="L4611">
        <v>0</v>
      </c>
      <c r="M4611">
        <v>26</v>
      </c>
      <c r="N4611">
        <v>0</v>
      </c>
      <c r="O4611">
        <v>100</v>
      </c>
      <c r="P4611">
        <v>0</v>
      </c>
      <c r="Q4611">
        <v>0</v>
      </c>
      <c r="R4611">
        <v>0</v>
      </c>
      <c r="S4611">
        <v>26</v>
      </c>
      <c r="T4611">
        <v>0</v>
      </c>
      <c r="U4611">
        <v>100</v>
      </c>
      <c r="V4611">
        <v>0</v>
      </c>
      <c r="W4611">
        <v>0</v>
      </c>
      <c r="X4611">
        <v>0</v>
      </c>
      <c r="Y4611" t="s">
        <v>31</v>
      </c>
      <c r="Z4611">
        <v>72</v>
      </c>
      <c r="AA4611" s="2" t="s">
        <v>5695</v>
      </c>
    </row>
    <row r="4612" spans="1:27" x14ac:dyDescent="0.2">
      <c r="A4612" t="s">
        <v>38</v>
      </c>
      <c r="B4612">
        <v>2024</v>
      </c>
      <c r="C4612">
        <v>5640041029</v>
      </c>
      <c r="D4612" t="s">
        <v>306</v>
      </c>
      <c r="E4612" t="s">
        <v>29</v>
      </c>
      <c r="F4612" t="s">
        <v>30</v>
      </c>
      <c r="G4612">
        <v>5</v>
      </c>
      <c r="H4612">
        <v>0</v>
      </c>
      <c r="I4612">
        <v>0</v>
      </c>
      <c r="J4612">
        <v>0</v>
      </c>
      <c r="K4612">
        <v>0</v>
      </c>
      <c r="L4612">
        <v>0</v>
      </c>
      <c r="M4612">
        <v>5</v>
      </c>
      <c r="N4612">
        <v>0</v>
      </c>
      <c r="O4612">
        <v>0</v>
      </c>
      <c r="P4612">
        <v>0</v>
      </c>
      <c r="Q4612">
        <v>0</v>
      </c>
      <c r="R4612">
        <v>0</v>
      </c>
      <c r="S4612">
        <v>0</v>
      </c>
      <c r="T4612">
        <v>0</v>
      </c>
      <c r="U4612">
        <v>0</v>
      </c>
      <c r="V4612">
        <v>0</v>
      </c>
      <c r="W4612">
        <v>0</v>
      </c>
      <c r="X4612">
        <v>0</v>
      </c>
      <c r="Y4612" t="s">
        <v>31</v>
      </c>
      <c r="AA4612">
        <v>0</v>
      </c>
    </row>
    <row r="4613" spans="1:27" x14ac:dyDescent="0.2">
      <c r="A4613" t="s">
        <v>38</v>
      </c>
      <c r="B4613">
        <v>2024</v>
      </c>
      <c r="C4613">
        <v>5645007903</v>
      </c>
      <c r="D4613" t="s">
        <v>5696</v>
      </c>
      <c r="E4613" t="s">
        <v>29</v>
      </c>
      <c r="F4613" t="s">
        <v>30</v>
      </c>
      <c r="G4613">
        <v>38</v>
      </c>
      <c r="H4613">
        <v>0</v>
      </c>
      <c r="I4613">
        <v>29</v>
      </c>
      <c r="J4613">
        <v>0</v>
      </c>
      <c r="K4613">
        <v>0</v>
      </c>
      <c r="L4613">
        <v>0</v>
      </c>
      <c r="M4613">
        <v>38</v>
      </c>
      <c r="N4613">
        <v>0</v>
      </c>
      <c r="O4613">
        <v>29</v>
      </c>
      <c r="P4613">
        <v>0</v>
      </c>
      <c r="Q4613">
        <v>0</v>
      </c>
      <c r="R4613">
        <v>0</v>
      </c>
      <c r="S4613">
        <v>0</v>
      </c>
      <c r="T4613">
        <v>0</v>
      </c>
      <c r="U4613">
        <v>0</v>
      </c>
      <c r="V4613">
        <v>0</v>
      </c>
      <c r="W4613">
        <v>0</v>
      </c>
      <c r="X4613">
        <v>0</v>
      </c>
      <c r="Y4613" t="s">
        <v>31</v>
      </c>
      <c r="Z4613">
        <v>75</v>
      </c>
      <c r="AA4613">
        <v>1.23</v>
      </c>
    </row>
    <row r="4614" spans="1:27" x14ac:dyDescent="0.2">
      <c r="A4614" t="s">
        <v>2102</v>
      </c>
      <c r="B4614">
        <v>2024</v>
      </c>
      <c r="C4614" t="s">
        <v>5697</v>
      </c>
      <c r="D4614" t="s">
        <v>5698</v>
      </c>
      <c r="E4614" t="s">
        <v>29</v>
      </c>
      <c r="F4614" t="s">
        <v>41</v>
      </c>
      <c r="G4614">
        <v>0</v>
      </c>
      <c r="H4614">
        <v>0</v>
      </c>
      <c r="I4614">
        <v>0</v>
      </c>
      <c r="J4614">
        <v>0</v>
      </c>
      <c r="K4614">
        <v>0</v>
      </c>
      <c r="L4614">
        <v>0</v>
      </c>
      <c r="M4614">
        <v>0</v>
      </c>
      <c r="N4614">
        <v>0</v>
      </c>
      <c r="O4614">
        <v>1</v>
      </c>
      <c r="P4614">
        <v>0</v>
      </c>
      <c r="Q4614">
        <v>0</v>
      </c>
      <c r="R4614">
        <v>0</v>
      </c>
      <c r="S4614">
        <v>0</v>
      </c>
      <c r="T4614">
        <v>0</v>
      </c>
      <c r="U4614">
        <v>0</v>
      </c>
      <c r="V4614">
        <v>0</v>
      </c>
      <c r="W4614">
        <v>0</v>
      </c>
      <c r="X4614">
        <v>0</v>
      </c>
      <c r="Y4614" t="s">
        <v>31</v>
      </c>
      <c r="AA4614">
        <v>0.11</v>
      </c>
    </row>
    <row r="4615" spans="1:27" x14ac:dyDescent="0.2">
      <c r="A4615" t="s">
        <v>1165</v>
      </c>
      <c r="B4615">
        <v>2024</v>
      </c>
      <c r="C4615" t="s">
        <v>5699</v>
      </c>
      <c r="D4615" t="s">
        <v>5700</v>
      </c>
      <c r="E4615" t="s">
        <v>29</v>
      </c>
      <c r="F4615" t="s">
        <v>30</v>
      </c>
      <c r="G4615">
        <v>0</v>
      </c>
      <c r="H4615">
        <v>0</v>
      </c>
      <c r="I4615">
        <v>0</v>
      </c>
      <c r="J4615">
        <v>0</v>
      </c>
      <c r="K4615">
        <v>0</v>
      </c>
      <c r="L4615">
        <v>0</v>
      </c>
      <c r="M4615">
        <v>41</v>
      </c>
      <c r="N4615">
        <v>0</v>
      </c>
      <c r="O4615">
        <v>8</v>
      </c>
      <c r="P4615">
        <v>0</v>
      </c>
      <c r="Q4615">
        <v>1</v>
      </c>
      <c r="R4615">
        <v>0</v>
      </c>
      <c r="S4615">
        <v>0</v>
      </c>
      <c r="T4615">
        <v>0</v>
      </c>
      <c r="U4615">
        <v>0</v>
      </c>
      <c r="V4615">
        <v>0</v>
      </c>
      <c r="W4615">
        <v>0</v>
      </c>
      <c r="X4615">
        <v>0</v>
      </c>
      <c r="Y4615" t="s">
        <v>31</v>
      </c>
      <c r="Z4615">
        <v>55</v>
      </c>
      <c r="AA4615" s="2" t="s">
        <v>3316</v>
      </c>
    </row>
    <row r="4616" spans="1:27" x14ac:dyDescent="0.2">
      <c r="A4616" t="s">
        <v>1982</v>
      </c>
      <c r="B4616">
        <v>2024</v>
      </c>
      <c r="C4616" t="s">
        <v>5701</v>
      </c>
      <c r="D4616" t="s">
        <v>5702</v>
      </c>
      <c r="E4616" t="s">
        <v>29</v>
      </c>
      <c r="F4616" t="s">
        <v>30</v>
      </c>
      <c r="G4616">
        <v>49</v>
      </c>
      <c r="H4616">
        <v>0</v>
      </c>
      <c r="I4616">
        <v>0</v>
      </c>
      <c r="J4616">
        <v>0</v>
      </c>
      <c r="K4616">
        <v>0</v>
      </c>
      <c r="L4616">
        <v>0</v>
      </c>
      <c r="M4616">
        <v>49</v>
      </c>
      <c r="N4616">
        <v>0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0</v>
      </c>
      <c r="U4616">
        <v>0</v>
      </c>
      <c r="V4616">
        <v>0</v>
      </c>
      <c r="W4616">
        <v>0</v>
      </c>
      <c r="X4616">
        <v>0</v>
      </c>
      <c r="Y4616" t="s">
        <v>31</v>
      </c>
      <c r="Z4616">
        <v>55</v>
      </c>
      <c r="AA4616">
        <v>0</v>
      </c>
    </row>
    <row r="4617" spans="1:27" x14ac:dyDescent="0.2">
      <c r="A4617" t="s">
        <v>75</v>
      </c>
      <c r="B4617">
        <v>2024</v>
      </c>
      <c r="C4617">
        <v>6454100100</v>
      </c>
      <c r="D4617" t="s">
        <v>5703</v>
      </c>
      <c r="E4617" t="s">
        <v>29</v>
      </c>
      <c r="F4617" t="s">
        <v>41</v>
      </c>
      <c r="G4617">
        <v>0</v>
      </c>
      <c r="H4617">
        <v>0</v>
      </c>
      <c r="I4617">
        <v>0</v>
      </c>
      <c r="J4617">
        <v>0</v>
      </c>
      <c r="K4617">
        <v>0</v>
      </c>
      <c r="L4617">
        <v>0</v>
      </c>
      <c r="M4617">
        <v>0</v>
      </c>
      <c r="N4617">
        <v>0</v>
      </c>
      <c r="O4617">
        <v>0</v>
      </c>
      <c r="P4617">
        <v>0</v>
      </c>
      <c r="Q4617">
        <v>0</v>
      </c>
      <c r="R4617">
        <v>0</v>
      </c>
      <c r="S4617">
        <v>0</v>
      </c>
      <c r="T4617">
        <v>0</v>
      </c>
      <c r="U4617">
        <v>0</v>
      </c>
      <c r="V4617">
        <v>0</v>
      </c>
      <c r="W4617">
        <v>6</v>
      </c>
      <c r="X4617">
        <v>0</v>
      </c>
      <c r="Y4617" t="s">
        <v>51</v>
      </c>
      <c r="AA4617">
        <v>0</v>
      </c>
    </row>
    <row r="4618" spans="1:27" x14ac:dyDescent="0.2">
      <c r="A4618" t="s">
        <v>75</v>
      </c>
      <c r="B4618">
        <v>2024</v>
      </c>
      <c r="C4618">
        <v>6454100100</v>
      </c>
      <c r="D4618" t="s">
        <v>5704</v>
      </c>
      <c r="E4618" t="s">
        <v>29</v>
      </c>
      <c r="F4618" t="s">
        <v>41</v>
      </c>
      <c r="G4618">
        <v>0</v>
      </c>
      <c r="H4618">
        <v>0</v>
      </c>
      <c r="I4618">
        <v>0</v>
      </c>
      <c r="J4618">
        <v>0</v>
      </c>
      <c r="K4618">
        <v>0</v>
      </c>
      <c r="L4618">
        <v>0</v>
      </c>
      <c r="M4618">
        <v>0</v>
      </c>
      <c r="N4618">
        <v>0</v>
      </c>
      <c r="O4618">
        <v>0</v>
      </c>
      <c r="P4618">
        <v>0</v>
      </c>
      <c r="Q4618">
        <v>0</v>
      </c>
      <c r="R4618">
        <v>0</v>
      </c>
      <c r="S4618">
        <v>0</v>
      </c>
      <c r="T4618">
        <v>0</v>
      </c>
      <c r="U4618">
        <v>0</v>
      </c>
      <c r="V4618">
        <v>0</v>
      </c>
      <c r="W4618">
        <v>7</v>
      </c>
      <c r="X4618">
        <v>0</v>
      </c>
      <c r="Y4618" t="s">
        <v>51</v>
      </c>
      <c r="AA4618">
        <v>0</v>
      </c>
    </row>
    <row r="4619" spans="1:27" x14ac:dyDescent="0.2">
      <c r="A4619" t="s">
        <v>1231</v>
      </c>
      <c r="B4619">
        <v>2024</v>
      </c>
      <c r="C4619">
        <v>694310006</v>
      </c>
      <c r="D4619" t="s">
        <v>3507</v>
      </c>
      <c r="E4619" t="s">
        <v>29</v>
      </c>
      <c r="F4619" t="s">
        <v>30</v>
      </c>
      <c r="G4619">
        <v>0</v>
      </c>
      <c r="H4619">
        <v>0</v>
      </c>
      <c r="I4619">
        <v>0</v>
      </c>
      <c r="J4619">
        <v>0</v>
      </c>
      <c r="K4619">
        <v>0</v>
      </c>
      <c r="L4619">
        <v>0</v>
      </c>
      <c r="M4619">
        <v>13</v>
      </c>
      <c r="N4619">
        <v>0</v>
      </c>
      <c r="O4619">
        <v>1</v>
      </c>
      <c r="P4619">
        <v>0</v>
      </c>
      <c r="Q4619">
        <v>1</v>
      </c>
      <c r="R4619">
        <v>0</v>
      </c>
      <c r="S4619">
        <v>0</v>
      </c>
      <c r="T4619">
        <v>0</v>
      </c>
      <c r="U4619">
        <v>0</v>
      </c>
      <c r="V4619">
        <v>0</v>
      </c>
      <c r="W4619">
        <v>0</v>
      </c>
      <c r="X4619">
        <v>0</v>
      </c>
      <c r="Y4619" t="s">
        <v>31</v>
      </c>
      <c r="Z4619">
        <v>55</v>
      </c>
      <c r="AA4619">
        <v>0.13</v>
      </c>
    </row>
    <row r="4620" spans="1:27" x14ac:dyDescent="0.2">
      <c r="A4620" t="s">
        <v>1231</v>
      </c>
      <c r="B4620">
        <v>2024</v>
      </c>
      <c r="C4620">
        <v>694310006</v>
      </c>
      <c r="D4620" t="s">
        <v>3507</v>
      </c>
      <c r="E4620" t="s">
        <v>29</v>
      </c>
      <c r="F4620" t="s">
        <v>30</v>
      </c>
      <c r="G4620">
        <v>0</v>
      </c>
      <c r="H4620">
        <v>0</v>
      </c>
      <c r="I4620">
        <v>0</v>
      </c>
      <c r="J4620">
        <v>0</v>
      </c>
      <c r="K4620">
        <v>0</v>
      </c>
      <c r="L4620">
        <v>0</v>
      </c>
      <c r="M4620">
        <v>13</v>
      </c>
      <c r="N4620">
        <v>0</v>
      </c>
      <c r="O4620">
        <v>1</v>
      </c>
      <c r="P4620">
        <v>0</v>
      </c>
      <c r="Q4620">
        <v>1</v>
      </c>
      <c r="R4620">
        <v>0</v>
      </c>
      <c r="S4620">
        <v>0</v>
      </c>
      <c r="T4620">
        <v>0</v>
      </c>
      <c r="U4620">
        <v>0</v>
      </c>
      <c r="V4620">
        <v>0</v>
      </c>
      <c r="W4620">
        <v>0</v>
      </c>
      <c r="X4620">
        <v>0</v>
      </c>
      <c r="Y4620" t="s">
        <v>31</v>
      </c>
      <c r="Z4620">
        <v>55</v>
      </c>
      <c r="AA4620">
        <v>0.13</v>
      </c>
    </row>
    <row r="4621" spans="1:27" x14ac:dyDescent="0.2">
      <c r="A4621" t="s">
        <v>1231</v>
      </c>
      <c r="B4621">
        <v>2024</v>
      </c>
      <c r="C4621">
        <v>694190087</v>
      </c>
      <c r="D4621" t="s">
        <v>1831</v>
      </c>
      <c r="E4621" t="s">
        <v>29</v>
      </c>
      <c r="F4621" t="s">
        <v>30</v>
      </c>
      <c r="G4621">
        <v>0</v>
      </c>
      <c r="H4621">
        <v>0</v>
      </c>
      <c r="I4621">
        <v>0</v>
      </c>
      <c r="J4621">
        <v>0</v>
      </c>
      <c r="K4621">
        <v>0</v>
      </c>
      <c r="L4621">
        <v>0</v>
      </c>
      <c r="M4621">
        <v>2</v>
      </c>
      <c r="N4621">
        <v>0</v>
      </c>
      <c r="O4621">
        <v>2</v>
      </c>
      <c r="P4621">
        <v>0</v>
      </c>
      <c r="Q4621">
        <v>2</v>
      </c>
      <c r="R4621">
        <v>0</v>
      </c>
      <c r="S4621">
        <v>2</v>
      </c>
      <c r="T4621">
        <v>0</v>
      </c>
      <c r="U4621">
        <v>2</v>
      </c>
      <c r="V4621">
        <v>0</v>
      </c>
      <c r="W4621">
        <v>2</v>
      </c>
      <c r="X4621">
        <v>0</v>
      </c>
      <c r="Y4621" t="s">
        <v>51</v>
      </c>
      <c r="Z4621">
        <v>55</v>
      </c>
      <c r="AA4621">
        <v>0</v>
      </c>
    </row>
    <row r="4622" spans="1:27" x14ac:dyDescent="0.2">
      <c r="A4622" t="s">
        <v>1231</v>
      </c>
      <c r="B4622">
        <v>2024</v>
      </c>
      <c r="C4622">
        <v>694190087</v>
      </c>
      <c r="D4622" t="s">
        <v>1831</v>
      </c>
      <c r="E4622" t="s">
        <v>29</v>
      </c>
      <c r="F4622" t="s">
        <v>30</v>
      </c>
      <c r="G4622">
        <v>0</v>
      </c>
      <c r="H4622">
        <v>0</v>
      </c>
      <c r="I4622">
        <v>0</v>
      </c>
      <c r="J4622">
        <v>0</v>
      </c>
      <c r="K4622">
        <v>0</v>
      </c>
      <c r="L4622">
        <v>0</v>
      </c>
      <c r="M4622">
        <v>1</v>
      </c>
      <c r="N4622">
        <v>0</v>
      </c>
      <c r="O4622">
        <v>1</v>
      </c>
      <c r="P4622">
        <v>0</v>
      </c>
      <c r="Q4622">
        <v>1</v>
      </c>
      <c r="R4622">
        <v>0</v>
      </c>
      <c r="S4622">
        <v>0</v>
      </c>
      <c r="T4622">
        <v>0</v>
      </c>
      <c r="U4622">
        <v>0</v>
      </c>
      <c r="V4622">
        <v>0</v>
      </c>
      <c r="W4622">
        <v>0</v>
      </c>
      <c r="X4622">
        <v>0</v>
      </c>
      <c r="Y4622" t="s">
        <v>51</v>
      </c>
      <c r="Z4622">
        <v>55</v>
      </c>
      <c r="AA4622">
        <v>0</v>
      </c>
    </row>
    <row r="4623" spans="1:27" x14ac:dyDescent="0.2">
      <c r="A4623" t="s">
        <v>283</v>
      </c>
      <c r="B4623">
        <v>2024</v>
      </c>
      <c r="C4623" t="s">
        <v>5164</v>
      </c>
      <c r="D4623" t="s">
        <v>5705</v>
      </c>
      <c r="E4623" t="s">
        <v>29</v>
      </c>
      <c r="F4623" t="s">
        <v>30</v>
      </c>
      <c r="G4623">
        <v>0</v>
      </c>
      <c r="H4623">
        <v>0</v>
      </c>
      <c r="I4623">
        <v>0</v>
      </c>
      <c r="J4623">
        <v>0</v>
      </c>
      <c r="K4623">
        <v>0</v>
      </c>
      <c r="L4623">
        <v>0</v>
      </c>
      <c r="M4623">
        <v>0</v>
      </c>
      <c r="N4623">
        <v>0</v>
      </c>
      <c r="O4623">
        <v>0</v>
      </c>
      <c r="P4623">
        <v>0</v>
      </c>
      <c r="Q4623">
        <v>20</v>
      </c>
      <c r="R4623">
        <v>0</v>
      </c>
      <c r="S4623">
        <v>0</v>
      </c>
      <c r="T4623">
        <v>0</v>
      </c>
      <c r="U4623">
        <v>0</v>
      </c>
      <c r="V4623">
        <v>0</v>
      </c>
      <c r="W4623">
        <v>0</v>
      </c>
      <c r="X4623">
        <v>0</v>
      </c>
      <c r="Y4623" t="s">
        <v>51</v>
      </c>
      <c r="Z4623">
        <v>1000</v>
      </c>
      <c r="AA4623">
        <v>0</v>
      </c>
    </row>
    <row r="4624" spans="1:27" x14ac:dyDescent="0.2">
      <c r="A4624" t="s">
        <v>283</v>
      </c>
      <c r="B4624">
        <v>2024</v>
      </c>
      <c r="C4624" t="s">
        <v>284</v>
      </c>
      <c r="D4624" t="s">
        <v>285</v>
      </c>
      <c r="E4624" t="s">
        <v>29</v>
      </c>
      <c r="F4624" t="s">
        <v>30</v>
      </c>
      <c r="G4624">
        <v>0</v>
      </c>
      <c r="H4624">
        <v>0</v>
      </c>
      <c r="I4624">
        <v>58</v>
      </c>
      <c r="J4624">
        <v>0</v>
      </c>
      <c r="K4624">
        <v>0</v>
      </c>
      <c r="L4624">
        <v>0</v>
      </c>
      <c r="M4624">
        <v>0</v>
      </c>
      <c r="N4624">
        <v>0</v>
      </c>
      <c r="O4624">
        <v>0</v>
      </c>
      <c r="P4624">
        <v>0</v>
      </c>
      <c r="Q4624">
        <v>0</v>
      </c>
      <c r="R4624">
        <v>0</v>
      </c>
      <c r="S4624">
        <v>0</v>
      </c>
      <c r="T4624">
        <v>0</v>
      </c>
      <c r="U4624">
        <v>0</v>
      </c>
      <c r="V4624">
        <v>0</v>
      </c>
      <c r="W4624">
        <v>0</v>
      </c>
      <c r="X4624">
        <v>0</v>
      </c>
      <c r="Y4624" t="s">
        <v>31</v>
      </c>
      <c r="AA4624">
        <v>0.5</v>
      </c>
    </row>
    <row r="4625" spans="1:27" x14ac:dyDescent="0.2">
      <c r="A4625" t="s">
        <v>1367</v>
      </c>
      <c r="B4625">
        <v>2024</v>
      </c>
      <c r="C4625" t="s">
        <v>5706</v>
      </c>
      <c r="D4625" t="s">
        <v>5707</v>
      </c>
      <c r="E4625" t="s">
        <v>29</v>
      </c>
      <c r="F4625" t="s">
        <v>30</v>
      </c>
      <c r="G4625">
        <v>4</v>
      </c>
      <c r="H4625">
        <v>0</v>
      </c>
      <c r="I4625">
        <v>0</v>
      </c>
      <c r="J4625">
        <v>0</v>
      </c>
      <c r="K4625">
        <v>2</v>
      </c>
      <c r="L4625">
        <v>0</v>
      </c>
      <c r="M4625">
        <v>4</v>
      </c>
      <c r="N4625">
        <v>0</v>
      </c>
      <c r="O4625">
        <v>0</v>
      </c>
      <c r="P4625">
        <v>0</v>
      </c>
      <c r="Q4625">
        <v>2</v>
      </c>
      <c r="R4625">
        <v>0</v>
      </c>
      <c r="S4625">
        <v>0</v>
      </c>
      <c r="T4625">
        <v>0</v>
      </c>
      <c r="U4625">
        <v>0</v>
      </c>
      <c r="V4625">
        <v>0</v>
      </c>
      <c r="W4625">
        <v>0</v>
      </c>
      <c r="X4625">
        <v>0</v>
      </c>
      <c r="Y4625" t="s">
        <v>31</v>
      </c>
      <c r="Z4625">
        <v>90</v>
      </c>
      <c r="AA4625" s="2" t="s">
        <v>3299</v>
      </c>
    </row>
    <row r="4626" spans="1:27" x14ac:dyDescent="0.2">
      <c r="A4626" t="s">
        <v>2113</v>
      </c>
      <c r="B4626">
        <v>2024</v>
      </c>
      <c r="C4626" t="s">
        <v>5708</v>
      </c>
      <c r="D4626" t="s">
        <v>5709</v>
      </c>
      <c r="E4626" t="s">
        <v>29</v>
      </c>
      <c r="F4626" t="s">
        <v>30</v>
      </c>
      <c r="G4626">
        <v>15</v>
      </c>
      <c r="H4626">
        <v>0</v>
      </c>
      <c r="I4626">
        <v>15</v>
      </c>
      <c r="J4626">
        <v>0</v>
      </c>
      <c r="K4626">
        <v>0</v>
      </c>
      <c r="L4626">
        <v>0</v>
      </c>
      <c r="M4626">
        <v>0</v>
      </c>
      <c r="N4626">
        <v>0</v>
      </c>
      <c r="O4626">
        <v>0</v>
      </c>
      <c r="P4626">
        <v>0</v>
      </c>
      <c r="Q4626">
        <v>0</v>
      </c>
      <c r="R4626">
        <v>0</v>
      </c>
      <c r="S4626">
        <v>0</v>
      </c>
      <c r="T4626">
        <v>0</v>
      </c>
      <c r="U4626">
        <v>0</v>
      </c>
      <c r="V4626">
        <v>0</v>
      </c>
      <c r="W4626">
        <v>0</v>
      </c>
      <c r="X4626">
        <v>0</v>
      </c>
      <c r="Y4626" t="s">
        <v>31</v>
      </c>
      <c r="Z4626">
        <v>55</v>
      </c>
      <c r="AA4626">
        <v>0</v>
      </c>
    </row>
    <row r="4627" spans="1:27" x14ac:dyDescent="0.2">
      <c r="A4627" t="s">
        <v>703</v>
      </c>
      <c r="B4627">
        <v>2024</v>
      </c>
      <c r="C4627" t="s">
        <v>5710</v>
      </c>
      <c r="D4627" t="s">
        <v>5711</v>
      </c>
      <c r="E4627" t="s">
        <v>29</v>
      </c>
      <c r="F4627" t="s">
        <v>30</v>
      </c>
      <c r="G4627">
        <v>0</v>
      </c>
      <c r="H4627">
        <v>0</v>
      </c>
      <c r="I4627">
        <v>0</v>
      </c>
      <c r="J4627">
        <v>0</v>
      </c>
      <c r="K4627">
        <v>0</v>
      </c>
      <c r="L4627">
        <v>0</v>
      </c>
      <c r="M4627">
        <v>0</v>
      </c>
      <c r="N4627">
        <v>0</v>
      </c>
      <c r="O4627">
        <v>62</v>
      </c>
      <c r="P4627">
        <v>0</v>
      </c>
      <c r="Q4627">
        <v>0</v>
      </c>
      <c r="R4627">
        <v>0</v>
      </c>
      <c r="S4627">
        <v>0</v>
      </c>
      <c r="T4627">
        <v>0</v>
      </c>
      <c r="U4627">
        <v>0</v>
      </c>
      <c r="V4627">
        <v>0</v>
      </c>
      <c r="W4627">
        <v>0</v>
      </c>
      <c r="X4627">
        <v>0</v>
      </c>
      <c r="Y4627" t="s">
        <v>31</v>
      </c>
      <c r="Z4627">
        <v>55</v>
      </c>
      <c r="AA4627" s="2" t="s">
        <v>5712</v>
      </c>
    </row>
    <row r="4628" spans="1:27" x14ac:dyDescent="0.2">
      <c r="A4628" t="s">
        <v>792</v>
      </c>
      <c r="B4628">
        <v>2024</v>
      </c>
      <c r="C4628">
        <v>37529114</v>
      </c>
      <c r="D4628" t="s">
        <v>3183</v>
      </c>
      <c r="E4628" t="s">
        <v>29</v>
      </c>
      <c r="F4628" t="s">
        <v>30</v>
      </c>
      <c r="G4628">
        <v>0</v>
      </c>
      <c r="H4628">
        <v>0</v>
      </c>
      <c r="I4628">
        <v>0</v>
      </c>
      <c r="J4628">
        <v>0</v>
      </c>
      <c r="K4628">
        <v>0</v>
      </c>
      <c r="L4628">
        <v>0</v>
      </c>
      <c r="M4628">
        <v>0</v>
      </c>
      <c r="N4628">
        <v>0</v>
      </c>
      <c r="O4628">
        <v>0</v>
      </c>
      <c r="P4628">
        <v>0</v>
      </c>
      <c r="Q4628">
        <v>0</v>
      </c>
      <c r="R4628">
        <v>0</v>
      </c>
      <c r="S4628">
        <v>0</v>
      </c>
      <c r="T4628">
        <v>0</v>
      </c>
      <c r="U4628">
        <v>34</v>
      </c>
      <c r="V4628">
        <v>0</v>
      </c>
      <c r="W4628">
        <v>0</v>
      </c>
      <c r="X4628">
        <v>0</v>
      </c>
      <c r="Y4628" t="s">
        <v>31</v>
      </c>
      <c r="Z4628">
        <v>55</v>
      </c>
      <c r="AA4628">
        <v>0</v>
      </c>
    </row>
    <row r="4629" spans="1:27" x14ac:dyDescent="0.2">
      <c r="A4629" t="s">
        <v>3035</v>
      </c>
      <c r="B4629">
        <v>2024</v>
      </c>
      <c r="C4629" s="2" t="s">
        <v>5713</v>
      </c>
      <c r="D4629" t="s">
        <v>5714</v>
      </c>
      <c r="E4629" t="s">
        <v>29</v>
      </c>
      <c r="F4629" t="s">
        <v>30</v>
      </c>
      <c r="G4629">
        <v>52</v>
      </c>
      <c r="H4629">
        <v>0</v>
      </c>
      <c r="I4629">
        <v>12</v>
      </c>
      <c r="J4629">
        <v>0</v>
      </c>
      <c r="K4629">
        <v>0</v>
      </c>
      <c r="L4629">
        <v>0</v>
      </c>
      <c r="M4629">
        <v>0</v>
      </c>
      <c r="N4629">
        <v>0</v>
      </c>
      <c r="O4629">
        <v>0</v>
      </c>
      <c r="P4629">
        <v>0</v>
      </c>
      <c r="Q4629">
        <v>0</v>
      </c>
      <c r="R4629">
        <v>0</v>
      </c>
      <c r="S4629">
        <v>0</v>
      </c>
      <c r="T4629">
        <v>0</v>
      </c>
      <c r="U4629">
        <v>0</v>
      </c>
      <c r="V4629">
        <v>0</v>
      </c>
      <c r="W4629">
        <v>0</v>
      </c>
      <c r="X4629">
        <v>0</v>
      </c>
      <c r="Y4629" t="s">
        <v>31</v>
      </c>
      <c r="Z4629">
        <v>55</v>
      </c>
      <c r="AA4629">
        <v>1</v>
      </c>
    </row>
    <row r="4630" spans="1:27" x14ac:dyDescent="0.2">
      <c r="A4630" t="s">
        <v>88</v>
      </c>
      <c r="B4630">
        <v>2024</v>
      </c>
      <c r="C4630" t="s">
        <v>5715</v>
      </c>
      <c r="D4630" t="s">
        <v>5716</v>
      </c>
      <c r="E4630" t="s">
        <v>29</v>
      </c>
      <c r="F4630" t="s">
        <v>30</v>
      </c>
      <c r="G4630">
        <v>14</v>
      </c>
      <c r="H4630">
        <v>0</v>
      </c>
      <c r="I4630">
        <v>14</v>
      </c>
      <c r="J4630">
        <v>0</v>
      </c>
      <c r="K4630">
        <v>14</v>
      </c>
      <c r="L4630">
        <v>0</v>
      </c>
      <c r="M4630">
        <v>0</v>
      </c>
      <c r="N4630">
        <v>0</v>
      </c>
      <c r="O4630">
        <v>0</v>
      </c>
      <c r="P4630">
        <v>0</v>
      </c>
      <c r="Q4630">
        <v>0</v>
      </c>
      <c r="R4630">
        <v>0</v>
      </c>
      <c r="S4630">
        <v>0</v>
      </c>
      <c r="T4630">
        <v>0</v>
      </c>
      <c r="U4630">
        <v>0</v>
      </c>
      <c r="V4630">
        <v>0</v>
      </c>
      <c r="W4630">
        <v>0</v>
      </c>
      <c r="X4630">
        <v>0</v>
      </c>
      <c r="Y4630" t="s">
        <v>51</v>
      </c>
      <c r="AA4630">
        <v>0</v>
      </c>
    </row>
    <row r="4631" spans="1:27" x14ac:dyDescent="0.2">
      <c r="A4631" t="s">
        <v>1285</v>
      </c>
      <c r="B4631">
        <v>2024</v>
      </c>
      <c r="C4631">
        <v>2200320500</v>
      </c>
      <c r="D4631" t="s">
        <v>5717</v>
      </c>
      <c r="E4631" t="s">
        <v>29</v>
      </c>
      <c r="F4631" t="s">
        <v>30</v>
      </c>
      <c r="G4631">
        <v>0</v>
      </c>
      <c r="H4631">
        <v>0</v>
      </c>
      <c r="I4631">
        <v>0</v>
      </c>
      <c r="J4631">
        <v>0</v>
      </c>
      <c r="K4631">
        <v>0</v>
      </c>
      <c r="L4631">
        <v>0</v>
      </c>
      <c r="M4631">
        <v>5</v>
      </c>
      <c r="N4631">
        <v>0</v>
      </c>
      <c r="O4631">
        <v>15</v>
      </c>
      <c r="P4631">
        <v>0</v>
      </c>
      <c r="Q4631">
        <v>10</v>
      </c>
      <c r="R4631">
        <v>0</v>
      </c>
      <c r="S4631">
        <v>5</v>
      </c>
      <c r="T4631">
        <v>0</v>
      </c>
      <c r="U4631">
        <v>15</v>
      </c>
      <c r="V4631">
        <v>0</v>
      </c>
      <c r="W4631">
        <v>10</v>
      </c>
      <c r="X4631">
        <v>0</v>
      </c>
      <c r="Y4631" t="s">
        <v>31</v>
      </c>
      <c r="Z4631">
        <v>55</v>
      </c>
      <c r="AA4631" s="2" t="s">
        <v>3316</v>
      </c>
    </row>
    <row r="4632" spans="1:27" x14ac:dyDescent="0.2">
      <c r="A4632" t="s">
        <v>1285</v>
      </c>
      <c r="B4632">
        <v>2024</v>
      </c>
      <c r="C4632">
        <v>2200320500</v>
      </c>
      <c r="D4632" t="s">
        <v>5718</v>
      </c>
      <c r="E4632" t="s">
        <v>29</v>
      </c>
      <c r="F4632" t="s">
        <v>30</v>
      </c>
      <c r="G4632">
        <v>0</v>
      </c>
      <c r="H4632">
        <v>0</v>
      </c>
      <c r="I4632">
        <v>0</v>
      </c>
      <c r="J4632">
        <v>0</v>
      </c>
      <c r="K4632">
        <v>0</v>
      </c>
      <c r="L4632">
        <v>0</v>
      </c>
      <c r="M4632">
        <v>0</v>
      </c>
      <c r="N4632">
        <v>0</v>
      </c>
      <c r="O4632">
        <v>0</v>
      </c>
      <c r="P4632">
        <v>0</v>
      </c>
      <c r="Q4632">
        <v>16</v>
      </c>
      <c r="R4632">
        <v>2</v>
      </c>
      <c r="S4632">
        <v>0</v>
      </c>
      <c r="T4632">
        <v>0</v>
      </c>
      <c r="U4632">
        <v>0</v>
      </c>
      <c r="V4632">
        <v>0</v>
      </c>
      <c r="W4632">
        <v>16</v>
      </c>
      <c r="X4632">
        <v>2</v>
      </c>
      <c r="Y4632" t="s">
        <v>31</v>
      </c>
      <c r="Z4632">
        <v>55</v>
      </c>
      <c r="AA4632" s="2" t="s">
        <v>3316</v>
      </c>
    </row>
    <row r="4633" spans="1:27" ht="68" x14ac:dyDescent="0.2">
      <c r="A4633" t="s">
        <v>1541</v>
      </c>
      <c r="B4633">
        <v>2024</v>
      </c>
      <c r="C4633" t="s">
        <v>5719</v>
      </c>
      <c r="D4633" s="1" t="s">
        <v>5720</v>
      </c>
      <c r="E4633" t="s">
        <v>29</v>
      </c>
      <c r="F4633" t="s">
        <v>30</v>
      </c>
      <c r="G4633">
        <v>0</v>
      </c>
      <c r="H4633">
        <v>0</v>
      </c>
      <c r="I4633">
        <v>0</v>
      </c>
      <c r="J4633">
        <v>0</v>
      </c>
      <c r="K4633">
        <v>0</v>
      </c>
      <c r="L4633">
        <v>0</v>
      </c>
      <c r="M4633">
        <v>69</v>
      </c>
      <c r="N4633">
        <v>0</v>
      </c>
      <c r="O4633">
        <v>24</v>
      </c>
      <c r="P4633">
        <v>0</v>
      </c>
      <c r="Q4633">
        <v>0</v>
      </c>
      <c r="R4633">
        <v>0</v>
      </c>
      <c r="S4633">
        <v>69</v>
      </c>
      <c r="T4633">
        <v>0</v>
      </c>
      <c r="U4633">
        <v>24</v>
      </c>
      <c r="V4633">
        <v>0</v>
      </c>
      <c r="W4633">
        <v>0</v>
      </c>
      <c r="X4633">
        <v>0</v>
      </c>
      <c r="Y4633" t="s">
        <v>31</v>
      </c>
      <c r="Z4633">
        <v>55</v>
      </c>
      <c r="AA4633">
        <v>1</v>
      </c>
    </row>
    <row r="4634" spans="1:27" x14ac:dyDescent="0.2">
      <c r="A4634" t="s">
        <v>2614</v>
      </c>
      <c r="B4634">
        <v>2022</v>
      </c>
      <c r="C4634">
        <v>2160412000</v>
      </c>
      <c r="D4634" t="s">
        <v>5721</v>
      </c>
      <c r="E4634" t="s">
        <v>29</v>
      </c>
      <c r="F4634" t="s">
        <v>30</v>
      </c>
      <c r="G4634">
        <v>0</v>
      </c>
      <c r="H4634">
        <v>0</v>
      </c>
      <c r="I4634">
        <v>19</v>
      </c>
      <c r="J4634">
        <v>0</v>
      </c>
      <c r="K4634">
        <v>0</v>
      </c>
      <c r="L4634">
        <v>0</v>
      </c>
      <c r="M4634">
        <v>0</v>
      </c>
      <c r="N4634">
        <v>0</v>
      </c>
      <c r="O4634">
        <v>0</v>
      </c>
      <c r="P4634">
        <v>0</v>
      </c>
      <c r="Q4634">
        <v>0</v>
      </c>
      <c r="R4634">
        <v>0</v>
      </c>
      <c r="S4634">
        <v>0</v>
      </c>
      <c r="T4634">
        <v>0</v>
      </c>
      <c r="U4634">
        <v>0</v>
      </c>
      <c r="V4634">
        <v>0</v>
      </c>
      <c r="W4634">
        <v>0</v>
      </c>
      <c r="X4634">
        <v>0</v>
      </c>
      <c r="Y4634" t="s">
        <v>31</v>
      </c>
      <c r="Z4634">
        <v>1000</v>
      </c>
      <c r="AA4634">
        <v>0</v>
      </c>
    </row>
    <row r="4635" spans="1:27" x14ac:dyDescent="0.2">
      <c r="A4635" t="s">
        <v>2614</v>
      </c>
      <c r="B4635">
        <v>2022</v>
      </c>
      <c r="C4635" t="s">
        <v>5722</v>
      </c>
      <c r="D4635" t="s">
        <v>5723</v>
      </c>
      <c r="E4635" t="s">
        <v>29</v>
      </c>
      <c r="F4635" t="s">
        <v>30</v>
      </c>
      <c r="G4635">
        <v>0</v>
      </c>
      <c r="H4635">
        <v>0</v>
      </c>
      <c r="I4635">
        <v>42</v>
      </c>
      <c r="J4635">
        <v>0</v>
      </c>
      <c r="K4635">
        <v>0</v>
      </c>
      <c r="L4635">
        <v>0</v>
      </c>
      <c r="M4635">
        <v>0</v>
      </c>
      <c r="N4635">
        <v>0</v>
      </c>
      <c r="O4635">
        <v>0</v>
      </c>
      <c r="P4635">
        <v>0</v>
      </c>
      <c r="Q4635">
        <v>0</v>
      </c>
      <c r="R4635">
        <v>0</v>
      </c>
      <c r="S4635">
        <v>0</v>
      </c>
      <c r="T4635">
        <v>0</v>
      </c>
      <c r="U4635">
        <v>0</v>
      </c>
      <c r="V4635">
        <v>0</v>
      </c>
      <c r="W4635">
        <v>0</v>
      </c>
      <c r="X4635">
        <v>0</v>
      </c>
      <c r="Y4635" t="s">
        <v>31</v>
      </c>
      <c r="Z4635">
        <v>1000</v>
      </c>
      <c r="AA4635">
        <v>0.22</v>
      </c>
    </row>
    <row r="4636" spans="1:27" x14ac:dyDescent="0.2">
      <c r="A4636" t="s">
        <v>433</v>
      </c>
      <c r="B4636">
        <v>2024</v>
      </c>
      <c r="C4636">
        <v>16741078</v>
      </c>
      <c r="D4636" t="s">
        <v>5724</v>
      </c>
      <c r="E4636" t="s">
        <v>29</v>
      </c>
      <c r="F4636" t="s">
        <v>41</v>
      </c>
      <c r="G4636">
        <v>0</v>
      </c>
      <c r="H4636">
        <v>0</v>
      </c>
      <c r="I4636">
        <v>0</v>
      </c>
      <c r="J4636">
        <v>0</v>
      </c>
      <c r="K4636">
        <v>0</v>
      </c>
      <c r="L4636">
        <v>0</v>
      </c>
      <c r="M4636">
        <v>0</v>
      </c>
      <c r="N4636">
        <v>0</v>
      </c>
      <c r="O4636">
        <v>0</v>
      </c>
      <c r="P4636">
        <v>0</v>
      </c>
      <c r="Q4636">
        <v>0</v>
      </c>
      <c r="R4636">
        <v>0</v>
      </c>
      <c r="S4636">
        <v>0</v>
      </c>
      <c r="T4636">
        <v>0</v>
      </c>
      <c r="U4636">
        <v>0</v>
      </c>
      <c r="V4636">
        <v>0</v>
      </c>
      <c r="W4636">
        <v>1</v>
      </c>
      <c r="X4636">
        <v>0</v>
      </c>
      <c r="Y4636" t="s">
        <v>51</v>
      </c>
      <c r="Z4636">
        <v>55</v>
      </c>
      <c r="AA4636">
        <v>0</v>
      </c>
    </row>
    <row r="4637" spans="1:27" x14ac:dyDescent="0.2">
      <c r="A4637" t="s">
        <v>1624</v>
      </c>
      <c r="B4637">
        <v>2024</v>
      </c>
      <c r="C4637" t="s">
        <v>5725</v>
      </c>
      <c r="D4637" t="s">
        <v>5726</v>
      </c>
      <c r="E4637" t="s">
        <v>29</v>
      </c>
      <c r="F4637" t="s">
        <v>30</v>
      </c>
      <c r="G4637">
        <v>0</v>
      </c>
      <c r="H4637">
        <v>0</v>
      </c>
      <c r="I4637">
        <v>2</v>
      </c>
      <c r="J4637">
        <v>0</v>
      </c>
      <c r="K4637">
        <v>0</v>
      </c>
      <c r="L4637">
        <v>0</v>
      </c>
      <c r="M4637">
        <v>0</v>
      </c>
      <c r="N4637">
        <v>0</v>
      </c>
      <c r="O4637">
        <v>0</v>
      </c>
      <c r="P4637">
        <v>0</v>
      </c>
      <c r="Q4637">
        <v>0</v>
      </c>
      <c r="R4637">
        <v>0</v>
      </c>
      <c r="S4637">
        <v>0</v>
      </c>
      <c r="T4637">
        <v>0</v>
      </c>
      <c r="U4637">
        <v>0</v>
      </c>
      <c r="V4637">
        <v>0</v>
      </c>
      <c r="W4637">
        <v>0</v>
      </c>
      <c r="X4637">
        <v>0</v>
      </c>
      <c r="Y4637" t="s">
        <v>31</v>
      </c>
      <c r="AA4637">
        <v>0</v>
      </c>
    </row>
    <row r="4638" spans="1:27" x14ac:dyDescent="0.2">
      <c r="A4638" t="s">
        <v>883</v>
      </c>
      <c r="B4638">
        <v>2024</v>
      </c>
      <c r="C4638">
        <v>41650500</v>
      </c>
      <c r="D4638" t="s">
        <v>5727</v>
      </c>
      <c r="E4638" t="s">
        <v>29</v>
      </c>
      <c r="F4638" t="s">
        <v>41</v>
      </c>
      <c r="G4638">
        <v>0</v>
      </c>
      <c r="H4638">
        <v>0</v>
      </c>
      <c r="I4638">
        <v>0</v>
      </c>
      <c r="J4638">
        <v>0</v>
      </c>
      <c r="K4638">
        <v>0</v>
      </c>
      <c r="L4638">
        <v>0</v>
      </c>
      <c r="M4638">
        <v>0</v>
      </c>
      <c r="N4638">
        <v>0</v>
      </c>
      <c r="O4638">
        <v>0</v>
      </c>
      <c r="P4638">
        <v>0</v>
      </c>
      <c r="Q4638">
        <v>0</v>
      </c>
      <c r="R4638">
        <v>0</v>
      </c>
      <c r="S4638">
        <v>0</v>
      </c>
      <c r="T4638">
        <v>0</v>
      </c>
      <c r="U4638">
        <v>0</v>
      </c>
      <c r="V4638">
        <v>0</v>
      </c>
      <c r="W4638">
        <v>0</v>
      </c>
      <c r="X4638">
        <v>0</v>
      </c>
      <c r="Y4638" t="s">
        <v>31</v>
      </c>
      <c r="Z4638">
        <v>1000</v>
      </c>
      <c r="AA4638">
        <v>0</v>
      </c>
    </row>
    <row r="4639" spans="1:27" x14ac:dyDescent="0.2">
      <c r="A4639" t="s">
        <v>883</v>
      </c>
      <c r="B4639">
        <v>2024</v>
      </c>
      <c r="C4639">
        <v>41650490</v>
      </c>
      <c r="D4639" t="s">
        <v>5728</v>
      </c>
      <c r="E4639" t="s">
        <v>29</v>
      </c>
      <c r="F4639" t="s">
        <v>41</v>
      </c>
      <c r="G4639">
        <v>0</v>
      </c>
      <c r="H4639">
        <v>0</v>
      </c>
      <c r="I4639">
        <v>0</v>
      </c>
      <c r="J4639">
        <v>0</v>
      </c>
      <c r="K4639">
        <v>0</v>
      </c>
      <c r="L4639">
        <v>0</v>
      </c>
      <c r="M4639">
        <v>0</v>
      </c>
      <c r="N4639">
        <v>0</v>
      </c>
      <c r="O4639">
        <v>0</v>
      </c>
      <c r="P4639">
        <v>0</v>
      </c>
      <c r="Q4639">
        <v>0</v>
      </c>
      <c r="R4639">
        <v>0</v>
      </c>
      <c r="S4639">
        <v>0</v>
      </c>
      <c r="T4639">
        <v>0</v>
      </c>
      <c r="U4639">
        <v>0</v>
      </c>
      <c r="V4639">
        <v>0</v>
      </c>
      <c r="W4639">
        <v>0</v>
      </c>
      <c r="X4639">
        <v>0</v>
      </c>
      <c r="Y4639" t="s">
        <v>31</v>
      </c>
      <c r="Z4639">
        <v>1000</v>
      </c>
      <c r="AA4639">
        <v>0</v>
      </c>
    </row>
    <row r="4640" spans="1:27" x14ac:dyDescent="0.2">
      <c r="A4640" t="s">
        <v>1515</v>
      </c>
      <c r="B4640">
        <v>2024</v>
      </c>
      <c r="C4640">
        <v>1600093295</v>
      </c>
      <c r="D4640" t="s">
        <v>5729</v>
      </c>
      <c r="E4640" t="s">
        <v>29</v>
      </c>
      <c r="F4640" t="s">
        <v>30</v>
      </c>
      <c r="G4640">
        <v>1</v>
      </c>
      <c r="H4640">
        <v>0</v>
      </c>
      <c r="I4640">
        <v>0</v>
      </c>
      <c r="J4640">
        <v>0</v>
      </c>
      <c r="K4640">
        <v>2</v>
      </c>
      <c r="L4640">
        <v>0</v>
      </c>
      <c r="M4640">
        <v>1</v>
      </c>
      <c r="N4640">
        <v>0</v>
      </c>
      <c r="O4640">
        <v>0</v>
      </c>
      <c r="P4640">
        <v>0</v>
      </c>
      <c r="Q4640">
        <v>2</v>
      </c>
      <c r="R4640">
        <v>0</v>
      </c>
      <c r="S4640">
        <v>0</v>
      </c>
      <c r="T4640">
        <v>0</v>
      </c>
      <c r="U4640">
        <v>0</v>
      </c>
      <c r="V4640">
        <v>0</v>
      </c>
      <c r="W4640">
        <v>0</v>
      </c>
      <c r="X4640">
        <v>0</v>
      </c>
      <c r="Y4640" t="s">
        <v>31</v>
      </c>
      <c r="Z4640">
        <v>55</v>
      </c>
      <c r="AA4640">
        <v>0</v>
      </c>
    </row>
    <row r="4641" spans="1:27" x14ac:dyDescent="0.2">
      <c r="A4641" t="s">
        <v>353</v>
      </c>
      <c r="B4641">
        <v>2024</v>
      </c>
      <c r="C4641">
        <v>2033205300</v>
      </c>
      <c r="D4641" t="s">
        <v>5730</v>
      </c>
      <c r="E4641" t="s">
        <v>29</v>
      </c>
      <c r="F4641" t="s">
        <v>30</v>
      </c>
      <c r="G4641">
        <v>27</v>
      </c>
      <c r="H4641">
        <v>0</v>
      </c>
      <c r="I4641">
        <v>0</v>
      </c>
      <c r="J4641">
        <v>0</v>
      </c>
      <c r="K4641">
        <v>0</v>
      </c>
      <c r="L4641">
        <v>0</v>
      </c>
      <c r="M4641">
        <v>0</v>
      </c>
      <c r="N4641">
        <v>0</v>
      </c>
      <c r="O4641">
        <v>0</v>
      </c>
      <c r="P4641">
        <v>0</v>
      </c>
      <c r="Q4641">
        <v>0</v>
      </c>
      <c r="R4641">
        <v>0</v>
      </c>
      <c r="S4641">
        <v>0</v>
      </c>
      <c r="T4641">
        <v>0</v>
      </c>
      <c r="U4641">
        <v>0</v>
      </c>
      <c r="V4641">
        <v>0</v>
      </c>
      <c r="W4641">
        <v>0</v>
      </c>
      <c r="X4641">
        <v>0</v>
      </c>
      <c r="Y4641" t="s">
        <v>31</v>
      </c>
      <c r="Z4641">
        <v>55</v>
      </c>
      <c r="AA4641">
        <v>0.5</v>
      </c>
    </row>
    <row r="4642" spans="1:27" x14ac:dyDescent="0.2">
      <c r="A4642" t="s">
        <v>711</v>
      </c>
      <c r="B4642">
        <v>2024</v>
      </c>
      <c r="C4642" t="s">
        <v>5731</v>
      </c>
      <c r="D4642" t="s">
        <v>5732</v>
      </c>
      <c r="E4642" t="s">
        <v>29</v>
      </c>
      <c r="F4642" t="s">
        <v>41</v>
      </c>
      <c r="G4642">
        <v>0</v>
      </c>
      <c r="H4642">
        <v>0</v>
      </c>
      <c r="I4642">
        <v>0</v>
      </c>
      <c r="J4642">
        <v>0</v>
      </c>
      <c r="K4642">
        <v>6</v>
      </c>
      <c r="L4642">
        <v>0</v>
      </c>
      <c r="M4642">
        <v>0</v>
      </c>
      <c r="N4642">
        <v>0</v>
      </c>
      <c r="O4642">
        <v>0</v>
      </c>
      <c r="P4642">
        <v>0</v>
      </c>
      <c r="Q4642">
        <v>0</v>
      </c>
      <c r="R4642">
        <v>0</v>
      </c>
      <c r="S4642">
        <v>0</v>
      </c>
      <c r="T4642">
        <v>0</v>
      </c>
      <c r="U4642">
        <v>0</v>
      </c>
      <c r="V4642">
        <v>0</v>
      </c>
      <c r="W4642">
        <v>0</v>
      </c>
      <c r="X4642">
        <v>0</v>
      </c>
      <c r="Y4642" t="s">
        <v>51</v>
      </c>
      <c r="AA4642">
        <v>0</v>
      </c>
    </row>
    <row r="4643" spans="1:27" x14ac:dyDescent="0.2">
      <c r="A4643" t="s">
        <v>227</v>
      </c>
      <c r="B4643">
        <v>2024</v>
      </c>
      <c r="C4643" t="s">
        <v>5733</v>
      </c>
      <c r="D4643" t="s">
        <v>5734</v>
      </c>
      <c r="E4643" t="s">
        <v>29</v>
      </c>
      <c r="F4643" t="s">
        <v>30</v>
      </c>
      <c r="G4643">
        <v>3</v>
      </c>
      <c r="H4643">
        <v>0</v>
      </c>
      <c r="I4643">
        <v>3</v>
      </c>
      <c r="J4643">
        <v>0</v>
      </c>
      <c r="K4643">
        <v>0</v>
      </c>
      <c r="L4643">
        <v>0</v>
      </c>
      <c r="M4643">
        <v>0</v>
      </c>
      <c r="N4643">
        <v>0</v>
      </c>
      <c r="O4643">
        <v>0</v>
      </c>
      <c r="P4643">
        <v>0</v>
      </c>
      <c r="Q4643">
        <v>0</v>
      </c>
      <c r="R4643">
        <v>0</v>
      </c>
      <c r="S4643">
        <v>0</v>
      </c>
      <c r="T4643">
        <v>0</v>
      </c>
      <c r="U4643">
        <v>0</v>
      </c>
      <c r="V4643">
        <v>0</v>
      </c>
      <c r="W4643">
        <v>0</v>
      </c>
      <c r="X4643">
        <v>0</v>
      </c>
      <c r="Y4643" t="s">
        <v>31</v>
      </c>
      <c r="Z4643">
        <v>1000</v>
      </c>
      <c r="AA4643" s="2" t="s">
        <v>5735</v>
      </c>
    </row>
    <row r="4644" spans="1:27" x14ac:dyDescent="0.2">
      <c r="A4644" t="s">
        <v>2604</v>
      </c>
      <c r="B4644">
        <v>2024</v>
      </c>
      <c r="C4644" t="s">
        <v>2605</v>
      </c>
      <c r="D4644" t="s">
        <v>2606</v>
      </c>
      <c r="E4644" t="s">
        <v>29</v>
      </c>
      <c r="F4644" t="s">
        <v>30</v>
      </c>
      <c r="G4644">
        <v>10</v>
      </c>
      <c r="H4644">
        <v>0</v>
      </c>
      <c r="I4644">
        <v>5</v>
      </c>
      <c r="J4644">
        <v>0</v>
      </c>
      <c r="K4644">
        <v>5</v>
      </c>
      <c r="L4644">
        <v>0</v>
      </c>
      <c r="M4644">
        <v>10</v>
      </c>
      <c r="N4644">
        <v>0</v>
      </c>
      <c r="O4644">
        <v>5</v>
      </c>
      <c r="P4644">
        <v>0</v>
      </c>
      <c r="Q4644">
        <v>5</v>
      </c>
      <c r="R4644">
        <v>0</v>
      </c>
      <c r="S4644">
        <v>10</v>
      </c>
      <c r="T4644">
        <v>0</v>
      </c>
      <c r="U4644">
        <v>5</v>
      </c>
      <c r="V4644">
        <v>0</v>
      </c>
      <c r="W4644">
        <v>5</v>
      </c>
      <c r="X4644">
        <v>0</v>
      </c>
      <c r="Y4644" t="s">
        <v>31</v>
      </c>
      <c r="Z4644">
        <v>55</v>
      </c>
      <c r="AA4644" s="2" t="s">
        <v>3299</v>
      </c>
    </row>
    <row r="4645" spans="1:27" x14ac:dyDescent="0.2">
      <c r="A4645" t="s">
        <v>1231</v>
      </c>
      <c r="B4645">
        <v>2024</v>
      </c>
      <c r="C4645">
        <v>694310006</v>
      </c>
      <c r="D4645" t="s">
        <v>3507</v>
      </c>
      <c r="E4645" t="s">
        <v>29</v>
      </c>
      <c r="F4645" t="s">
        <v>30</v>
      </c>
      <c r="G4645">
        <v>0</v>
      </c>
      <c r="H4645">
        <v>0</v>
      </c>
      <c r="I4645">
        <v>0</v>
      </c>
      <c r="J4645">
        <v>0</v>
      </c>
      <c r="K4645">
        <v>0</v>
      </c>
      <c r="L4645">
        <v>0</v>
      </c>
      <c r="M4645">
        <v>21</v>
      </c>
      <c r="N4645">
        <v>0</v>
      </c>
      <c r="O4645">
        <v>2</v>
      </c>
      <c r="P4645">
        <v>0</v>
      </c>
      <c r="Q4645">
        <v>1</v>
      </c>
      <c r="R4645">
        <v>0</v>
      </c>
      <c r="S4645">
        <v>0</v>
      </c>
      <c r="T4645">
        <v>0</v>
      </c>
      <c r="U4645">
        <v>0</v>
      </c>
      <c r="V4645">
        <v>0</v>
      </c>
      <c r="W4645">
        <v>0</v>
      </c>
      <c r="X4645">
        <v>0</v>
      </c>
      <c r="Y4645" t="s">
        <v>31</v>
      </c>
      <c r="Z4645">
        <v>55</v>
      </c>
      <c r="AA4645">
        <v>0.13</v>
      </c>
    </row>
    <row r="4646" spans="1:27" x14ac:dyDescent="0.2">
      <c r="A4646" t="s">
        <v>1231</v>
      </c>
      <c r="B4646">
        <v>2024</v>
      </c>
      <c r="C4646">
        <v>694310006</v>
      </c>
      <c r="D4646" t="s">
        <v>3507</v>
      </c>
      <c r="E4646" t="s">
        <v>29</v>
      </c>
      <c r="F4646" t="s">
        <v>30</v>
      </c>
      <c r="G4646">
        <v>0</v>
      </c>
      <c r="H4646">
        <v>0</v>
      </c>
      <c r="I4646">
        <v>0</v>
      </c>
      <c r="J4646">
        <v>0</v>
      </c>
      <c r="K4646">
        <v>0</v>
      </c>
      <c r="L4646">
        <v>0</v>
      </c>
      <c r="M4646">
        <v>13</v>
      </c>
      <c r="N4646">
        <v>0</v>
      </c>
      <c r="O4646">
        <v>1</v>
      </c>
      <c r="P4646">
        <v>0</v>
      </c>
      <c r="Q4646">
        <v>2</v>
      </c>
      <c r="R4646">
        <v>0</v>
      </c>
      <c r="S4646">
        <v>0</v>
      </c>
      <c r="T4646">
        <v>0</v>
      </c>
      <c r="U4646">
        <v>0</v>
      </c>
      <c r="V4646">
        <v>0</v>
      </c>
      <c r="W4646">
        <v>0</v>
      </c>
      <c r="X4646">
        <v>0</v>
      </c>
      <c r="Y4646" t="s">
        <v>31</v>
      </c>
      <c r="Z4646">
        <v>55</v>
      </c>
      <c r="AA4646">
        <v>0.13</v>
      </c>
    </row>
    <row r="4647" spans="1:27" x14ac:dyDescent="0.2">
      <c r="A4647" t="s">
        <v>1231</v>
      </c>
      <c r="B4647">
        <v>2024</v>
      </c>
      <c r="C4647">
        <v>694520019</v>
      </c>
      <c r="D4647" t="s">
        <v>1832</v>
      </c>
      <c r="E4647" t="s">
        <v>29</v>
      </c>
      <c r="F4647" t="s">
        <v>30</v>
      </c>
      <c r="G4647">
        <v>0</v>
      </c>
      <c r="H4647">
        <v>0</v>
      </c>
      <c r="I4647">
        <v>0</v>
      </c>
      <c r="J4647">
        <v>0</v>
      </c>
      <c r="K4647">
        <v>0</v>
      </c>
      <c r="L4647">
        <v>0</v>
      </c>
      <c r="M4647">
        <v>4</v>
      </c>
      <c r="N4647">
        <v>0</v>
      </c>
      <c r="O4647">
        <v>8</v>
      </c>
      <c r="P4647">
        <v>0</v>
      </c>
      <c r="Q4647">
        <v>0</v>
      </c>
      <c r="R4647">
        <v>0</v>
      </c>
      <c r="S4647">
        <v>4</v>
      </c>
      <c r="T4647">
        <v>0</v>
      </c>
      <c r="U4647">
        <v>8</v>
      </c>
      <c r="V4647">
        <v>0</v>
      </c>
      <c r="W4647">
        <v>0</v>
      </c>
      <c r="X4647">
        <v>0</v>
      </c>
      <c r="Y4647" t="s">
        <v>51</v>
      </c>
      <c r="Z4647">
        <v>55</v>
      </c>
      <c r="AA4647">
        <v>0</v>
      </c>
    </row>
    <row r="4648" spans="1:27" x14ac:dyDescent="0.2">
      <c r="A4648" t="s">
        <v>1231</v>
      </c>
      <c r="B4648">
        <v>2024</v>
      </c>
      <c r="C4648">
        <v>694520019</v>
      </c>
      <c r="D4648" t="s">
        <v>1832</v>
      </c>
      <c r="E4648" t="s">
        <v>29</v>
      </c>
      <c r="F4648" t="s">
        <v>30</v>
      </c>
      <c r="G4648">
        <v>0</v>
      </c>
      <c r="H4648">
        <v>0</v>
      </c>
      <c r="I4648">
        <v>0</v>
      </c>
      <c r="J4648">
        <v>0</v>
      </c>
      <c r="K4648">
        <v>0</v>
      </c>
      <c r="L4648">
        <v>0</v>
      </c>
      <c r="M4648">
        <v>4</v>
      </c>
      <c r="N4648">
        <v>0</v>
      </c>
      <c r="O4648">
        <v>19</v>
      </c>
      <c r="P4648">
        <v>0</v>
      </c>
      <c r="Q4648">
        <v>0</v>
      </c>
      <c r="R4648">
        <v>0</v>
      </c>
      <c r="S4648">
        <v>4</v>
      </c>
      <c r="T4648">
        <v>0</v>
      </c>
      <c r="U4648">
        <v>19</v>
      </c>
      <c r="V4648">
        <v>0</v>
      </c>
      <c r="W4648">
        <v>0</v>
      </c>
      <c r="X4648">
        <v>0</v>
      </c>
      <c r="Y4648" t="s">
        <v>51</v>
      </c>
      <c r="Z4648">
        <v>55</v>
      </c>
      <c r="AA4648">
        <v>0</v>
      </c>
    </row>
    <row r="4649" spans="1:27" x14ac:dyDescent="0.2">
      <c r="A4649" t="s">
        <v>1231</v>
      </c>
      <c r="B4649">
        <v>2024</v>
      </c>
      <c r="C4649">
        <v>694520019</v>
      </c>
      <c r="D4649" t="s">
        <v>1832</v>
      </c>
      <c r="E4649" t="s">
        <v>29</v>
      </c>
      <c r="F4649" t="s">
        <v>30</v>
      </c>
      <c r="G4649">
        <v>0</v>
      </c>
      <c r="H4649">
        <v>0</v>
      </c>
      <c r="I4649">
        <v>0</v>
      </c>
      <c r="J4649">
        <v>0</v>
      </c>
      <c r="K4649">
        <v>0</v>
      </c>
      <c r="L4649">
        <v>0</v>
      </c>
      <c r="M4649">
        <v>4</v>
      </c>
      <c r="N4649">
        <v>0</v>
      </c>
      <c r="O4649">
        <v>19</v>
      </c>
      <c r="P4649">
        <v>0</v>
      </c>
      <c r="Q4649">
        <v>0</v>
      </c>
      <c r="R4649">
        <v>0</v>
      </c>
      <c r="S4649">
        <v>4</v>
      </c>
      <c r="T4649">
        <v>0</v>
      </c>
      <c r="U4649">
        <v>19</v>
      </c>
      <c r="V4649">
        <v>0</v>
      </c>
      <c r="W4649">
        <v>0</v>
      </c>
      <c r="X4649">
        <v>0</v>
      </c>
      <c r="Y4649" t="s">
        <v>51</v>
      </c>
      <c r="Z4649">
        <v>55</v>
      </c>
      <c r="AA4649">
        <v>0</v>
      </c>
    </row>
    <row r="4650" spans="1:27" x14ac:dyDescent="0.2">
      <c r="A4650" t="s">
        <v>1231</v>
      </c>
      <c r="B4650">
        <v>2024</v>
      </c>
      <c r="C4650">
        <v>694130017</v>
      </c>
      <c r="D4650" t="s">
        <v>1433</v>
      </c>
      <c r="E4650" t="s">
        <v>29</v>
      </c>
      <c r="F4650" t="s">
        <v>30</v>
      </c>
      <c r="G4650">
        <v>0</v>
      </c>
      <c r="H4650">
        <v>0</v>
      </c>
      <c r="I4650">
        <v>0</v>
      </c>
      <c r="J4650">
        <v>0</v>
      </c>
      <c r="K4650">
        <v>0</v>
      </c>
      <c r="L4650">
        <v>0</v>
      </c>
      <c r="M4650">
        <v>16</v>
      </c>
      <c r="N4650">
        <v>0</v>
      </c>
      <c r="O4650">
        <v>8</v>
      </c>
      <c r="P4650">
        <v>0</v>
      </c>
      <c r="Q4650">
        <v>0</v>
      </c>
      <c r="R4650">
        <v>0</v>
      </c>
      <c r="S4650">
        <v>0</v>
      </c>
      <c r="T4650">
        <v>0</v>
      </c>
      <c r="U4650">
        <v>0</v>
      </c>
      <c r="V4650">
        <v>0</v>
      </c>
      <c r="W4650">
        <v>0</v>
      </c>
      <c r="X4650">
        <v>0</v>
      </c>
      <c r="Y4650" t="s">
        <v>51</v>
      </c>
      <c r="Z4650">
        <v>55</v>
      </c>
      <c r="AA4650">
        <v>0</v>
      </c>
    </row>
    <row r="4651" spans="1:27" x14ac:dyDescent="0.2">
      <c r="A4651" t="s">
        <v>1548</v>
      </c>
      <c r="B4651">
        <v>2024</v>
      </c>
      <c r="C4651" t="s">
        <v>5736</v>
      </c>
      <c r="D4651" t="s">
        <v>5737</v>
      </c>
      <c r="E4651" t="s">
        <v>29</v>
      </c>
      <c r="F4651" t="s">
        <v>30</v>
      </c>
      <c r="G4651">
        <v>0</v>
      </c>
      <c r="H4651">
        <v>0</v>
      </c>
      <c r="I4651">
        <v>2</v>
      </c>
      <c r="J4651">
        <v>0</v>
      </c>
      <c r="K4651">
        <v>0</v>
      </c>
      <c r="L4651">
        <v>0</v>
      </c>
      <c r="M4651">
        <v>0</v>
      </c>
      <c r="N4651">
        <v>0</v>
      </c>
      <c r="O4651">
        <v>0</v>
      </c>
      <c r="P4651">
        <v>0</v>
      </c>
      <c r="Q4651">
        <v>0</v>
      </c>
      <c r="R4651">
        <v>0</v>
      </c>
      <c r="S4651">
        <v>0</v>
      </c>
      <c r="T4651">
        <v>0</v>
      </c>
      <c r="U4651">
        <v>0</v>
      </c>
      <c r="V4651">
        <v>0</v>
      </c>
      <c r="W4651">
        <v>0</v>
      </c>
      <c r="X4651">
        <v>0</v>
      </c>
      <c r="Y4651" t="s">
        <v>51</v>
      </c>
      <c r="AA4651">
        <v>0</v>
      </c>
    </row>
    <row r="4652" spans="1:27" x14ac:dyDescent="0.2">
      <c r="A4652" t="s">
        <v>424</v>
      </c>
      <c r="B4652">
        <v>2024</v>
      </c>
      <c r="C4652" t="s">
        <v>567</v>
      </c>
      <c r="D4652" t="s">
        <v>4643</v>
      </c>
      <c r="E4652" t="s">
        <v>29</v>
      </c>
      <c r="F4652" t="s">
        <v>30</v>
      </c>
      <c r="G4652">
        <v>30</v>
      </c>
      <c r="H4652">
        <v>0</v>
      </c>
      <c r="I4652">
        <v>69</v>
      </c>
      <c r="J4652">
        <v>0</v>
      </c>
      <c r="K4652">
        <v>0</v>
      </c>
      <c r="L4652">
        <v>0</v>
      </c>
      <c r="M4652">
        <v>30</v>
      </c>
      <c r="N4652">
        <v>0</v>
      </c>
      <c r="O4652">
        <v>69</v>
      </c>
      <c r="P4652">
        <v>0</v>
      </c>
      <c r="Q4652">
        <v>0</v>
      </c>
      <c r="R4652">
        <v>0</v>
      </c>
      <c r="S4652">
        <v>0</v>
      </c>
      <c r="T4652">
        <v>0</v>
      </c>
      <c r="U4652">
        <v>0</v>
      </c>
      <c r="V4652">
        <v>0</v>
      </c>
      <c r="W4652">
        <v>0</v>
      </c>
      <c r="X4652">
        <v>0</v>
      </c>
      <c r="Y4652" t="s">
        <v>31</v>
      </c>
      <c r="AA4652" s="2" t="s">
        <v>3299</v>
      </c>
    </row>
    <row r="4653" spans="1:27" x14ac:dyDescent="0.2">
      <c r="A4653" t="s">
        <v>1188</v>
      </c>
      <c r="B4653">
        <v>2024</v>
      </c>
      <c r="C4653" t="s">
        <v>1370</v>
      </c>
      <c r="D4653" t="s">
        <v>5470</v>
      </c>
      <c r="E4653" t="s">
        <v>29</v>
      </c>
      <c r="F4653" t="s">
        <v>30</v>
      </c>
      <c r="G4653">
        <v>0</v>
      </c>
      <c r="H4653">
        <v>0</v>
      </c>
      <c r="I4653">
        <v>0</v>
      </c>
      <c r="J4653">
        <v>0</v>
      </c>
      <c r="K4653">
        <v>0</v>
      </c>
      <c r="L4653">
        <v>0</v>
      </c>
      <c r="M4653">
        <v>0</v>
      </c>
      <c r="N4653">
        <v>0</v>
      </c>
      <c r="O4653">
        <v>0</v>
      </c>
      <c r="P4653">
        <v>0</v>
      </c>
      <c r="Q4653">
        <v>0</v>
      </c>
      <c r="R4653">
        <v>0</v>
      </c>
      <c r="S4653">
        <v>4</v>
      </c>
      <c r="T4653">
        <v>0</v>
      </c>
      <c r="U4653">
        <v>16</v>
      </c>
      <c r="V4653">
        <v>0</v>
      </c>
      <c r="W4653">
        <v>0</v>
      </c>
      <c r="X4653">
        <v>1</v>
      </c>
      <c r="Y4653" t="s">
        <v>31</v>
      </c>
      <c r="Z4653">
        <v>55</v>
      </c>
      <c r="AA4653">
        <v>1</v>
      </c>
    </row>
    <row r="4654" spans="1:27" x14ac:dyDescent="0.2">
      <c r="A4654" t="s">
        <v>1188</v>
      </c>
      <c r="B4654">
        <v>2024</v>
      </c>
      <c r="C4654" t="s">
        <v>1370</v>
      </c>
      <c r="D4654" t="s">
        <v>5470</v>
      </c>
      <c r="E4654" t="s">
        <v>29</v>
      </c>
      <c r="F4654" t="s">
        <v>30</v>
      </c>
      <c r="G4654">
        <v>0</v>
      </c>
      <c r="H4654">
        <v>0</v>
      </c>
      <c r="I4654">
        <v>0</v>
      </c>
      <c r="J4654">
        <v>0</v>
      </c>
      <c r="K4654">
        <v>0</v>
      </c>
      <c r="L4654">
        <v>0</v>
      </c>
      <c r="M4654">
        <v>0</v>
      </c>
      <c r="N4654">
        <v>0</v>
      </c>
      <c r="O4654">
        <v>0</v>
      </c>
      <c r="P4654">
        <v>0</v>
      </c>
      <c r="Q4654">
        <v>0</v>
      </c>
      <c r="R4654">
        <v>0</v>
      </c>
      <c r="S4654">
        <v>4</v>
      </c>
      <c r="T4654">
        <v>0</v>
      </c>
      <c r="U4654">
        <v>16</v>
      </c>
      <c r="V4654">
        <v>0</v>
      </c>
      <c r="W4654">
        <v>0</v>
      </c>
      <c r="X4654">
        <v>0</v>
      </c>
      <c r="Y4654" t="s">
        <v>31</v>
      </c>
      <c r="Z4654">
        <v>55</v>
      </c>
      <c r="AA4654">
        <v>1</v>
      </c>
    </row>
    <row r="4655" spans="1:27" x14ac:dyDescent="0.2">
      <c r="A4655" t="s">
        <v>1188</v>
      </c>
      <c r="B4655">
        <v>2024</v>
      </c>
      <c r="C4655" t="s">
        <v>1370</v>
      </c>
      <c r="D4655" t="s">
        <v>5470</v>
      </c>
      <c r="E4655" t="s">
        <v>29</v>
      </c>
      <c r="F4655" t="s">
        <v>30</v>
      </c>
      <c r="G4655">
        <v>0</v>
      </c>
      <c r="H4655">
        <v>0</v>
      </c>
      <c r="I4655">
        <v>0</v>
      </c>
      <c r="J4655">
        <v>0</v>
      </c>
      <c r="K4655">
        <v>0</v>
      </c>
      <c r="L4655">
        <v>0</v>
      </c>
      <c r="M4655">
        <v>0</v>
      </c>
      <c r="N4655">
        <v>0</v>
      </c>
      <c r="O4655">
        <v>0</v>
      </c>
      <c r="P4655">
        <v>0</v>
      </c>
      <c r="Q4655">
        <v>0</v>
      </c>
      <c r="R4655">
        <v>0</v>
      </c>
      <c r="S4655">
        <v>4</v>
      </c>
      <c r="T4655">
        <v>0</v>
      </c>
      <c r="U4655">
        <v>16</v>
      </c>
      <c r="V4655">
        <v>0</v>
      </c>
      <c r="W4655">
        <v>0</v>
      </c>
      <c r="X4655">
        <v>0</v>
      </c>
      <c r="Y4655" t="s">
        <v>31</v>
      </c>
      <c r="Z4655">
        <v>55</v>
      </c>
      <c r="AA4655">
        <v>1</v>
      </c>
    </row>
    <row r="4656" spans="1:27" x14ac:dyDescent="0.2">
      <c r="A4656" t="s">
        <v>547</v>
      </c>
      <c r="B4656">
        <v>2024</v>
      </c>
      <c r="C4656">
        <v>6020031011</v>
      </c>
      <c r="D4656" t="s">
        <v>5738</v>
      </c>
      <c r="E4656" t="s">
        <v>29</v>
      </c>
      <c r="F4656" t="s">
        <v>30</v>
      </c>
      <c r="G4656">
        <v>0</v>
      </c>
      <c r="H4656">
        <v>0</v>
      </c>
      <c r="I4656">
        <v>0</v>
      </c>
      <c r="J4656">
        <v>0</v>
      </c>
      <c r="K4656">
        <v>0</v>
      </c>
      <c r="L4656">
        <v>0</v>
      </c>
      <c r="M4656">
        <v>1</v>
      </c>
      <c r="N4656">
        <v>0</v>
      </c>
      <c r="O4656">
        <v>123</v>
      </c>
      <c r="P4656">
        <v>0</v>
      </c>
      <c r="Q4656">
        <v>32</v>
      </c>
      <c r="R4656">
        <v>0</v>
      </c>
      <c r="S4656">
        <v>0</v>
      </c>
      <c r="T4656">
        <v>0</v>
      </c>
      <c r="U4656">
        <v>0</v>
      </c>
      <c r="V4656">
        <v>0</v>
      </c>
      <c r="W4656">
        <v>0</v>
      </c>
      <c r="X4656">
        <v>0</v>
      </c>
      <c r="Y4656" t="s">
        <v>31</v>
      </c>
      <c r="Z4656">
        <v>55</v>
      </c>
      <c r="AA4656">
        <v>441</v>
      </c>
    </row>
    <row r="4657" spans="1:27" x14ac:dyDescent="0.2">
      <c r="A4657" t="s">
        <v>547</v>
      </c>
      <c r="B4657">
        <v>2024</v>
      </c>
      <c r="C4657">
        <v>2565014031</v>
      </c>
      <c r="D4657" t="s">
        <v>1523</v>
      </c>
      <c r="E4657" t="s">
        <v>29</v>
      </c>
      <c r="F4657" t="s">
        <v>30</v>
      </c>
      <c r="G4657">
        <v>0</v>
      </c>
      <c r="H4657">
        <v>0</v>
      </c>
      <c r="I4657">
        <v>0</v>
      </c>
      <c r="J4657">
        <v>0</v>
      </c>
      <c r="K4657">
        <v>0</v>
      </c>
      <c r="L4657">
        <v>0</v>
      </c>
      <c r="M4657">
        <v>4</v>
      </c>
      <c r="N4657">
        <v>0</v>
      </c>
      <c r="O4657">
        <v>2</v>
      </c>
      <c r="P4657">
        <v>0</v>
      </c>
      <c r="Q4657">
        <v>0</v>
      </c>
      <c r="R4657">
        <v>0</v>
      </c>
      <c r="S4657">
        <v>4</v>
      </c>
      <c r="T4657">
        <v>0</v>
      </c>
      <c r="U4657">
        <v>2</v>
      </c>
      <c r="V4657">
        <v>0</v>
      </c>
      <c r="W4657">
        <v>0</v>
      </c>
      <c r="X4657">
        <v>0</v>
      </c>
      <c r="Y4657" t="s">
        <v>31</v>
      </c>
      <c r="Z4657">
        <v>55</v>
      </c>
      <c r="AA4657">
        <v>32</v>
      </c>
    </row>
    <row r="4658" spans="1:27" ht="102" x14ac:dyDescent="0.2">
      <c r="A4658" t="s">
        <v>1802</v>
      </c>
      <c r="B4658">
        <v>2024</v>
      </c>
      <c r="C4658" t="s">
        <v>5739</v>
      </c>
      <c r="D4658" s="1" t="s">
        <v>5740</v>
      </c>
      <c r="E4658" t="s">
        <v>29</v>
      </c>
      <c r="F4658" t="s">
        <v>30</v>
      </c>
      <c r="G4658">
        <v>0</v>
      </c>
      <c r="H4658">
        <v>0</v>
      </c>
      <c r="I4658">
        <v>0</v>
      </c>
      <c r="J4658">
        <v>0</v>
      </c>
      <c r="K4658">
        <v>0</v>
      </c>
      <c r="L4658">
        <v>0</v>
      </c>
      <c r="M4658">
        <v>0</v>
      </c>
      <c r="N4658">
        <v>0</v>
      </c>
      <c r="O4658">
        <v>0</v>
      </c>
      <c r="P4658">
        <v>0</v>
      </c>
      <c r="Q4658">
        <v>0</v>
      </c>
      <c r="R4658">
        <v>0</v>
      </c>
      <c r="S4658">
        <v>26</v>
      </c>
      <c r="T4658">
        <v>0</v>
      </c>
      <c r="U4658">
        <v>0</v>
      </c>
      <c r="V4658">
        <v>0</v>
      </c>
      <c r="W4658">
        <v>0</v>
      </c>
      <c r="X4658">
        <v>0</v>
      </c>
      <c r="Y4658" t="s">
        <v>31</v>
      </c>
      <c r="Z4658">
        <v>1000</v>
      </c>
      <c r="AA4658" s="2" t="s">
        <v>3316</v>
      </c>
    </row>
    <row r="4659" spans="1:27" x14ac:dyDescent="0.2">
      <c r="A4659" t="s">
        <v>172</v>
      </c>
      <c r="B4659">
        <v>2024</v>
      </c>
      <c r="C4659" t="s">
        <v>5741</v>
      </c>
      <c r="D4659" t="s">
        <v>5742</v>
      </c>
      <c r="E4659" t="s">
        <v>29</v>
      </c>
      <c r="F4659" t="s">
        <v>30</v>
      </c>
      <c r="G4659">
        <v>47</v>
      </c>
      <c r="H4659">
        <v>0</v>
      </c>
      <c r="I4659">
        <v>0</v>
      </c>
      <c r="J4659">
        <v>0</v>
      </c>
      <c r="K4659">
        <v>65</v>
      </c>
      <c r="L4659">
        <v>0</v>
      </c>
      <c r="M4659">
        <v>0</v>
      </c>
      <c r="N4659">
        <v>0</v>
      </c>
      <c r="O4659">
        <v>0</v>
      </c>
      <c r="P4659">
        <v>0</v>
      </c>
      <c r="Q4659">
        <v>0</v>
      </c>
      <c r="R4659">
        <v>0</v>
      </c>
      <c r="S4659">
        <v>0</v>
      </c>
      <c r="T4659">
        <v>0</v>
      </c>
      <c r="U4659">
        <v>0</v>
      </c>
      <c r="V4659">
        <v>0</v>
      </c>
      <c r="W4659">
        <v>0</v>
      </c>
      <c r="X4659">
        <v>0</v>
      </c>
      <c r="Y4659" t="s">
        <v>31</v>
      </c>
      <c r="Z4659">
        <v>55</v>
      </c>
      <c r="AA4659">
        <v>0</v>
      </c>
    </row>
    <row r="4660" spans="1:27" x14ac:dyDescent="0.2">
      <c r="A4660" t="s">
        <v>172</v>
      </c>
      <c r="B4660">
        <v>2024</v>
      </c>
      <c r="C4660" t="s">
        <v>5743</v>
      </c>
      <c r="D4660" t="s">
        <v>5744</v>
      </c>
      <c r="E4660" t="s">
        <v>29</v>
      </c>
      <c r="F4660" t="s">
        <v>30</v>
      </c>
      <c r="G4660">
        <v>0</v>
      </c>
      <c r="H4660">
        <v>0</v>
      </c>
      <c r="I4660">
        <v>0</v>
      </c>
      <c r="J4660">
        <v>0</v>
      </c>
      <c r="K4660">
        <v>11</v>
      </c>
      <c r="L4660">
        <v>0</v>
      </c>
      <c r="M4660">
        <v>0</v>
      </c>
      <c r="N4660">
        <v>0</v>
      </c>
      <c r="O4660">
        <v>0</v>
      </c>
      <c r="P4660">
        <v>0</v>
      </c>
      <c r="Q4660">
        <v>0</v>
      </c>
      <c r="R4660">
        <v>0</v>
      </c>
      <c r="S4660">
        <v>0</v>
      </c>
      <c r="T4660">
        <v>0</v>
      </c>
      <c r="U4660">
        <v>0</v>
      </c>
      <c r="V4660">
        <v>0</v>
      </c>
      <c r="W4660">
        <v>0</v>
      </c>
      <c r="X4660">
        <v>0</v>
      </c>
      <c r="Y4660" t="s">
        <v>31</v>
      </c>
      <c r="Z4660">
        <v>55</v>
      </c>
      <c r="AA4660">
        <v>0.5</v>
      </c>
    </row>
    <row r="4661" spans="1:27" x14ac:dyDescent="0.2">
      <c r="A4661" t="s">
        <v>172</v>
      </c>
      <c r="B4661">
        <v>2024</v>
      </c>
      <c r="C4661" t="s">
        <v>477</v>
      </c>
      <c r="D4661" t="s">
        <v>478</v>
      </c>
      <c r="E4661" t="s">
        <v>29</v>
      </c>
      <c r="F4661" t="s">
        <v>30</v>
      </c>
      <c r="G4661">
        <v>0</v>
      </c>
      <c r="H4661">
        <v>0</v>
      </c>
      <c r="I4661">
        <v>0</v>
      </c>
      <c r="J4661">
        <v>0</v>
      </c>
      <c r="K4661">
        <v>0</v>
      </c>
      <c r="L4661">
        <v>0</v>
      </c>
      <c r="M4661">
        <v>0</v>
      </c>
      <c r="N4661">
        <v>0</v>
      </c>
      <c r="O4661">
        <v>0</v>
      </c>
      <c r="P4661">
        <v>0</v>
      </c>
      <c r="Q4661">
        <v>0</v>
      </c>
      <c r="R4661">
        <v>0</v>
      </c>
      <c r="S4661">
        <v>0</v>
      </c>
      <c r="T4661">
        <v>0</v>
      </c>
      <c r="U4661">
        <v>0</v>
      </c>
      <c r="V4661">
        <v>0</v>
      </c>
      <c r="W4661">
        <v>35</v>
      </c>
      <c r="X4661">
        <v>0</v>
      </c>
      <c r="Y4661" t="s">
        <v>31</v>
      </c>
      <c r="AA4661">
        <v>0.5</v>
      </c>
    </row>
    <row r="4662" spans="1:27" ht="119" x14ac:dyDescent="0.2">
      <c r="A4662" t="s">
        <v>1802</v>
      </c>
      <c r="B4662">
        <v>2024</v>
      </c>
      <c r="C4662" t="s">
        <v>3145</v>
      </c>
      <c r="D4662" s="1" t="s">
        <v>5745</v>
      </c>
      <c r="E4662" t="s">
        <v>29</v>
      </c>
      <c r="F4662" t="s">
        <v>30</v>
      </c>
      <c r="G4662">
        <v>0</v>
      </c>
      <c r="H4662">
        <v>0</v>
      </c>
      <c r="I4662">
        <v>0</v>
      </c>
      <c r="J4662">
        <v>0</v>
      </c>
      <c r="K4662">
        <v>0</v>
      </c>
      <c r="L4662">
        <v>0</v>
      </c>
      <c r="M4662">
        <v>0</v>
      </c>
      <c r="N4662">
        <v>0</v>
      </c>
      <c r="O4662">
        <v>0</v>
      </c>
      <c r="P4662">
        <v>0</v>
      </c>
      <c r="Q4662">
        <v>0</v>
      </c>
      <c r="R4662">
        <v>0</v>
      </c>
      <c r="S4662">
        <v>6</v>
      </c>
      <c r="T4662">
        <v>0</v>
      </c>
      <c r="U4662">
        <v>0</v>
      </c>
      <c r="V4662">
        <v>0</v>
      </c>
      <c r="W4662">
        <v>0</v>
      </c>
      <c r="X4662">
        <v>0</v>
      </c>
      <c r="Y4662" t="s">
        <v>31</v>
      </c>
      <c r="Z4662">
        <v>1000</v>
      </c>
      <c r="AA4662" s="2" t="s">
        <v>5262</v>
      </c>
    </row>
    <row r="4663" spans="1:27" x14ac:dyDescent="0.2">
      <c r="A4663" t="s">
        <v>172</v>
      </c>
      <c r="B4663">
        <v>2024</v>
      </c>
      <c r="C4663" t="s">
        <v>5746</v>
      </c>
      <c r="D4663" t="s">
        <v>5747</v>
      </c>
      <c r="E4663" t="s">
        <v>29</v>
      </c>
      <c r="F4663" t="s">
        <v>30</v>
      </c>
      <c r="G4663">
        <v>5</v>
      </c>
      <c r="H4663">
        <v>0</v>
      </c>
      <c r="I4663">
        <v>0</v>
      </c>
      <c r="J4663">
        <v>0</v>
      </c>
      <c r="K4663">
        <v>0</v>
      </c>
      <c r="L4663">
        <v>0</v>
      </c>
      <c r="M4663">
        <v>0</v>
      </c>
      <c r="N4663">
        <v>0</v>
      </c>
      <c r="O4663">
        <v>0</v>
      </c>
      <c r="P4663">
        <v>0</v>
      </c>
      <c r="Q4663">
        <v>0</v>
      </c>
      <c r="R4663">
        <v>0</v>
      </c>
      <c r="S4663">
        <v>0</v>
      </c>
      <c r="T4663">
        <v>0</v>
      </c>
      <c r="U4663">
        <v>0</v>
      </c>
      <c r="V4663">
        <v>0</v>
      </c>
      <c r="W4663">
        <v>0</v>
      </c>
      <c r="X4663">
        <v>0</v>
      </c>
      <c r="Y4663" t="s">
        <v>31</v>
      </c>
      <c r="Z4663">
        <v>55</v>
      </c>
      <c r="AA4663">
        <v>0.5</v>
      </c>
    </row>
    <row r="4664" spans="1:27" x14ac:dyDescent="0.2">
      <c r="A4664" t="s">
        <v>172</v>
      </c>
      <c r="B4664">
        <v>2024</v>
      </c>
      <c r="C4664" t="s">
        <v>5748</v>
      </c>
      <c r="D4664" t="s">
        <v>5749</v>
      </c>
      <c r="E4664" t="s">
        <v>29</v>
      </c>
      <c r="F4664" t="s">
        <v>30</v>
      </c>
      <c r="G4664">
        <v>0</v>
      </c>
      <c r="H4664">
        <v>0</v>
      </c>
      <c r="I4664">
        <v>44</v>
      </c>
      <c r="J4664">
        <v>0</v>
      </c>
      <c r="K4664">
        <v>11</v>
      </c>
      <c r="L4664">
        <v>0</v>
      </c>
      <c r="M4664">
        <v>0</v>
      </c>
      <c r="N4664">
        <v>0</v>
      </c>
      <c r="O4664">
        <v>0</v>
      </c>
      <c r="P4664">
        <v>0</v>
      </c>
      <c r="Q4664">
        <v>0</v>
      </c>
      <c r="R4664">
        <v>0</v>
      </c>
      <c r="S4664">
        <v>0</v>
      </c>
      <c r="T4664">
        <v>0</v>
      </c>
      <c r="U4664">
        <v>0</v>
      </c>
      <c r="V4664">
        <v>0</v>
      </c>
      <c r="W4664">
        <v>0</v>
      </c>
      <c r="X4664">
        <v>0</v>
      </c>
      <c r="Y4664" t="s">
        <v>31</v>
      </c>
      <c r="Z4664">
        <v>55</v>
      </c>
      <c r="AA4664">
        <v>0</v>
      </c>
    </row>
    <row r="4665" spans="1:27" x14ac:dyDescent="0.2">
      <c r="A4665" t="s">
        <v>172</v>
      </c>
      <c r="B4665">
        <v>2024</v>
      </c>
      <c r="C4665" t="s">
        <v>5537</v>
      </c>
      <c r="D4665" t="s">
        <v>4351</v>
      </c>
      <c r="E4665" t="s">
        <v>29</v>
      </c>
      <c r="F4665" t="s">
        <v>30</v>
      </c>
      <c r="G4665">
        <v>0</v>
      </c>
      <c r="H4665">
        <v>0</v>
      </c>
      <c r="I4665">
        <v>0</v>
      </c>
      <c r="J4665">
        <v>0</v>
      </c>
      <c r="K4665">
        <v>0</v>
      </c>
      <c r="L4665">
        <v>0</v>
      </c>
      <c r="M4665">
        <v>36</v>
      </c>
      <c r="N4665">
        <v>0</v>
      </c>
      <c r="O4665">
        <v>55</v>
      </c>
      <c r="P4665">
        <v>0</v>
      </c>
      <c r="Q4665">
        <v>0</v>
      </c>
      <c r="R4665">
        <v>0</v>
      </c>
      <c r="S4665">
        <v>0</v>
      </c>
      <c r="T4665">
        <v>0</v>
      </c>
      <c r="U4665">
        <v>0</v>
      </c>
      <c r="V4665">
        <v>0</v>
      </c>
      <c r="W4665">
        <v>0</v>
      </c>
      <c r="X4665">
        <v>0</v>
      </c>
      <c r="Y4665" t="s">
        <v>51</v>
      </c>
      <c r="Z4665">
        <v>55</v>
      </c>
      <c r="AA4665">
        <v>0</v>
      </c>
    </row>
    <row r="4666" spans="1:27" x14ac:dyDescent="0.2">
      <c r="A4666" t="s">
        <v>172</v>
      </c>
      <c r="B4666">
        <v>2024</v>
      </c>
      <c r="C4666" t="s">
        <v>5750</v>
      </c>
      <c r="D4666" t="s">
        <v>5751</v>
      </c>
      <c r="E4666" t="s">
        <v>29</v>
      </c>
      <c r="F4666" t="s">
        <v>30</v>
      </c>
      <c r="G4666">
        <v>0</v>
      </c>
      <c r="H4666">
        <v>0</v>
      </c>
      <c r="I4666">
        <v>0</v>
      </c>
      <c r="J4666">
        <v>0</v>
      </c>
      <c r="K4666">
        <v>0</v>
      </c>
      <c r="L4666">
        <v>0</v>
      </c>
      <c r="M4666">
        <v>76</v>
      </c>
      <c r="N4666">
        <v>0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  <c r="V4666">
        <v>0</v>
      </c>
      <c r="W4666">
        <v>0</v>
      </c>
      <c r="X4666">
        <v>0</v>
      </c>
      <c r="Y4666" t="s">
        <v>51</v>
      </c>
      <c r="Z4666">
        <v>55</v>
      </c>
      <c r="AA4666">
        <v>0</v>
      </c>
    </row>
    <row r="4667" spans="1:27" x14ac:dyDescent="0.2">
      <c r="A4667" t="s">
        <v>172</v>
      </c>
      <c r="B4667">
        <v>2024</v>
      </c>
      <c r="C4667" t="s">
        <v>5752</v>
      </c>
      <c r="D4667" t="s">
        <v>5753</v>
      </c>
      <c r="E4667" t="s">
        <v>29</v>
      </c>
      <c r="F4667" t="s">
        <v>30</v>
      </c>
      <c r="G4667">
        <v>0</v>
      </c>
      <c r="H4667">
        <v>0</v>
      </c>
      <c r="I4667">
        <v>0</v>
      </c>
      <c r="J4667">
        <v>0</v>
      </c>
      <c r="K4667">
        <v>0</v>
      </c>
      <c r="L4667">
        <v>0</v>
      </c>
      <c r="M4667">
        <v>0</v>
      </c>
      <c r="N4667">
        <v>0</v>
      </c>
      <c r="O4667">
        <v>0</v>
      </c>
      <c r="P4667">
        <v>0</v>
      </c>
      <c r="Q4667">
        <v>0</v>
      </c>
      <c r="R4667">
        <v>0</v>
      </c>
      <c r="S4667">
        <v>92</v>
      </c>
      <c r="T4667">
        <v>0</v>
      </c>
      <c r="U4667">
        <v>31</v>
      </c>
      <c r="V4667">
        <v>0</v>
      </c>
      <c r="W4667">
        <v>0</v>
      </c>
      <c r="X4667">
        <v>0</v>
      </c>
      <c r="Y4667" t="s">
        <v>51</v>
      </c>
      <c r="Z4667">
        <v>55</v>
      </c>
      <c r="AA4667">
        <v>0</v>
      </c>
    </row>
    <row r="4668" spans="1:27" x14ac:dyDescent="0.2">
      <c r="A4668" t="s">
        <v>1576</v>
      </c>
      <c r="B4668">
        <v>2024</v>
      </c>
      <c r="C4668">
        <v>1430402600</v>
      </c>
      <c r="D4668" t="s">
        <v>5754</v>
      </c>
      <c r="E4668" t="s">
        <v>29</v>
      </c>
      <c r="F4668" t="s">
        <v>30</v>
      </c>
      <c r="G4668">
        <v>0</v>
      </c>
      <c r="H4668">
        <v>0</v>
      </c>
      <c r="I4668">
        <v>0</v>
      </c>
      <c r="J4668">
        <v>0</v>
      </c>
      <c r="K4668">
        <v>0</v>
      </c>
      <c r="L4668">
        <v>0</v>
      </c>
      <c r="M4668">
        <v>0</v>
      </c>
      <c r="N4668">
        <v>0</v>
      </c>
      <c r="O4668">
        <v>0</v>
      </c>
      <c r="P4668">
        <v>0</v>
      </c>
      <c r="Q4668">
        <v>0</v>
      </c>
      <c r="R4668">
        <v>0</v>
      </c>
      <c r="S4668">
        <v>26</v>
      </c>
      <c r="T4668">
        <v>0</v>
      </c>
      <c r="U4668">
        <v>0</v>
      </c>
      <c r="V4668">
        <v>0</v>
      </c>
      <c r="W4668">
        <v>0</v>
      </c>
      <c r="X4668">
        <v>0</v>
      </c>
      <c r="Y4668" t="s">
        <v>31</v>
      </c>
      <c r="AA4668" s="2" t="s">
        <v>3316</v>
      </c>
    </row>
    <row r="4669" spans="1:27" x14ac:dyDescent="0.2">
      <c r="A4669" t="s">
        <v>1576</v>
      </c>
      <c r="B4669">
        <v>2024</v>
      </c>
      <c r="C4669">
        <v>1471930800</v>
      </c>
      <c r="D4669" t="s">
        <v>5755</v>
      </c>
      <c r="E4669" t="s">
        <v>29</v>
      </c>
      <c r="F4669" t="s">
        <v>30</v>
      </c>
      <c r="G4669">
        <v>0</v>
      </c>
      <c r="H4669">
        <v>0</v>
      </c>
      <c r="I4669">
        <v>18</v>
      </c>
      <c r="J4669">
        <v>0</v>
      </c>
      <c r="K4669">
        <v>0</v>
      </c>
      <c r="L4669">
        <v>0</v>
      </c>
      <c r="M4669">
        <v>0</v>
      </c>
      <c r="N4669">
        <v>0</v>
      </c>
      <c r="O4669">
        <v>0</v>
      </c>
      <c r="P4669">
        <v>0</v>
      </c>
      <c r="Q4669">
        <v>0</v>
      </c>
      <c r="R4669">
        <v>0</v>
      </c>
      <c r="S4669">
        <v>0</v>
      </c>
      <c r="T4669">
        <v>0</v>
      </c>
      <c r="U4669">
        <v>0</v>
      </c>
      <c r="V4669">
        <v>0</v>
      </c>
      <c r="W4669">
        <v>0</v>
      </c>
      <c r="X4669">
        <v>0</v>
      </c>
      <c r="Y4669" t="s">
        <v>31</v>
      </c>
      <c r="Z4669">
        <v>55</v>
      </c>
      <c r="AA4669" s="2" t="s">
        <v>3299</v>
      </c>
    </row>
    <row r="4670" spans="1:27" x14ac:dyDescent="0.2">
      <c r="A4670" t="s">
        <v>547</v>
      </c>
      <c r="B4670">
        <v>2024</v>
      </c>
      <c r="C4670">
        <v>4261032005</v>
      </c>
      <c r="D4670" t="s">
        <v>5756</v>
      </c>
      <c r="E4670" t="s">
        <v>29</v>
      </c>
      <c r="F4670" t="s">
        <v>30</v>
      </c>
      <c r="G4670">
        <v>5</v>
      </c>
      <c r="H4670">
        <v>0</v>
      </c>
      <c r="I4670">
        <v>0</v>
      </c>
      <c r="J4670">
        <v>0</v>
      </c>
      <c r="K4670">
        <v>0</v>
      </c>
      <c r="L4670">
        <v>0</v>
      </c>
      <c r="M4670">
        <v>0</v>
      </c>
      <c r="N4670">
        <v>0</v>
      </c>
      <c r="O4670">
        <v>0</v>
      </c>
      <c r="P4670">
        <v>0</v>
      </c>
      <c r="Q4670">
        <v>0</v>
      </c>
      <c r="R4670">
        <v>0</v>
      </c>
      <c r="S4670">
        <v>0</v>
      </c>
      <c r="T4670">
        <v>0</v>
      </c>
      <c r="U4670">
        <v>0</v>
      </c>
      <c r="V4670">
        <v>0</v>
      </c>
      <c r="W4670">
        <v>0</v>
      </c>
      <c r="X4670">
        <v>0</v>
      </c>
      <c r="Y4670" t="s">
        <v>31</v>
      </c>
      <c r="Z4670">
        <v>55</v>
      </c>
      <c r="AA4670">
        <v>35</v>
      </c>
    </row>
    <row r="4671" spans="1:27" x14ac:dyDescent="0.2">
      <c r="A4671" t="s">
        <v>547</v>
      </c>
      <c r="B4671">
        <v>2024</v>
      </c>
      <c r="C4671">
        <v>5017003005</v>
      </c>
      <c r="D4671" t="s">
        <v>5757</v>
      </c>
      <c r="E4671" t="s">
        <v>29</v>
      </c>
      <c r="F4671" t="s">
        <v>30</v>
      </c>
      <c r="G4671">
        <v>6</v>
      </c>
      <c r="H4671">
        <v>0</v>
      </c>
      <c r="I4671">
        <v>45</v>
      </c>
      <c r="J4671">
        <v>0</v>
      </c>
      <c r="K4671">
        <v>0</v>
      </c>
      <c r="L4671">
        <v>0</v>
      </c>
      <c r="M4671">
        <v>0</v>
      </c>
      <c r="N4671">
        <v>0</v>
      </c>
      <c r="O4671">
        <v>0</v>
      </c>
      <c r="P4671">
        <v>0</v>
      </c>
      <c r="Q4671">
        <v>0</v>
      </c>
      <c r="R4671">
        <v>0</v>
      </c>
      <c r="S4671">
        <v>0</v>
      </c>
      <c r="T4671">
        <v>0</v>
      </c>
      <c r="U4671">
        <v>0</v>
      </c>
      <c r="V4671">
        <v>0</v>
      </c>
      <c r="W4671">
        <v>0</v>
      </c>
      <c r="X4671">
        <v>0</v>
      </c>
      <c r="Y4671" t="s">
        <v>31</v>
      </c>
      <c r="Z4671">
        <v>55</v>
      </c>
      <c r="AA4671">
        <v>203</v>
      </c>
    </row>
    <row r="4672" spans="1:27" x14ac:dyDescent="0.2">
      <c r="A4672" t="s">
        <v>547</v>
      </c>
      <c r="B4672">
        <v>2024</v>
      </c>
      <c r="C4672">
        <v>5180009019</v>
      </c>
      <c r="D4672" t="s">
        <v>5758</v>
      </c>
      <c r="E4672" t="s">
        <v>29</v>
      </c>
      <c r="F4672" t="s">
        <v>30</v>
      </c>
      <c r="G4672">
        <v>2</v>
      </c>
      <c r="H4672">
        <v>0</v>
      </c>
      <c r="I4672">
        <v>42</v>
      </c>
      <c r="J4672">
        <v>0</v>
      </c>
      <c r="K4672">
        <v>5</v>
      </c>
      <c r="L4672">
        <v>0</v>
      </c>
      <c r="M4672">
        <v>0</v>
      </c>
      <c r="N4672">
        <v>0</v>
      </c>
      <c r="O4672">
        <v>0</v>
      </c>
      <c r="P4672">
        <v>0</v>
      </c>
      <c r="Q4672">
        <v>0</v>
      </c>
      <c r="R4672">
        <v>0</v>
      </c>
      <c r="S4672">
        <v>0</v>
      </c>
      <c r="T4672">
        <v>0</v>
      </c>
      <c r="U4672">
        <v>0</v>
      </c>
      <c r="V4672">
        <v>0</v>
      </c>
      <c r="W4672">
        <v>0</v>
      </c>
      <c r="X4672">
        <v>0</v>
      </c>
      <c r="Y4672" t="s">
        <v>31</v>
      </c>
      <c r="Z4672">
        <v>55</v>
      </c>
      <c r="AA4672">
        <v>614</v>
      </c>
    </row>
    <row r="4673" spans="1:27" x14ac:dyDescent="0.2">
      <c r="A4673" t="s">
        <v>547</v>
      </c>
      <c r="B4673">
        <v>2024</v>
      </c>
      <c r="C4673">
        <v>5538005015</v>
      </c>
      <c r="D4673" t="s">
        <v>5759</v>
      </c>
      <c r="E4673" t="s">
        <v>29</v>
      </c>
      <c r="F4673" t="s">
        <v>30</v>
      </c>
      <c r="G4673">
        <v>1</v>
      </c>
      <c r="H4673">
        <v>0</v>
      </c>
      <c r="I4673">
        <v>31</v>
      </c>
      <c r="J4673">
        <v>0</v>
      </c>
      <c r="K4673">
        <v>7</v>
      </c>
      <c r="L4673">
        <v>0</v>
      </c>
      <c r="M4673">
        <v>0</v>
      </c>
      <c r="N4673">
        <v>0</v>
      </c>
      <c r="O4673">
        <v>0</v>
      </c>
      <c r="P4673">
        <v>0</v>
      </c>
      <c r="Q4673">
        <v>0</v>
      </c>
      <c r="R4673">
        <v>0</v>
      </c>
      <c r="S4673">
        <v>0</v>
      </c>
      <c r="T4673">
        <v>0</v>
      </c>
      <c r="U4673">
        <v>0</v>
      </c>
      <c r="V4673">
        <v>0</v>
      </c>
      <c r="W4673">
        <v>0</v>
      </c>
      <c r="X4673">
        <v>0</v>
      </c>
      <c r="Y4673" t="s">
        <v>31</v>
      </c>
      <c r="Z4673">
        <v>55</v>
      </c>
      <c r="AA4673">
        <v>3</v>
      </c>
    </row>
    <row r="4674" spans="1:27" x14ac:dyDescent="0.2">
      <c r="A4674" t="s">
        <v>547</v>
      </c>
      <c r="B4674">
        <v>2024</v>
      </c>
      <c r="C4674">
        <v>5538020005</v>
      </c>
      <c r="D4674" t="s">
        <v>5760</v>
      </c>
      <c r="E4674" t="s">
        <v>29</v>
      </c>
      <c r="F4674" t="s">
        <v>30</v>
      </c>
      <c r="G4674">
        <v>1</v>
      </c>
      <c r="H4674">
        <v>0</v>
      </c>
      <c r="I4674">
        <v>103</v>
      </c>
      <c r="J4674">
        <v>0</v>
      </c>
      <c r="K4674">
        <v>23</v>
      </c>
      <c r="L4674">
        <v>0</v>
      </c>
      <c r="M4674">
        <v>0</v>
      </c>
      <c r="N4674">
        <v>0</v>
      </c>
      <c r="O4674">
        <v>0</v>
      </c>
      <c r="P4674">
        <v>0</v>
      </c>
      <c r="Q4674">
        <v>0</v>
      </c>
      <c r="R4674">
        <v>0</v>
      </c>
      <c r="S4674">
        <v>0</v>
      </c>
      <c r="T4674">
        <v>0</v>
      </c>
      <c r="U4674">
        <v>0</v>
      </c>
      <c r="V4674">
        <v>0</v>
      </c>
      <c r="W4674">
        <v>0</v>
      </c>
      <c r="X4674">
        <v>0</v>
      </c>
      <c r="Y4674" t="s">
        <v>31</v>
      </c>
      <c r="Z4674">
        <v>55</v>
      </c>
      <c r="AA4674">
        <v>172</v>
      </c>
    </row>
    <row r="4675" spans="1:27" x14ac:dyDescent="0.2">
      <c r="A4675" t="s">
        <v>547</v>
      </c>
      <c r="B4675">
        <v>2024</v>
      </c>
      <c r="C4675">
        <v>6005001022</v>
      </c>
      <c r="D4675" t="s">
        <v>5761</v>
      </c>
      <c r="E4675" t="s">
        <v>29</v>
      </c>
      <c r="F4675" t="s">
        <v>30</v>
      </c>
      <c r="G4675">
        <v>0</v>
      </c>
      <c r="H4675">
        <v>0</v>
      </c>
      <c r="I4675">
        <v>39</v>
      </c>
      <c r="J4675">
        <v>0</v>
      </c>
      <c r="K4675">
        <v>10</v>
      </c>
      <c r="L4675">
        <v>0</v>
      </c>
      <c r="M4675">
        <v>0</v>
      </c>
      <c r="N4675">
        <v>0</v>
      </c>
      <c r="O4675">
        <v>0</v>
      </c>
      <c r="P4675">
        <v>0</v>
      </c>
      <c r="Q4675">
        <v>0</v>
      </c>
      <c r="R4675">
        <v>0</v>
      </c>
      <c r="S4675">
        <v>0</v>
      </c>
      <c r="T4675">
        <v>0</v>
      </c>
      <c r="U4675">
        <v>0</v>
      </c>
      <c r="V4675">
        <v>0</v>
      </c>
      <c r="W4675">
        <v>0</v>
      </c>
      <c r="X4675">
        <v>0</v>
      </c>
      <c r="Y4675" t="s">
        <v>31</v>
      </c>
      <c r="Z4675">
        <v>55</v>
      </c>
      <c r="AA4675">
        <v>108</v>
      </c>
    </row>
    <row r="4676" spans="1:27" x14ac:dyDescent="0.2">
      <c r="A4676" t="s">
        <v>547</v>
      </c>
      <c r="B4676">
        <v>2024</v>
      </c>
      <c r="C4676">
        <v>6031005005</v>
      </c>
      <c r="D4676" t="s">
        <v>5762</v>
      </c>
      <c r="E4676" t="s">
        <v>29</v>
      </c>
      <c r="F4676" t="s">
        <v>30</v>
      </c>
      <c r="G4676">
        <v>0</v>
      </c>
      <c r="H4676">
        <v>0</v>
      </c>
      <c r="I4676">
        <v>65</v>
      </c>
      <c r="J4676">
        <v>0</v>
      </c>
      <c r="K4676">
        <v>8</v>
      </c>
      <c r="L4676">
        <v>0</v>
      </c>
      <c r="M4676">
        <v>0</v>
      </c>
      <c r="N4676">
        <v>0</v>
      </c>
      <c r="O4676">
        <v>0</v>
      </c>
      <c r="P4676">
        <v>0</v>
      </c>
      <c r="Q4676">
        <v>0</v>
      </c>
      <c r="R4676">
        <v>0</v>
      </c>
      <c r="S4676">
        <v>0</v>
      </c>
      <c r="T4676">
        <v>0</v>
      </c>
      <c r="U4676">
        <v>0</v>
      </c>
      <c r="V4676">
        <v>0</v>
      </c>
      <c r="W4676">
        <v>0</v>
      </c>
      <c r="X4676">
        <v>0</v>
      </c>
      <c r="Y4676" t="s">
        <v>31</v>
      </c>
      <c r="Z4676">
        <v>55</v>
      </c>
      <c r="AA4676">
        <v>117</v>
      </c>
    </row>
    <row r="4677" spans="1:27" x14ac:dyDescent="0.2">
      <c r="A4677" t="s">
        <v>547</v>
      </c>
      <c r="B4677">
        <v>2024</v>
      </c>
      <c r="C4677">
        <v>2023004015</v>
      </c>
      <c r="D4677" t="s">
        <v>5763</v>
      </c>
      <c r="E4677" t="s">
        <v>29</v>
      </c>
      <c r="F4677" t="s">
        <v>30</v>
      </c>
      <c r="G4677">
        <v>0</v>
      </c>
      <c r="H4677">
        <v>0</v>
      </c>
      <c r="I4677">
        <v>22</v>
      </c>
      <c r="J4677">
        <v>0</v>
      </c>
      <c r="K4677">
        <v>6</v>
      </c>
      <c r="L4677">
        <v>0</v>
      </c>
      <c r="M4677">
        <v>0</v>
      </c>
      <c r="N4677">
        <v>0</v>
      </c>
      <c r="O4677">
        <v>0</v>
      </c>
      <c r="P4677">
        <v>0</v>
      </c>
      <c r="Q4677">
        <v>0</v>
      </c>
      <c r="R4677">
        <v>0</v>
      </c>
      <c r="S4677">
        <v>0</v>
      </c>
      <c r="T4677">
        <v>0</v>
      </c>
      <c r="U4677">
        <v>0</v>
      </c>
      <c r="V4677">
        <v>0</v>
      </c>
      <c r="W4677">
        <v>0</v>
      </c>
      <c r="X4677">
        <v>0</v>
      </c>
      <c r="Y4677" t="s">
        <v>31</v>
      </c>
      <c r="Z4677">
        <v>55</v>
      </c>
      <c r="AA4677">
        <v>123</v>
      </c>
    </row>
    <row r="4678" spans="1:27" x14ac:dyDescent="0.2">
      <c r="A4678" t="s">
        <v>547</v>
      </c>
      <c r="B4678">
        <v>2024</v>
      </c>
      <c r="C4678">
        <v>2314006012</v>
      </c>
      <c r="D4678" t="s">
        <v>5764</v>
      </c>
      <c r="E4678" t="s">
        <v>29</v>
      </c>
      <c r="F4678" t="s">
        <v>30</v>
      </c>
      <c r="G4678">
        <v>1</v>
      </c>
      <c r="H4678">
        <v>0</v>
      </c>
      <c r="I4678">
        <v>30</v>
      </c>
      <c r="J4678">
        <v>0</v>
      </c>
      <c r="K4678">
        <v>7</v>
      </c>
      <c r="L4678">
        <v>0</v>
      </c>
      <c r="M4678">
        <v>0</v>
      </c>
      <c r="N4678">
        <v>0</v>
      </c>
      <c r="O4678">
        <v>0</v>
      </c>
      <c r="P4678">
        <v>0</v>
      </c>
      <c r="Q4678">
        <v>0</v>
      </c>
      <c r="R4678">
        <v>0</v>
      </c>
      <c r="S4678">
        <v>0</v>
      </c>
      <c r="T4678">
        <v>0</v>
      </c>
      <c r="U4678">
        <v>0</v>
      </c>
      <c r="V4678">
        <v>0</v>
      </c>
      <c r="W4678">
        <v>0</v>
      </c>
      <c r="X4678">
        <v>0</v>
      </c>
      <c r="Y4678" t="s">
        <v>31</v>
      </c>
      <c r="Z4678">
        <v>55</v>
      </c>
      <c r="AA4678">
        <v>260</v>
      </c>
    </row>
    <row r="4679" spans="1:27" x14ac:dyDescent="0.2">
      <c r="A4679" t="s">
        <v>547</v>
      </c>
      <c r="B4679">
        <v>2024</v>
      </c>
      <c r="C4679">
        <v>2320025019</v>
      </c>
      <c r="D4679" t="s">
        <v>5765</v>
      </c>
      <c r="E4679" t="s">
        <v>29</v>
      </c>
      <c r="F4679" t="s">
        <v>30</v>
      </c>
      <c r="G4679">
        <v>0</v>
      </c>
      <c r="H4679">
        <v>0</v>
      </c>
      <c r="I4679">
        <v>35</v>
      </c>
      <c r="J4679">
        <v>0</v>
      </c>
      <c r="K4679">
        <v>9</v>
      </c>
      <c r="L4679">
        <v>0</v>
      </c>
      <c r="M4679">
        <v>0</v>
      </c>
      <c r="N4679">
        <v>0</v>
      </c>
      <c r="O4679">
        <v>0</v>
      </c>
      <c r="P4679">
        <v>0</v>
      </c>
      <c r="Q4679">
        <v>0</v>
      </c>
      <c r="R4679">
        <v>0</v>
      </c>
      <c r="S4679">
        <v>0</v>
      </c>
      <c r="T4679">
        <v>0</v>
      </c>
      <c r="U4679">
        <v>0</v>
      </c>
      <c r="V4679">
        <v>0</v>
      </c>
      <c r="W4679">
        <v>0</v>
      </c>
      <c r="X4679">
        <v>0</v>
      </c>
      <c r="Y4679" t="s">
        <v>31</v>
      </c>
      <c r="Z4679">
        <v>55</v>
      </c>
      <c r="AA4679">
        <v>35</v>
      </c>
    </row>
    <row r="4680" spans="1:27" x14ac:dyDescent="0.2">
      <c r="A4680" t="s">
        <v>547</v>
      </c>
      <c r="B4680">
        <v>2024</v>
      </c>
      <c r="C4680">
        <v>2423003013</v>
      </c>
      <c r="D4680" t="s">
        <v>5766</v>
      </c>
      <c r="E4680" t="s">
        <v>29</v>
      </c>
      <c r="F4680" t="s">
        <v>30</v>
      </c>
      <c r="G4680">
        <v>1</v>
      </c>
      <c r="H4680">
        <v>0</v>
      </c>
      <c r="I4680">
        <v>0</v>
      </c>
      <c r="J4680">
        <v>0</v>
      </c>
      <c r="K4680">
        <v>0</v>
      </c>
      <c r="L4680">
        <v>0</v>
      </c>
      <c r="M4680">
        <v>0</v>
      </c>
      <c r="N4680">
        <v>0</v>
      </c>
      <c r="O4680">
        <v>0</v>
      </c>
      <c r="P4680">
        <v>0</v>
      </c>
      <c r="Q4680">
        <v>0</v>
      </c>
      <c r="R4680">
        <v>0</v>
      </c>
      <c r="S4680">
        <v>0</v>
      </c>
      <c r="T4680">
        <v>0</v>
      </c>
      <c r="U4680">
        <v>0</v>
      </c>
      <c r="V4680">
        <v>0</v>
      </c>
      <c r="W4680">
        <v>0</v>
      </c>
      <c r="X4680">
        <v>0</v>
      </c>
      <c r="Y4680" t="s">
        <v>31</v>
      </c>
      <c r="Z4680">
        <v>55</v>
      </c>
      <c r="AA4680">
        <v>25</v>
      </c>
    </row>
    <row r="4681" spans="1:27" x14ac:dyDescent="0.2">
      <c r="A4681" t="s">
        <v>547</v>
      </c>
      <c r="B4681">
        <v>2024</v>
      </c>
      <c r="C4681">
        <v>2536015012</v>
      </c>
      <c r="D4681" t="s">
        <v>5767</v>
      </c>
      <c r="E4681" t="s">
        <v>29</v>
      </c>
      <c r="F4681" t="s">
        <v>30</v>
      </c>
      <c r="G4681">
        <v>1</v>
      </c>
      <c r="H4681">
        <v>0</v>
      </c>
      <c r="I4681">
        <v>102</v>
      </c>
      <c r="J4681">
        <v>0</v>
      </c>
      <c r="K4681">
        <v>25</v>
      </c>
      <c r="L4681">
        <v>0</v>
      </c>
      <c r="M4681">
        <v>0</v>
      </c>
      <c r="N4681">
        <v>0</v>
      </c>
      <c r="O4681">
        <v>0</v>
      </c>
      <c r="P4681">
        <v>0</v>
      </c>
      <c r="Q4681">
        <v>0</v>
      </c>
      <c r="R4681">
        <v>0</v>
      </c>
      <c r="S4681">
        <v>0</v>
      </c>
      <c r="T4681">
        <v>0</v>
      </c>
      <c r="U4681">
        <v>0</v>
      </c>
      <c r="V4681">
        <v>0</v>
      </c>
      <c r="W4681">
        <v>0</v>
      </c>
      <c r="X4681">
        <v>0</v>
      </c>
      <c r="Y4681" t="s">
        <v>31</v>
      </c>
      <c r="Z4681">
        <v>55</v>
      </c>
      <c r="AA4681">
        <v>821</v>
      </c>
    </row>
    <row r="4682" spans="1:27" x14ac:dyDescent="0.2">
      <c r="A4682" t="s">
        <v>547</v>
      </c>
      <c r="B4682">
        <v>2024</v>
      </c>
      <c r="C4682">
        <v>4236019024</v>
      </c>
      <c r="D4682" t="s">
        <v>5768</v>
      </c>
      <c r="E4682" t="s">
        <v>29</v>
      </c>
      <c r="F4682" t="s">
        <v>30</v>
      </c>
      <c r="G4682">
        <v>4</v>
      </c>
      <c r="H4682">
        <v>0</v>
      </c>
      <c r="I4682">
        <v>0</v>
      </c>
      <c r="J4682">
        <v>0</v>
      </c>
      <c r="K4682">
        <v>0</v>
      </c>
      <c r="L4682">
        <v>0</v>
      </c>
      <c r="M4682">
        <v>0</v>
      </c>
      <c r="N4682">
        <v>0</v>
      </c>
      <c r="O4682">
        <v>0</v>
      </c>
      <c r="P4682">
        <v>0</v>
      </c>
      <c r="Q4682">
        <v>0</v>
      </c>
      <c r="R4682">
        <v>0</v>
      </c>
      <c r="S4682">
        <v>0</v>
      </c>
      <c r="T4682">
        <v>0</v>
      </c>
      <c r="U4682">
        <v>0</v>
      </c>
      <c r="V4682">
        <v>0</v>
      </c>
      <c r="W4682">
        <v>0</v>
      </c>
      <c r="X4682">
        <v>0</v>
      </c>
      <c r="Y4682" t="s">
        <v>31</v>
      </c>
      <c r="Z4682">
        <v>55</v>
      </c>
      <c r="AA4682">
        <v>90</v>
      </c>
    </row>
    <row r="4683" spans="1:27" x14ac:dyDescent="0.2">
      <c r="A4683" t="s">
        <v>547</v>
      </c>
      <c r="B4683">
        <v>2024</v>
      </c>
      <c r="C4683">
        <v>4265014037</v>
      </c>
      <c r="D4683" t="s">
        <v>5769</v>
      </c>
      <c r="E4683" t="s">
        <v>29</v>
      </c>
      <c r="F4683" t="s">
        <v>30</v>
      </c>
      <c r="G4683">
        <v>9</v>
      </c>
      <c r="H4683">
        <v>0</v>
      </c>
      <c r="I4683">
        <v>0</v>
      </c>
      <c r="J4683">
        <v>0</v>
      </c>
      <c r="K4683">
        <v>0</v>
      </c>
      <c r="L4683">
        <v>0</v>
      </c>
      <c r="M4683">
        <v>0</v>
      </c>
      <c r="N4683">
        <v>0</v>
      </c>
      <c r="O4683">
        <v>0</v>
      </c>
      <c r="P4683">
        <v>0</v>
      </c>
      <c r="Q4683">
        <v>0</v>
      </c>
      <c r="R4683">
        <v>0</v>
      </c>
      <c r="S4683">
        <v>0</v>
      </c>
      <c r="T4683">
        <v>0</v>
      </c>
      <c r="U4683">
        <v>0</v>
      </c>
      <c r="V4683">
        <v>0</v>
      </c>
      <c r="W4683">
        <v>0</v>
      </c>
      <c r="X4683">
        <v>0</v>
      </c>
      <c r="Y4683" t="s">
        <v>31</v>
      </c>
      <c r="Z4683">
        <v>55</v>
      </c>
      <c r="AA4683">
        <v>35</v>
      </c>
    </row>
    <row r="4684" spans="1:27" x14ac:dyDescent="0.2">
      <c r="A4684" t="s">
        <v>547</v>
      </c>
      <c r="B4684">
        <v>2024</v>
      </c>
      <c r="C4684">
        <v>4326026022</v>
      </c>
      <c r="D4684" t="s">
        <v>5770</v>
      </c>
      <c r="E4684" t="s">
        <v>29</v>
      </c>
      <c r="F4684" t="s">
        <v>30</v>
      </c>
      <c r="G4684">
        <v>4</v>
      </c>
      <c r="H4684">
        <v>0</v>
      </c>
      <c r="I4684">
        <v>0</v>
      </c>
      <c r="J4684">
        <v>0</v>
      </c>
      <c r="K4684">
        <v>0</v>
      </c>
      <c r="L4684">
        <v>0</v>
      </c>
      <c r="M4684">
        <v>0</v>
      </c>
      <c r="N4684">
        <v>0</v>
      </c>
      <c r="O4684">
        <v>0</v>
      </c>
      <c r="P4684">
        <v>0</v>
      </c>
      <c r="Q4684">
        <v>0</v>
      </c>
      <c r="R4684">
        <v>0</v>
      </c>
      <c r="S4684">
        <v>0</v>
      </c>
      <c r="T4684">
        <v>0</v>
      </c>
      <c r="U4684">
        <v>0</v>
      </c>
      <c r="V4684">
        <v>0</v>
      </c>
      <c r="W4684">
        <v>0</v>
      </c>
      <c r="X4684">
        <v>0</v>
      </c>
      <c r="Y4684" t="s">
        <v>31</v>
      </c>
      <c r="Z4684">
        <v>55</v>
      </c>
      <c r="AA4684">
        <v>65</v>
      </c>
    </row>
    <row r="4685" spans="1:27" x14ac:dyDescent="0.2">
      <c r="A4685" t="s">
        <v>547</v>
      </c>
      <c r="B4685">
        <v>2024</v>
      </c>
      <c r="C4685">
        <v>5018023054</v>
      </c>
      <c r="D4685" t="s">
        <v>5771</v>
      </c>
      <c r="E4685" t="s">
        <v>29</v>
      </c>
      <c r="F4685" t="s">
        <v>30</v>
      </c>
      <c r="G4685">
        <v>0</v>
      </c>
      <c r="H4685">
        <v>0</v>
      </c>
      <c r="I4685">
        <v>95</v>
      </c>
      <c r="J4685">
        <v>0</v>
      </c>
      <c r="K4685">
        <v>24</v>
      </c>
      <c r="L4685">
        <v>0</v>
      </c>
      <c r="M4685">
        <v>0</v>
      </c>
      <c r="N4685">
        <v>0</v>
      </c>
      <c r="O4685">
        <v>0</v>
      </c>
      <c r="P4685">
        <v>0</v>
      </c>
      <c r="Q4685">
        <v>0</v>
      </c>
      <c r="R4685">
        <v>0</v>
      </c>
      <c r="S4685">
        <v>0</v>
      </c>
      <c r="T4685">
        <v>0</v>
      </c>
      <c r="U4685">
        <v>0</v>
      </c>
      <c r="V4685">
        <v>0</v>
      </c>
      <c r="W4685">
        <v>0</v>
      </c>
      <c r="X4685">
        <v>0</v>
      </c>
      <c r="Y4685" t="s">
        <v>31</v>
      </c>
      <c r="Z4685">
        <v>55</v>
      </c>
      <c r="AA4685">
        <v>287</v>
      </c>
    </row>
    <row r="4686" spans="1:27" x14ac:dyDescent="0.2">
      <c r="A4686" t="s">
        <v>547</v>
      </c>
      <c r="B4686">
        <v>2024</v>
      </c>
      <c r="C4686">
        <v>5040021006</v>
      </c>
      <c r="D4686" t="s">
        <v>5772</v>
      </c>
      <c r="E4686" t="s">
        <v>29</v>
      </c>
      <c r="F4686" t="s">
        <v>30</v>
      </c>
      <c r="G4686">
        <v>1</v>
      </c>
      <c r="H4686">
        <v>0</v>
      </c>
      <c r="I4686">
        <v>53</v>
      </c>
      <c r="J4686">
        <v>0</v>
      </c>
      <c r="K4686">
        <v>14</v>
      </c>
      <c r="L4686">
        <v>0</v>
      </c>
      <c r="M4686">
        <v>0</v>
      </c>
      <c r="N4686">
        <v>0</v>
      </c>
      <c r="O4686">
        <v>0</v>
      </c>
      <c r="P4686">
        <v>0</v>
      </c>
      <c r="Q4686">
        <v>0</v>
      </c>
      <c r="R4686">
        <v>0</v>
      </c>
      <c r="S4686">
        <v>0</v>
      </c>
      <c r="T4686">
        <v>0</v>
      </c>
      <c r="U4686">
        <v>0</v>
      </c>
      <c r="V4686">
        <v>0</v>
      </c>
      <c r="W4686">
        <v>0</v>
      </c>
      <c r="X4686">
        <v>0</v>
      </c>
      <c r="Y4686" t="s">
        <v>31</v>
      </c>
      <c r="Z4686">
        <v>55</v>
      </c>
      <c r="AA4686">
        <v>87</v>
      </c>
    </row>
    <row r="4687" spans="1:27" x14ac:dyDescent="0.2">
      <c r="A4687" t="s">
        <v>547</v>
      </c>
      <c r="B4687">
        <v>2024</v>
      </c>
      <c r="C4687">
        <v>5046007017</v>
      </c>
      <c r="D4687" t="s">
        <v>5773</v>
      </c>
      <c r="E4687" t="s">
        <v>29</v>
      </c>
      <c r="F4687" t="s">
        <v>30</v>
      </c>
      <c r="G4687">
        <v>2</v>
      </c>
      <c r="H4687">
        <v>0</v>
      </c>
      <c r="I4687">
        <v>38</v>
      </c>
      <c r="J4687">
        <v>0</v>
      </c>
      <c r="K4687">
        <v>7</v>
      </c>
      <c r="L4687">
        <v>0</v>
      </c>
      <c r="M4687">
        <v>0</v>
      </c>
      <c r="N4687">
        <v>0</v>
      </c>
      <c r="O4687">
        <v>0</v>
      </c>
      <c r="P4687">
        <v>0</v>
      </c>
      <c r="Q4687">
        <v>0</v>
      </c>
      <c r="R4687">
        <v>0</v>
      </c>
      <c r="S4687">
        <v>0</v>
      </c>
      <c r="T4687">
        <v>0</v>
      </c>
      <c r="U4687">
        <v>0</v>
      </c>
      <c r="V4687">
        <v>0</v>
      </c>
      <c r="W4687">
        <v>0</v>
      </c>
      <c r="X4687">
        <v>0</v>
      </c>
      <c r="Y4687" t="s">
        <v>31</v>
      </c>
      <c r="Z4687">
        <v>55</v>
      </c>
      <c r="AA4687">
        <v>586</v>
      </c>
    </row>
    <row r="4688" spans="1:27" x14ac:dyDescent="0.2">
      <c r="A4688" t="s">
        <v>547</v>
      </c>
      <c r="B4688">
        <v>2024</v>
      </c>
      <c r="C4688">
        <v>5046015031</v>
      </c>
      <c r="D4688" t="s">
        <v>5774</v>
      </c>
      <c r="E4688" t="s">
        <v>29</v>
      </c>
      <c r="F4688" t="s">
        <v>30</v>
      </c>
      <c r="G4688">
        <v>0</v>
      </c>
      <c r="H4688">
        <v>0</v>
      </c>
      <c r="I4688">
        <v>42</v>
      </c>
      <c r="J4688">
        <v>0</v>
      </c>
      <c r="K4688">
        <v>11</v>
      </c>
      <c r="L4688">
        <v>0</v>
      </c>
      <c r="M4688">
        <v>0</v>
      </c>
      <c r="N4688">
        <v>0</v>
      </c>
      <c r="O4688">
        <v>0</v>
      </c>
      <c r="P4688">
        <v>0</v>
      </c>
      <c r="Q4688">
        <v>0</v>
      </c>
      <c r="R4688">
        <v>0</v>
      </c>
      <c r="S4688">
        <v>0</v>
      </c>
      <c r="T4688">
        <v>0</v>
      </c>
      <c r="U4688">
        <v>0</v>
      </c>
      <c r="V4688">
        <v>0</v>
      </c>
      <c r="W4688">
        <v>0</v>
      </c>
      <c r="X4688">
        <v>0</v>
      </c>
      <c r="Y4688" t="s">
        <v>31</v>
      </c>
      <c r="Z4688">
        <v>55</v>
      </c>
      <c r="AA4688">
        <v>500</v>
      </c>
    </row>
    <row r="4689" spans="1:27" x14ac:dyDescent="0.2">
      <c r="A4689" t="s">
        <v>436</v>
      </c>
      <c r="B4689">
        <v>2024</v>
      </c>
      <c r="C4689" t="s">
        <v>437</v>
      </c>
      <c r="D4689" t="s">
        <v>741</v>
      </c>
      <c r="E4689" t="s">
        <v>29</v>
      </c>
      <c r="F4689" t="s">
        <v>30</v>
      </c>
      <c r="G4689">
        <v>0</v>
      </c>
      <c r="H4689">
        <v>0</v>
      </c>
      <c r="I4689">
        <v>0</v>
      </c>
      <c r="J4689">
        <v>0</v>
      </c>
      <c r="K4689">
        <v>0</v>
      </c>
      <c r="L4689">
        <v>0</v>
      </c>
      <c r="M4689">
        <v>0</v>
      </c>
      <c r="N4689">
        <v>0</v>
      </c>
      <c r="O4689">
        <v>0</v>
      </c>
      <c r="P4689">
        <v>0</v>
      </c>
      <c r="Q4689">
        <v>0</v>
      </c>
      <c r="R4689">
        <v>0</v>
      </c>
      <c r="S4689">
        <v>6</v>
      </c>
      <c r="T4689">
        <v>0</v>
      </c>
      <c r="U4689">
        <v>18</v>
      </c>
      <c r="V4689">
        <v>0</v>
      </c>
      <c r="W4689">
        <v>0</v>
      </c>
      <c r="X4689">
        <v>0</v>
      </c>
      <c r="Y4689" t="s">
        <v>31</v>
      </c>
      <c r="AA4689" s="2" t="s">
        <v>3358</v>
      </c>
    </row>
    <row r="4690" spans="1:27" x14ac:dyDescent="0.2">
      <c r="A4690" t="s">
        <v>436</v>
      </c>
      <c r="B4690">
        <v>2024</v>
      </c>
      <c r="C4690" t="s">
        <v>437</v>
      </c>
      <c r="D4690" t="s">
        <v>439</v>
      </c>
      <c r="E4690" t="s">
        <v>29</v>
      </c>
      <c r="F4690" t="s">
        <v>30</v>
      </c>
      <c r="G4690">
        <v>0</v>
      </c>
      <c r="H4690">
        <v>0</v>
      </c>
      <c r="I4690">
        <v>0</v>
      </c>
      <c r="J4690">
        <v>0</v>
      </c>
      <c r="K4690">
        <v>0</v>
      </c>
      <c r="L4690">
        <v>0</v>
      </c>
      <c r="M4690">
        <v>0</v>
      </c>
      <c r="N4690">
        <v>0</v>
      </c>
      <c r="O4690">
        <v>0</v>
      </c>
      <c r="P4690">
        <v>0</v>
      </c>
      <c r="Q4690">
        <v>0</v>
      </c>
      <c r="R4690">
        <v>0</v>
      </c>
      <c r="S4690">
        <v>6</v>
      </c>
      <c r="T4690">
        <v>0</v>
      </c>
      <c r="U4690">
        <v>18</v>
      </c>
      <c r="V4690">
        <v>0</v>
      </c>
      <c r="W4690">
        <v>0</v>
      </c>
      <c r="X4690">
        <v>0</v>
      </c>
      <c r="Y4690" t="s">
        <v>31</v>
      </c>
      <c r="AA4690" s="2" t="s">
        <v>3358</v>
      </c>
    </row>
    <row r="4691" spans="1:27" x14ac:dyDescent="0.2">
      <c r="A4691" t="s">
        <v>547</v>
      </c>
      <c r="B4691">
        <v>2024</v>
      </c>
      <c r="C4691">
        <v>5159020013</v>
      </c>
      <c r="D4691" t="s">
        <v>5775</v>
      </c>
      <c r="E4691" t="s">
        <v>29</v>
      </c>
      <c r="F4691" t="s">
        <v>30</v>
      </c>
      <c r="G4691">
        <v>151</v>
      </c>
      <c r="H4691">
        <v>0</v>
      </c>
      <c r="I4691">
        <v>0</v>
      </c>
      <c r="J4691">
        <v>0</v>
      </c>
      <c r="K4691">
        <v>37</v>
      </c>
      <c r="L4691">
        <v>0</v>
      </c>
      <c r="M4691">
        <v>0</v>
      </c>
      <c r="N4691">
        <v>0</v>
      </c>
      <c r="O4691">
        <v>0</v>
      </c>
      <c r="P4691">
        <v>0</v>
      </c>
      <c r="Q4691">
        <v>0</v>
      </c>
      <c r="R4691">
        <v>0</v>
      </c>
      <c r="S4691">
        <v>0</v>
      </c>
      <c r="T4691">
        <v>0</v>
      </c>
      <c r="U4691">
        <v>0</v>
      </c>
      <c r="V4691">
        <v>0</v>
      </c>
      <c r="W4691">
        <v>0</v>
      </c>
      <c r="X4691">
        <v>0</v>
      </c>
      <c r="Y4691" t="s">
        <v>31</v>
      </c>
      <c r="Z4691">
        <v>55</v>
      </c>
      <c r="AA4691">
        <v>931</v>
      </c>
    </row>
    <row r="4692" spans="1:27" x14ac:dyDescent="0.2">
      <c r="A4692" t="s">
        <v>547</v>
      </c>
      <c r="B4692">
        <v>2024</v>
      </c>
      <c r="C4692">
        <v>5402028023</v>
      </c>
      <c r="D4692" t="s">
        <v>5776</v>
      </c>
      <c r="E4692" t="s">
        <v>29</v>
      </c>
      <c r="F4692" t="s">
        <v>30</v>
      </c>
      <c r="G4692">
        <v>6</v>
      </c>
      <c r="H4692">
        <v>0</v>
      </c>
      <c r="I4692">
        <v>98</v>
      </c>
      <c r="J4692">
        <v>0</v>
      </c>
      <c r="K4692">
        <v>27</v>
      </c>
      <c r="L4692">
        <v>0</v>
      </c>
      <c r="M4692">
        <v>0</v>
      </c>
      <c r="N4692">
        <v>0</v>
      </c>
      <c r="O4692">
        <v>0</v>
      </c>
      <c r="P4692">
        <v>0</v>
      </c>
      <c r="Q4692">
        <v>0</v>
      </c>
      <c r="R4692">
        <v>0</v>
      </c>
      <c r="S4692">
        <v>0</v>
      </c>
      <c r="T4692">
        <v>0</v>
      </c>
      <c r="U4692">
        <v>0</v>
      </c>
      <c r="V4692">
        <v>0</v>
      </c>
      <c r="W4692">
        <v>0</v>
      </c>
      <c r="X4692">
        <v>0</v>
      </c>
      <c r="Y4692" t="s">
        <v>31</v>
      </c>
      <c r="Z4692">
        <v>55</v>
      </c>
      <c r="AA4692">
        <v>1622</v>
      </c>
    </row>
    <row r="4693" spans="1:27" x14ac:dyDescent="0.2">
      <c r="A4693" t="s">
        <v>547</v>
      </c>
      <c r="B4693">
        <v>2024</v>
      </c>
      <c r="C4693">
        <v>5535029008</v>
      </c>
      <c r="D4693" t="s">
        <v>5777</v>
      </c>
      <c r="E4693" t="s">
        <v>29</v>
      </c>
      <c r="F4693" t="s">
        <v>30</v>
      </c>
      <c r="G4693">
        <v>0</v>
      </c>
      <c r="H4693">
        <v>0</v>
      </c>
      <c r="I4693">
        <v>31</v>
      </c>
      <c r="J4693">
        <v>0</v>
      </c>
      <c r="K4693">
        <v>8</v>
      </c>
      <c r="L4693">
        <v>0</v>
      </c>
      <c r="M4693">
        <v>0</v>
      </c>
      <c r="N4693">
        <v>0</v>
      </c>
      <c r="O4693">
        <v>0</v>
      </c>
      <c r="P4693">
        <v>0</v>
      </c>
      <c r="Q4693">
        <v>0</v>
      </c>
      <c r="R4693">
        <v>0</v>
      </c>
      <c r="S4693">
        <v>0</v>
      </c>
      <c r="T4693">
        <v>0</v>
      </c>
      <c r="U4693">
        <v>0</v>
      </c>
      <c r="V4693">
        <v>0</v>
      </c>
      <c r="W4693">
        <v>0</v>
      </c>
      <c r="X4693">
        <v>0</v>
      </c>
      <c r="Y4693" t="s">
        <v>31</v>
      </c>
      <c r="Z4693">
        <v>55</v>
      </c>
      <c r="AA4693">
        <v>122</v>
      </c>
    </row>
    <row r="4694" spans="1:27" x14ac:dyDescent="0.2">
      <c r="A4694" t="s">
        <v>547</v>
      </c>
      <c r="B4694">
        <v>2024</v>
      </c>
      <c r="C4694">
        <v>5586031004</v>
      </c>
      <c r="D4694" t="s">
        <v>5778</v>
      </c>
      <c r="E4694" t="s">
        <v>29</v>
      </c>
      <c r="F4694" t="s">
        <v>30</v>
      </c>
      <c r="G4694">
        <v>0</v>
      </c>
      <c r="H4694">
        <v>0</v>
      </c>
      <c r="I4694">
        <v>85</v>
      </c>
      <c r="J4694">
        <v>0</v>
      </c>
      <c r="K4694">
        <v>21</v>
      </c>
      <c r="L4694">
        <v>0</v>
      </c>
      <c r="M4694">
        <v>0</v>
      </c>
      <c r="N4694">
        <v>0</v>
      </c>
      <c r="O4694">
        <v>0</v>
      </c>
      <c r="P4694">
        <v>0</v>
      </c>
      <c r="Q4694">
        <v>0</v>
      </c>
      <c r="R4694">
        <v>0</v>
      </c>
      <c r="S4694">
        <v>0</v>
      </c>
      <c r="T4694">
        <v>0</v>
      </c>
      <c r="U4694">
        <v>0</v>
      </c>
      <c r="V4694">
        <v>0</v>
      </c>
      <c r="W4694">
        <v>0</v>
      </c>
      <c r="X4694">
        <v>0</v>
      </c>
      <c r="Y4694" t="s">
        <v>31</v>
      </c>
      <c r="Z4694">
        <v>55</v>
      </c>
      <c r="AA4694">
        <v>567</v>
      </c>
    </row>
    <row r="4695" spans="1:27" x14ac:dyDescent="0.2">
      <c r="A4695" t="s">
        <v>547</v>
      </c>
      <c r="B4695">
        <v>2024</v>
      </c>
      <c r="C4695">
        <v>7347014013</v>
      </c>
      <c r="D4695" t="s">
        <v>5779</v>
      </c>
      <c r="E4695" t="s">
        <v>29</v>
      </c>
      <c r="F4695" t="s">
        <v>30</v>
      </c>
      <c r="G4695">
        <v>0</v>
      </c>
      <c r="H4695">
        <v>0</v>
      </c>
      <c r="I4695">
        <v>15</v>
      </c>
      <c r="J4695">
        <v>0</v>
      </c>
      <c r="K4695">
        <v>5</v>
      </c>
      <c r="L4695">
        <v>0</v>
      </c>
      <c r="M4695">
        <v>0</v>
      </c>
      <c r="N4695">
        <v>0</v>
      </c>
      <c r="O4695">
        <v>0</v>
      </c>
      <c r="P4695">
        <v>0</v>
      </c>
      <c r="Q4695">
        <v>0</v>
      </c>
      <c r="R4695">
        <v>0</v>
      </c>
      <c r="S4695">
        <v>0</v>
      </c>
      <c r="T4695">
        <v>0</v>
      </c>
      <c r="U4695">
        <v>0</v>
      </c>
      <c r="V4695">
        <v>0</v>
      </c>
      <c r="W4695">
        <v>0</v>
      </c>
      <c r="X4695">
        <v>0</v>
      </c>
      <c r="Y4695" t="s">
        <v>31</v>
      </c>
      <c r="Z4695">
        <v>55</v>
      </c>
      <c r="AA4695">
        <v>5</v>
      </c>
    </row>
    <row r="4696" spans="1:27" x14ac:dyDescent="0.2">
      <c r="A4696" t="s">
        <v>547</v>
      </c>
      <c r="B4696">
        <v>2024</v>
      </c>
      <c r="C4696">
        <v>2320025021</v>
      </c>
      <c r="D4696" t="s">
        <v>5780</v>
      </c>
      <c r="E4696" t="s">
        <v>29</v>
      </c>
      <c r="F4696" t="s">
        <v>30</v>
      </c>
      <c r="G4696">
        <v>2</v>
      </c>
      <c r="H4696">
        <v>0</v>
      </c>
      <c r="I4696">
        <v>13</v>
      </c>
      <c r="J4696">
        <v>0</v>
      </c>
      <c r="K4696">
        <v>0</v>
      </c>
      <c r="L4696">
        <v>0</v>
      </c>
      <c r="M4696">
        <v>2</v>
      </c>
      <c r="N4696">
        <v>0</v>
      </c>
      <c r="O4696">
        <v>13</v>
      </c>
      <c r="P4696">
        <v>0</v>
      </c>
      <c r="Q4696">
        <v>1</v>
      </c>
      <c r="R4696">
        <v>0</v>
      </c>
      <c r="S4696">
        <v>0</v>
      </c>
      <c r="T4696">
        <v>0</v>
      </c>
      <c r="U4696">
        <v>0</v>
      </c>
      <c r="V4696">
        <v>0</v>
      </c>
      <c r="W4696">
        <v>0</v>
      </c>
      <c r="X4696">
        <v>0</v>
      </c>
      <c r="Y4696" t="s">
        <v>31</v>
      </c>
      <c r="Z4696">
        <v>55</v>
      </c>
      <c r="AA4696">
        <v>300</v>
      </c>
    </row>
    <row r="4697" spans="1:27" x14ac:dyDescent="0.2">
      <c r="A4697" t="s">
        <v>5115</v>
      </c>
      <c r="B4697">
        <v>2024</v>
      </c>
      <c r="C4697" t="s">
        <v>5781</v>
      </c>
      <c r="D4697" t="s">
        <v>5782</v>
      </c>
      <c r="E4697" t="s">
        <v>29</v>
      </c>
      <c r="F4697" t="s">
        <v>30</v>
      </c>
      <c r="G4697">
        <v>0</v>
      </c>
      <c r="H4697">
        <v>0</v>
      </c>
      <c r="I4697">
        <v>3</v>
      </c>
      <c r="J4697">
        <v>0</v>
      </c>
      <c r="K4697">
        <v>1</v>
      </c>
      <c r="L4697">
        <v>0</v>
      </c>
      <c r="M4697">
        <v>0</v>
      </c>
      <c r="N4697">
        <v>0</v>
      </c>
      <c r="O4697">
        <v>0</v>
      </c>
      <c r="P4697">
        <v>0</v>
      </c>
      <c r="Q4697">
        <v>0</v>
      </c>
      <c r="R4697">
        <v>0</v>
      </c>
      <c r="S4697">
        <v>0</v>
      </c>
      <c r="T4697">
        <v>0</v>
      </c>
      <c r="U4697">
        <v>0</v>
      </c>
      <c r="V4697">
        <v>0</v>
      </c>
      <c r="W4697">
        <v>0</v>
      </c>
      <c r="X4697">
        <v>0</v>
      </c>
      <c r="Y4697" t="s">
        <v>31</v>
      </c>
      <c r="Z4697">
        <v>1000</v>
      </c>
      <c r="AA4697">
        <v>0</v>
      </c>
    </row>
    <row r="4698" spans="1:27" ht="102" x14ac:dyDescent="0.2">
      <c r="A4698" t="s">
        <v>2486</v>
      </c>
      <c r="B4698">
        <v>2024</v>
      </c>
      <c r="C4698" t="s">
        <v>5783</v>
      </c>
      <c r="D4698" s="1" t="s">
        <v>5784</v>
      </c>
      <c r="E4698" t="s">
        <v>29</v>
      </c>
      <c r="F4698" t="s">
        <v>30</v>
      </c>
      <c r="G4698">
        <v>0</v>
      </c>
      <c r="H4698">
        <v>0</v>
      </c>
      <c r="I4698">
        <v>11</v>
      </c>
      <c r="J4698">
        <v>0</v>
      </c>
      <c r="K4698">
        <v>0</v>
      </c>
      <c r="L4698">
        <v>0</v>
      </c>
      <c r="M4698">
        <v>0</v>
      </c>
      <c r="N4698">
        <v>0</v>
      </c>
      <c r="O4698">
        <v>0</v>
      </c>
      <c r="P4698">
        <v>0</v>
      </c>
      <c r="Q4698">
        <v>0</v>
      </c>
      <c r="R4698">
        <v>0</v>
      </c>
      <c r="S4698">
        <v>0</v>
      </c>
      <c r="T4698">
        <v>0</v>
      </c>
      <c r="U4698">
        <v>0</v>
      </c>
      <c r="V4698">
        <v>0</v>
      </c>
      <c r="W4698">
        <v>0</v>
      </c>
      <c r="X4698">
        <v>0</v>
      </c>
      <c r="Y4698" t="s">
        <v>31</v>
      </c>
      <c r="AA4698">
        <v>1</v>
      </c>
    </row>
    <row r="4699" spans="1:27" x14ac:dyDescent="0.2">
      <c r="A4699" t="s">
        <v>321</v>
      </c>
      <c r="B4699">
        <v>2024</v>
      </c>
      <c r="C4699" s="3">
        <v>33372</v>
      </c>
      <c r="D4699" t="s">
        <v>322</v>
      </c>
      <c r="E4699" t="s">
        <v>29</v>
      </c>
      <c r="F4699" t="s">
        <v>30</v>
      </c>
      <c r="G4699">
        <v>0</v>
      </c>
      <c r="H4699">
        <v>0</v>
      </c>
      <c r="I4699">
        <v>0</v>
      </c>
      <c r="J4699">
        <v>0</v>
      </c>
      <c r="K4699">
        <v>0</v>
      </c>
      <c r="L4699">
        <v>0</v>
      </c>
      <c r="M4699">
        <v>0</v>
      </c>
      <c r="N4699">
        <v>0</v>
      </c>
      <c r="O4699">
        <v>0</v>
      </c>
      <c r="P4699">
        <v>0</v>
      </c>
      <c r="Q4699">
        <v>0</v>
      </c>
      <c r="R4699">
        <v>0</v>
      </c>
      <c r="S4699">
        <v>2</v>
      </c>
      <c r="T4699">
        <v>0</v>
      </c>
      <c r="U4699">
        <v>1</v>
      </c>
      <c r="V4699">
        <v>0</v>
      </c>
      <c r="W4699">
        <v>2</v>
      </c>
      <c r="X4699">
        <v>0</v>
      </c>
      <c r="Y4699" t="s">
        <v>51</v>
      </c>
      <c r="Z4699">
        <v>55</v>
      </c>
      <c r="AA4699">
        <v>0</v>
      </c>
    </row>
    <row r="4700" spans="1:27" x14ac:dyDescent="0.2">
      <c r="A4700" t="s">
        <v>321</v>
      </c>
      <c r="B4700">
        <v>2024</v>
      </c>
      <c r="C4700" t="s">
        <v>5785</v>
      </c>
      <c r="D4700" t="s">
        <v>5786</v>
      </c>
      <c r="E4700" t="s">
        <v>29</v>
      </c>
      <c r="F4700" t="s">
        <v>30</v>
      </c>
      <c r="G4700">
        <v>2</v>
      </c>
      <c r="H4700">
        <v>0</v>
      </c>
      <c r="I4700">
        <v>2</v>
      </c>
      <c r="J4700">
        <v>0</v>
      </c>
      <c r="K4700">
        <v>1</v>
      </c>
      <c r="L4700">
        <v>0</v>
      </c>
      <c r="M4700">
        <v>0</v>
      </c>
      <c r="N4700">
        <v>0</v>
      </c>
      <c r="O4700">
        <v>0</v>
      </c>
      <c r="P4700">
        <v>0</v>
      </c>
      <c r="Q4700">
        <v>0</v>
      </c>
      <c r="R4700">
        <v>0</v>
      </c>
      <c r="S4700">
        <v>0</v>
      </c>
      <c r="T4700">
        <v>0</v>
      </c>
      <c r="U4700">
        <v>0</v>
      </c>
      <c r="V4700">
        <v>0</v>
      </c>
      <c r="W4700">
        <v>0</v>
      </c>
      <c r="X4700">
        <v>0</v>
      </c>
      <c r="Y4700" t="s">
        <v>31</v>
      </c>
      <c r="Z4700">
        <v>55</v>
      </c>
      <c r="AA4700">
        <v>0.5</v>
      </c>
    </row>
    <row r="4701" spans="1:27" x14ac:dyDescent="0.2">
      <c r="A4701" t="s">
        <v>321</v>
      </c>
      <c r="B4701">
        <v>2024</v>
      </c>
      <c r="C4701" t="s">
        <v>5787</v>
      </c>
      <c r="D4701" t="s">
        <v>4394</v>
      </c>
      <c r="E4701" t="s">
        <v>29</v>
      </c>
      <c r="F4701" t="s">
        <v>30</v>
      </c>
      <c r="G4701">
        <v>5</v>
      </c>
      <c r="H4701">
        <v>0</v>
      </c>
      <c r="I4701">
        <v>5</v>
      </c>
      <c r="J4701">
        <v>0</v>
      </c>
      <c r="K4701">
        <v>4</v>
      </c>
      <c r="L4701">
        <v>0</v>
      </c>
      <c r="M4701">
        <v>0</v>
      </c>
      <c r="N4701">
        <v>0</v>
      </c>
      <c r="O4701">
        <v>0</v>
      </c>
      <c r="P4701">
        <v>0</v>
      </c>
      <c r="Q4701">
        <v>0</v>
      </c>
      <c r="R4701">
        <v>0</v>
      </c>
      <c r="S4701">
        <v>0</v>
      </c>
      <c r="T4701">
        <v>0</v>
      </c>
      <c r="U4701">
        <v>0</v>
      </c>
      <c r="V4701">
        <v>0</v>
      </c>
      <c r="W4701">
        <v>0</v>
      </c>
      <c r="X4701">
        <v>0</v>
      </c>
      <c r="Y4701" t="s">
        <v>31</v>
      </c>
      <c r="Z4701">
        <v>55</v>
      </c>
      <c r="AA4701" s="2" t="s">
        <v>5193</v>
      </c>
    </row>
    <row r="4702" spans="1:27" x14ac:dyDescent="0.2">
      <c r="A4702" t="s">
        <v>1075</v>
      </c>
      <c r="B4702">
        <v>2024</v>
      </c>
      <c r="C4702" t="s">
        <v>2291</v>
      </c>
      <c r="D4702" t="s">
        <v>5788</v>
      </c>
      <c r="E4702" t="s">
        <v>29</v>
      </c>
      <c r="F4702" t="s">
        <v>30</v>
      </c>
      <c r="G4702">
        <v>0</v>
      </c>
      <c r="H4702">
        <v>0</v>
      </c>
      <c r="I4702">
        <v>0</v>
      </c>
      <c r="J4702">
        <v>0</v>
      </c>
      <c r="K4702">
        <v>0</v>
      </c>
      <c r="L4702">
        <v>0</v>
      </c>
      <c r="M4702">
        <v>0</v>
      </c>
      <c r="N4702">
        <v>0</v>
      </c>
      <c r="O4702">
        <v>0</v>
      </c>
      <c r="P4702">
        <v>0</v>
      </c>
      <c r="Q4702">
        <v>0</v>
      </c>
      <c r="R4702">
        <v>0</v>
      </c>
      <c r="S4702">
        <v>7</v>
      </c>
      <c r="T4702">
        <v>0</v>
      </c>
      <c r="U4702">
        <v>5</v>
      </c>
      <c r="V4702">
        <v>0</v>
      </c>
      <c r="W4702">
        <v>0</v>
      </c>
      <c r="X4702">
        <v>0</v>
      </c>
      <c r="Y4702" t="s">
        <v>31</v>
      </c>
      <c r="Z4702">
        <v>55</v>
      </c>
      <c r="AA4702" s="2" t="s">
        <v>5536</v>
      </c>
    </row>
    <row r="4703" spans="1:27" x14ac:dyDescent="0.2">
      <c r="A4703" t="s">
        <v>1075</v>
      </c>
      <c r="B4703">
        <v>2024</v>
      </c>
      <c r="C4703" t="s">
        <v>2291</v>
      </c>
      <c r="D4703" t="s">
        <v>5789</v>
      </c>
      <c r="E4703" t="s">
        <v>29</v>
      </c>
      <c r="F4703" t="s">
        <v>30</v>
      </c>
      <c r="G4703">
        <v>0</v>
      </c>
      <c r="H4703">
        <v>0</v>
      </c>
      <c r="I4703">
        <v>0</v>
      </c>
      <c r="J4703">
        <v>0</v>
      </c>
      <c r="K4703">
        <v>0</v>
      </c>
      <c r="L4703">
        <v>0</v>
      </c>
      <c r="M4703">
        <v>0</v>
      </c>
      <c r="N4703">
        <v>0</v>
      </c>
      <c r="O4703">
        <v>0</v>
      </c>
      <c r="P4703">
        <v>0</v>
      </c>
      <c r="Q4703">
        <v>0</v>
      </c>
      <c r="R4703">
        <v>0</v>
      </c>
      <c r="S4703">
        <v>7</v>
      </c>
      <c r="T4703">
        <v>0</v>
      </c>
      <c r="U4703">
        <v>5</v>
      </c>
      <c r="V4703">
        <v>0</v>
      </c>
      <c r="W4703">
        <v>0</v>
      </c>
      <c r="X4703">
        <v>0</v>
      </c>
      <c r="Y4703" t="s">
        <v>31</v>
      </c>
      <c r="Z4703">
        <v>55</v>
      </c>
      <c r="AA4703" s="2" t="s">
        <v>5536</v>
      </c>
    </row>
    <row r="4704" spans="1:27" x14ac:dyDescent="0.2">
      <c r="A4704" t="s">
        <v>2421</v>
      </c>
      <c r="B4704">
        <v>2024</v>
      </c>
      <c r="C4704" t="s">
        <v>5790</v>
      </c>
      <c r="D4704" t="s">
        <v>5791</v>
      </c>
      <c r="E4704" t="s">
        <v>29</v>
      </c>
      <c r="F4704" t="s">
        <v>41</v>
      </c>
      <c r="G4704">
        <v>0</v>
      </c>
      <c r="H4704">
        <v>0</v>
      </c>
      <c r="I4704">
        <v>0</v>
      </c>
      <c r="J4704">
        <v>0</v>
      </c>
      <c r="K4704">
        <v>0</v>
      </c>
      <c r="L4704">
        <v>0</v>
      </c>
      <c r="M4704">
        <v>0</v>
      </c>
      <c r="N4704">
        <v>0</v>
      </c>
      <c r="O4704">
        <v>0</v>
      </c>
      <c r="P4704">
        <v>0</v>
      </c>
      <c r="Q4704">
        <v>2</v>
      </c>
      <c r="R4704">
        <v>0</v>
      </c>
      <c r="S4704">
        <v>0</v>
      </c>
      <c r="T4704">
        <v>0</v>
      </c>
      <c r="U4704">
        <v>0</v>
      </c>
      <c r="V4704">
        <v>0</v>
      </c>
      <c r="W4704">
        <v>0</v>
      </c>
      <c r="X4704">
        <v>0</v>
      </c>
      <c r="Y4704" t="s">
        <v>31</v>
      </c>
      <c r="Z4704">
        <v>45</v>
      </c>
      <c r="AA4704" s="2" t="s">
        <v>2716</v>
      </c>
    </row>
    <row r="4705" spans="1:27" ht="85" x14ac:dyDescent="0.2">
      <c r="A4705" t="s">
        <v>38</v>
      </c>
      <c r="B4705">
        <v>2024</v>
      </c>
      <c r="C4705">
        <v>5637020013</v>
      </c>
      <c r="D4705" s="1" t="s">
        <v>287</v>
      </c>
      <c r="E4705" t="s">
        <v>29</v>
      </c>
      <c r="F4705" t="s">
        <v>30</v>
      </c>
      <c r="G4705">
        <v>0</v>
      </c>
      <c r="H4705">
        <v>0</v>
      </c>
      <c r="I4705">
        <v>8</v>
      </c>
      <c r="J4705">
        <v>0</v>
      </c>
      <c r="K4705">
        <v>0</v>
      </c>
      <c r="L4705">
        <v>0</v>
      </c>
      <c r="M4705">
        <v>0</v>
      </c>
      <c r="N4705">
        <v>0</v>
      </c>
      <c r="O4705">
        <v>0</v>
      </c>
      <c r="P4705">
        <v>0</v>
      </c>
      <c r="Q4705">
        <v>0</v>
      </c>
      <c r="R4705">
        <v>0</v>
      </c>
      <c r="S4705">
        <v>0</v>
      </c>
      <c r="T4705">
        <v>0</v>
      </c>
      <c r="U4705">
        <v>0</v>
      </c>
      <c r="V4705">
        <v>0</v>
      </c>
      <c r="W4705">
        <v>0</v>
      </c>
      <c r="X4705">
        <v>0</v>
      </c>
      <c r="Y4705" t="s">
        <v>31</v>
      </c>
      <c r="AA4705">
        <v>1.53</v>
      </c>
    </row>
    <row r="4706" spans="1:27" x14ac:dyDescent="0.2">
      <c r="A4706" t="s">
        <v>38</v>
      </c>
      <c r="B4706">
        <v>2024</v>
      </c>
      <c r="C4706">
        <v>5642018039</v>
      </c>
      <c r="D4706" t="s">
        <v>5792</v>
      </c>
      <c r="E4706" t="s">
        <v>29</v>
      </c>
      <c r="F4706" t="s">
        <v>30</v>
      </c>
      <c r="G4706">
        <v>1</v>
      </c>
      <c r="H4706">
        <v>0</v>
      </c>
      <c r="I4706">
        <v>0</v>
      </c>
      <c r="J4706">
        <v>0</v>
      </c>
      <c r="K4706">
        <v>0</v>
      </c>
      <c r="L4706">
        <v>0</v>
      </c>
      <c r="M4706">
        <v>0</v>
      </c>
      <c r="N4706">
        <v>0</v>
      </c>
      <c r="O4706">
        <v>0</v>
      </c>
      <c r="P4706">
        <v>0</v>
      </c>
      <c r="Q4706">
        <v>0</v>
      </c>
      <c r="R4706">
        <v>0</v>
      </c>
      <c r="S4706">
        <v>0</v>
      </c>
      <c r="T4706">
        <v>0</v>
      </c>
      <c r="U4706">
        <v>0</v>
      </c>
      <c r="V4706">
        <v>0</v>
      </c>
      <c r="W4706">
        <v>0</v>
      </c>
      <c r="X4706">
        <v>0</v>
      </c>
      <c r="Y4706" t="s">
        <v>31</v>
      </c>
      <c r="Z4706">
        <v>55</v>
      </c>
      <c r="AA4706" s="2" t="s">
        <v>5108</v>
      </c>
    </row>
    <row r="4707" spans="1:27" x14ac:dyDescent="0.2">
      <c r="A4707" t="s">
        <v>38</v>
      </c>
      <c r="B4707">
        <v>2024</v>
      </c>
      <c r="C4707" t="s">
        <v>5793</v>
      </c>
      <c r="D4707" t="s">
        <v>5794</v>
      </c>
      <c r="E4707" t="s">
        <v>29</v>
      </c>
      <c r="F4707" t="s">
        <v>30</v>
      </c>
      <c r="G4707">
        <v>8</v>
      </c>
      <c r="H4707">
        <v>0</v>
      </c>
      <c r="I4707">
        <v>0</v>
      </c>
      <c r="J4707">
        <v>0</v>
      </c>
      <c r="K4707">
        <v>0</v>
      </c>
      <c r="L4707">
        <v>0</v>
      </c>
      <c r="M4707">
        <v>0</v>
      </c>
      <c r="N4707">
        <v>0</v>
      </c>
      <c r="O4707">
        <v>0</v>
      </c>
      <c r="P4707">
        <v>0</v>
      </c>
      <c r="Q4707">
        <v>0</v>
      </c>
      <c r="R4707">
        <v>0</v>
      </c>
      <c r="S4707">
        <v>0</v>
      </c>
      <c r="T4707">
        <v>0</v>
      </c>
      <c r="U4707">
        <v>0</v>
      </c>
      <c r="V4707">
        <v>0</v>
      </c>
      <c r="W4707">
        <v>0</v>
      </c>
      <c r="X4707">
        <v>0</v>
      </c>
      <c r="Y4707" t="s">
        <v>31</v>
      </c>
      <c r="Z4707">
        <v>55</v>
      </c>
      <c r="AA4707">
        <v>3.71</v>
      </c>
    </row>
    <row r="4708" spans="1:27" x14ac:dyDescent="0.2">
      <c r="A4708" t="s">
        <v>38</v>
      </c>
      <c r="B4708">
        <v>2024</v>
      </c>
      <c r="C4708">
        <v>5634013012</v>
      </c>
      <c r="D4708" t="s">
        <v>5795</v>
      </c>
      <c r="E4708" t="s">
        <v>29</v>
      </c>
      <c r="F4708" t="s">
        <v>30</v>
      </c>
      <c r="G4708">
        <v>2</v>
      </c>
      <c r="H4708">
        <v>0</v>
      </c>
      <c r="I4708">
        <v>0</v>
      </c>
      <c r="J4708">
        <v>0</v>
      </c>
      <c r="K4708">
        <v>0</v>
      </c>
      <c r="L4708">
        <v>0</v>
      </c>
      <c r="M4708">
        <v>0</v>
      </c>
      <c r="N4708">
        <v>0</v>
      </c>
      <c r="O4708">
        <v>0</v>
      </c>
      <c r="P4708">
        <v>0</v>
      </c>
      <c r="Q4708">
        <v>0</v>
      </c>
      <c r="R4708">
        <v>0</v>
      </c>
      <c r="S4708">
        <v>0</v>
      </c>
      <c r="T4708">
        <v>0</v>
      </c>
      <c r="U4708">
        <v>0</v>
      </c>
      <c r="V4708">
        <v>0</v>
      </c>
      <c r="W4708">
        <v>0</v>
      </c>
      <c r="X4708">
        <v>0</v>
      </c>
      <c r="Y4708" t="s">
        <v>31</v>
      </c>
      <c r="AA4708">
        <v>0.5</v>
      </c>
    </row>
    <row r="4709" spans="1:27" x14ac:dyDescent="0.2">
      <c r="A4709" t="s">
        <v>3560</v>
      </c>
      <c r="B4709">
        <v>2024</v>
      </c>
      <c r="C4709" t="s">
        <v>3561</v>
      </c>
      <c r="D4709" t="s">
        <v>5796</v>
      </c>
      <c r="E4709" t="s">
        <v>29</v>
      </c>
      <c r="F4709" t="s">
        <v>30</v>
      </c>
      <c r="G4709">
        <v>0</v>
      </c>
      <c r="H4709">
        <v>0</v>
      </c>
      <c r="I4709">
        <v>0</v>
      </c>
      <c r="J4709">
        <v>0</v>
      </c>
      <c r="K4709">
        <v>0</v>
      </c>
      <c r="L4709">
        <v>0</v>
      </c>
      <c r="M4709">
        <v>2</v>
      </c>
      <c r="N4709">
        <v>3</v>
      </c>
      <c r="O4709">
        <v>0</v>
      </c>
      <c r="P4709">
        <v>18</v>
      </c>
      <c r="Q4709">
        <v>0</v>
      </c>
      <c r="R4709">
        <v>0</v>
      </c>
      <c r="S4709">
        <v>0</v>
      </c>
      <c r="T4709">
        <v>0</v>
      </c>
      <c r="U4709">
        <v>0</v>
      </c>
      <c r="V4709">
        <v>0</v>
      </c>
      <c r="W4709">
        <v>0</v>
      </c>
      <c r="X4709">
        <v>0</v>
      </c>
      <c r="Y4709" t="s">
        <v>31</v>
      </c>
      <c r="Z4709">
        <v>55</v>
      </c>
      <c r="AA4709">
        <v>0</v>
      </c>
    </row>
    <row r="4710" spans="1:27" x14ac:dyDescent="0.2">
      <c r="A4710" t="s">
        <v>3560</v>
      </c>
      <c r="B4710">
        <v>2024</v>
      </c>
      <c r="C4710" t="s">
        <v>3561</v>
      </c>
      <c r="D4710" t="s">
        <v>5797</v>
      </c>
      <c r="E4710" t="s">
        <v>29</v>
      </c>
      <c r="F4710" t="s">
        <v>30</v>
      </c>
      <c r="G4710">
        <v>0</v>
      </c>
      <c r="H4710">
        <v>0</v>
      </c>
      <c r="I4710">
        <v>0</v>
      </c>
      <c r="J4710">
        <v>0</v>
      </c>
      <c r="K4710">
        <v>0</v>
      </c>
      <c r="L4710">
        <v>0</v>
      </c>
      <c r="M4710">
        <v>3</v>
      </c>
      <c r="N4710">
        <v>3</v>
      </c>
      <c r="O4710">
        <v>0</v>
      </c>
      <c r="P4710">
        <v>23</v>
      </c>
      <c r="Q4710">
        <v>0</v>
      </c>
      <c r="R4710">
        <v>0</v>
      </c>
      <c r="S4710">
        <v>0</v>
      </c>
      <c r="T4710">
        <v>0</v>
      </c>
      <c r="U4710">
        <v>0</v>
      </c>
      <c r="V4710">
        <v>0</v>
      </c>
      <c r="W4710">
        <v>0</v>
      </c>
      <c r="X4710">
        <v>0</v>
      </c>
      <c r="Y4710" t="s">
        <v>31</v>
      </c>
      <c r="Z4710">
        <v>55</v>
      </c>
      <c r="AA4710">
        <v>0</v>
      </c>
    </row>
    <row r="4711" spans="1:27" x14ac:dyDescent="0.2">
      <c r="A4711" t="s">
        <v>3560</v>
      </c>
      <c r="B4711">
        <v>2024</v>
      </c>
      <c r="C4711" t="s">
        <v>3561</v>
      </c>
      <c r="D4711" t="s">
        <v>5798</v>
      </c>
      <c r="E4711" t="s">
        <v>29</v>
      </c>
      <c r="F4711" t="s">
        <v>30</v>
      </c>
      <c r="G4711">
        <v>0</v>
      </c>
      <c r="H4711">
        <v>0</v>
      </c>
      <c r="I4711">
        <v>0</v>
      </c>
      <c r="J4711">
        <v>0</v>
      </c>
      <c r="K4711">
        <v>0</v>
      </c>
      <c r="L4711">
        <v>0</v>
      </c>
      <c r="M4711">
        <v>2</v>
      </c>
      <c r="N4711">
        <v>2</v>
      </c>
      <c r="O4711">
        <v>0</v>
      </c>
      <c r="P4711">
        <v>17</v>
      </c>
      <c r="Q4711">
        <v>0</v>
      </c>
      <c r="R4711">
        <v>0</v>
      </c>
      <c r="S4711">
        <v>0</v>
      </c>
      <c r="T4711">
        <v>0</v>
      </c>
      <c r="U4711">
        <v>0</v>
      </c>
      <c r="V4711">
        <v>0</v>
      </c>
      <c r="W4711">
        <v>0</v>
      </c>
      <c r="X4711">
        <v>0</v>
      </c>
      <c r="Y4711" t="s">
        <v>31</v>
      </c>
      <c r="Z4711">
        <v>55</v>
      </c>
      <c r="AA4711">
        <v>0</v>
      </c>
    </row>
    <row r="4712" spans="1:27" x14ac:dyDescent="0.2">
      <c r="A4712" t="s">
        <v>5670</v>
      </c>
      <c r="B4712">
        <v>2024</v>
      </c>
      <c r="C4712" t="s">
        <v>5671</v>
      </c>
      <c r="D4712" t="s">
        <v>5799</v>
      </c>
      <c r="E4712" t="s">
        <v>29</v>
      </c>
      <c r="F4712" t="s">
        <v>30</v>
      </c>
      <c r="G4712">
        <v>32</v>
      </c>
      <c r="H4712">
        <v>0</v>
      </c>
      <c r="I4712">
        <v>0</v>
      </c>
      <c r="J4712">
        <v>0</v>
      </c>
      <c r="K4712">
        <v>0</v>
      </c>
      <c r="L4712">
        <v>0</v>
      </c>
      <c r="M4712">
        <v>0</v>
      </c>
      <c r="N4712">
        <v>0</v>
      </c>
      <c r="O4712">
        <v>0</v>
      </c>
      <c r="P4712">
        <v>0</v>
      </c>
      <c r="Q4712">
        <v>0</v>
      </c>
      <c r="R4712">
        <v>0</v>
      </c>
      <c r="S4712">
        <v>0</v>
      </c>
      <c r="T4712">
        <v>0</v>
      </c>
      <c r="U4712">
        <v>0</v>
      </c>
      <c r="V4712">
        <v>0</v>
      </c>
      <c r="W4712">
        <v>0</v>
      </c>
      <c r="X4712">
        <v>0</v>
      </c>
      <c r="Y4712" t="s">
        <v>31</v>
      </c>
      <c r="Z4712">
        <v>55</v>
      </c>
      <c r="AA4712">
        <v>0</v>
      </c>
    </row>
    <row r="4713" spans="1:27" x14ac:dyDescent="0.2">
      <c r="A4713" t="s">
        <v>75</v>
      </c>
      <c r="B4713">
        <v>2024</v>
      </c>
      <c r="C4713">
        <v>5334740800</v>
      </c>
      <c r="D4713" t="s">
        <v>5800</v>
      </c>
      <c r="E4713" t="s">
        <v>29</v>
      </c>
      <c r="F4713" t="s">
        <v>41</v>
      </c>
      <c r="G4713">
        <v>0</v>
      </c>
      <c r="H4713">
        <v>0</v>
      </c>
      <c r="I4713">
        <v>0</v>
      </c>
      <c r="J4713">
        <v>0</v>
      </c>
      <c r="K4713">
        <v>0</v>
      </c>
      <c r="L4713">
        <v>0</v>
      </c>
      <c r="M4713">
        <v>0</v>
      </c>
      <c r="N4713">
        <v>0</v>
      </c>
      <c r="O4713">
        <v>3</v>
      </c>
      <c r="P4713">
        <v>0</v>
      </c>
      <c r="Q4713">
        <v>0</v>
      </c>
      <c r="R4713">
        <v>0</v>
      </c>
      <c r="S4713">
        <v>0</v>
      </c>
      <c r="T4713">
        <v>0</v>
      </c>
      <c r="U4713">
        <v>0</v>
      </c>
      <c r="V4713">
        <v>0</v>
      </c>
      <c r="W4713">
        <v>0</v>
      </c>
      <c r="X4713">
        <v>0</v>
      </c>
      <c r="Y4713" t="s">
        <v>51</v>
      </c>
      <c r="AA4713">
        <v>0</v>
      </c>
    </row>
    <row r="4714" spans="1:27" x14ac:dyDescent="0.2">
      <c r="A4714" t="s">
        <v>530</v>
      </c>
      <c r="B4714">
        <v>2024</v>
      </c>
      <c r="C4714" t="s">
        <v>5801</v>
      </c>
      <c r="D4714" t="s">
        <v>5802</v>
      </c>
      <c r="E4714" t="s">
        <v>29</v>
      </c>
      <c r="F4714" t="s">
        <v>30</v>
      </c>
      <c r="G4714">
        <v>0</v>
      </c>
      <c r="H4714">
        <v>0</v>
      </c>
      <c r="I4714">
        <v>1</v>
      </c>
      <c r="J4714">
        <v>0</v>
      </c>
      <c r="K4714">
        <v>15</v>
      </c>
      <c r="L4714">
        <v>0</v>
      </c>
      <c r="M4714">
        <v>0</v>
      </c>
      <c r="N4714">
        <v>0</v>
      </c>
      <c r="O4714">
        <v>0</v>
      </c>
      <c r="P4714">
        <v>0</v>
      </c>
      <c r="Q4714">
        <v>0</v>
      </c>
      <c r="R4714">
        <v>0</v>
      </c>
      <c r="S4714">
        <v>0</v>
      </c>
      <c r="T4714">
        <v>0</v>
      </c>
      <c r="U4714">
        <v>0</v>
      </c>
      <c r="V4714">
        <v>0</v>
      </c>
      <c r="W4714">
        <v>0</v>
      </c>
      <c r="X4714">
        <v>0</v>
      </c>
      <c r="Y4714" t="s">
        <v>51</v>
      </c>
      <c r="AA4714">
        <v>0</v>
      </c>
    </row>
    <row r="4715" spans="1:27" x14ac:dyDescent="0.2">
      <c r="A4715" t="s">
        <v>69</v>
      </c>
      <c r="B4715">
        <v>2024</v>
      </c>
      <c r="C4715" t="s">
        <v>5803</v>
      </c>
      <c r="D4715" t="s">
        <v>5804</v>
      </c>
      <c r="E4715" t="s">
        <v>29</v>
      </c>
      <c r="F4715" t="s">
        <v>30</v>
      </c>
      <c r="G4715">
        <v>0</v>
      </c>
      <c r="H4715">
        <v>0</v>
      </c>
      <c r="I4715">
        <v>4</v>
      </c>
      <c r="J4715">
        <v>0</v>
      </c>
      <c r="K4715">
        <v>1</v>
      </c>
      <c r="L4715">
        <v>0</v>
      </c>
      <c r="M4715">
        <v>0</v>
      </c>
      <c r="N4715">
        <v>0</v>
      </c>
      <c r="O4715">
        <v>0</v>
      </c>
      <c r="P4715">
        <v>0</v>
      </c>
      <c r="Q4715">
        <v>0</v>
      </c>
      <c r="R4715">
        <v>0</v>
      </c>
      <c r="S4715">
        <v>0</v>
      </c>
      <c r="T4715">
        <v>0</v>
      </c>
      <c r="U4715">
        <v>0</v>
      </c>
      <c r="V4715">
        <v>0</v>
      </c>
      <c r="W4715">
        <v>0</v>
      </c>
      <c r="X4715">
        <v>0</v>
      </c>
      <c r="Y4715" t="s">
        <v>51</v>
      </c>
      <c r="Z4715">
        <v>55</v>
      </c>
      <c r="AA4715">
        <v>0</v>
      </c>
    </row>
    <row r="4716" spans="1:27" x14ac:dyDescent="0.2">
      <c r="A4716" t="s">
        <v>67</v>
      </c>
      <c r="B4716">
        <v>2024</v>
      </c>
      <c r="C4716">
        <v>482161026</v>
      </c>
      <c r="D4716" t="s">
        <v>4374</v>
      </c>
      <c r="E4716" t="s">
        <v>29</v>
      </c>
      <c r="F4716" t="s">
        <v>30</v>
      </c>
      <c r="G4716">
        <v>0</v>
      </c>
      <c r="H4716">
        <v>0</v>
      </c>
      <c r="I4716">
        <v>0</v>
      </c>
      <c r="J4716">
        <v>0</v>
      </c>
      <c r="K4716">
        <v>0</v>
      </c>
      <c r="L4716">
        <v>0</v>
      </c>
      <c r="M4716">
        <v>0</v>
      </c>
      <c r="N4716">
        <v>0</v>
      </c>
      <c r="O4716">
        <v>0</v>
      </c>
      <c r="P4716">
        <v>0</v>
      </c>
      <c r="Q4716">
        <v>0</v>
      </c>
      <c r="R4716">
        <v>0</v>
      </c>
      <c r="S4716">
        <v>0</v>
      </c>
      <c r="T4716">
        <v>0</v>
      </c>
      <c r="U4716">
        <v>16</v>
      </c>
      <c r="V4716">
        <v>0</v>
      </c>
      <c r="W4716">
        <v>0</v>
      </c>
      <c r="X4716">
        <v>0</v>
      </c>
      <c r="Y4716" t="s">
        <v>31</v>
      </c>
      <c r="Z4716">
        <v>55</v>
      </c>
      <c r="AA4716" s="2" t="s">
        <v>3316</v>
      </c>
    </row>
    <row r="4717" spans="1:27" x14ac:dyDescent="0.2">
      <c r="A4717" t="s">
        <v>1165</v>
      </c>
      <c r="B4717">
        <v>2024</v>
      </c>
      <c r="C4717" t="s">
        <v>5805</v>
      </c>
      <c r="D4717" t="s">
        <v>5806</v>
      </c>
      <c r="E4717" t="s">
        <v>29</v>
      </c>
      <c r="F4717" t="s">
        <v>30</v>
      </c>
      <c r="G4717">
        <v>84</v>
      </c>
      <c r="H4717">
        <v>0</v>
      </c>
      <c r="I4717">
        <v>21</v>
      </c>
      <c r="J4717">
        <v>0</v>
      </c>
      <c r="K4717">
        <v>0</v>
      </c>
      <c r="L4717">
        <v>0</v>
      </c>
      <c r="M4717">
        <v>0</v>
      </c>
      <c r="N4717">
        <v>0</v>
      </c>
      <c r="O4717">
        <v>0</v>
      </c>
      <c r="P4717">
        <v>0</v>
      </c>
      <c r="Q4717">
        <v>0</v>
      </c>
      <c r="R4717">
        <v>0</v>
      </c>
      <c r="S4717">
        <v>0</v>
      </c>
      <c r="T4717">
        <v>0</v>
      </c>
      <c r="U4717">
        <v>0</v>
      </c>
      <c r="V4717">
        <v>0</v>
      </c>
      <c r="W4717">
        <v>0</v>
      </c>
      <c r="X4717">
        <v>0</v>
      </c>
      <c r="Y4717" t="s">
        <v>31</v>
      </c>
      <c r="Z4717">
        <v>55</v>
      </c>
      <c r="AA4717" s="2" t="s">
        <v>3514</v>
      </c>
    </row>
    <row r="4718" spans="1:27" x14ac:dyDescent="0.2">
      <c r="A4718" t="s">
        <v>75</v>
      </c>
      <c r="B4718">
        <v>2024</v>
      </c>
      <c r="C4718">
        <v>4525551800</v>
      </c>
      <c r="D4718" t="s">
        <v>5807</v>
      </c>
      <c r="E4718" t="s">
        <v>29</v>
      </c>
      <c r="F4718" t="s">
        <v>30</v>
      </c>
      <c r="G4718">
        <v>0</v>
      </c>
      <c r="H4718">
        <v>0</v>
      </c>
      <c r="I4718">
        <v>0</v>
      </c>
      <c r="J4718">
        <v>0</v>
      </c>
      <c r="K4718">
        <v>0</v>
      </c>
      <c r="L4718">
        <v>0</v>
      </c>
      <c r="M4718">
        <v>0</v>
      </c>
      <c r="N4718">
        <v>0</v>
      </c>
      <c r="O4718">
        <v>0</v>
      </c>
      <c r="P4718">
        <v>0</v>
      </c>
      <c r="Q4718">
        <v>0</v>
      </c>
      <c r="R4718">
        <v>0</v>
      </c>
      <c r="S4718">
        <v>0</v>
      </c>
      <c r="T4718">
        <v>0</v>
      </c>
      <c r="U4718">
        <v>0</v>
      </c>
      <c r="V4718">
        <v>0</v>
      </c>
      <c r="W4718">
        <v>0</v>
      </c>
      <c r="X4718">
        <v>0</v>
      </c>
      <c r="Y4718" t="s">
        <v>31</v>
      </c>
      <c r="Z4718">
        <v>55</v>
      </c>
      <c r="AA4718">
        <v>0.5</v>
      </c>
    </row>
    <row r="4719" spans="1:27" x14ac:dyDescent="0.2">
      <c r="A4719" t="s">
        <v>5808</v>
      </c>
      <c r="B4719">
        <v>2024</v>
      </c>
      <c r="C4719" t="s">
        <v>5809</v>
      </c>
      <c r="D4719" t="s">
        <v>5810</v>
      </c>
      <c r="E4719" t="s">
        <v>29</v>
      </c>
      <c r="F4719" t="s">
        <v>30</v>
      </c>
      <c r="G4719">
        <v>1</v>
      </c>
      <c r="H4719">
        <v>0</v>
      </c>
      <c r="I4719">
        <v>3</v>
      </c>
      <c r="J4719">
        <v>0</v>
      </c>
      <c r="K4719">
        <v>0</v>
      </c>
      <c r="L4719">
        <v>5</v>
      </c>
      <c r="M4719">
        <v>0</v>
      </c>
      <c r="N4719">
        <v>0</v>
      </c>
      <c r="O4719">
        <v>0</v>
      </c>
      <c r="P4719">
        <v>0</v>
      </c>
      <c r="Q4719">
        <v>0</v>
      </c>
      <c r="R4719">
        <v>0</v>
      </c>
      <c r="S4719">
        <v>0</v>
      </c>
      <c r="T4719">
        <v>0</v>
      </c>
      <c r="U4719">
        <v>0</v>
      </c>
      <c r="V4719">
        <v>0</v>
      </c>
      <c r="W4719">
        <v>0</v>
      </c>
      <c r="X4719">
        <v>0</v>
      </c>
      <c r="Y4719" t="s">
        <v>31</v>
      </c>
      <c r="Z4719">
        <v>55</v>
      </c>
      <c r="AA4719" s="2" t="s">
        <v>3299</v>
      </c>
    </row>
    <row r="4720" spans="1:27" x14ac:dyDescent="0.2">
      <c r="A4720" t="s">
        <v>27</v>
      </c>
      <c r="B4720">
        <v>2024</v>
      </c>
      <c r="C4720">
        <v>7275001083</v>
      </c>
      <c r="D4720" t="s">
        <v>5811</v>
      </c>
      <c r="E4720" t="s">
        <v>29</v>
      </c>
      <c r="F4720" t="s">
        <v>30</v>
      </c>
      <c r="G4720">
        <v>0</v>
      </c>
      <c r="H4720">
        <v>0</v>
      </c>
      <c r="I4720">
        <v>0</v>
      </c>
      <c r="J4720">
        <v>0</v>
      </c>
      <c r="K4720">
        <v>0</v>
      </c>
      <c r="L4720">
        <v>0</v>
      </c>
      <c r="M4720">
        <v>10</v>
      </c>
      <c r="N4720">
        <v>0</v>
      </c>
      <c r="O4720">
        <v>71</v>
      </c>
      <c r="P4720">
        <v>0</v>
      </c>
      <c r="Q4720">
        <v>0</v>
      </c>
      <c r="R4720">
        <v>0</v>
      </c>
      <c r="S4720">
        <v>0</v>
      </c>
      <c r="T4720">
        <v>0</v>
      </c>
      <c r="U4720">
        <v>0</v>
      </c>
      <c r="V4720">
        <v>0</v>
      </c>
      <c r="W4720">
        <v>0</v>
      </c>
      <c r="X4720">
        <v>0</v>
      </c>
      <c r="Y4720" t="s">
        <v>31</v>
      </c>
      <c r="Z4720">
        <v>55</v>
      </c>
      <c r="AA4720">
        <v>0</v>
      </c>
    </row>
    <row r="4721" spans="1:27" x14ac:dyDescent="0.2">
      <c r="A4721" t="s">
        <v>75</v>
      </c>
      <c r="B4721">
        <v>2024</v>
      </c>
      <c r="C4721">
        <v>4365520800</v>
      </c>
      <c r="D4721" t="s">
        <v>1343</v>
      </c>
      <c r="E4721" t="s">
        <v>29</v>
      </c>
      <c r="F4721" t="s">
        <v>30</v>
      </c>
      <c r="G4721">
        <v>0</v>
      </c>
      <c r="H4721">
        <v>0</v>
      </c>
      <c r="I4721">
        <v>0</v>
      </c>
      <c r="J4721">
        <v>0</v>
      </c>
      <c r="K4721">
        <v>0</v>
      </c>
      <c r="L4721">
        <v>0</v>
      </c>
      <c r="M4721">
        <v>0</v>
      </c>
      <c r="N4721">
        <v>0</v>
      </c>
      <c r="O4721">
        <v>0</v>
      </c>
      <c r="P4721">
        <v>0</v>
      </c>
      <c r="Q4721">
        <v>0</v>
      </c>
      <c r="R4721">
        <v>0</v>
      </c>
      <c r="S4721">
        <v>2</v>
      </c>
      <c r="T4721">
        <v>0</v>
      </c>
      <c r="U4721">
        <v>0</v>
      </c>
      <c r="V4721">
        <v>0</v>
      </c>
      <c r="W4721">
        <v>0</v>
      </c>
      <c r="X4721">
        <v>0</v>
      </c>
      <c r="Y4721" t="s">
        <v>31</v>
      </c>
      <c r="Z4721">
        <v>55</v>
      </c>
      <c r="AA4721">
        <v>2.5</v>
      </c>
    </row>
    <row r="4722" spans="1:27" x14ac:dyDescent="0.2">
      <c r="A4722" t="s">
        <v>3564</v>
      </c>
      <c r="B4722">
        <v>2024</v>
      </c>
      <c r="C4722" t="s">
        <v>3565</v>
      </c>
      <c r="D4722" t="s">
        <v>3566</v>
      </c>
      <c r="E4722" t="s">
        <v>29</v>
      </c>
      <c r="F4722" t="s">
        <v>30</v>
      </c>
      <c r="G4722">
        <v>0</v>
      </c>
      <c r="H4722">
        <v>0</v>
      </c>
      <c r="I4722">
        <v>0</v>
      </c>
      <c r="J4722">
        <v>0</v>
      </c>
      <c r="K4722">
        <v>0</v>
      </c>
      <c r="L4722">
        <v>0</v>
      </c>
      <c r="M4722">
        <v>1</v>
      </c>
      <c r="N4722">
        <v>0</v>
      </c>
      <c r="O4722">
        <v>0</v>
      </c>
      <c r="P4722">
        <v>0</v>
      </c>
      <c r="Q4722">
        <v>0</v>
      </c>
      <c r="R4722">
        <v>0</v>
      </c>
      <c r="S4722">
        <v>0</v>
      </c>
      <c r="T4722">
        <v>0</v>
      </c>
      <c r="U4722">
        <v>0</v>
      </c>
      <c r="V4722">
        <v>0</v>
      </c>
      <c r="W4722">
        <v>0</v>
      </c>
      <c r="X4722">
        <v>0</v>
      </c>
      <c r="Y4722" t="s">
        <v>31</v>
      </c>
      <c r="Z4722">
        <v>55</v>
      </c>
      <c r="AA4722" s="2" t="s">
        <v>3244</v>
      </c>
    </row>
    <row r="4723" spans="1:27" x14ac:dyDescent="0.2">
      <c r="A4723" t="s">
        <v>283</v>
      </c>
      <c r="B4723">
        <v>2024</v>
      </c>
      <c r="C4723" t="s">
        <v>5164</v>
      </c>
      <c r="D4723" t="s">
        <v>5812</v>
      </c>
      <c r="E4723" t="s">
        <v>29</v>
      </c>
      <c r="F4723" t="s">
        <v>30</v>
      </c>
      <c r="G4723">
        <v>0</v>
      </c>
      <c r="H4723">
        <v>0</v>
      </c>
      <c r="I4723">
        <v>0</v>
      </c>
      <c r="J4723">
        <v>0</v>
      </c>
      <c r="K4723">
        <v>0</v>
      </c>
      <c r="L4723">
        <v>0</v>
      </c>
      <c r="M4723">
        <v>0</v>
      </c>
      <c r="N4723">
        <v>0</v>
      </c>
      <c r="O4723">
        <v>16</v>
      </c>
      <c r="P4723">
        <v>0</v>
      </c>
      <c r="Q4723">
        <v>4</v>
      </c>
      <c r="R4723">
        <v>0</v>
      </c>
      <c r="S4723">
        <v>0</v>
      </c>
      <c r="T4723">
        <v>0</v>
      </c>
      <c r="U4723">
        <v>0</v>
      </c>
      <c r="V4723">
        <v>0</v>
      </c>
      <c r="W4723">
        <v>0</v>
      </c>
      <c r="X4723">
        <v>0</v>
      </c>
      <c r="Y4723" t="s">
        <v>51</v>
      </c>
      <c r="Z4723">
        <v>1000</v>
      </c>
      <c r="AA4723">
        <v>0</v>
      </c>
    </row>
    <row r="4724" spans="1:27" x14ac:dyDescent="0.2">
      <c r="A4724" t="s">
        <v>1418</v>
      </c>
      <c r="B4724">
        <v>2024</v>
      </c>
      <c r="C4724" t="s">
        <v>4208</v>
      </c>
      <c r="D4724" t="s">
        <v>4209</v>
      </c>
      <c r="E4724" t="s">
        <v>29</v>
      </c>
      <c r="F4724" t="s">
        <v>30</v>
      </c>
      <c r="G4724">
        <v>0</v>
      </c>
      <c r="H4724">
        <v>0</v>
      </c>
      <c r="I4724">
        <v>0</v>
      </c>
      <c r="J4724">
        <v>0</v>
      </c>
      <c r="K4724">
        <v>0</v>
      </c>
      <c r="L4724">
        <v>0</v>
      </c>
      <c r="M4724">
        <v>16</v>
      </c>
      <c r="N4724">
        <v>0</v>
      </c>
      <c r="O4724">
        <v>17</v>
      </c>
      <c r="P4724">
        <v>0</v>
      </c>
      <c r="Q4724">
        <v>17</v>
      </c>
      <c r="R4724">
        <v>0</v>
      </c>
      <c r="S4724">
        <v>0</v>
      </c>
      <c r="T4724">
        <v>0</v>
      </c>
      <c r="U4724">
        <v>0</v>
      </c>
      <c r="V4724">
        <v>0</v>
      </c>
      <c r="W4724">
        <v>0</v>
      </c>
      <c r="X4724">
        <v>0</v>
      </c>
      <c r="Y4724" t="s">
        <v>51</v>
      </c>
      <c r="Z4724">
        <v>55</v>
      </c>
      <c r="AA4724">
        <v>0</v>
      </c>
    </row>
    <row r="4725" spans="1:27" x14ac:dyDescent="0.2">
      <c r="A4725" t="s">
        <v>649</v>
      </c>
      <c r="B4725">
        <v>2024</v>
      </c>
      <c r="C4725">
        <v>3112003013</v>
      </c>
      <c r="D4725" t="s">
        <v>5813</v>
      </c>
      <c r="E4725" t="s">
        <v>29</v>
      </c>
      <c r="F4725" t="s">
        <v>30</v>
      </c>
      <c r="G4725">
        <v>0</v>
      </c>
      <c r="H4725">
        <v>0</v>
      </c>
      <c r="I4725">
        <v>0</v>
      </c>
      <c r="J4725">
        <v>0</v>
      </c>
      <c r="K4725">
        <v>0</v>
      </c>
      <c r="L4725">
        <v>0</v>
      </c>
      <c r="M4725">
        <v>0</v>
      </c>
      <c r="N4725">
        <v>0</v>
      </c>
      <c r="O4725">
        <v>0</v>
      </c>
      <c r="P4725">
        <v>0</v>
      </c>
      <c r="Q4725">
        <v>0</v>
      </c>
      <c r="R4725">
        <v>0</v>
      </c>
      <c r="S4725">
        <v>0</v>
      </c>
      <c r="T4725">
        <v>0</v>
      </c>
      <c r="U4725">
        <v>8</v>
      </c>
      <c r="V4725">
        <v>0</v>
      </c>
      <c r="W4725">
        <v>0</v>
      </c>
      <c r="X4725">
        <v>0</v>
      </c>
      <c r="Y4725" t="s">
        <v>31</v>
      </c>
      <c r="Z4725">
        <v>55</v>
      </c>
      <c r="AA4725">
        <v>0</v>
      </c>
    </row>
    <row r="4726" spans="1:27" x14ac:dyDescent="0.2">
      <c r="A4726" t="s">
        <v>649</v>
      </c>
      <c r="B4726">
        <v>2024</v>
      </c>
      <c r="C4726">
        <v>3126031039</v>
      </c>
      <c r="D4726" t="s">
        <v>5814</v>
      </c>
      <c r="E4726" t="s">
        <v>29</v>
      </c>
      <c r="F4726" t="s">
        <v>30</v>
      </c>
      <c r="G4726">
        <v>0</v>
      </c>
      <c r="H4726">
        <v>0</v>
      </c>
      <c r="I4726">
        <v>0</v>
      </c>
      <c r="J4726">
        <v>0</v>
      </c>
      <c r="K4726">
        <v>0</v>
      </c>
      <c r="L4726">
        <v>0</v>
      </c>
      <c r="M4726">
        <v>0</v>
      </c>
      <c r="N4726">
        <v>0</v>
      </c>
      <c r="O4726">
        <v>0</v>
      </c>
      <c r="P4726">
        <v>0</v>
      </c>
      <c r="Q4726">
        <v>0</v>
      </c>
      <c r="R4726">
        <v>0</v>
      </c>
      <c r="S4726">
        <v>8</v>
      </c>
      <c r="T4726">
        <v>0</v>
      </c>
      <c r="U4726">
        <v>72</v>
      </c>
      <c r="V4726">
        <v>0</v>
      </c>
      <c r="W4726">
        <v>0</v>
      </c>
      <c r="X4726">
        <v>0</v>
      </c>
      <c r="Y4726" t="s">
        <v>31</v>
      </c>
      <c r="Z4726">
        <v>55</v>
      </c>
      <c r="AA4726" s="2" t="s">
        <v>3920</v>
      </c>
    </row>
    <row r="4727" spans="1:27" x14ac:dyDescent="0.2">
      <c r="A4727" t="s">
        <v>649</v>
      </c>
      <c r="B4727">
        <v>2024</v>
      </c>
      <c r="C4727">
        <v>3148041001</v>
      </c>
      <c r="D4727" t="s">
        <v>5815</v>
      </c>
      <c r="E4727" t="s">
        <v>29</v>
      </c>
      <c r="F4727" t="s">
        <v>30</v>
      </c>
      <c r="G4727">
        <v>0</v>
      </c>
      <c r="H4727">
        <v>0</v>
      </c>
      <c r="I4727">
        <v>0</v>
      </c>
      <c r="J4727">
        <v>0</v>
      </c>
      <c r="K4727">
        <v>0</v>
      </c>
      <c r="L4727">
        <v>0</v>
      </c>
      <c r="M4727">
        <v>0</v>
      </c>
      <c r="N4727">
        <v>0</v>
      </c>
      <c r="O4727">
        <v>0</v>
      </c>
      <c r="P4727">
        <v>0</v>
      </c>
      <c r="Q4727">
        <v>0</v>
      </c>
      <c r="R4727">
        <v>0</v>
      </c>
      <c r="S4727">
        <v>0</v>
      </c>
      <c r="T4727">
        <v>0</v>
      </c>
      <c r="U4727">
        <v>24</v>
      </c>
      <c r="V4727">
        <v>0</v>
      </c>
      <c r="W4727">
        <v>0</v>
      </c>
      <c r="X4727">
        <v>0</v>
      </c>
      <c r="Y4727" t="s">
        <v>31</v>
      </c>
      <c r="Z4727">
        <v>55</v>
      </c>
      <c r="AA4727">
        <v>0</v>
      </c>
    </row>
    <row r="4728" spans="1:27" x14ac:dyDescent="0.2">
      <c r="A4728" t="s">
        <v>649</v>
      </c>
      <c r="B4728">
        <v>2024</v>
      </c>
      <c r="C4728">
        <v>3148041001</v>
      </c>
      <c r="D4728" t="s">
        <v>5816</v>
      </c>
      <c r="E4728" t="s">
        <v>29</v>
      </c>
      <c r="F4728" t="s">
        <v>30</v>
      </c>
      <c r="G4728">
        <v>0</v>
      </c>
      <c r="H4728">
        <v>0</v>
      </c>
      <c r="I4728">
        <v>0</v>
      </c>
      <c r="J4728">
        <v>0</v>
      </c>
      <c r="K4728">
        <v>0</v>
      </c>
      <c r="L4728">
        <v>0</v>
      </c>
      <c r="M4728">
        <v>0</v>
      </c>
      <c r="N4728">
        <v>0</v>
      </c>
      <c r="O4728">
        <v>0</v>
      </c>
      <c r="P4728">
        <v>0</v>
      </c>
      <c r="Q4728">
        <v>0</v>
      </c>
      <c r="R4728">
        <v>0</v>
      </c>
      <c r="S4728">
        <v>0</v>
      </c>
      <c r="T4728">
        <v>0</v>
      </c>
      <c r="U4728">
        <v>24</v>
      </c>
      <c r="V4728">
        <v>0</v>
      </c>
      <c r="W4728">
        <v>0</v>
      </c>
      <c r="X4728">
        <v>0</v>
      </c>
      <c r="Y4728" t="s">
        <v>31</v>
      </c>
      <c r="Z4728">
        <v>55</v>
      </c>
      <c r="AA4728">
        <v>0</v>
      </c>
    </row>
    <row r="4729" spans="1:27" x14ac:dyDescent="0.2">
      <c r="A4729" t="s">
        <v>928</v>
      </c>
      <c r="B4729">
        <v>2024</v>
      </c>
      <c r="C4729" t="s">
        <v>3103</v>
      </c>
      <c r="D4729" t="s">
        <v>5048</v>
      </c>
      <c r="E4729" t="s">
        <v>29</v>
      </c>
      <c r="F4729" t="s">
        <v>41</v>
      </c>
      <c r="G4729">
        <v>0</v>
      </c>
      <c r="H4729">
        <v>0</v>
      </c>
      <c r="I4729">
        <v>0</v>
      </c>
      <c r="J4729">
        <v>0</v>
      </c>
      <c r="K4729">
        <v>0</v>
      </c>
      <c r="L4729">
        <v>0</v>
      </c>
      <c r="M4729">
        <v>0</v>
      </c>
      <c r="N4729">
        <v>0</v>
      </c>
      <c r="O4729">
        <v>0</v>
      </c>
      <c r="P4729">
        <v>0</v>
      </c>
      <c r="Q4729">
        <v>0</v>
      </c>
      <c r="R4729">
        <v>0</v>
      </c>
      <c r="S4729">
        <v>0</v>
      </c>
      <c r="T4729">
        <v>0</v>
      </c>
      <c r="U4729">
        <v>0</v>
      </c>
      <c r="V4729">
        <v>0</v>
      </c>
      <c r="W4729">
        <v>1</v>
      </c>
      <c r="X4729">
        <v>0</v>
      </c>
      <c r="Y4729" t="s">
        <v>51</v>
      </c>
      <c r="Z4729">
        <v>55</v>
      </c>
      <c r="AA4729">
        <v>0</v>
      </c>
    </row>
    <row r="4730" spans="1:27" x14ac:dyDescent="0.2">
      <c r="A4730" t="s">
        <v>928</v>
      </c>
      <c r="B4730">
        <v>2024</v>
      </c>
      <c r="C4730" t="s">
        <v>5817</v>
      </c>
      <c r="D4730" t="s">
        <v>5818</v>
      </c>
      <c r="E4730" t="s">
        <v>29</v>
      </c>
      <c r="F4730" t="s">
        <v>30</v>
      </c>
      <c r="G4730">
        <v>88</v>
      </c>
      <c r="H4730">
        <v>0</v>
      </c>
      <c r="I4730">
        <v>43</v>
      </c>
      <c r="J4730">
        <v>0</v>
      </c>
      <c r="K4730">
        <v>0</v>
      </c>
      <c r="L4730">
        <v>0</v>
      </c>
      <c r="M4730">
        <v>0</v>
      </c>
      <c r="N4730">
        <v>0</v>
      </c>
      <c r="O4730">
        <v>0</v>
      </c>
      <c r="P4730">
        <v>0</v>
      </c>
      <c r="Q4730">
        <v>0</v>
      </c>
      <c r="R4730">
        <v>0</v>
      </c>
      <c r="S4730">
        <v>0</v>
      </c>
      <c r="T4730">
        <v>0</v>
      </c>
      <c r="U4730">
        <v>0</v>
      </c>
      <c r="V4730">
        <v>0</v>
      </c>
      <c r="W4730">
        <v>0</v>
      </c>
      <c r="X4730">
        <v>0</v>
      </c>
      <c r="Y4730" t="s">
        <v>31</v>
      </c>
      <c r="AA4730">
        <v>0.25</v>
      </c>
    </row>
    <row r="4731" spans="1:27" x14ac:dyDescent="0.2">
      <c r="A4731" t="s">
        <v>928</v>
      </c>
      <c r="B4731">
        <v>2024</v>
      </c>
      <c r="C4731" t="s">
        <v>5819</v>
      </c>
      <c r="D4731" t="s">
        <v>5820</v>
      </c>
      <c r="E4731" t="s">
        <v>29</v>
      </c>
      <c r="F4731" t="s">
        <v>41</v>
      </c>
      <c r="G4731">
        <v>0</v>
      </c>
      <c r="H4731">
        <v>0</v>
      </c>
      <c r="I4731">
        <v>0</v>
      </c>
      <c r="J4731">
        <v>0</v>
      </c>
      <c r="K4731">
        <v>0</v>
      </c>
      <c r="L4731">
        <v>0</v>
      </c>
      <c r="M4731">
        <v>1</v>
      </c>
      <c r="N4731">
        <v>0</v>
      </c>
      <c r="O4731">
        <v>0</v>
      </c>
      <c r="P4731">
        <v>0</v>
      </c>
      <c r="Q4731">
        <v>0</v>
      </c>
      <c r="R4731">
        <v>0</v>
      </c>
      <c r="S4731">
        <v>0</v>
      </c>
      <c r="T4731">
        <v>0</v>
      </c>
      <c r="U4731">
        <v>0</v>
      </c>
      <c r="V4731">
        <v>0</v>
      </c>
      <c r="W4731">
        <v>0</v>
      </c>
      <c r="X4731">
        <v>0</v>
      </c>
      <c r="Y4731" t="s">
        <v>51</v>
      </c>
      <c r="Z4731">
        <v>55</v>
      </c>
      <c r="AA4731">
        <v>0</v>
      </c>
    </row>
    <row r="4732" spans="1:27" x14ac:dyDescent="0.2">
      <c r="A4732" t="s">
        <v>928</v>
      </c>
      <c r="B4732">
        <v>2024</v>
      </c>
      <c r="C4732" t="s">
        <v>4792</v>
      </c>
      <c r="D4732" t="s">
        <v>4793</v>
      </c>
      <c r="E4732" t="s">
        <v>29</v>
      </c>
      <c r="F4732" t="s">
        <v>41</v>
      </c>
      <c r="G4732">
        <v>0</v>
      </c>
      <c r="H4732">
        <v>0</v>
      </c>
      <c r="I4732">
        <v>0</v>
      </c>
      <c r="J4732">
        <v>0</v>
      </c>
      <c r="K4732">
        <v>0</v>
      </c>
      <c r="L4732">
        <v>0</v>
      </c>
      <c r="M4732">
        <v>0</v>
      </c>
      <c r="N4732">
        <v>0</v>
      </c>
      <c r="O4732">
        <v>0</v>
      </c>
      <c r="P4732">
        <v>0</v>
      </c>
      <c r="Q4732">
        <v>0</v>
      </c>
      <c r="R4732">
        <v>0</v>
      </c>
      <c r="S4732">
        <v>0</v>
      </c>
      <c r="T4732">
        <v>0</v>
      </c>
      <c r="U4732">
        <v>1</v>
      </c>
      <c r="V4732">
        <v>0</v>
      </c>
      <c r="W4732">
        <v>0</v>
      </c>
      <c r="X4732">
        <v>0</v>
      </c>
      <c r="Y4732" t="s">
        <v>51</v>
      </c>
      <c r="Z4732">
        <v>55</v>
      </c>
      <c r="AA4732">
        <v>0</v>
      </c>
    </row>
    <row r="4733" spans="1:27" ht="119" x14ac:dyDescent="0.2">
      <c r="A4733" t="s">
        <v>32</v>
      </c>
      <c r="B4733">
        <v>2024</v>
      </c>
      <c r="C4733" t="s">
        <v>35</v>
      </c>
      <c r="D4733" s="1" t="s">
        <v>5821</v>
      </c>
      <c r="E4733" t="s">
        <v>29</v>
      </c>
      <c r="F4733" t="s">
        <v>30</v>
      </c>
      <c r="G4733">
        <v>0</v>
      </c>
      <c r="H4733">
        <v>0</v>
      </c>
      <c r="I4733">
        <v>0</v>
      </c>
      <c r="J4733">
        <v>0</v>
      </c>
      <c r="K4733">
        <v>0</v>
      </c>
      <c r="L4733">
        <v>0</v>
      </c>
      <c r="M4733">
        <v>0</v>
      </c>
      <c r="N4733">
        <v>0</v>
      </c>
      <c r="O4733">
        <v>0</v>
      </c>
      <c r="P4733">
        <v>0</v>
      </c>
      <c r="Q4733">
        <v>0</v>
      </c>
      <c r="R4733">
        <v>0</v>
      </c>
      <c r="S4733">
        <v>0</v>
      </c>
      <c r="T4733">
        <v>0</v>
      </c>
      <c r="U4733">
        <v>24</v>
      </c>
      <c r="V4733">
        <v>0</v>
      </c>
      <c r="W4733">
        <v>0</v>
      </c>
      <c r="X4733">
        <v>0</v>
      </c>
      <c r="Y4733" t="s">
        <v>31</v>
      </c>
      <c r="Z4733">
        <v>55</v>
      </c>
      <c r="AA4733" s="2" t="s">
        <v>3600</v>
      </c>
    </row>
    <row r="4734" spans="1:27" x14ac:dyDescent="0.2">
      <c r="A4734" t="s">
        <v>2419</v>
      </c>
      <c r="B4734">
        <v>2024</v>
      </c>
      <c r="C4734">
        <v>60242057</v>
      </c>
      <c r="D4734" t="s">
        <v>5822</v>
      </c>
      <c r="E4734" t="s">
        <v>29</v>
      </c>
      <c r="F4734" t="s">
        <v>30</v>
      </c>
      <c r="G4734">
        <v>35</v>
      </c>
      <c r="H4734">
        <v>0</v>
      </c>
      <c r="I4734">
        <v>17</v>
      </c>
      <c r="J4734">
        <v>0</v>
      </c>
      <c r="K4734">
        <v>0</v>
      </c>
      <c r="L4734">
        <v>0</v>
      </c>
      <c r="M4734">
        <v>35</v>
      </c>
      <c r="N4734">
        <v>0</v>
      </c>
      <c r="O4734">
        <v>17</v>
      </c>
      <c r="P4734">
        <v>0</v>
      </c>
      <c r="Q4734">
        <v>0</v>
      </c>
      <c r="R4734">
        <v>0</v>
      </c>
      <c r="S4734">
        <v>0</v>
      </c>
      <c r="T4734">
        <v>0</v>
      </c>
      <c r="U4734">
        <v>0</v>
      </c>
      <c r="V4734">
        <v>0</v>
      </c>
      <c r="W4734">
        <v>0</v>
      </c>
      <c r="X4734">
        <v>0</v>
      </c>
      <c r="Y4734" t="s">
        <v>31</v>
      </c>
      <c r="AA4734" s="2" t="s">
        <v>5823</v>
      </c>
    </row>
    <row r="4735" spans="1:27" x14ac:dyDescent="0.2">
      <c r="A4735" t="s">
        <v>547</v>
      </c>
      <c r="B4735">
        <v>2024</v>
      </c>
      <c r="C4735">
        <v>4217027004</v>
      </c>
      <c r="D4735" t="s">
        <v>949</v>
      </c>
      <c r="E4735" t="s">
        <v>29</v>
      </c>
      <c r="F4735" t="s">
        <v>30</v>
      </c>
      <c r="G4735">
        <v>0</v>
      </c>
      <c r="H4735">
        <v>0</v>
      </c>
      <c r="I4735">
        <v>0</v>
      </c>
      <c r="J4735">
        <v>0</v>
      </c>
      <c r="K4735">
        <v>0</v>
      </c>
      <c r="L4735">
        <v>0</v>
      </c>
      <c r="M4735">
        <v>2</v>
      </c>
      <c r="N4735">
        <v>0</v>
      </c>
      <c r="O4735">
        <v>0</v>
      </c>
      <c r="P4735">
        <v>0</v>
      </c>
      <c r="Q4735">
        <v>0</v>
      </c>
      <c r="R4735">
        <v>0</v>
      </c>
      <c r="S4735">
        <v>0</v>
      </c>
      <c r="T4735">
        <v>0</v>
      </c>
      <c r="U4735">
        <v>0</v>
      </c>
      <c r="V4735">
        <v>0</v>
      </c>
      <c r="W4735">
        <v>0</v>
      </c>
      <c r="X4735">
        <v>0</v>
      </c>
      <c r="Y4735" t="s">
        <v>31</v>
      </c>
      <c r="Z4735">
        <v>55</v>
      </c>
      <c r="AA4735">
        <v>35</v>
      </c>
    </row>
    <row r="4736" spans="1:27" x14ac:dyDescent="0.2">
      <c r="A4736" t="s">
        <v>75</v>
      </c>
      <c r="B4736">
        <v>2024</v>
      </c>
      <c r="C4736">
        <v>3410503800</v>
      </c>
      <c r="D4736" t="s">
        <v>5824</v>
      </c>
      <c r="E4736" t="s">
        <v>29</v>
      </c>
      <c r="F4736" t="s">
        <v>30</v>
      </c>
      <c r="G4736">
        <v>0</v>
      </c>
      <c r="H4736">
        <v>0</v>
      </c>
      <c r="I4736">
        <v>0</v>
      </c>
      <c r="J4736">
        <v>0</v>
      </c>
      <c r="K4736">
        <v>0</v>
      </c>
      <c r="L4736">
        <v>0</v>
      </c>
      <c r="M4736">
        <v>0</v>
      </c>
      <c r="N4736">
        <v>0</v>
      </c>
      <c r="O4736">
        <v>0</v>
      </c>
      <c r="P4736">
        <v>0</v>
      </c>
      <c r="Q4736">
        <v>0</v>
      </c>
      <c r="R4736">
        <v>0</v>
      </c>
      <c r="S4736">
        <v>0</v>
      </c>
      <c r="T4736">
        <v>0</v>
      </c>
      <c r="U4736">
        <v>180</v>
      </c>
      <c r="V4736">
        <v>0</v>
      </c>
      <c r="W4736">
        <v>0</v>
      </c>
      <c r="X4736">
        <v>0</v>
      </c>
      <c r="Y4736" t="s">
        <v>51</v>
      </c>
      <c r="AA4736">
        <v>0</v>
      </c>
    </row>
    <row r="4737" spans="1:27" x14ac:dyDescent="0.2">
      <c r="A4737" t="s">
        <v>75</v>
      </c>
      <c r="B4737">
        <v>2024</v>
      </c>
      <c r="C4737">
        <v>4332503100</v>
      </c>
      <c r="D4737" t="s">
        <v>5825</v>
      </c>
      <c r="E4737" t="s">
        <v>29</v>
      </c>
      <c r="F4737" t="s">
        <v>30</v>
      </c>
      <c r="G4737">
        <v>0</v>
      </c>
      <c r="H4737">
        <v>0</v>
      </c>
      <c r="I4737">
        <v>0</v>
      </c>
      <c r="J4737">
        <v>0</v>
      </c>
      <c r="K4737">
        <v>0</v>
      </c>
      <c r="L4737">
        <v>0</v>
      </c>
      <c r="M4737">
        <v>0</v>
      </c>
      <c r="N4737">
        <v>0</v>
      </c>
      <c r="O4737">
        <v>0</v>
      </c>
      <c r="P4737">
        <v>0</v>
      </c>
      <c r="Q4737">
        <v>0</v>
      </c>
      <c r="R4737">
        <v>0</v>
      </c>
      <c r="S4737">
        <v>0</v>
      </c>
      <c r="T4737">
        <v>0</v>
      </c>
      <c r="U4737">
        <v>0</v>
      </c>
      <c r="V4737">
        <v>0</v>
      </c>
      <c r="W4737">
        <v>0</v>
      </c>
      <c r="X4737">
        <v>0</v>
      </c>
      <c r="Y4737" t="s">
        <v>51</v>
      </c>
      <c r="AA4737">
        <v>0</v>
      </c>
    </row>
    <row r="4738" spans="1:27" ht="119" x14ac:dyDescent="0.2">
      <c r="A4738" t="s">
        <v>32</v>
      </c>
      <c r="B4738">
        <v>2024</v>
      </c>
      <c r="C4738" t="s">
        <v>5629</v>
      </c>
      <c r="D4738" s="1" t="s">
        <v>5826</v>
      </c>
      <c r="E4738" t="s">
        <v>29</v>
      </c>
      <c r="F4738" t="s">
        <v>30</v>
      </c>
      <c r="G4738">
        <v>0</v>
      </c>
      <c r="H4738">
        <v>0</v>
      </c>
      <c r="I4738">
        <v>0</v>
      </c>
      <c r="J4738">
        <v>0</v>
      </c>
      <c r="K4738">
        <v>0</v>
      </c>
      <c r="L4738">
        <v>0</v>
      </c>
      <c r="M4738">
        <v>10</v>
      </c>
      <c r="N4738">
        <v>0</v>
      </c>
      <c r="O4738">
        <v>0</v>
      </c>
      <c r="P4738">
        <v>0</v>
      </c>
      <c r="Q4738">
        <v>0</v>
      </c>
      <c r="R4738">
        <v>0</v>
      </c>
      <c r="S4738">
        <v>0</v>
      </c>
      <c r="T4738">
        <v>0</v>
      </c>
      <c r="U4738">
        <v>0</v>
      </c>
      <c r="V4738">
        <v>0</v>
      </c>
      <c r="W4738">
        <v>0</v>
      </c>
      <c r="X4738">
        <v>0</v>
      </c>
      <c r="Y4738" t="s">
        <v>31</v>
      </c>
      <c r="AA4738">
        <v>1</v>
      </c>
    </row>
    <row r="4739" spans="1:27" x14ac:dyDescent="0.2">
      <c r="A4739" t="s">
        <v>547</v>
      </c>
      <c r="B4739">
        <v>2024</v>
      </c>
      <c r="C4739">
        <v>4220019034</v>
      </c>
      <c r="D4739" t="s">
        <v>5827</v>
      </c>
      <c r="E4739" t="s">
        <v>29</v>
      </c>
      <c r="F4739" t="s">
        <v>30</v>
      </c>
      <c r="G4739">
        <v>0</v>
      </c>
      <c r="H4739">
        <v>0</v>
      </c>
      <c r="I4739">
        <v>0</v>
      </c>
      <c r="J4739">
        <v>0</v>
      </c>
      <c r="K4739">
        <v>0</v>
      </c>
      <c r="L4739">
        <v>0</v>
      </c>
      <c r="M4739">
        <v>1</v>
      </c>
      <c r="N4739">
        <v>0</v>
      </c>
      <c r="O4739">
        <v>0</v>
      </c>
      <c r="P4739">
        <v>0</v>
      </c>
      <c r="Q4739">
        <v>0</v>
      </c>
      <c r="R4739">
        <v>0</v>
      </c>
      <c r="S4739">
        <v>0</v>
      </c>
      <c r="T4739">
        <v>0</v>
      </c>
      <c r="U4739">
        <v>0</v>
      </c>
      <c r="V4739">
        <v>0</v>
      </c>
      <c r="W4739">
        <v>0</v>
      </c>
      <c r="X4739">
        <v>0</v>
      </c>
      <c r="Y4739" t="s">
        <v>31</v>
      </c>
      <c r="Z4739">
        <v>55</v>
      </c>
      <c r="AA4739">
        <v>22</v>
      </c>
    </row>
    <row r="4740" spans="1:27" x14ac:dyDescent="0.2">
      <c r="A4740" t="s">
        <v>2395</v>
      </c>
      <c r="B4740">
        <v>2024</v>
      </c>
      <c r="C4740" t="s">
        <v>5828</v>
      </c>
      <c r="D4740" t="s">
        <v>5829</v>
      </c>
      <c r="E4740" t="s">
        <v>29</v>
      </c>
      <c r="F4740" t="s">
        <v>30</v>
      </c>
      <c r="G4740">
        <v>3</v>
      </c>
      <c r="H4740">
        <v>0</v>
      </c>
      <c r="I4740">
        <v>0</v>
      </c>
      <c r="J4740">
        <v>32</v>
      </c>
      <c r="K4740">
        <v>0</v>
      </c>
      <c r="L4740">
        <v>0</v>
      </c>
      <c r="M4740">
        <v>0</v>
      </c>
      <c r="N4740">
        <v>0</v>
      </c>
      <c r="O4740">
        <v>0</v>
      </c>
      <c r="P4740">
        <v>0</v>
      </c>
      <c r="Q4740">
        <v>0</v>
      </c>
      <c r="R4740">
        <v>0</v>
      </c>
      <c r="S4740">
        <v>0</v>
      </c>
      <c r="T4740">
        <v>0</v>
      </c>
      <c r="U4740">
        <v>0</v>
      </c>
      <c r="V4740">
        <v>0</v>
      </c>
      <c r="W4740">
        <v>0</v>
      </c>
      <c r="X4740">
        <v>0</v>
      </c>
      <c r="Y4740" t="s">
        <v>31</v>
      </c>
      <c r="Z4740">
        <v>55</v>
      </c>
      <c r="AA4740" s="2" t="s">
        <v>3316</v>
      </c>
    </row>
    <row r="4741" spans="1:27" x14ac:dyDescent="0.2">
      <c r="A4741" t="s">
        <v>75</v>
      </c>
      <c r="B4741">
        <v>2024</v>
      </c>
      <c r="C4741">
        <v>4332503100</v>
      </c>
      <c r="D4741" t="s">
        <v>5830</v>
      </c>
      <c r="E4741" t="s">
        <v>29</v>
      </c>
      <c r="F4741" t="s">
        <v>30</v>
      </c>
      <c r="G4741">
        <v>0</v>
      </c>
      <c r="H4741">
        <v>0</v>
      </c>
      <c r="I4741">
        <v>0</v>
      </c>
      <c r="J4741">
        <v>0</v>
      </c>
      <c r="K4741">
        <v>0</v>
      </c>
      <c r="L4741">
        <v>0</v>
      </c>
      <c r="M4741">
        <v>0</v>
      </c>
      <c r="N4741">
        <v>0</v>
      </c>
      <c r="O4741">
        <v>0</v>
      </c>
      <c r="P4741">
        <v>0</v>
      </c>
      <c r="Q4741">
        <v>0</v>
      </c>
      <c r="R4741">
        <v>0</v>
      </c>
      <c r="S4741">
        <v>0</v>
      </c>
      <c r="T4741">
        <v>0</v>
      </c>
      <c r="U4741">
        <v>0</v>
      </c>
      <c r="V4741">
        <v>0</v>
      </c>
      <c r="W4741">
        <v>0</v>
      </c>
      <c r="X4741">
        <v>0</v>
      </c>
      <c r="Y4741" t="s">
        <v>51</v>
      </c>
      <c r="AA4741">
        <v>0</v>
      </c>
    </row>
    <row r="4742" spans="1:27" x14ac:dyDescent="0.2">
      <c r="A4742" t="s">
        <v>75</v>
      </c>
      <c r="B4742">
        <v>2024</v>
      </c>
      <c r="C4742">
        <v>6461005400</v>
      </c>
      <c r="D4742" t="s">
        <v>5831</v>
      </c>
      <c r="E4742" t="s">
        <v>29</v>
      </c>
      <c r="F4742" t="s">
        <v>30</v>
      </c>
      <c r="G4742">
        <v>0</v>
      </c>
      <c r="H4742">
        <v>0</v>
      </c>
      <c r="I4742">
        <v>0</v>
      </c>
      <c r="J4742">
        <v>0</v>
      </c>
      <c r="K4742">
        <v>0</v>
      </c>
      <c r="L4742">
        <v>0</v>
      </c>
      <c r="M4742">
        <v>0</v>
      </c>
      <c r="N4742">
        <v>0</v>
      </c>
      <c r="O4742">
        <v>0</v>
      </c>
      <c r="P4742">
        <v>0</v>
      </c>
      <c r="Q4742">
        <v>0</v>
      </c>
      <c r="R4742">
        <v>0</v>
      </c>
      <c r="S4742">
        <v>0</v>
      </c>
      <c r="T4742">
        <v>0</v>
      </c>
      <c r="U4742">
        <v>0</v>
      </c>
      <c r="V4742">
        <v>0</v>
      </c>
      <c r="W4742">
        <v>0</v>
      </c>
      <c r="X4742">
        <v>0</v>
      </c>
      <c r="Y4742" t="s">
        <v>51</v>
      </c>
      <c r="AA4742">
        <v>0</v>
      </c>
    </row>
    <row r="4743" spans="1:27" x14ac:dyDescent="0.2">
      <c r="A4743" t="s">
        <v>75</v>
      </c>
      <c r="B4743">
        <v>2024</v>
      </c>
      <c r="C4743">
        <v>5452711900</v>
      </c>
      <c r="D4743" t="s">
        <v>5832</v>
      </c>
      <c r="E4743" t="s">
        <v>29</v>
      </c>
      <c r="F4743" t="s">
        <v>30</v>
      </c>
      <c r="G4743">
        <v>0</v>
      </c>
      <c r="H4743">
        <v>0</v>
      </c>
      <c r="I4743">
        <v>0</v>
      </c>
      <c r="J4743">
        <v>0</v>
      </c>
      <c r="K4743">
        <v>0</v>
      </c>
      <c r="L4743">
        <v>0</v>
      </c>
      <c r="M4743">
        <v>1</v>
      </c>
      <c r="N4743">
        <v>0</v>
      </c>
      <c r="O4743">
        <v>0</v>
      </c>
      <c r="P4743">
        <v>0</v>
      </c>
      <c r="Q4743">
        <v>1</v>
      </c>
      <c r="R4743">
        <v>0</v>
      </c>
      <c r="S4743">
        <v>0</v>
      </c>
      <c r="T4743">
        <v>0</v>
      </c>
      <c r="U4743">
        <v>0</v>
      </c>
      <c r="V4743">
        <v>0</v>
      </c>
      <c r="W4743">
        <v>0</v>
      </c>
      <c r="X4743">
        <v>0</v>
      </c>
      <c r="Y4743" t="s">
        <v>31</v>
      </c>
      <c r="Z4743">
        <v>55</v>
      </c>
      <c r="AA4743">
        <v>1</v>
      </c>
    </row>
    <row r="4744" spans="1:27" ht="119" x14ac:dyDescent="0.2">
      <c r="A4744" t="s">
        <v>32</v>
      </c>
      <c r="B4744">
        <v>2024</v>
      </c>
      <c r="C4744" t="s">
        <v>5562</v>
      </c>
      <c r="D4744" s="1" t="s">
        <v>5833</v>
      </c>
      <c r="E4744" t="s">
        <v>29</v>
      </c>
      <c r="F4744" t="s">
        <v>30</v>
      </c>
      <c r="G4744">
        <v>0</v>
      </c>
      <c r="H4744">
        <v>0</v>
      </c>
      <c r="I4744">
        <v>0</v>
      </c>
      <c r="J4744">
        <v>0</v>
      </c>
      <c r="K4744">
        <v>0</v>
      </c>
      <c r="L4744">
        <v>0</v>
      </c>
      <c r="M4744">
        <v>0</v>
      </c>
      <c r="N4744">
        <v>0</v>
      </c>
      <c r="O4744">
        <v>10</v>
      </c>
      <c r="P4744">
        <v>0</v>
      </c>
      <c r="Q4744">
        <v>0</v>
      </c>
      <c r="R4744">
        <v>0</v>
      </c>
      <c r="S4744">
        <v>0</v>
      </c>
      <c r="T4744">
        <v>0</v>
      </c>
      <c r="U4744">
        <v>0</v>
      </c>
      <c r="V4744">
        <v>0</v>
      </c>
      <c r="W4744">
        <v>0</v>
      </c>
      <c r="X4744">
        <v>0</v>
      </c>
      <c r="Y4744" t="s">
        <v>31</v>
      </c>
      <c r="AA4744">
        <v>1</v>
      </c>
    </row>
    <row r="4745" spans="1:27" x14ac:dyDescent="0.2">
      <c r="A4745" t="s">
        <v>75</v>
      </c>
      <c r="B4745">
        <v>2024</v>
      </c>
      <c r="C4745">
        <v>3130600600</v>
      </c>
      <c r="D4745" t="s">
        <v>5834</v>
      </c>
      <c r="E4745" t="s">
        <v>29</v>
      </c>
      <c r="F4745" t="s">
        <v>30</v>
      </c>
      <c r="G4745">
        <v>0</v>
      </c>
      <c r="H4745">
        <v>0</v>
      </c>
      <c r="I4745">
        <v>0</v>
      </c>
      <c r="J4745">
        <v>0</v>
      </c>
      <c r="K4745">
        <v>0</v>
      </c>
      <c r="L4745">
        <v>0</v>
      </c>
      <c r="M4745">
        <v>0</v>
      </c>
      <c r="N4745">
        <v>0</v>
      </c>
      <c r="O4745">
        <v>0</v>
      </c>
      <c r="P4745">
        <v>0</v>
      </c>
      <c r="Q4745">
        <v>0</v>
      </c>
      <c r="R4745">
        <v>0</v>
      </c>
      <c r="S4745">
        <v>0</v>
      </c>
      <c r="T4745">
        <v>0</v>
      </c>
      <c r="U4745">
        <v>0</v>
      </c>
      <c r="V4745">
        <v>0</v>
      </c>
      <c r="W4745">
        <v>0</v>
      </c>
      <c r="X4745">
        <v>0</v>
      </c>
      <c r="Y4745" t="s">
        <v>51</v>
      </c>
      <c r="AA4745">
        <v>0</v>
      </c>
    </row>
    <row r="4746" spans="1:27" x14ac:dyDescent="0.2">
      <c r="A4746" t="s">
        <v>2604</v>
      </c>
      <c r="B4746">
        <v>2024</v>
      </c>
      <c r="C4746" t="s">
        <v>2605</v>
      </c>
      <c r="D4746" t="s">
        <v>5835</v>
      </c>
      <c r="E4746" t="s">
        <v>29</v>
      </c>
      <c r="F4746" t="s">
        <v>30</v>
      </c>
      <c r="G4746">
        <v>0</v>
      </c>
      <c r="H4746">
        <v>0</v>
      </c>
      <c r="I4746">
        <v>0</v>
      </c>
      <c r="J4746">
        <v>0</v>
      </c>
      <c r="K4746">
        <v>0</v>
      </c>
      <c r="L4746">
        <v>0</v>
      </c>
      <c r="M4746">
        <v>10</v>
      </c>
      <c r="N4746">
        <v>0</v>
      </c>
      <c r="O4746">
        <v>13</v>
      </c>
      <c r="P4746">
        <v>0</v>
      </c>
      <c r="Q4746">
        <v>1</v>
      </c>
      <c r="R4746">
        <v>0</v>
      </c>
      <c r="S4746">
        <v>0</v>
      </c>
      <c r="T4746">
        <v>0</v>
      </c>
      <c r="U4746">
        <v>0</v>
      </c>
      <c r="V4746">
        <v>0</v>
      </c>
      <c r="W4746">
        <v>0</v>
      </c>
      <c r="X4746">
        <v>0</v>
      </c>
      <c r="Y4746" t="s">
        <v>51</v>
      </c>
      <c r="Z4746">
        <v>55</v>
      </c>
      <c r="AA4746">
        <v>0</v>
      </c>
    </row>
    <row r="4747" spans="1:27" x14ac:dyDescent="0.2">
      <c r="A4747" t="s">
        <v>1558</v>
      </c>
      <c r="B4747">
        <v>2024</v>
      </c>
      <c r="C4747" t="s">
        <v>1559</v>
      </c>
      <c r="D4747" t="s">
        <v>1560</v>
      </c>
      <c r="E4747" t="s">
        <v>29</v>
      </c>
      <c r="F4747" t="s">
        <v>41</v>
      </c>
      <c r="G4747">
        <v>1</v>
      </c>
      <c r="H4747">
        <v>0</v>
      </c>
      <c r="I4747">
        <v>0</v>
      </c>
      <c r="J4747">
        <v>0</v>
      </c>
      <c r="K4747">
        <v>0</v>
      </c>
      <c r="L4747">
        <v>0</v>
      </c>
      <c r="M4747">
        <v>0</v>
      </c>
      <c r="N4747">
        <v>0</v>
      </c>
      <c r="O4747">
        <v>0</v>
      </c>
      <c r="P4747">
        <v>0</v>
      </c>
      <c r="Q4747">
        <v>0</v>
      </c>
      <c r="R4747">
        <v>0</v>
      </c>
      <c r="S4747">
        <v>0</v>
      </c>
      <c r="T4747">
        <v>0</v>
      </c>
      <c r="U4747">
        <v>0</v>
      </c>
      <c r="V4747">
        <v>0</v>
      </c>
      <c r="W4747">
        <v>0</v>
      </c>
      <c r="X4747">
        <v>0</v>
      </c>
      <c r="Y4747" t="s">
        <v>31</v>
      </c>
      <c r="AA4747">
        <v>0</v>
      </c>
    </row>
    <row r="4748" spans="1:27" x14ac:dyDescent="0.2">
      <c r="A4748" t="s">
        <v>75</v>
      </c>
      <c r="B4748">
        <v>2024</v>
      </c>
      <c r="C4748">
        <v>3130600600</v>
      </c>
      <c r="D4748" t="s">
        <v>5836</v>
      </c>
      <c r="E4748" t="s">
        <v>29</v>
      </c>
      <c r="F4748" t="s">
        <v>30</v>
      </c>
      <c r="G4748">
        <v>0</v>
      </c>
      <c r="H4748">
        <v>0</v>
      </c>
      <c r="I4748">
        <v>0</v>
      </c>
      <c r="J4748">
        <v>0</v>
      </c>
      <c r="K4748">
        <v>0</v>
      </c>
      <c r="L4748">
        <v>0</v>
      </c>
      <c r="M4748">
        <v>0</v>
      </c>
      <c r="N4748">
        <v>0</v>
      </c>
      <c r="O4748">
        <v>0</v>
      </c>
      <c r="P4748">
        <v>0</v>
      </c>
      <c r="Q4748">
        <v>0</v>
      </c>
      <c r="R4748">
        <v>0</v>
      </c>
      <c r="S4748">
        <v>0</v>
      </c>
      <c r="T4748">
        <v>0</v>
      </c>
      <c r="U4748">
        <v>0</v>
      </c>
      <c r="V4748">
        <v>0</v>
      </c>
      <c r="W4748">
        <v>0</v>
      </c>
      <c r="X4748">
        <v>0</v>
      </c>
      <c r="Y4748" t="s">
        <v>51</v>
      </c>
      <c r="AA4748">
        <v>0</v>
      </c>
    </row>
    <row r="4749" spans="1:27" x14ac:dyDescent="0.2">
      <c r="A4749" t="s">
        <v>75</v>
      </c>
      <c r="B4749">
        <v>2024</v>
      </c>
      <c r="C4749">
        <v>3616611200</v>
      </c>
      <c r="D4749" t="s">
        <v>5837</v>
      </c>
      <c r="E4749" t="s">
        <v>29</v>
      </c>
      <c r="F4749" t="s">
        <v>30</v>
      </c>
      <c r="G4749">
        <v>0</v>
      </c>
      <c r="H4749">
        <v>0</v>
      </c>
      <c r="I4749">
        <v>0</v>
      </c>
      <c r="J4749">
        <v>0</v>
      </c>
      <c r="K4749">
        <v>0</v>
      </c>
      <c r="L4749">
        <v>0</v>
      </c>
      <c r="M4749">
        <v>58</v>
      </c>
      <c r="N4749">
        <v>0</v>
      </c>
      <c r="O4749">
        <v>36</v>
      </c>
      <c r="P4749">
        <v>0</v>
      </c>
      <c r="Q4749">
        <v>0</v>
      </c>
      <c r="R4749">
        <v>0</v>
      </c>
      <c r="S4749">
        <v>0</v>
      </c>
      <c r="T4749">
        <v>0</v>
      </c>
      <c r="U4749">
        <v>0</v>
      </c>
      <c r="V4749">
        <v>0</v>
      </c>
      <c r="W4749">
        <v>0</v>
      </c>
      <c r="X4749">
        <v>0</v>
      </c>
      <c r="Y4749" t="s">
        <v>31</v>
      </c>
      <c r="Z4749">
        <v>55</v>
      </c>
      <c r="AA4749">
        <v>1</v>
      </c>
    </row>
    <row r="4750" spans="1:27" x14ac:dyDescent="0.2">
      <c r="A4750" t="s">
        <v>2614</v>
      </c>
      <c r="B4750">
        <v>2021</v>
      </c>
      <c r="C4750" t="s">
        <v>5838</v>
      </c>
      <c r="D4750" t="s">
        <v>5839</v>
      </c>
      <c r="E4750" t="s">
        <v>29</v>
      </c>
      <c r="F4750" t="s">
        <v>41</v>
      </c>
      <c r="G4750">
        <v>1</v>
      </c>
      <c r="H4750">
        <v>0</v>
      </c>
      <c r="I4750">
        <v>0</v>
      </c>
      <c r="J4750">
        <v>0</v>
      </c>
      <c r="K4750">
        <v>0</v>
      </c>
      <c r="L4750">
        <v>0</v>
      </c>
      <c r="M4750">
        <v>0</v>
      </c>
      <c r="N4750">
        <v>0</v>
      </c>
      <c r="O4750">
        <v>0</v>
      </c>
      <c r="P4750">
        <v>0</v>
      </c>
      <c r="Q4750">
        <v>0</v>
      </c>
      <c r="R4750">
        <v>0</v>
      </c>
      <c r="S4750">
        <v>0</v>
      </c>
      <c r="T4750">
        <v>0</v>
      </c>
      <c r="U4750">
        <v>0</v>
      </c>
      <c r="V4750">
        <v>0</v>
      </c>
      <c r="W4750">
        <v>0</v>
      </c>
      <c r="X4750">
        <v>0</v>
      </c>
      <c r="Y4750" t="s">
        <v>31</v>
      </c>
      <c r="Z4750">
        <v>55</v>
      </c>
      <c r="AA4750" s="2" t="s">
        <v>3316</v>
      </c>
    </row>
    <row r="4751" spans="1:27" x14ac:dyDescent="0.2">
      <c r="A4751" t="s">
        <v>1769</v>
      </c>
      <c r="B4751">
        <v>2024</v>
      </c>
      <c r="C4751" t="s">
        <v>5840</v>
      </c>
      <c r="D4751" t="s">
        <v>5841</v>
      </c>
      <c r="E4751" t="s">
        <v>29</v>
      </c>
      <c r="F4751" t="s">
        <v>41</v>
      </c>
      <c r="G4751">
        <v>6</v>
      </c>
      <c r="H4751">
        <v>0</v>
      </c>
      <c r="I4751">
        <v>2</v>
      </c>
      <c r="J4751">
        <v>0</v>
      </c>
      <c r="K4751">
        <v>0</v>
      </c>
      <c r="L4751">
        <v>0</v>
      </c>
      <c r="M4751">
        <v>0</v>
      </c>
      <c r="N4751">
        <v>0</v>
      </c>
      <c r="O4751">
        <v>0</v>
      </c>
      <c r="P4751">
        <v>0</v>
      </c>
      <c r="Q4751">
        <v>0</v>
      </c>
      <c r="R4751">
        <v>0</v>
      </c>
      <c r="S4751">
        <v>0</v>
      </c>
      <c r="T4751">
        <v>0</v>
      </c>
      <c r="U4751">
        <v>0</v>
      </c>
      <c r="V4751">
        <v>0</v>
      </c>
      <c r="W4751">
        <v>0</v>
      </c>
      <c r="X4751">
        <v>0</v>
      </c>
      <c r="Y4751" t="s">
        <v>31</v>
      </c>
      <c r="AA4751" s="2" t="s">
        <v>3244</v>
      </c>
    </row>
    <row r="4752" spans="1:27" x14ac:dyDescent="0.2">
      <c r="A4752" t="s">
        <v>1231</v>
      </c>
      <c r="B4752">
        <v>2024</v>
      </c>
      <c r="C4752">
        <v>694190087</v>
      </c>
      <c r="D4752" t="s">
        <v>1831</v>
      </c>
      <c r="E4752" t="s">
        <v>29</v>
      </c>
      <c r="F4752" t="s">
        <v>30</v>
      </c>
      <c r="G4752">
        <v>0</v>
      </c>
      <c r="H4752">
        <v>0</v>
      </c>
      <c r="I4752">
        <v>0</v>
      </c>
      <c r="J4752">
        <v>0</v>
      </c>
      <c r="K4752">
        <v>0</v>
      </c>
      <c r="L4752">
        <v>0</v>
      </c>
      <c r="M4752">
        <v>2</v>
      </c>
      <c r="N4752">
        <v>0</v>
      </c>
      <c r="O4752">
        <v>2</v>
      </c>
      <c r="P4752">
        <v>0</v>
      </c>
      <c r="Q4752">
        <v>2</v>
      </c>
      <c r="R4752">
        <v>0</v>
      </c>
      <c r="S4752">
        <v>0</v>
      </c>
      <c r="T4752">
        <v>0</v>
      </c>
      <c r="U4752">
        <v>0</v>
      </c>
      <c r="V4752">
        <v>0</v>
      </c>
      <c r="W4752">
        <v>0</v>
      </c>
      <c r="X4752">
        <v>0</v>
      </c>
      <c r="Y4752" t="s">
        <v>51</v>
      </c>
      <c r="Z4752">
        <v>55</v>
      </c>
      <c r="AA4752">
        <v>0</v>
      </c>
    </row>
    <row r="4753" spans="1:27" x14ac:dyDescent="0.2">
      <c r="A4753" t="s">
        <v>1231</v>
      </c>
      <c r="B4753">
        <v>2024</v>
      </c>
      <c r="C4753">
        <v>694130017</v>
      </c>
      <c r="D4753" t="s">
        <v>1433</v>
      </c>
      <c r="E4753" t="s">
        <v>29</v>
      </c>
      <c r="F4753" t="s">
        <v>30</v>
      </c>
      <c r="G4753">
        <v>0</v>
      </c>
      <c r="H4753">
        <v>0</v>
      </c>
      <c r="I4753">
        <v>0</v>
      </c>
      <c r="J4753">
        <v>0</v>
      </c>
      <c r="K4753">
        <v>0</v>
      </c>
      <c r="L4753">
        <v>0</v>
      </c>
      <c r="M4753">
        <v>16</v>
      </c>
      <c r="N4753">
        <v>0</v>
      </c>
      <c r="O4753">
        <v>8</v>
      </c>
      <c r="P4753">
        <v>0</v>
      </c>
      <c r="Q4753">
        <v>0</v>
      </c>
      <c r="R4753">
        <v>0</v>
      </c>
      <c r="S4753">
        <v>0</v>
      </c>
      <c r="T4753">
        <v>0</v>
      </c>
      <c r="U4753">
        <v>0</v>
      </c>
      <c r="V4753">
        <v>0</v>
      </c>
      <c r="W4753">
        <v>0</v>
      </c>
      <c r="X4753">
        <v>0</v>
      </c>
      <c r="Y4753" t="s">
        <v>51</v>
      </c>
      <c r="Z4753">
        <v>55</v>
      </c>
      <c r="AA4753">
        <v>0</v>
      </c>
    </row>
    <row r="4754" spans="1:27" x14ac:dyDescent="0.2">
      <c r="A4754" t="s">
        <v>1231</v>
      </c>
      <c r="B4754">
        <v>2024</v>
      </c>
      <c r="C4754">
        <v>694130017</v>
      </c>
      <c r="D4754" t="s">
        <v>1433</v>
      </c>
      <c r="E4754" t="s">
        <v>29</v>
      </c>
      <c r="F4754" t="s">
        <v>30</v>
      </c>
      <c r="G4754">
        <v>0</v>
      </c>
      <c r="H4754">
        <v>0</v>
      </c>
      <c r="I4754">
        <v>0</v>
      </c>
      <c r="J4754">
        <v>0</v>
      </c>
      <c r="K4754">
        <v>0</v>
      </c>
      <c r="L4754">
        <v>0</v>
      </c>
      <c r="M4754">
        <v>16</v>
      </c>
      <c r="N4754">
        <v>0</v>
      </c>
      <c r="O4754">
        <v>8</v>
      </c>
      <c r="P4754">
        <v>0</v>
      </c>
      <c r="Q4754">
        <v>0</v>
      </c>
      <c r="R4754">
        <v>0</v>
      </c>
      <c r="S4754">
        <v>0</v>
      </c>
      <c r="T4754">
        <v>0</v>
      </c>
      <c r="U4754">
        <v>0</v>
      </c>
      <c r="V4754">
        <v>0</v>
      </c>
      <c r="W4754">
        <v>0</v>
      </c>
      <c r="X4754">
        <v>0</v>
      </c>
      <c r="Y4754" t="s">
        <v>51</v>
      </c>
      <c r="Z4754">
        <v>55</v>
      </c>
      <c r="AA4754">
        <v>0</v>
      </c>
    </row>
    <row r="4755" spans="1:27" x14ac:dyDescent="0.2">
      <c r="A4755" t="s">
        <v>1231</v>
      </c>
      <c r="B4755">
        <v>2024</v>
      </c>
      <c r="C4755">
        <v>622370014</v>
      </c>
      <c r="E4755" t="s">
        <v>29</v>
      </c>
      <c r="F4755" t="s">
        <v>30</v>
      </c>
      <c r="G4755">
        <v>24</v>
      </c>
      <c r="H4755">
        <v>0</v>
      </c>
      <c r="I4755">
        <v>15</v>
      </c>
      <c r="J4755">
        <v>0</v>
      </c>
      <c r="K4755">
        <v>0</v>
      </c>
      <c r="L4755">
        <v>0</v>
      </c>
      <c r="M4755">
        <v>0</v>
      </c>
      <c r="N4755">
        <v>0</v>
      </c>
      <c r="O4755">
        <v>0</v>
      </c>
      <c r="P4755">
        <v>0</v>
      </c>
      <c r="Q4755">
        <v>0</v>
      </c>
      <c r="R4755">
        <v>0</v>
      </c>
      <c r="S4755">
        <v>0</v>
      </c>
      <c r="T4755">
        <v>0</v>
      </c>
      <c r="U4755">
        <v>0</v>
      </c>
      <c r="V4755">
        <v>0</v>
      </c>
      <c r="W4755">
        <v>0</v>
      </c>
      <c r="X4755">
        <v>0</v>
      </c>
      <c r="Y4755" t="s">
        <v>31</v>
      </c>
      <c r="AA4755" s="2" t="s">
        <v>2716</v>
      </c>
    </row>
    <row r="4756" spans="1:27" x14ac:dyDescent="0.2">
      <c r="A4756" t="s">
        <v>649</v>
      </c>
      <c r="B4756">
        <v>2024</v>
      </c>
      <c r="C4756">
        <v>3112003013</v>
      </c>
      <c r="D4756" t="s">
        <v>5842</v>
      </c>
      <c r="E4756" t="s">
        <v>29</v>
      </c>
      <c r="F4756" t="s">
        <v>30</v>
      </c>
      <c r="G4756">
        <v>0</v>
      </c>
      <c r="H4756">
        <v>0</v>
      </c>
      <c r="I4756">
        <v>0</v>
      </c>
      <c r="J4756">
        <v>0</v>
      </c>
      <c r="K4756">
        <v>0</v>
      </c>
      <c r="L4756">
        <v>0</v>
      </c>
      <c r="M4756">
        <v>0</v>
      </c>
      <c r="N4756">
        <v>0</v>
      </c>
      <c r="O4756">
        <v>0</v>
      </c>
      <c r="P4756">
        <v>0</v>
      </c>
      <c r="Q4756">
        <v>0</v>
      </c>
      <c r="R4756">
        <v>0</v>
      </c>
      <c r="S4756">
        <v>0</v>
      </c>
      <c r="T4756">
        <v>0</v>
      </c>
      <c r="U4756">
        <v>16</v>
      </c>
      <c r="V4756">
        <v>0</v>
      </c>
      <c r="W4756">
        <v>0</v>
      </c>
      <c r="X4756">
        <v>0</v>
      </c>
      <c r="Y4756" t="s">
        <v>31</v>
      </c>
      <c r="Z4756">
        <v>55</v>
      </c>
      <c r="AA4756">
        <v>0</v>
      </c>
    </row>
    <row r="4757" spans="1:27" x14ac:dyDescent="0.2">
      <c r="A4757" t="s">
        <v>649</v>
      </c>
      <c r="B4757">
        <v>2024</v>
      </c>
      <c r="C4757">
        <v>3148041001</v>
      </c>
      <c r="D4757" t="s">
        <v>5843</v>
      </c>
      <c r="E4757" t="s">
        <v>29</v>
      </c>
      <c r="F4757" t="s">
        <v>30</v>
      </c>
      <c r="G4757">
        <v>0</v>
      </c>
      <c r="H4757">
        <v>0</v>
      </c>
      <c r="I4757">
        <v>0</v>
      </c>
      <c r="J4757">
        <v>0</v>
      </c>
      <c r="K4757">
        <v>0</v>
      </c>
      <c r="L4757">
        <v>0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0</v>
      </c>
      <c r="S4757">
        <v>0</v>
      </c>
      <c r="T4757">
        <v>0</v>
      </c>
      <c r="U4757">
        <v>24</v>
      </c>
      <c r="V4757">
        <v>0</v>
      </c>
      <c r="W4757">
        <v>0</v>
      </c>
      <c r="X4757">
        <v>0</v>
      </c>
      <c r="Y4757" t="s">
        <v>31</v>
      </c>
      <c r="Z4757">
        <v>55</v>
      </c>
      <c r="AA4757">
        <v>0</v>
      </c>
    </row>
    <row r="4758" spans="1:27" x14ac:dyDescent="0.2">
      <c r="A4758" t="s">
        <v>649</v>
      </c>
      <c r="B4758">
        <v>2024</v>
      </c>
      <c r="C4758" t="s">
        <v>5844</v>
      </c>
      <c r="D4758" t="s">
        <v>5845</v>
      </c>
      <c r="E4758" t="s">
        <v>29</v>
      </c>
      <c r="F4758" t="s">
        <v>30</v>
      </c>
      <c r="G4758">
        <v>0</v>
      </c>
      <c r="H4758">
        <v>0</v>
      </c>
      <c r="I4758">
        <v>2</v>
      </c>
      <c r="J4758">
        <v>0</v>
      </c>
      <c r="K4758">
        <v>0</v>
      </c>
      <c r="L4758">
        <v>0</v>
      </c>
      <c r="M4758">
        <v>0</v>
      </c>
      <c r="N4758">
        <v>0</v>
      </c>
      <c r="O4758">
        <v>0</v>
      </c>
      <c r="P4758">
        <v>0</v>
      </c>
      <c r="Q4758">
        <v>0</v>
      </c>
      <c r="R4758">
        <v>0</v>
      </c>
      <c r="S4758">
        <v>0</v>
      </c>
      <c r="T4758">
        <v>0</v>
      </c>
      <c r="U4758">
        <v>0</v>
      </c>
      <c r="V4758">
        <v>0</v>
      </c>
      <c r="W4758">
        <v>0</v>
      </c>
      <c r="X4758">
        <v>0</v>
      </c>
      <c r="Y4758" t="s">
        <v>31</v>
      </c>
      <c r="Z4758">
        <v>55</v>
      </c>
      <c r="AA4758">
        <v>0.25</v>
      </c>
    </row>
    <row r="4759" spans="1:27" x14ac:dyDescent="0.2">
      <c r="A4759" t="s">
        <v>267</v>
      </c>
      <c r="B4759">
        <v>2024</v>
      </c>
      <c r="C4759">
        <v>2484024403</v>
      </c>
      <c r="D4759" t="s">
        <v>5846</v>
      </c>
      <c r="E4759" t="s">
        <v>29</v>
      </c>
      <c r="F4759" t="s">
        <v>30</v>
      </c>
      <c r="G4759">
        <v>15</v>
      </c>
      <c r="H4759">
        <v>0</v>
      </c>
      <c r="I4759">
        <v>0</v>
      </c>
      <c r="J4759">
        <v>0</v>
      </c>
      <c r="K4759">
        <v>0</v>
      </c>
      <c r="L4759">
        <v>0</v>
      </c>
      <c r="M4759">
        <v>0</v>
      </c>
      <c r="N4759">
        <v>0</v>
      </c>
      <c r="O4759">
        <v>0</v>
      </c>
      <c r="P4759">
        <v>0</v>
      </c>
      <c r="Q4759">
        <v>0</v>
      </c>
      <c r="R4759">
        <v>0</v>
      </c>
      <c r="S4759">
        <v>0</v>
      </c>
      <c r="T4759">
        <v>0</v>
      </c>
      <c r="U4759">
        <v>0</v>
      </c>
      <c r="V4759">
        <v>0</v>
      </c>
      <c r="W4759">
        <v>0</v>
      </c>
      <c r="X4759">
        <v>0</v>
      </c>
      <c r="Y4759" t="s">
        <v>31</v>
      </c>
      <c r="AA4759">
        <v>0.5</v>
      </c>
    </row>
    <row r="4760" spans="1:27" x14ac:dyDescent="0.2">
      <c r="A4760" t="s">
        <v>1367</v>
      </c>
      <c r="B4760">
        <v>2024</v>
      </c>
      <c r="C4760" t="s">
        <v>2188</v>
      </c>
      <c r="D4760" t="s">
        <v>5847</v>
      </c>
      <c r="E4760" t="s">
        <v>29</v>
      </c>
      <c r="F4760" t="s">
        <v>30</v>
      </c>
      <c r="G4760">
        <v>1</v>
      </c>
      <c r="H4760">
        <v>0</v>
      </c>
      <c r="I4760">
        <v>0</v>
      </c>
      <c r="J4760">
        <v>0</v>
      </c>
      <c r="K4760">
        <v>0</v>
      </c>
      <c r="L4760">
        <v>0</v>
      </c>
      <c r="M4760">
        <v>0</v>
      </c>
      <c r="N4760">
        <v>0</v>
      </c>
      <c r="O4760">
        <v>0</v>
      </c>
      <c r="P4760">
        <v>0</v>
      </c>
      <c r="Q4760">
        <v>0</v>
      </c>
      <c r="R4760">
        <v>0</v>
      </c>
      <c r="S4760">
        <v>0</v>
      </c>
      <c r="T4760">
        <v>0</v>
      </c>
      <c r="U4760">
        <v>0</v>
      </c>
      <c r="V4760">
        <v>0</v>
      </c>
      <c r="W4760">
        <v>0</v>
      </c>
      <c r="X4760">
        <v>0</v>
      </c>
      <c r="Y4760" t="s">
        <v>31</v>
      </c>
      <c r="Z4760">
        <v>90</v>
      </c>
      <c r="AA4760" s="2" t="s">
        <v>3299</v>
      </c>
    </row>
    <row r="4761" spans="1:27" x14ac:dyDescent="0.2">
      <c r="A4761" t="s">
        <v>75</v>
      </c>
      <c r="B4761">
        <v>2024</v>
      </c>
      <c r="C4761">
        <v>4303330300</v>
      </c>
      <c r="D4761" t="s">
        <v>5848</v>
      </c>
      <c r="E4761" t="s">
        <v>29</v>
      </c>
      <c r="F4761" t="s">
        <v>30</v>
      </c>
      <c r="G4761">
        <v>0</v>
      </c>
      <c r="H4761">
        <v>0</v>
      </c>
      <c r="I4761">
        <v>0</v>
      </c>
      <c r="J4761">
        <v>0</v>
      </c>
      <c r="K4761">
        <v>0</v>
      </c>
      <c r="L4761">
        <v>0</v>
      </c>
      <c r="M4761">
        <v>1</v>
      </c>
      <c r="N4761">
        <v>0</v>
      </c>
      <c r="O4761">
        <v>0</v>
      </c>
      <c r="P4761">
        <v>0</v>
      </c>
      <c r="Q4761">
        <v>0</v>
      </c>
      <c r="R4761">
        <v>0</v>
      </c>
      <c r="S4761">
        <v>0</v>
      </c>
      <c r="T4761">
        <v>0</v>
      </c>
      <c r="U4761">
        <v>0</v>
      </c>
      <c r="V4761">
        <v>0</v>
      </c>
      <c r="W4761">
        <v>0</v>
      </c>
      <c r="X4761">
        <v>0</v>
      </c>
      <c r="Y4761" t="s">
        <v>31</v>
      </c>
      <c r="Z4761">
        <v>55</v>
      </c>
      <c r="AA4761">
        <v>0.5</v>
      </c>
    </row>
    <row r="4762" spans="1:27" x14ac:dyDescent="0.2">
      <c r="A4762" t="s">
        <v>584</v>
      </c>
      <c r="B4762">
        <v>2024</v>
      </c>
      <c r="C4762">
        <v>1124541</v>
      </c>
      <c r="D4762" t="s">
        <v>5849</v>
      </c>
      <c r="E4762" t="s">
        <v>29</v>
      </c>
      <c r="F4762" t="s">
        <v>30</v>
      </c>
      <c r="G4762">
        <v>0</v>
      </c>
      <c r="H4762">
        <v>0</v>
      </c>
      <c r="I4762">
        <v>0</v>
      </c>
      <c r="J4762">
        <v>0</v>
      </c>
      <c r="K4762">
        <v>0</v>
      </c>
      <c r="L4762">
        <v>0</v>
      </c>
      <c r="M4762">
        <v>0</v>
      </c>
      <c r="N4762">
        <v>0</v>
      </c>
      <c r="O4762">
        <v>0</v>
      </c>
      <c r="P4762">
        <v>0</v>
      </c>
      <c r="Q4762">
        <v>0</v>
      </c>
      <c r="R4762">
        <v>0</v>
      </c>
      <c r="S4762">
        <v>0</v>
      </c>
      <c r="T4762">
        <v>0</v>
      </c>
      <c r="U4762">
        <v>0</v>
      </c>
      <c r="V4762">
        <v>0</v>
      </c>
      <c r="W4762">
        <v>0</v>
      </c>
      <c r="X4762">
        <v>0</v>
      </c>
      <c r="Y4762" t="s">
        <v>31</v>
      </c>
      <c r="AA4762" s="2" t="s">
        <v>3299</v>
      </c>
    </row>
    <row r="4763" spans="1:27" x14ac:dyDescent="0.2">
      <c r="A4763" t="s">
        <v>376</v>
      </c>
      <c r="B4763">
        <v>2024</v>
      </c>
      <c r="C4763" t="s">
        <v>5850</v>
      </c>
      <c r="D4763" t="s">
        <v>5851</v>
      </c>
      <c r="E4763" t="s">
        <v>29</v>
      </c>
      <c r="F4763" t="s">
        <v>41</v>
      </c>
      <c r="G4763">
        <v>0</v>
      </c>
      <c r="H4763">
        <v>0</v>
      </c>
      <c r="I4763">
        <v>13</v>
      </c>
      <c r="J4763">
        <v>0</v>
      </c>
      <c r="K4763">
        <v>0</v>
      </c>
      <c r="L4763">
        <v>0</v>
      </c>
      <c r="M4763">
        <v>0</v>
      </c>
      <c r="N4763">
        <v>0</v>
      </c>
      <c r="O4763">
        <v>0</v>
      </c>
      <c r="P4763">
        <v>0</v>
      </c>
      <c r="Q4763">
        <v>0</v>
      </c>
      <c r="R4763">
        <v>0</v>
      </c>
      <c r="S4763">
        <v>0</v>
      </c>
      <c r="T4763">
        <v>0</v>
      </c>
      <c r="U4763">
        <v>0</v>
      </c>
      <c r="V4763">
        <v>0</v>
      </c>
      <c r="W4763">
        <v>0</v>
      </c>
      <c r="X4763">
        <v>0</v>
      </c>
      <c r="Y4763" t="s">
        <v>31</v>
      </c>
      <c r="AA4763" s="2" t="s">
        <v>3390</v>
      </c>
    </row>
    <row r="4764" spans="1:27" x14ac:dyDescent="0.2">
      <c r="A4764" t="s">
        <v>928</v>
      </c>
      <c r="B4764">
        <v>2024</v>
      </c>
      <c r="C4764" t="s">
        <v>5852</v>
      </c>
      <c r="D4764" t="s">
        <v>5853</v>
      </c>
      <c r="E4764" t="s">
        <v>29</v>
      </c>
      <c r="F4764" t="s">
        <v>41</v>
      </c>
      <c r="G4764">
        <v>0</v>
      </c>
      <c r="H4764">
        <v>0</v>
      </c>
      <c r="I4764">
        <v>0</v>
      </c>
      <c r="J4764">
        <v>0</v>
      </c>
      <c r="K4764">
        <v>0</v>
      </c>
      <c r="L4764">
        <v>0</v>
      </c>
      <c r="M4764">
        <v>0</v>
      </c>
      <c r="N4764">
        <v>0</v>
      </c>
      <c r="O4764">
        <v>0</v>
      </c>
      <c r="P4764">
        <v>0</v>
      </c>
      <c r="Q4764">
        <v>0</v>
      </c>
      <c r="R4764">
        <v>0</v>
      </c>
      <c r="S4764">
        <v>0</v>
      </c>
      <c r="T4764">
        <v>0</v>
      </c>
      <c r="U4764">
        <v>0</v>
      </c>
      <c r="V4764">
        <v>0</v>
      </c>
      <c r="W4764">
        <v>1</v>
      </c>
      <c r="X4764">
        <v>0</v>
      </c>
      <c r="Y4764" t="s">
        <v>51</v>
      </c>
      <c r="Z4764">
        <v>55</v>
      </c>
      <c r="AA4764">
        <v>0</v>
      </c>
    </row>
    <row r="4765" spans="1:27" x14ac:dyDescent="0.2">
      <c r="A4765" t="s">
        <v>928</v>
      </c>
      <c r="B4765">
        <v>2024</v>
      </c>
      <c r="C4765" t="s">
        <v>5854</v>
      </c>
      <c r="D4765" t="s">
        <v>5855</v>
      </c>
      <c r="E4765" t="s">
        <v>29</v>
      </c>
      <c r="F4765" t="s">
        <v>41</v>
      </c>
      <c r="G4765">
        <v>0</v>
      </c>
      <c r="H4765">
        <v>0</v>
      </c>
      <c r="I4765">
        <v>0</v>
      </c>
      <c r="J4765">
        <v>0</v>
      </c>
      <c r="K4765">
        <v>0</v>
      </c>
      <c r="L4765">
        <v>0</v>
      </c>
      <c r="M4765">
        <v>0</v>
      </c>
      <c r="N4765">
        <v>0</v>
      </c>
      <c r="O4765">
        <v>0</v>
      </c>
      <c r="P4765">
        <v>0</v>
      </c>
      <c r="Q4765">
        <v>1</v>
      </c>
      <c r="R4765">
        <v>0</v>
      </c>
      <c r="S4765">
        <v>0</v>
      </c>
      <c r="T4765">
        <v>0</v>
      </c>
      <c r="U4765">
        <v>0</v>
      </c>
      <c r="V4765">
        <v>0</v>
      </c>
      <c r="W4765">
        <v>1</v>
      </c>
      <c r="X4765">
        <v>0</v>
      </c>
      <c r="Y4765" t="s">
        <v>51</v>
      </c>
      <c r="Z4765">
        <v>55</v>
      </c>
      <c r="AA4765">
        <v>0</v>
      </c>
    </row>
    <row r="4766" spans="1:27" x14ac:dyDescent="0.2">
      <c r="A4766" t="s">
        <v>670</v>
      </c>
      <c r="B4766">
        <v>2024</v>
      </c>
      <c r="C4766">
        <v>4017003004</v>
      </c>
      <c r="D4766" t="s">
        <v>5856</v>
      </c>
      <c r="E4766" t="s">
        <v>29</v>
      </c>
      <c r="F4766" t="s">
        <v>30</v>
      </c>
      <c r="G4766">
        <v>2</v>
      </c>
      <c r="H4766">
        <v>0</v>
      </c>
      <c r="I4766">
        <v>0</v>
      </c>
      <c r="J4766">
        <v>0</v>
      </c>
      <c r="K4766">
        <v>0</v>
      </c>
      <c r="L4766">
        <v>0</v>
      </c>
      <c r="M4766">
        <v>0</v>
      </c>
      <c r="N4766">
        <v>0</v>
      </c>
      <c r="O4766">
        <v>0</v>
      </c>
      <c r="P4766">
        <v>0</v>
      </c>
      <c r="Q4766">
        <v>0</v>
      </c>
      <c r="R4766">
        <v>0</v>
      </c>
      <c r="S4766">
        <v>0</v>
      </c>
      <c r="T4766">
        <v>0</v>
      </c>
      <c r="U4766">
        <v>0</v>
      </c>
      <c r="V4766">
        <v>0</v>
      </c>
      <c r="W4766">
        <v>0</v>
      </c>
      <c r="X4766">
        <v>0</v>
      </c>
      <c r="Y4766" t="s">
        <v>31</v>
      </c>
      <c r="AA4766" s="2" t="s">
        <v>3358</v>
      </c>
    </row>
    <row r="4767" spans="1:27" x14ac:dyDescent="0.2">
      <c r="A4767" t="s">
        <v>75</v>
      </c>
      <c r="B4767">
        <v>2024</v>
      </c>
      <c r="C4767">
        <v>4521520700</v>
      </c>
      <c r="D4767" t="s">
        <v>5857</v>
      </c>
      <c r="E4767" t="s">
        <v>29</v>
      </c>
      <c r="F4767" t="s">
        <v>30</v>
      </c>
      <c r="G4767">
        <v>0</v>
      </c>
      <c r="H4767">
        <v>0</v>
      </c>
      <c r="I4767">
        <v>0</v>
      </c>
      <c r="J4767">
        <v>0</v>
      </c>
      <c r="K4767">
        <v>0</v>
      </c>
      <c r="L4767">
        <v>0</v>
      </c>
      <c r="M4767">
        <v>1</v>
      </c>
      <c r="N4767">
        <v>0</v>
      </c>
      <c r="O4767">
        <v>0</v>
      </c>
      <c r="P4767">
        <v>0</v>
      </c>
      <c r="Q4767">
        <v>0</v>
      </c>
      <c r="R4767">
        <v>0</v>
      </c>
      <c r="S4767">
        <v>0</v>
      </c>
      <c r="T4767">
        <v>0</v>
      </c>
      <c r="U4767">
        <v>0</v>
      </c>
      <c r="V4767">
        <v>0</v>
      </c>
      <c r="W4767">
        <v>0</v>
      </c>
      <c r="X4767">
        <v>0</v>
      </c>
      <c r="Y4767" t="s">
        <v>31</v>
      </c>
      <c r="Z4767">
        <v>55</v>
      </c>
      <c r="AA4767">
        <v>0.5</v>
      </c>
    </row>
    <row r="4768" spans="1:27" x14ac:dyDescent="0.2">
      <c r="A4768" t="s">
        <v>75</v>
      </c>
      <c r="B4768">
        <v>2024</v>
      </c>
      <c r="C4768">
        <v>6454100100</v>
      </c>
      <c r="D4768" t="s">
        <v>5858</v>
      </c>
      <c r="E4768" t="s">
        <v>29</v>
      </c>
      <c r="F4768" t="s">
        <v>41</v>
      </c>
      <c r="G4768">
        <v>0</v>
      </c>
      <c r="H4768">
        <v>0</v>
      </c>
      <c r="I4768">
        <v>0</v>
      </c>
      <c r="J4768">
        <v>0</v>
      </c>
      <c r="K4768">
        <v>0</v>
      </c>
      <c r="L4768">
        <v>0</v>
      </c>
      <c r="M4768">
        <v>0</v>
      </c>
      <c r="N4768">
        <v>0</v>
      </c>
      <c r="O4768">
        <v>0</v>
      </c>
      <c r="P4768">
        <v>0</v>
      </c>
      <c r="Q4768">
        <v>0</v>
      </c>
      <c r="R4768">
        <v>0</v>
      </c>
      <c r="S4768">
        <v>0</v>
      </c>
      <c r="T4768">
        <v>0</v>
      </c>
      <c r="U4768">
        <v>0</v>
      </c>
      <c r="V4768">
        <v>0</v>
      </c>
      <c r="W4768">
        <v>7</v>
      </c>
      <c r="X4768">
        <v>0</v>
      </c>
      <c r="Y4768" t="s">
        <v>51</v>
      </c>
      <c r="AA4768">
        <v>0</v>
      </c>
    </row>
    <row r="4769" spans="1:27" x14ac:dyDescent="0.2">
      <c r="A4769" t="s">
        <v>547</v>
      </c>
      <c r="B4769">
        <v>2023</v>
      </c>
      <c r="C4769">
        <v>4314017008</v>
      </c>
      <c r="D4769" t="s">
        <v>5859</v>
      </c>
      <c r="E4769" t="s">
        <v>29</v>
      </c>
      <c r="F4769" t="s">
        <v>30</v>
      </c>
      <c r="G4769">
        <v>0</v>
      </c>
      <c r="H4769">
        <v>0</v>
      </c>
      <c r="I4769">
        <v>0</v>
      </c>
      <c r="J4769">
        <v>0</v>
      </c>
      <c r="K4769">
        <v>0</v>
      </c>
      <c r="L4769">
        <v>0</v>
      </c>
      <c r="M4769">
        <v>3</v>
      </c>
      <c r="N4769">
        <v>0</v>
      </c>
      <c r="O4769">
        <v>0</v>
      </c>
      <c r="P4769">
        <v>0</v>
      </c>
      <c r="Q4769">
        <v>0</v>
      </c>
      <c r="R4769">
        <v>0</v>
      </c>
      <c r="S4769">
        <v>0</v>
      </c>
      <c r="T4769">
        <v>0</v>
      </c>
      <c r="U4769">
        <v>0</v>
      </c>
      <c r="V4769">
        <v>0</v>
      </c>
      <c r="W4769">
        <v>0</v>
      </c>
      <c r="X4769">
        <v>0</v>
      </c>
      <c r="Y4769" t="s">
        <v>51</v>
      </c>
      <c r="Z4769">
        <v>55</v>
      </c>
      <c r="AA4769">
        <v>0</v>
      </c>
    </row>
    <row r="4770" spans="1:27" x14ac:dyDescent="0.2">
      <c r="A4770" t="s">
        <v>708</v>
      </c>
      <c r="B4770">
        <v>2024</v>
      </c>
      <c r="C4770" t="s">
        <v>5860</v>
      </c>
      <c r="D4770" t="s">
        <v>5861</v>
      </c>
      <c r="E4770" t="s">
        <v>29</v>
      </c>
      <c r="F4770" t="s">
        <v>30</v>
      </c>
      <c r="G4770">
        <v>0</v>
      </c>
      <c r="H4770">
        <v>0</v>
      </c>
      <c r="I4770">
        <v>73</v>
      </c>
      <c r="J4770">
        <v>0</v>
      </c>
      <c r="K4770">
        <v>0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0</v>
      </c>
      <c r="R4770">
        <v>0</v>
      </c>
      <c r="S4770">
        <v>0</v>
      </c>
      <c r="T4770">
        <v>0</v>
      </c>
      <c r="U4770">
        <v>0</v>
      </c>
      <c r="V4770">
        <v>0</v>
      </c>
      <c r="W4770">
        <v>0</v>
      </c>
      <c r="X4770">
        <v>0</v>
      </c>
      <c r="Y4770" t="s">
        <v>31</v>
      </c>
      <c r="AA4770" s="2" t="s">
        <v>5735</v>
      </c>
    </row>
    <row r="4771" spans="1:27" x14ac:dyDescent="0.2">
      <c r="A4771" t="s">
        <v>2411</v>
      </c>
      <c r="B4771">
        <v>2024</v>
      </c>
      <c r="C4771" t="s">
        <v>5862</v>
      </c>
      <c r="D4771" t="s">
        <v>5863</v>
      </c>
      <c r="E4771" t="s">
        <v>29</v>
      </c>
      <c r="F4771" t="s">
        <v>30</v>
      </c>
      <c r="G4771">
        <v>3</v>
      </c>
      <c r="H4771">
        <v>0</v>
      </c>
      <c r="I4771">
        <v>0</v>
      </c>
      <c r="J4771">
        <v>0</v>
      </c>
      <c r="K4771">
        <v>0</v>
      </c>
      <c r="L4771">
        <v>0</v>
      </c>
      <c r="M4771">
        <v>0</v>
      </c>
      <c r="N4771">
        <v>0</v>
      </c>
      <c r="O4771">
        <v>0</v>
      </c>
      <c r="P4771">
        <v>0</v>
      </c>
      <c r="Q4771">
        <v>0</v>
      </c>
      <c r="R4771">
        <v>0</v>
      </c>
      <c r="S4771">
        <v>0</v>
      </c>
      <c r="T4771">
        <v>0</v>
      </c>
      <c r="U4771">
        <v>0</v>
      </c>
      <c r="V4771">
        <v>0</v>
      </c>
      <c r="W4771">
        <v>0</v>
      </c>
      <c r="X4771">
        <v>0</v>
      </c>
      <c r="Y4771" t="s">
        <v>31</v>
      </c>
      <c r="Z4771">
        <v>1000</v>
      </c>
      <c r="AA4771">
        <v>0.5</v>
      </c>
    </row>
    <row r="4772" spans="1:27" x14ac:dyDescent="0.2">
      <c r="A4772" t="s">
        <v>2411</v>
      </c>
      <c r="B4772">
        <v>2024</v>
      </c>
      <c r="C4772" t="s">
        <v>5864</v>
      </c>
      <c r="D4772" t="s">
        <v>5865</v>
      </c>
      <c r="E4772" t="s">
        <v>29</v>
      </c>
      <c r="F4772" t="s">
        <v>30</v>
      </c>
      <c r="G4772">
        <v>1</v>
      </c>
      <c r="H4772">
        <v>0</v>
      </c>
      <c r="I4772">
        <v>1</v>
      </c>
      <c r="J4772">
        <v>0</v>
      </c>
      <c r="K4772">
        <v>0</v>
      </c>
      <c r="L4772">
        <v>0</v>
      </c>
      <c r="M4772">
        <v>0</v>
      </c>
      <c r="N4772">
        <v>0</v>
      </c>
      <c r="O4772">
        <v>0</v>
      </c>
      <c r="P4772">
        <v>0</v>
      </c>
      <c r="Q4772">
        <v>0</v>
      </c>
      <c r="R4772">
        <v>0</v>
      </c>
      <c r="S4772">
        <v>0</v>
      </c>
      <c r="T4772">
        <v>0</v>
      </c>
      <c r="U4772">
        <v>0</v>
      </c>
      <c r="V4772">
        <v>0</v>
      </c>
      <c r="W4772">
        <v>0</v>
      </c>
      <c r="X4772">
        <v>0</v>
      </c>
      <c r="Y4772" t="s">
        <v>31</v>
      </c>
      <c r="Z4772">
        <v>1000</v>
      </c>
      <c r="AA4772" s="2" t="s">
        <v>3358</v>
      </c>
    </row>
    <row r="4773" spans="1:27" x14ac:dyDescent="0.2">
      <c r="A4773" t="s">
        <v>517</v>
      </c>
      <c r="B4773">
        <v>2024</v>
      </c>
      <c r="C4773" t="s">
        <v>5329</v>
      </c>
      <c r="D4773" t="s">
        <v>5866</v>
      </c>
      <c r="E4773" t="s">
        <v>29</v>
      </c>
      <c r="F4773" t="s">
        <v>30</v>
      </c>
      <c r="G4773">
        <v>0</v>
      </c>
      <c r="H4773">
        <v>0</v>
      </c>
      <c r="I4773">
        <v>0</v>
      </c>
      <c r="J4773">
        <v>0</v>
      </c>
      <c r="K4773">
        <v>0</v>
      </c>
      <c r="L4773">
        <v>0</v>
      </c>
      <c r="M4773">
        <v>36</v>
      </c>
      <c r="N4773">
        <v>0</v>
      </c>
      <c r="O4773">
        <v>0</v>
      </c>
      <c r="P4773">
        <v>0</v>
      </c>
      <c r="Q4773">
        <v>0</v>
      </c>
      <c r="R4773">
        <v>0</v>
      </c>
      <c r="S4773">
        <v>0</v>
      </c>
      <c r="T4773">
        <v>0</v>
      </c>
      <c r="U4773">
        <v>0</v>
      </c>
      <c r="V4773">
        <v>0</v>
      </c>
      <c r="W4773">
        <v>0</v>
      </c>
      <c r="X4773">
        <v>0</v>
      </c>
      <c r="Y4773" t="s">
        <v>31</v>
      </c>
      <c r="Z4773">
        <v>55</v>
      </c>
      <c r="AA4773">
        <v>0</v>
      </c>
    </row>
    <row r="4774" spans="1:27" x14ac:dyDescent="0.2">
      <c r="A4774" t="s">
        <v>517</v>
      </c>
      <c r="B4774">
        <v>2024</v>
      </c>
      <c r="C4774" t="s">
        <v>5329</v>
      </c>
      <c r="D4774" t="s">
        <v>5867</v>
      </c>
      <c r="E4774" t="s">
        <v>29</v>
      </c>
      <c r="F4774" t="s">
        <v>30</v>
      </c>
      <c r="G4774">
        <v>0</v>
      </c>
      <c r="H4774">
        <v>0</v>
      </c>
      <c r="I4774">
        <v>0</v>
      </c>
      <c r="J4774">
        <v>0</v>
      </c>
      <c r="K4774">
        <v>0</v>
      </c>
      <c r="L4774">
        <v>0</v>
      </c>
      <c r="M4774">
        <v>16</v>
      </c>
      <c r="N4774">
        <v>0</v>
      </c>
      <c r="O4774">
        <v>20</v>
      </c>
      <c r="P4774">
        <v>0</v>
      </c>
      <c r="Q4774">
        <v>0</v>
      </c>
      <c r="R4774">
        <v>0</v>
      </c>
      <c r="S4774">
        <v>0</v>
      </c>
      <c r="T4774">
        <v>0</v>
      </c>
      <c r="U4774">
        <v>0</v>
      </c>
      <c r="V4774">
        <v>0</v>
      </c>
      <c r="W4774">
        <v>0</v>
      </c>
      <c r="X4774">
        <v>0</v>
      </c>
      <c r="Y4774" t="s">
        <v>31</v>
      </c>
      <c r="Z4774">
        <v>55</v>
      </c>
      <c r="AA4774">
        <v>0</v>
      </c>
    </row>
    <row r="4775" spans="1:27" x14ac:dyDescent="0.2">
      <c r="A4775" t="s">
        <v>547</v>
      </c>
      <c r="B4775">
        <v>2023</v>
      </c>
      <c r="C4775">
        <v>4363010022</v>
      </c>
      <c r="D4775" t="s">
        <v>5868</v>
      </c>
      <c r="E4775" t="s">
        <v>29</v>
      </c>
      <c r="F4775" t="s">
        <v>30</v>
      </c>
      <c r="G4775">
        <v>0</v>
      </c>
      <c r="H4775">
        <v>0</v>
      </c>
      <c r="I4775">
        <v>0</v>
      </c>
      <c r="J4775">
        <v>0</v>
      </c>
      <c r="K4775">
        <v>0</v>
      </c>
      <c r="L4775">
        <v>0</v>
      </c>
      <c r="M4775">
        <v>3</v>
      </c>
      <c r="N4775">
        <v>0</v>
      </c>
      <c r="O4775">
        <v>0</v>
      </c>
      <c r="P4775">
        <v>0</v>
      </c>
      <c r="Q4775">
        <v>0</v>
      </c>
      <c r="R4775">
        <v>0</v>
      </c>
      <c r="S4775">
        <v>0</v>
      </c>
      <c r="T4775">
        <v>0</v>
      </c>
      <c r="U4775">
        <v>0</v>
      </c>
      <c r="V4775">
        <v>0</v>
      </c>
      <c r="W4775">
        <v>0</v>
      </c>
      <c r="X4775">
        <v>0</v>
      </c>
      <c r="Y4775" t="s">
        <v>31</v>
      </c>
      <c r="Z4775">
        <v>55</v>
      </c>
      <c r="AA4775" s="2" t="s">
        <v>5869</v>
      </c>
    </row>
    <row r="4776" spans="1:27" x14ac:dyDescent="0.2">
      <c r="A4776" t="s">
        <v>321</v>
      </c>
      <c r="B4776">
        <v>2024</v>
      </c>
      <c r="C4776" t="s">
        <v>5870</v>
      </c>
      <c r="D4776" t="s">
        <v>3054</v>
      </c>
      <c r="E4776" t="s">
        <v>29</v>
      </c>
      <c r="F4776" t="s">
        <v>30</v>
      </c>
      <c r="G4776">
        <v>0</v>
      </c>
      <c r="H4776">
        <v>0</v>
      </c>
      <c r="I4776">
        <v>0</v>
      </c>
      <c r="J4776">
        <v>0</v>
      </c>
      <c r="K4776">
        <v>0</v>
      </c>
      <c r="L4776">
        <v>0</v>
      </c>
      <c r="M4776">
        <v>0</v>
      </c>
      <c r="N4776">
        <v>0</v>
      </c>
      <c r="O4776">
        <v>0</v>
      </c>
      <c r="P4776">
        <v>0</v>
      </c>
      <c r="Q4776">
        <v>0</v>
      </c>
      <c r="R4776">
        <v>0</v>
      </c>
      <c r="S4776">
        <v>57</v>
      </c>
      <c r="T4776">
        <v>0</v>
      </c>
      <c r="U4776">
        <v>1</v>
      </c>
      <c r="V4776">
        <v>0</v>
      </c>
      <c r="W4776">
        <v>0</v>
      </c>
      <c r="X4776">
        <v>0</v>
      </c>
      <c r="Y4776" t="s">
        <v>31</v>
      </c>
      <c r="Z4776">
        <v>99</v>
      </c>
      <c r="AA4776" s="2" t="s">
        <v>5657</v>
      </c>
    </row>
    <row r="4777" spans="1:27" x14ac:dyDescent="0.2">
      <c r="A4777" t="s">
        <v>547</v>
      </c>
      <c r="B4777">
        <v>2023</v>
      </c>
      <c r="C4777">
        <v>2353017012</v>
      </c>
      <c r="D4777" t="s">
        <v>2352</v>
      </c>
      <c r="E4777" t="s">
        <v>29</v>
      </c>
      <c r="F4777" t="s">
        <v>30</v>
      </c>
      <c r="G4777">
        <v>0</v>
      </c>
      <c r="H4777">
        <v>0</v>
      </c>
      <c r="I4777">
        <v>0</v>
      </c>
      <c r="J4777">
        <v>0</v>
      </c>
      <c r="K4777">
        <v>0</v>
      </c>
      <c r="L4777">
        <v>0</v>
      </c>
      <c r="M4777">
        <v>1</v>
      </c>
      <c r="N4777">
        <v>0</v>
      </c>
      <c r="O4777">
        <v>0</v>
      </c>
      <c r="P4777">
        <v>0</v>
      </c>
      <c r="Q4777">
        <v>0</v>
      </c>
      <c r="R4777">
        <v>0</v>
      </c>
      <c r="S4777">
        <v>1</v>
      </c>
      <c r="T4777">
        <v>0</v>
      </c>
      <c r="U4777">
        <v>0</v>
      </c>
      <c r="V4777">
        <v>0</v>
      </c>
      <c r="W4777">
        <v>0</v>
      </c>
      <c r="X4777">
        <v>0</v>
      </c>
      <c r="Y4777" t="s">
        <v>51</v>
      </c>
      <c r="AA4777">
        <v>0</v>
      </c>
    </row>
    <row r="4778" spans="1:27" x14ac:dyDescent="0.2">
      <c r="A4778" t="s">
        <v>547</v>
      </c>
      <c r="B4778">
        <v>2023</v>
      </c>
      <c r="C4778">
        <v>5093025003</v>
      </c>
      <c r="D4778" t="s">
        <v>4562</v>
      </c>
      <c r="E4778" t="s">
        <v>29</v>
      </c>
      <c r="F4778" t="s">
        <v>30</v>
      </c>
      <c r="G4778">
        <v>0</v>
      </c>
      <c r="H4778">
        <v>0</v>
      </c>
      <c r="I4778">
        <v>0</v>
      </c>
      <c r="J4778">
        <v>0</v>
      </c>
      <c r="K4778">
        <v>0</v>
      </c>
      <c r="L4778">
        <v>0</v>
      </c>
      <c r="M4778">
        <v>0</v>
      </c>
      <c r="N4778">
        <v>0</v>
      </c>
      <c r="O4778">
        <v>0</v>
      </c>
      <c r="P4778">
        <v>0</v>
      </c>
      <c r="Q4778">
        <v>0</v>
      </c>
      <c r="R4778">
        <v>0</v>
      </c>
      <c r="S4778">
        <v>6</v>
      </c>
      <c r="T4778">
        <v>0</v>
      </c>
      <c r="U4778">
        <v>0</v>
      </c>
      <c r="V4778">
        <v>0</v>
      </c>
      <c r="W4778">
        <v>0</v>
      </c>
      <c r="X4778">
        <v>0</v>
      </c>
      <c r="Y4778" t="s">
        <v>31</v>
      </c>
      <c r="Z4778">
        <v>55</v>
      </c>
      <c r="AA4778" s="2" t="s">
        <v>3316</v>
      </c>
    </row>
    <row r="4779" spans="1:27" x14ac:dyDescent="0.2">
      <c r="A4779" t="s">
        <v>321</v>
      </c>
      <c r="B4779">
        <v>2024</v>
      </c>
      <c r="C4779" s="3">
        <v>32893</v>
      </c>
      <c r="D4779" t="s">
        <v>4150</v>
      </c>
      <c r="E4779" t="s">
        <v>29</v>
      </c>
      <c r="F4779" t="s">
        <v>30</v>
      </c>
      <c r="G4779">
        <v>0</v>
      </c>
      <c r="H4779">
        <v>0</v>
      </c>
      <c r="I4779">
        <v>0</v>
      </c>
      <c r="J4779">
        <v>0</v>
      </c>
      <c r="K4779">
        <v>0</v>
      </c>
      <c r="L4779">
        <v>0</v>
      </c>
      <c r="M4779">
        <v>0</v>
      </c>
      <c r="N4779">
        <v>0</v>
      </c>
      <c r="O4779">
        <v>0</v>
      </c>
      <c r="P4779">
        <v>0</v>
      </c>
      <c r="Q4779">
        <v>0</v>
      </c>
      <c r="R4779">
        <v>0</v>
      </c>
      <c r="S4779">
        <v>46</v>
      </c>
      <c r="T4779">
        <v>0</v>
      </c>
      <c r="U4779">
        <v>18</v>
      </c>
      <c r="V4779">
        <v>0</v>
      </c>
      <c r="W4779">
        <v>0</v>
      </c>
      <c r="X4779">
        <v>0</v>
      </c>
      <c r="Y4779" t="s">
        <v>51</v>
      </c>
      <c r="Z4779">
        <v>99</v>
      </c>
      <c r="AA4779">
        <v>0</v>
      </c>
    </row>
    <row r="4780" spans="1:27" ht="68" x14ac:dyDescent="0.2">
      <c r="A4780" t="s">
        <v>2411</v>
      </c>
      <c r="B4780">
        <v>2024</v>
      </c>
      <c r="C4780" t="s">
        <v>2800</v>
      </c>
      <c r="D4780" s="1" t="s">
        <v>5871</v>
      </c>
      <c r="E4780" t="s">
        <v>29</v>
      </c>
      <c r="F4780" t="s">
        <v>30</v>
      </c>
      <c r="G4780">
        <v>0</v>
      </c>
      <c r="H4780">
        <v>0</v>
      </c>
      <c r="I4780">
        <v>0</v>
      </c>
      <c r="J4780">
        <v>0</v>
      </c>
      <c r="K4780">
        <v>0</v>
      </c>
      <c r="L4780">
        <v>0</v>
      </c>
      <c r="M4780">
        <v>79</v>
      </c>
      <c r="N4780">
        <v>0</v>
      </c>
      <c r="O4780">
        <v>0</v>
      </c>
      <c r="P4780">
        <v>0</v>
      </c>
      <c r="Q4780">
        <v>0</v>
      </c>
      <c r="R4780">
        <v>0</v>
      </c>
      <c r="S4780">
        <v>0</v>
      </c>
      <c r="T4780">
        <v>0</v>
      </c>
      <c r="U4780">
        <v>0</v>
      </c>
      <c r="V4780">
        <v>0</v>
      </c>
      <c r="W4780">
        <v>0</v>
      </c>
      <c r="X4780">
        <v>0</v>
      </c>
      <c r="Y4780" t="s">
        <v>31</v>
      </c>
      <c r="Z4780">
        <v>1000</v>
      </c>
      <c r="AA4780" s="2" t="s">
        <v>5193</v>
      </c>
    </row>
    <row r="4781" spans="1:27" x14ac:dyDescent="0.2">
      <c r="A4781" t="s">
        <v>547</v>
      </c>
      <c r="B4781">
        <v>2023</v>
      </c>
      <c r="C4781">
        <v>2042006055</v>
      </c>
      <c r="D4781" t="s">
        <v>5872</v>
      </c>
      <c r="E4781" t="s">
        <v>29</v>
      </c>
      <c r="F4781" t="s">
        <v>30</v>
      </c>
      <c r="G4781">
        <v>21</v>
      </c>
      <c r="H4781">
        <v>0</v>
      </c>
      <c r="I4781">
        <v>78</v>
      </c>
      <c r="J4781">
        <v>0</v>
      </c>
      <c r="K4781">
        <v>0</v>
      </c>
      <c r="L4781">
        <v>0</v>
      </c>
      <c r="M4781">
        <v>0</v>
      </c>
      <c r="N4781">
        <v>0</v>
      </c>
      <c r="O4781">
        <v>0</v>
      </c>
      <c r="P4781">
        <v>0</v>
      </c>
      <c r="Q4781">
        <v>0</v>
      </c>
      <c r="R4781">
        <v>0</v>
      </c>
      <c r="S4781">
        <v>0</v>
      </c>
      <c r="T4781">
        <v>0</v>
      </c>
      <c r="U4781">
        <v>0</v>
      </c>
      <c r="V4781">
        <v>0</v>
      </c>
      <c r="W4781">
        <v>0</v>
      </c>
      <c r="X4781">
        <v>0</v>
      </c>
      <c r="Y4781" t="s">
        <v>31</v>
      </c>
      <c r="Z4781">
        <v>55</v>
      </c>
      <c r="AA4781" s="2" t="s">
        <v>5873</v>
      </c>
    </row>
    <row r="4782" spans="1:27" x14ac:dyDescent="0.2">
      <c r="A4782" t="s">
        <v>3776</v>
      </c>
      <c r="B4782">
        <v>2024</v>
      </c>
      <c r="C4782" s="2" t="s">
        <v>3777</v>
      </c>
      <c r="D4782" t="s">
        <v>5874</v>
      </c>
      <c r="E4782" t="s">
        <v>29</v>
      </c>
      <c r="F4782" t="s">
        <v>30</v>
      </c>
      <c r="G4782">
        <v>20</v>
      </c>
      <c r="H4782">
        <v>0</v>
      </c>
      <c r="I4782">
        <v>0</v>
      </c>
      <c r="J4782">
        <v>0</v>
      </c>
      <c r="K4782">
        <v>0</v>
      </c>
      <c r="L4782">
        <v>0</v>
      </c>
      <c r="M4782">
        <v>20</v>
      </c>
      <c r="N4782">
        <v>0</v>
      </c>
      <c r="O4782">
        <v>0</v>
      </c>
      <c r="P4782">
        <v>0</v>
      </c>
      <c r="Q4782">
        <v>0</v>
      </c>
      <c r="R4782">
        <v>0</v>
      </c>
      <c r="S4782">
        <v>0</v>
      </c>
      <c r="T4782">
        <v>0</v>
      </c>
      <c r="U4782">
        <v>0</v>
      </c>
      <c r="V4782">
        <v>0</v>
      </c>
      <c r="W4782">
        <v>0</v>
      </c>
      <c r="X4782">
        <v>0</v>
      </c>
      <c r="Y4782" t="s">
        <v>31</v>
      </c>
      <c r="AA4782" s="2" t="s">
        <v>3779</v>
      </c>
    </row>
    <row r="4783" spans="1:27" ht="68" x14ac:dyDescent="0.2">
      <c r="A4783" t="s">
        <v>2411</v>
      </c>
      <c r="B4783">
        <v>2024</v>
      </c>
      <c r="C4783" t="s">
        <v>5022</v>
      </c>
      <c r="D4783" s="1" t="s">
        <v>5875</v>
      </c>
      <c r="E4783" t="s">
        <v>29</v>
      </c>
      <c r="F4783" t="s">
        <v>30</v>
      </c>
      <c r="G4783">
        <v>0</v>
      </c>
      <c r="H4783">
        <v>0</v>
      </c>
      <c r="I4783">
        <v>0</v>
      </c>
      <c r="J4783">
        <v>0</v>
      </c>
      <c r="K4783">
        <v>0</v>
      </c>
      <c r="L4783">
        <v>0</v>
      </c>
      <c r="M4783">
        <v>0</v>
      </c>
      <c r="N4783">
        <v>0</v>
      </c>
      <c r="O4783">
        <v>0</v>
      </c>
      <c r="P4783">
        <v>0</v>
      </c>
      <c r="Q4783">
        <v>0</v>
      </c>
      <c r="R4783">
        <v>0</v>
      </c>
      <c r="S4783">
        <v>1</v>
      </c>
      <c r="T4783">
        <v>0</v>
      </c>
      <c r="U4783">
        <v>0</v>
      </c>
      <c r="V4783">
        <v>0</v>
      </c>
      <c r="W4783">
        <v>0</v>
      </c>
      <c r="X4783">
        <v>0</v>
      </c>
      <c r="Y4783" t="s">
        <v>31</v>
      </c>
      <c r="Z4783">
        <v>1000</v>
      </c>
      <c r="AA4783">
        <v>0.25</v>
      </c>
    </row>
    <row r="4784" spans="1:27" x14ac:dyDescent="0.2">
      <c r="A4784" t="s">
        <v>3035</v>
      </c>
      <c r="B4784">
        <v>2024</v>
      </c>
      <c r="C4784" t="s">
        <v>5876</v>
      </c>
      <c r="D4784" t="s">
        <v>5877</v>
      </c>
      <c r="E4784" t="s">
        <v>29</v>
      </c>
      <c r="F4784" t="s">
        <v>30</v>
      </c>
      <c r="G4784">
        <v>0</v>
      </c>
      <c r="H4784">
        <v>0</v>
      </c>
      <c r="I4784">
        <v>0</v>
      </c>
      <c r="J4784">
        <v>0</v>
      </c>
      <c r="K4784">
        <v>0</v>
      </c>
      <c r="L4784">
        <v>0</v>
      </c>
      <c r="M4784">
        <v>62</v>
      </c>
      <c r="N4784">
        <v>0</v>
      </c>
      <c r="O4784">
        <v>62</v>
      </c>
      <c r="P4784">
        <v>0</v>
      </c>
      <c r="Q4784">
        <v>0</v>
      </c>
      <c r="R4784">
        <v>0</v>
      </c>
      <c r="S4784">
        <v>0</v>
      </c>
      <c r="T4784">
        <v>0</v>
      </c>
      <c r="U4784">
        <v>0</v>
      </c>
      <c r="V4784">
        <v>0</v>
      </c>
      <c r="W4784">
        <v>0</v>
      </c>
      <c r="X4784">
        <v>0</v>
      </c>
      <c r="Y4784" t="s">
        <v>31</v>
      </c>
      <c r="Z4784">
        <v>55</v>
      </c>
      <c r="AA4784" s="2" t="s">
        <v>5878</v>
      </c>
    </row>
    <row r="4785" spans="1:27" x14ac:dyDescent="0.2">
      <c r="A4785" t="s">
        <v>503</v>
      </c>
      <c r="B4785">
        <v>2024</v>
      </c>
      <c r="C4785" t="s">
        <v>5879</v>
      </c>
      <c r="D4785" t="s">
        <v>5880</v>
      </c>
      <c r="E4785" t="s">
        <v>29</v>
      </c>
      <c r="F4785" t="s">
        <v>30</v>
      </c>
      <c r="G4785">
        <v>0</v>
      </c>
      <c r="H4785">
        <v>0</v>
      </c>
      <c r="I4785">
        <v>0</v>
      </c>
      <c r="J4785">
        <v>0</v>
      </c>
      <c r="K4785">
        <v>0</v>
      </c>
      <c r="L4785">
        <v>0</v>
      </c>
      <c r="M4785">
        <v>0</v>
      </c>
      <c r="N4785">
        <v>0</v>
      </c>
      <c r="O4785">
        <v>0</v>
      </c>
      <c r="P4785">
        <v>0</v>
      </c>
      <c r="Q4785">
        <v>0</v>
      </c>
      <c r="R4785">
        <v>0</v>
      </c>
      <c r="S4785">
        <v>13</v>
      </c>
      <c r="T4785">
        <v>0</v>
      </c>
      <c r="U4785">
        <v>21</v>
      </c>
      <c r="V4785">
        <v>0</v>
      </c>
      <c r="W4785">
        <v>1</v>
      </c>
      <c r="X4785">
        <v>0</v>
      </c>
      <c r="Y4785" t="s">
        <v>31</v>
      </c>
      <c r="Z4785">
        <v>55</v>
      </c>
      <c r="AA4785" s="2" t="s">
        <v>3316</v>
      </c>
    </row>
    <row r="4786" spans="1:27" x14ac:dyDescent="0.2">
      <c r="A4786" t="s">
        <v>547</v>
      </c>
      <c r="B4786">
        <v>2023</v>
      </c>
      <c r="C4786">
        <v>2320025021</v>
      </c>
      <c r="D4786" t="s">
        <v>5881</v>
      </c>
      <c r="E4786" t="s">
        <v>29</v>
      </c>
      <c r="F4786" t="s">
        <v>30</v>
      </c>
      <c r="G4786">
        <v>0</v>
      </c>
      <c r="H4786">
        <v>0</v>
      </c>
      <c r="I4786">
        <v>17</v>
      </c>
      <c r="J4786">
        <v>0</v>
      </c>
      <c r="K4786">
        <v>0</v>
      </c>
      <c r="L4786">
        <v>0</v>
      </c>
      <c r="M4786">
        <v>0</v>
      </c>
      <c r="N4786">
        <v>0</v>
      </c>
      <c r="O4786">
        <v>0</v>
      </c>
      <c r="P4786">
        <v>0</v>
      </c>
      <c r="Q4786">
        <v>0</v>
      </c>
      <c r="R4786">
        <v>0</v>
      </c>
      <c r="S4786">
        <v>0</v>
      </c>
      <c r="T4786">
        <v>0</v>
      </c>
      <c r="U4786">
        <v>0</v>
      </c>
      <c r="V4786">
        <v>0</v>
      </c>
      <c r="W4786">
        <v>0</v>
      </c>
      <c r="X4786">
        <v>0</v>
      </c>
      <c r="Y4786" t="s">
        <v>31</v>
      </c>
      <c r="AA4786" s="2" t="s">
        <v>5882</v>
      </c>
    </row>
    <row r="4787" spans="1:27" x14ac:dyDescent="0.2">
      <c r="A4787" t="s">
        <v>547</v>
      </c>
      <c r="B4787">
        <v>2023</v>
      </c>
      <c r="C4787">
        <v>2348003031</v>
      </c>
      <c r="D4787" t="s">
        <v>5883</v>
      </c>
      <c r="E4787" t="s">
        <v>29</v>
      </c>
      <c r="F4787" t="s">
        <v>30</v>
      </c>
      <c r="G4787">
        <v>23</v>
      </c>
      <c r="H4787">
        <v>0</v>
      </c>
      <c r="I4787">
        <v>0</v>
      </c>
      <c r="J4787">
        <v>0</v>
      </c>
      <c r="K4787">
        <v>6</v>
      </c>
      <c r="L4787">
        <v>0</v>
      </c>
      <c r="M4787">
        <v>0</v>
      </c>
      <c r="N4787">
        <v>0</v>
      </c>
      <c r="O4787">
        <v>0</v>
      </c>
      <c r="P4787">
        <v>0</v>
      </c>
      <c r="Q4787">
        <v>0</v>
      </c>
      <c r="R4787">
        <v>0</v>
      </c>
      <c r="S4787">
        <v>0</v>
      </c>
      <c r="T4787">
        <v>0</v>
      </c>
      <c r="U4787">
        <v>0</v>
      </c>
      <c r="V4787">
        <v>0</v>
      </c>
      <c r="W4787">
        <v>0</v>
      </c>
      <c r="X4787">
        <v>0</v>
      </c>
      <c r="Y4787" t="s">
        <v>31</v>
      </c>
      <c r="AA4787">
        <v>2</v>
      </c>
    </row>
    <row r="4788" spans="1:27" x14ac:dyDescent="0.2">
      <c r="A4788" t="s">
        <v>547</v>
      </c>
      <c r="B4788">
        <v>2023</v>
      </c>
      <c r="C4788">
        <v>2360004121</v>
      </c>
      <c r="D4788" t="s">
        <v>5884</v>
      </c>
      <c r="E4788" t="s">
        <v>29</v>
      </c>
      <c r="F4788" t="s">
        <v>30</v>
      </c>
      <c r="G4788">
        <v>0</v>
      </c>
      <c r="H4788">
        <v>0</v>
      </c>
      <c r="I4788">
        <v>180</v>
      </c>
      <c r="J4788">
        <v>0</v>
      </c>
      <c r="K4788">
        <v>45</v>
      </c>
      <c r="L4788">
        <v>0</v>
      </c>
      <c r="M4788">
        <v>0</v>
      </c>
      <c r="N4788">
        <v>0</v>
      </c>
      <c r="O4788">
        <v>0</v>
      </c>
      <c r="P4788">
        <v>0</v>
      </c>
      <c r="Q4788">
        <v>0</v>
      </c>
      <c r="R4788">
        <v>0</v>
      </c>
      <c r="S4788">
        <v>0</v>
      </c>
      <c r="T4788">
        <v>0</v>
      </c>
      <c r="U4788">
        <v>0</v>
      </c>
      <c r="V4788">
        <v>0</v>
      </c>
      <c r="W4788">
        <v>0</v>
      </c>
      <c r="X4788">
        <v>0</v>
      </c>
      <c r="Y4788" t="s">
        <v>31</v>
      </c>
      <c r="AA4788" s="2" t="s">
        <v>5885</v>
      </c>
    </row>
    <row r="4789" spans="1:27" x14ac:dyDescent="0.2">
      <c r="A4789" t="s">
        <v>75</v>
      </c>
      <c r="B4789">
        <v>2024</v>
      </c>
      <c r="C4789">
        <v>4365810400</v>
      </c>
      <c r="D4789" t="s">
        <v>79</v>
      </c>
      <c r="E4789" t="s">
        <v>29</v>
      </c>
      <c r="F4789" t="s">
        <v>30</v>
      </c>
      <c r="G4789">
        <v>0</v>
      </c>
      <c r="H4789">
        <v>0</v>
      </c>
      <c r="I4789">
        <v>0</v>
      </c>
      <c r="J4789">
        <v>0</v>
      </c>
      <c r="K4789">
        <v>0</v>
      </c>
      <c r="L4789">
        <v>0</v>
      </c>
      <c r="M4789">
        <v>0</v>
      </c>
      <c r="N4789">
        <v>0</v>
      </c>
      <c r="O4789">
        <v>1</v>
      </c>
      <c r="P4789">
        <v>0</v>
      </c>
      <c r="Q4789">
        <v>0</v>
      </c>
      <c r="R4789">
        <v>0</v>
      </c>
      <c r="S4789">
        <v>0</v>
      </c>
      <c r="T4789">
        <v>0</v>
      </c>
      <c r="U4789">
        <v>0</v>
      </c>
      <c r="V4789">
        <v>0</v>
      </c>
      <c r="W4789">
        <v>0</v>
      </c>
      <c r="X4789">
        <v>0</v>
      </c>
      <c r="Y4789" t="s">
        <v>31</v>
      </c>
      <c r="Z4789">
        <v>55</v>
      </c>
      <c r="AA4789" s="2" t="s">
        <v>5886</v>
      </c>
    </row>
    <row r="4790" spans="1:27" ht="102" x14ac:dyDescent="0.2">
      <c r="A4790" t="s">
        <v>2384</v>
      </c>
      <c r="B4790">
        <v>2024</v>
      </c>
      <c r="C4790" t="s">
        <v>5887</v>
      </c>
      <c r="D4790" s="1" t="s">
        <v>5888</v>
      </c>
      <c r="E4790" t="s">
        <v>29</v>
      </c>
      <c r="F4790" t="s">
        <v>30</v>
      </c>
      <c r="G4790">
        <v>0</v>
      </c>
      <c r="H4790">
        <v>0</v>
      </c>
      <c r="I4790">
        <v>53</v>
      </c>
      <c r="J4790">
        <v>0</v>
      </c>
      <c r="K4790">
        <v>0</v>
      </c>
      <c r="L4790">
        <v>0</v>
      </c>
      <c r="M4790">
        <v>0</v>
      </c>
      <c r="N4790">
        <v>0</v>
      </c>
      <c r="O4790">
        <v>0</v>
      </c>
      <c r="P4790">
        <v>0</v>
      </c>
      <c r="Q4790">
        <v>0</v>
      </c>
      <c r="R4790">
        <v>0</v>
      </c>
      <c r="S4790">
        <v>0</v>
      </c>
      <c r="T4790">
        <v>0</v>
      </c>
      <c r="U4790">
        <v>0</v>
      </c>
      <c r="V4790">
        <v>0</v>
      </c>
      <c r="W4790">
        <v>0</v>
      </c>
      <c r="X4790">
        <v>0</v>
      </c>
      <c r="Y4790" t="s">
        <v>31</v>
      </c>
      <c r="Z4790">
        <v>55</v>
      </c>
      <c r="AA4790" s="2" t="s">
        <v>3514</v>
      </c>
    </row>
    <row r="4791" spans="1:27" x14ac:dyDescent="0.2">
      <c r="A4791" t="s">
        <v>75</v>
      </c>
      <c r="B4791">
        <v>2024</v>
      </c>
      <c r="C4791">
        <v>4362110900</v>
      </c>
      <c r="D4791" t="s">
        <v>5889</v>
      </c>
      <c r="E4791" t="s">
        <v>29</v>
      </c>
      <c r="F4791" t="s">
        <v>30</v>
      </c>
      <c r="G4791">
        <v>0</v>
      </c>
      <c r="H4791">
        <v>0</v>
      </c>
      <c r="I4791">
        <v>0</v>
      </c>
      <c r="J4791">
        <v>0</v>
      </c>
      <c r="K4791">
        <v>0</v>
      </c>
      <c r="L4791">
        <v>0</v>
      </c>
      <c r="M4791">
        <v>1</v>
      </c>
      <c r="N4791">
        <v>0</v>
      </c>
      <c r="O4791">
        <v>0</v>
      </c>
      <c r="P4791">
        <v>0</v>
      </c>
      <c r="Q4791">
        <v>0</v>
      </c>
      <c r="R4791">
        <v>0</v>
      </c>
      <c r="S4791">
        <v>0</v>
      </c>
      <c r="T4791">
        <v>0</v>
      </c>
      <c r="U4791">
        <v>0</v>
      </c>
      <c r="V4791">
        <v>0</v>
      </c>
      <c r="W4791">
        <v>0</v>
      </c>
      <c r="X4791">
        <v>0</v>
      </c>
      <c r="Y4791" t="s">
        <v>31</v>
      </c>
      <c r="Z4791">
        <v>55</v>
      </c>
      <c r="AA4791">
        <v>0.5</v>
      </c>
    </row>
    <row r="4792" spans="1:27" x14ac:dyDescent="0.2">
      <c r="A4792" t="s">
        <v>1045</v>
      </c>
      <c r="B4792">
        <v>2024</v>
      </c>
      <c r="C4792" t="s">
        <v>5890</v>
      </c>
      <c r="D4792" t="s">
        <v>5891</v>
      </c>
      <c r="E4792" t="s">
        <v>29</v>
      </c>
      <c r="F4792" t="s">
        <v>30</v>
      </c>
      <c r="G4792">
        <v>8</v>
      </c>
      <c r="H4792">
        <v>0</v>
      </c>
      <c r="I4792">
        <v>0</v>
      </c>
      <c r="J4792">
        <v>0</v>
      </c>
      <c r="K4792">
        <v>0</v>
      </c>
      <c r="L4792">
        <v>0</v>
      </c>
      <c r="M4792">
        <v>0</v>
      </c>
      <c r="N4792">
        <v>0</v>
      </c>
      <c r="O4792">
        <v>0</v>
      </c>
      <c r="P4792">
        <v>0</v>
      </c>
      <c r="Q4792">
        <v>0</v>
      </c>
      <c r="R4792">
        <v>0</v>
      </c>
      <c r="S4792">
        <v>0</v>
      </c>
      <c r="T4792">
        <v>0</v>
      </c>
      <c r="U4792">
        <v>0</v>
      </c>
      <c r="V4792">
        <v>0</v>
      </c>
      <c r="W4792">
        <v>0</v>
      </c>
      <c r="X4792">
        <v>0</v>
      </c>
      <c r="Y4792" t="s">
        <v>31</v>
      </c>
      <c r="Z4792">
        <v>55</v>
      </c>
      <c r="AA4792" s="2" t="s">
        <v>3316</v>
      </c>
    </row>
    <row r="4793" spans="1:27" x14ac:dyDescent="0.2">
      <c r="A4793" t="s">
        <v>1045</v>
      </c>
      <c r="B4793">
        <v>2024</v>
      </c>
      <c r="C4793" t="s">
        <v>5892</v>
      </c>
      <c r="D4793" t="s">
        <v>5893</v>
      </c>
      <c r="E4793" t="s">
        <v>29</v>
      </c>
      <c r="F4793" t="s">
        <v>30</v>
      </c>
      <c r="G4793">
        <v>7</v>
      </c>
      <c r="H4793">
        <v>0</v>
      </c>
      <c r="I4793">
        <v>0</v>
      </c>
      <c r="J4793">
        <v>0</v>
      </c>
      <c r="K4793">
        <v>0</v>
      </c>
      <c r="L4793">
        <v>0</v>
      </c>
      <c r="M4793">
        <v>0</v>
      </c>
      <c r="N4793">
        <v>0</v>
      </c>
      <c r="O4793">
        <v>0</v>
      </c>
      <c r="P4793">
        <v>0</v>
      </c>
      <c r="Q4793">
        <v>0</v>
      </c>
      <c r="R4793">
        <v>0</v>
      </c>
      <c r="S4793">
        <v>0</v>
      </c>
      <c r="T4793">
        <v>0</v>
      </c>
      <c r="U4793">
        <v>0</v>
      </c>
      <c r="V4793">
        <v>0</v>
      </c>
      <c r="W4793">
        <v>0</v>
      </c>
      <c r="X4793">
        <v>0</v>
      </c>
      <c r="Y4793" t="s">
        <v>31</v>
      </c>
      <c r="Z4793">
        <v>55</v>
      </c>
      <c r="AA4793">
        <v>0.19</v>
      </c>
    </row>
    <row r="4794" spans="1:27" x14ac:dyDescent="0.2">
      <c r="A4794" t="s">
        <v>227</v>
      </c>
      <c r="B4794">
        <v>2024</v>
      </c>
      <c r="C4794" t="s">
        <v>228</v>
      </c>
      <c r="D4794" t="s">
        <v>5894</v>
      </c>
      <c r="E4794" t="s">
        <v>29</v>
      </c>
      <c r="F4794" t="s">
        <v>41</v>
      </c>
      <c r="G4794">
        <v>0</v>
      </c>
      <c r="H4794">
        <v>0</v>
      </c>
      <c r="I4794">
        <v>0</v>
      </c>
      <c r="J4794">
        <v>0</v>
      </c>
      <c r="K4794">
        <v>0</v>
      </c>
      <c r="L4794">
        <v>0</v>
      </c>
      <c r="M4794">
        <v>0</v>
      </c>
      <c r="N4794">
        <v>0</v>
      </c>
      <c r="O4794">
        <v>0</v>
      </c>
      <c r="P4794">
        <v>0</v>
      </c>
      <c r="Q4794">
        <v>0</v>
      </c>
      <c r="R4794">
        <v>0</v>
      </c>
      <c r="S4794">
        <v>0</v>
      </c>
      <c r="T4794">
        <v>0</v>
      </c>
      <c r="U4794">
        <v>0</v>
      </c>
      <c r="V4794">
        <v>0</v>
      </c>
      <c r="W4794">
        <v>0</v>
      </c>
      <c r="X4794">
        <v>0</v>
      </c>
      <c r="Y4794" t="s">
        <v>51</v>
      </c>
      <c r="Z4794">
        <v>1000</v>
      </c>
      <c r="AA4794">
        <v>0</v>
      </c>
    </row>
    <row r="4795" spans="1:27" x14ac:dyDescent="0.2">
      <c r="A4795" t="s">
        <v>75</v>
      </c>
      <c r="B4795">
        <v>2024</v>
      </c>
      <c r="C4795">
        <v>4240610600</v>
      </c>
      <c r="D4795" t="s">
        <v>5895</v>
      </c>
      <c r="E4795" t="s">
        <v>29</v>
      </c>
      <c r="F4795" t="s">
        <v>30</v>
      </c>
      <c r="G4795">
        <v>2</v>
      </c>
      <c r="H4795">
        <v>0</v>
      </c>
      <c r="I4795">
        <v>0</v>
      </c>
      <c r="J4795">
        <v>0</v>
      </c>
      <c r="K4795">
        <v>0</v>
      </c>
      <c r="L4795">
        <v>0</v>
      </c>
      <c r="M4795">
        <v>0</v>
      </c>
      <c r="N4795">
        <v>0</v>
      </c>
      <c r="O4795">
        <v>0</v>
      </c>
      <c r="P4795">
        <v>0</v>
      </c>
      <c r="Q4795">
        <v>0</v>
      </c>
      <c r="R4795">
        <v>0</v>
      </c>
      <c r="S4795">
        <v>0</v>
      </c>
      <c r="T4795">
        <v>0</v>
      </c>
      <c r="U4795">
        <v>0</v>
      </c>
      <c r="V4795">
        <v>0</v>
      </c>
      <c r="W4795">
        <v>0</v>
      </c>
      <c r="X4795">
        <v>0</v>
      </c>
      <c r="Y4795" t="s">
        <v>31</v>
      </c>
      <c r="Z4795">
        <v>55</v>
      </c>
      <c r="AA4795" s="2" t="s">
        <v>5896</v>
      </c>
    </row>
    <row r="4796" spans="1:27" x14ac:dyDescent="0.2">
      <c r="A4796" t="s">
        <v>75</v>
      </c>
      <c r="B4796">
        <v>2024</v>
      </c>
      <c r="C4796">
        <v>3130601000</v>
      </c>
      <c r="D4796" t="s">
        <v>452</v>
      </c>
      <c r="E4796" t="s">
        <v>29</v>
      </c>
      <c r="F4796" t="s">
        <v>30</v>
      </c>
      <c r="G4796">
        <v>0</v>
      </c>
      <c r="H4796">
        <v>0</v>
      </c>
      <c r="I4796">
        <v>0</v>
      </c>
      <c r="J4796">
        <v>0</v>
      </c>
      <c r="K4796">
        <v>0</v>
      </c>
      <c r="L4796">
        <v>0</v>
      </c>
      <c r="M4796">
        <v>0</v>
      </c>
      <c r="N4796">
        <v>0</v>
      </c>
      <c r="O4796">
        <v>0</v>
      </c>
      <c r="P4796">
        <v>0</v>
      </c>
      <c r="Q4796">
        <v>0</v>
      </c>
      <c r="R4796">
        <v>0</v>
      </c>
      <c r="S4796">
        <v>5</v>
      </c>
      <c r="T4796">
        <v>0</v>
      </c>
      <c r="U4796">
        <v>0</v>
      </c>
      <c r="V4796">
        <v>0</v>
      </c>
      <c r="W4796">
        <v>0</v>
      </c>
      <c r="X4796">
        <v>0</v>
      </c>
      <c r="Y4796" t="s">
        <v>51</v>
      </c>
      <c r="AA4796">
        <v>0</v>
      </c>
    </row>
    <row r="4797" spans="1:27" x14ac:dyDescent="0.2">
      <c r="A4797" t="s">
        <v>75</v>
      </c>
      <c r="B4797">
        <v>2024</v>
      </c>
      <c r="C4797">
        <v>3130601000</v>
      </c>
      <c r="D4797" t="s">
        <v>367</v>
      </c>
      <c r="E4797" t="s">
        <v>29</v>
      </c>
      <c r="F4797" t="s">
        <v>30</v>
      </c>
      <c r="G4797">
        <v>0</v>
      </c>
      <c r="H4797">
        <v>0</v>
      </c>
      <c r="I4797">
        <v>0</v>
      </c>
      <c r="J4797">
        <v>0</v>
      </c>
      <c r="K4797">
        <v>0</v>
      </c>
      <c r="L4797">
        <v>0</v>
      </c>
      <c r="M4797">
        <v>0</v>
      </c>
      <c r="N4797">
        <v>0</v>
      </c>
      <c r="O4797">
        <v>0</v>
      </c>
      <c r="P4797">
        <v>0</v>
      </c>
      <c r="Q4797">
        <v>0</v>
      </c>
      <c r="R4797">
        <v>0</v>
      </c>
      <c r="S4797">
        <v>3</v>
      </c>
      <c r="T4797">
        <v>0</v>
      </c>
      <c r="U4797">
        <v>0</v>
      </c>
      <c r="V4797">
        <v>0</v>
      </c>
      <c r="W4797">
        <v>0</v>
      </c>
      <c r="X4797">
        <v>0</v>
      </c>
      <c r="Y4797" t="s">
        <v>51</v>
      </c>
      <c r="AA4797">
        <v>0</v>
      </c>
    </row>
    <row r="4798" spans="1:27" x14ac:dyDescent="0.2">
      <c r="A4798" t="s">
        <v>75</v>
      </c>
      <c r="B4798">
        <v>2024</v>
      </c>
      <c r="C4798">
        <v>3130601000</v>
      </c>
      <c r="D4798" t="s">
        <v>274</v>
      </c>
      <c r="E4798" t="s">
        <v>29</v>
      </c>
      <c r="F4798" t="s">
        <v>30</v>
      </c>
      <c r="G4798">
        <v>0</v>
      </c>
      <c r="H4798">
        <v>0</v>
      </c>
      <c r="I4798">
        <v>0</v>
      </c>
      <c r="J4798">
        <v>0</v>
      </c>
      <c r="K4798">
        <v>0</v>
      </c>
      <c r="L4798">
        <v>0</v>
      </c>
      <c r="M4798">
        <v>0</v>
      </c>
      <c r="N4798">
        <v>0</v>
      </c>
      <c r="O4798">
        <v>0</v>
      </c>
      <c r="P4798">
        <v>0</v>
      </c>
      <c r="Q4798">
        <v>0</v>
      </c>
      <c r="R4798">
        <v>0</v>
      </c>
      <c r="S4798">
        <v>3</v>
      </c>
      <c r="T4798">
        <v>0</v>
      </c>
      <c r="U4798">
        <v>0</v>
      </c>
      <c r="V4798">
        <v>0</v>
      </c>
      <c r="W4798">
        <v>0</v>
      </c>
      <c r="X4798">
        <v>0</v>
      </c>
      <c r="Y4798" t="s">
        <v>51</v>
      </c>
      <c r="AA4798">
        <v>0</v>
      </c>
    </row>
    <row r="4799" spans="1:27" x14ac:dyDescent="0.2">
      <c r="A4799" t="s">
        <v>547</v>
      </c>
      <c r="B4799">
        <v>2023</v>
      </c>
      <c r="C4799">
        <v>4256001005</v>
      </c>
      <c r="D4799" t="s">
        <v>5897</v>
      </c>
      <c r="E4799" t="s">
        <v>29</v>
      </c>
      <c r="F4799" t="s">
        <v>30</v>
      </c>
      <c r="G4799">
        <v>4</v>
      </c>
      <c r="H4799">
        <v>0</v>
      </c>
      <c r="I4799">
        <v>0</v>
      </c>
      <c r="J4799">
        <v>0</v>
      </c>
      <c r="K4799">
        <v>0</v>
      </c>
      <c r="L4799">
        <v>0</v>
      </c>
      <c r="M4799">
        <v>0</v>
      </c>
      <c r="N4799">
        <v>0</v>
      </c>
      <c r="O4799">
        <v>0</v>
      </c>
      <c r="P4799">
        <v>0</v>
      </c>
      <c r="Q4799">
        <v>0</v>
      </c>
      <c r="R4799">
        <v>0</v>
      </c>
      <c r="S4799">
        <v>0</v>
      </c>
      <c r="T4799">
        <v>0</v>
      </c>
      <c r="U4799">
        <v>0</v>
      </c>
      <c r="V4799">
        <v>0</v>
      </c>
      <c r="W4799">
        <v>0</v>
      </c>
      <c r="X4799">
        <v>0</v>
      </c>
      <c r="Y4799" t="s">
        <v>31</v>
      </c>
      <c r="AA4799" s="2" t="s">
        <v>5380</v>
      </c>
    </row>
    <row r="4800" spans="1:27" x14ac:dyDescent="0.2">
      <c r="A4800" t="s">
        <v>547</v>
      </c>
      <c r="B4800">
        <v>2023</v>
      </c>
      <c r="C4800">
        <v>4317001014</v>
      </c>
      <c r="D4800" t="s">
        <v>5898</v>
      </c>
      <c r="E4800" t="s">
        <v>29</v>
      </c>
      <c r="F4800" t="s">
        <v>30</v>
      </c>
      <c r="G4800">
        <v>6</v>
      </c>
      <c r="H4800">
        <v>0</v>
      </c>
      <c r="I4800">
        <v>0</v>
      </c>
      <c r="J4800">
        <v>0</v>
      </c>
      <c r="K4800">
        <v>0</v>
      </c>
      <c r="L4800">
        <v>0</v>
      </c>
      <c r="M4800">
        <v>0</v>
      </c>
      <c r="N4800">
        <v>0</v>
      </c>
      <c r="O4800">
        <v>0</v>
      </c>
      <c r="P4800">
        <v>0</v>
      </c>
      <c r="Q4800">
        <v>0</v>
      </c>
      <c r="R4800">
        <v>0</v>
      </c>
      <c r="S4800">
        <v>0</v>
      </c>
      <c r="T4800">
        <v>0</v>
      </c>
      <c r="U4800">
        <v>0</v>
      </c>
      <c r="V4800">
        <v>0</v>
      </c>
      <c r="W4800">
        <v>0</v>
      </c>
      <c r="X4800">
        <v>0</v>
      </c>
      <c r="Y4800" t="s">
        <v>31</v>
      </c>
      <c r="AA4800">
        <v>1.95</v>
      </c>
    </row>
    <row r="4801" spans="1:27" x14ac:dyDescent="0.2">
      <c r="A4801" t="s">
        <v>547</v>
      </c>
      <c r="B4801">
        <v>2023</v>
      </c>
      <c r="C4801">
        <v>5093023056</v>
      </c>
      <c r="D4801" t="s">
        <v>5899</v>
      </c>
      <c r="E4801" t="s">
        <v>29</v>
      </c>
      <c r="F4801" t="s">
        <v>30</v>
      </c>
      <c r="G4801">
        <v>9</v>
      </c>
      <c r="H4801">
        <v>0</v>
      </c>
      <c r="I4801">
        <v>108</v>
      </c>
      <c r="J4801">
        <v>0</v>
      </c>
      <c r="K4801">
        <v>27</v>
      </c>
      <c r="L4801">
        <v>0</v>
      </c>
      <c r="M4801">
        <v>0</v>
      </c>
      <c r="N4801">
        <v>0</v>
      </c>
      <c r="O4801">
        <v>0</v>
      </c>
      <c r="P4801">
        <v>0</v>
      </c>
      <c r="Q4801">
        <v>0</v>
      </c>
      <c r="R4801">
        <v>0</v>
      </c>
      <c r="S4801">
        <v>0</v>
      </c>
      <c r="T4801">
        <v>0</v>
      </c>
      <c r="U4801">
        <v>0</v>
      </c>
      <c r="V4801">
        <v>0</v>
      </c>
      <c r="W4801">
        <v>0</v>
      </c>
      <c r="X4801">
        <v>0</v>
      </c>
      <c r="Y4801" t="s">
        <v>31</v>
      </c>
      <c r="AA4801" s="2" t="s">
        <v>5900</v>
      </c>
    </row>
    <row r="4802" spans="1:27" x14ac:dyDescent="0.2">
      <c r="A4802" t="s">
        <v>547</v>
      </c>
      <c r="B4802">
        <v>2023</v>
      </c>
      <c r="C4802">
        <v>4303027036</v>
      </c>
      <c r="D4802" t="s">
        <v>5901</v>
      </c>
      <c r="E4802" t="s">
        <v>29</v>
      </c>
      <c r="F4802" t="s">
        <v>30</v>
      </c>
      <c r="G4802">
        <v>0</v>
      </c>
      <c r="H4802">
        <v>0</v>
      </c>
      <c r="I4802">
        <v>59</v>
      </c>
      <c r="J4802">
        <v>0</v>
      </c>
      <c r="K4802">
        <v>0</v>
      </c>
      <c r="L4802">
        <v>0</v>
      </c>
      <c r="M4802">
        <v>0</v>
      </c>
      <c r="N4802">
        <v>0</v>
      </c>
      <c r="O4802">
        <v>0</v>
      </c>
      <c r="P4802">
        <v>0</v>
      </c>
      <c r="Q4802">
        <v>0</v>
      </c>
      <c r="R4802">
        <v>0</v>
      </c>
      <c r="S4802">
        <v>0</v>
      </c>
      <c r="T4802">
        <v>0</v>
      </c>
      <c r="U4802">
        <v>0</v>
      </c>
      <c r="V4802">
        <v>0</v>
      </c>
      <c r="W4802">
        <v>0</v>
      </c>
      <c r="X4802">
        <v>0</v>
      </c>
      <c r="Y4802" t="s">
        <v>31</v>
      </c>
      <c r="AA4802" s="2" t="s">
        <v>3394</v>
      </c>
    </row>
    <row r="4803" spans="1:27" x14ac:dyDescent="0.2">
      <c r="A4803" t="s">
        <v>547</v>
      </c>
      <c r="B4803">
        <v>2023</v>
      </c>
      <c r="C4803">
        <v>6074019008</v>
      </c>
      <c r="D4803" t="s">
        <v>5902</v>
      </c>
      <c r="E4803" t="s">
        <v>29</v>
      </c>
      <c r="F4803" t="s">
        <v>30</v>
      </c>
      <c r="G4803">
        <v>8</v>
      </c>
      <c r="H4803">
        <v>0</v>
      </c>
      <c r="I4803">
        <v>31</v>
      </c>
      <c r="J4803">
        <v>0</v>
      </c>
      <c r="K4803">
        <v>0</v>
      </c>
      <c r="L4803">
        <v>0</v>
      </c>
      <c r="M4803">
        <v>0</v>
      </c>
      <c r="N4803">
        <v>0</v>
      </c>
      <c r="O4803">
        <v>0</v>
      </c>
      <c r="P4803">
        <v>0</v>
      </c>
      <c r="Q4803">
        <v>0</v>
      </c>
      <c r="R4803">
        <v>0</v>
      </c>
      <c r="S4803">
        <v>0</v>
      </c>
      <c r="T4803">
        <v>0</v>
      </c>
      <c r="U4803">
        <v>0</v>
      </c>
      <c r="V4803">
        <v>0</v>
      </c>
      <c r="W4803">
        <v>0</v>
      </c>
      <c r="X4803">
        <v>0</v>
      </c>
      <c r="Y4803" t="s">
        <v>31</v>
      </c>
      <c r="AA4803" s="2" t="s">
        <v>5903</v>
      </c>
    </row>
    <row r="4804" spans="1:27" ht="102" x14ac:dyDescent="0.2">
      <c r="A4804" t="s">
        <v>1802</v>
      </c>
      <c r="B4804">
        <v>2024</v>
      </c>
      <c r="C4804" t="s">
        <v>5254</v>
      </c>
      <c r="D4804" s="1" t="s">
        <v>5904</v>
      </c>
      <c r="E4804" t="s">
        <v>29</v>
      </c>
      <c r="F4804" t="s">
        <v>30</v>
      </c>
      <c r="G4804">
        <v>0</v>
      </c>
      <c r="H4804">
        <v>0</v>
      </c>
      <c r="I4804">
        <v>0</v>
      </c>
      <c r="J4804">
        <v>0</v>
      </c>
      <c r="K4804">
        <v>0</v>
      </c>
      <c r="L4804">
        <v>0</v>
      </c>
      <c r="M4804">
        <v>2</v>
      </c>
      <c r="N4804">
        <v>0</v>
      </c>
      <c r="O4804">
        <v>0</v>
      </c>
      <c r="P4804">
        <v>0</v>
      </c>
      <c r="Q4804">
        <v>0</v>
      </c>
      <c r="R4804">
        <v>0</v>
      </c>
      <c r="S4804">
        <v>0</v>
      </c>
      <c r="T4804">
        <v>0</v>
      </c>
      <c r="U4804">
        <v>0</v>
      </c>
      <c r="V4804">
        <v>0</v>
      </c>
      <c r="W4804">
        <v>0</v>
      </c>
      <c r="X4804">
        <v>0</v>
      </c>
      <c r="Y4804" t="s">
        <v>31</v>
      </c>
      <c r="Z4804">
        <v>1000</v>
      </c>
      <c r="AA4804" s="2" t="s">
        <v>3316</v>
      </c>
    </row>
    <row r="4805" spans="1:27" x14ac:dyDescent="0.2">
      <c r="A4805" t="s">
        <v>876</v>
      </c>
      <c r="B4805">
        <v>2024</v>
      </c>
      <c r="C4805" t="s">
        <v>5905</v>
      </c>
      <c r="D4805" t="s">
        <v>5906</v>
      </c>
      <c r="E4805" t="s">
        <v>29</v>
      </c>
      <c r="F4805" t="s">
        <v>30</v>
      </c>
      <c r="G4805">
        <v>2</v>
      </c>
      <c r="H4805">
        <v>0</v>
      </c>
      <c r="I4805">
        <v>0</v>
      </c>
      <c r="J4805">
        <v>0</v>
      </c>
      <c r="K4805">
        <v>0</v>
      </c>
      <c r="L4805">
        <v>0</v>
      </c>
      <c r="M4805">
        <v>0</v>
      </c>
      <c r="N4805">
        <v>0</v>
      </c>
      <c r="O4805">
        <v>0</v>
      </c>
      <c r="P4805">
        <v>0</v>
      </c>
      <c r="Q4805">
        <v>0</v>
      </c>
      <c r="R4805">
        <v>0</v>
      </c>
      <c r="S4805">
        <v>0</v>
      </c>
      <c r="T4805">
        <v>0</v>
      </c>
      <c r="U4805">
        <v>0</v>
      </c>
      <c r="V4805">
        <v>0</v>
      </c>
      <c r="W4805">
        <v>0</v>
      </c>
      <c r="X4805">
        <v>0</v>
      </c>
      <c r="Y4805" t="s">
        <v>31</v>
      </c>
      <c r="Z4805">
        <v>55</v>
      </c>
      <c r="AA4805" s="2" t="s">
        <v>3316</v>
      </c>
    </row>
    <row r="4806" spans="1:27" x14ac:dyDescent="0.2">
      <c r="A4806" t="s">
        <v>75</v>
      </c>
      <c r="B4806">
        <v>2024</v>
      </c>
      <c r="C4806">
        <v>4332503100</v>
      </c>
      <c r="D4806" t="s">
        <v>5907</v>
      </c>
      <c r="E4806" t="s">
        <v>29</v>
      </c>
      <c r="F4806" t="s">
        <v>30</v>
      </c>
      <c r="G4806">
        <v>0</v>
      </c>
      <c r="H4806">
        <v>0</v>
      </c>
      <c r="I4806">
        <v>0</v>
      </c>
      <c r="J4806">
        <v>0</v>
      </c>
      <c r="K4806">
        <v>0</v>
      </c>
      <c r="L4806">
        <v>0</v>
      </c>
      <c r="M4806">
        <v>0</v>
      </c>
      <c r="N4806">
        <v>0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0</v>
      </c>
      <c r="U4806">
        <v>0</v>
      </c>
      <c r="V4806">
        <v>0</v>
      </c>
      <c r="W4806">
        <v>0</v>
      </c>
      <c r="X4806">
        <v>0</v>
      </c>
      <c r="Y4806" t="s">
        <v>51</v>
      </c>
      <c r="AA4806">
        <v>0</v>
      </c>
    </row>
    <row r="4807" spans="1:27" x14ac:dyDescent="0.2">
      <c r="A4807" t="s">
        <v>75</v>
      </c>
      <c r="B4807">
        <v>2024</v>
      </c>
      <c r="C4807">
        <v>4332503100</v>
      </c>
      <c r="D4807" t="s">
        <v>5908</v>
      </c>
      <c r="E4807" t="s">
        <v>29</v>
      </c>
      <c r="F4807" t="s">
        <v>30</v>
      </c>
      <c r="G4807">
        <v>0</v>
      </c>
      <c r="H4807">
        <v>0</v>
      </c>
      <c r="I4807">
        <v>0</v>
      </c>
      <c r="J4807">
        <v>0</v>
      </c>
      <c r="K4807">
        <v>0</v>
      </c>
      <c r="L4807">
        <v>0</v>
      </c>
      <c r="M4807">
        <v>0</v>
      </c>
      <c r="N4807">
        <v>0</v>
      </c>
      <c r="O4807">
        <v>0</v>
      </c>
      <c r="P4807">
        <v>0</v>
      </c>
      <c r="Q4807">
        <v>0</v>
      </c>
      <c r="R4807">
        <v>0</v>
      </c>
      <c r="S4807">
        <v>0</v>
      </c>
      <c r="T4807">
        <v>0</v>
      </c>
      <c r="U4807">
        <v>0</v>
      </c>
      <c r="V4807">
        <v>0</v>
      </c>
      <c r="W4807">
        <v>0</v>
      </c>
      <c r="X4807">
        <v>0</v>
      </c>
      <c r="Y4807" t="s">
        <v>51</v>
      </c>
      <c r="AA4807">
        <v>0</v>
      </c>
    </row>
    <row r="4808" spans="1:27" x14ac:dyDescent="0.2">
      <c r="A4808" t="s">
        <v>75</v>
      </c>
      <c r="B4808">
        <v>2024</v>
      </c>
      <c r="C4808">
        <v>4446900900</v>
      </c>
      <c r="D4808" t="s">
        <v>5909</v>
      </c>
      <c r="E4808" t="s">
        <v>29</v>
      </c>
      <c r="F4808" t="s">
        <v>30</v>
      </c>
      <c r="G4808">
        <v>0</v>
      </c>
      <c r="H4808">
        <v>0</v>
      </c>
      <c r="I4808">
        <v>0</v>
      </c>
      <c r="J4808">
        <v>0</v>
      </c>
      <c r="K4808">
        <v>0</v>
      </c>
      <c r="L4808">
        <v>0</v>
      </c>
      <c r="M4808">
        <v>71</v>
      </c>
      <c r="N4808">
        <v>0</v>
      </c>
      <c r="O4808">
        <v>0</v>
      </c>
      <c r="P4808">
        <v>0</v>
      </c>
      <c r="Q4808">
        <v>0</v>
      </c>
      <c r="R4808">
        <v>0</v>
      </c>
      <c r="S4808">
        <v>0</v>
      </c>
      <c r="T4808">
        <v>0</v>
      </c>
      <c r="U4808">
        <v>0</v>
      </c>
      <c r="V4808">
        <v>0</v>
      </c>
      <c r="W4808">
        <v>0</v>
      </c>
      <c r="X4808">
        <v>0</v>
      </c>
      <c r="Y4808" t="s">
        <v>31</v>
      </c>
      <c r="Z4808">
        <v>55</v>
      </c>
      <c r="AA4808" s="2" t="s">
        <v>5910</v>
      </c>
    </row>
    <row r="4809" spans="1:27" x14ac:dyDescent="0.2">
      <c r="A4809" t="s">
        <v>3785</v>
      </c>
      <c r="B4809">
        <v>2024</v>
      </c>
      <c r="C4809" t="s">
        <v>3786</v>
      </c>
      <c r="D4809" t="s">
        <v>5911</v>
      </c>
      <c r="E4809" t="s">
        <v>29</v>
      </c>
      <c r="F4809" t="s">
        <v>30</v>
      </c>
      <c r="G4809">
        <v>0</v>
      </c>
      <c r="H4809">
        <v>24</v>
      </c>
      <c r="I4809">
        <v>0</v>
      </c>
      <c r="J4809">
        <v>0</v>
      </c>
      <c r="K4809">
        <v>0</v>
      </c>
      <c r="L4809">
        <v>0</v>
      </c>
      <c r="M4809">
        <v>0</v>
      </c>
      <c r="N4809">
        <v>24</v>
      </c>
      <c r="O4809">
        <v>0</v>
      </c>
      <c r="P4809">
        <v>0</v>
      </c>
      <c r="Q4809">
        <v>0</v>
      </c>
      <c r="R4809">
        <v>0</v>
      </c>
      <c r="S4809">
        <v>0</v>
      </c>
      <c r="T4809">
        <v>24</v>
      </c>
      <c r="U4809">
        <v>0</v>
      </c>
      <c r="V4809">
        <v>0</v>
      </c>
      <c r="W4809">
        <v>0</v>
      </c>
      <c r="X4809">
        <v>0</v>
      </c>
      <c r="Y4809" t="s">
        <v>31</v>
      </c>
      <c r="Z4809">
        <v>55</v>
      </c>
      <c r="AA4809">
        <v>0</v>
      </c>
    </row>
    <row r="4810" spans="1:27" x14ac:dyDescent="0.2">
      <c r="A4810" t="s">
        <v>32</v>
      </c>
      <c r="B4810">
        <v>2024</v>
      </c>
      <c r="C4810" t="s">
        <v>5562</v>
      </c>
      <c r="D4810" t="s">
        <v>5912</v>
      </c>
      <c r="E4810" t="s">
        <v>29</v>
      </c>
      <c r="F4810" t="s">
        <v>30</v>
      </c>
      <c r="G4810">
        <v>0</v>
      </c>
      <c r="H4810">
        <v>0</v>
      </c>
      <c r="I4810">
        <v>0</v>
      </c>
      <c r="J4810">
        <v>0</v>
      </c>
      <c r="K4810">
        <v>0</v>
      </c>
      <c r="L4810">
        <v>0</v>
      </c>
      <c r="M4810">
        <v>0</v>
      </c>
      <c r="N4810">
        <v>0</v>
      </c>
      <c r="O4810">
        <v>9</v>
      </c>
      <c r="P4810">
        <v>1</v>
      </c>
      <c r="Q4810">
        <v>0</v>
      </c>
      <c r="R4810">
        <v>0</v>
      </c>
      <c r="S4810">
        <v>0</v>
      </c>
      <c r="T4810">
        <v>0</v>
      </c>
      <c r="U4810">
        <v>0</v>
      </c>
      <c r="V4810">
        <v>0</v>
      </c>
      <c r="W4810">
        <v>0</v>
      </c>
      <c r="X4810">
        <v>0</v>
      </c>
      <c r="Y4810" t="s">
        <v>31</v>
      </c>
      <c r="AA4810">
        <v>1</v>
      </c>
    </row>
    <row r="4811" spans="1:27" ht="119" x14ac:dyDescent="0.2">
      <c r="A4811" t="s">
        <v>32</v>
      </c>
      <c r="B4811">
        <v>2024</v>
      </c>
      <c r="C4811" t="s">
        <v>5562</v>
      </c>
      <c r="D4811" s="1" t="s">
        <v>5913</v>
      </c>
      <c r="E4811" t="s">
        <v>29</v>
      </c>
      <c r="F4811" t="s">
        <v>30</v>
      </c>
      <c r="G4811">
        <v>0</v>
      </c>
      <c r="H4811">
        <v>0</v>
      </c>
      <c r="I4811">
        <v>0</v>
      </c>
      <c r="J4811">
        <v>0</v>
      </c>
      <c r="K4811">
        <v>0</v>
      </c>
      <c r="L4811">
        <v>0</v>
      </c>
      <c r="M4811">
        <v>0</v>
      </c>
      <c r="N4811">
        <v>0</v>
      </c>
      <c r="O4811">
        <v>10</v>
      </c>
      <c r="P4811">
        <v>0</v>
      </c>
      <c r="Q4811">
        <v>0</v>
      </c>
      <c r="R4811">
        <v>0</v>
      </c>
      <c r="S4811">
        <v>0</v>
      </c>
      <c r="T4811">
        <v>0</v>
      </c>
      <c r="U4811">
        <v>0</v>
      </c>
      <c r="V4811">
        <v>0</v>
      </c>
      <c r="W4811">
        <v>0</v>
      </c>
      <c r="X4811">
        <v>0</v>
      </c>
      <c r="Y4811" t="s">
        <v>31</v>
      </c>
      <c r="AA4811">
        <v>1</v>
      </c>
    </row>
    <row r="4812" spans="1:27" x14ac:dyDescent="0.2">
      <c r="A4812" t="s">
        <v>5914</v>
      </c>
      <c r="B4812">
        <v>2024</v>
      </c>
      <c r="C4812" t="s">
        <v>5915</v>
      </c>
      <c r="D4812" t="s">
        <v>5916</v>
      </c>
      <c r="E4812" t="s">
        <v>29</v>
      </c>
      <c r="F4812" t="s">
        <v>30</v>
      </c>
      <c r="G4812">
        <v>0</v>
      </c>
      <c r="H4812">
        <v>0</v>
      </c>
      <c r="I4812">
        <v>0</v>
      </c>
      <c r="J4812">
        <v>68</v>
      </c>
      <c r="K4812">
        <v>0</v>
      </c>
      <c r="L4812">
        <v>0</v>
      </c>
      <c r="M4812">
        <v>0</v>
      </c>
      <c r="N4812">
        <v>0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</v>
      </c>
      <c r="V4812">
        <v>0</v>
      </c>
      <c r="W4812">
        <v>0</v>
      </c>
      <c r="X4812">
        <v>0</v>
      </c>
      <c r="Y4812" t="s">
        <v>31</v>
      </c>
      <c r="Z4812">
        <v>55</v>
      </c>
      <c r="AA4812" s="2" t="s">
        <v>3316</v>
      </c>
    </row>
    <row r="4813" spans="1:27" x14ac:dyDescent="0.2">
      <c r="A4813" t="s">
        <v>547</v>
      </c>
      <c r="B4813">
        <v>2023</v>
      </c>
      <c r="C4813">
        <v>5141021002</v>
      </c>
      <c r="D4813" t="s">
        <v>5917</v>
      </c>
      <c r="E4813" t="s">
        <v>29</v>
      </c>
      <c r="F4813" t="s">
        <v>30</v>
      </c>
      <c r="G4813">
        <v>1</v>
      </c>
      <c r="H4813">
        <v>0</v>
      </c>
      <c r="I4813">
        <v>23</v>
      </c>
      <c r="J4813">
        <v>0</v>
      </c>
      <c r="K4813">
        <v>7</v>
      </c>
      <c r="L4813">
        <v>0</v>
      </c>
      <c r="M4813">
        <v>0</v>
      </c>
      <c r="N4813">
        <v>0</v>
      </c>
      <c r="O4813">
        <v>0</v>
      </c>
      <c r="P4813">
        <v>0</v>
      </c>
      <c r="Q4813">
        <v>0</v>
      </c>
      <c r="R4813">
        <v>0</v>
      </c>
      <c r="S4813">
        <v>0</v>
      </c>
      <c r="T4813">
        <v>0</v>
      </c>
      <c r="U4813">
        <v>0</v>
      </c>
      <c r="V4813">
        <v>0</v>
      </c>
      <c r="W4813">
        <v>0</v>
      </c>
      <c r="X4813">
        <v>0</v>
      </c>
      <c r="Y4813" t="s">
        <v>31</v>
      </c>
      <c r="Z4813">
        <v>55</v>
      </c>
      <c r="AA4813" s="2" t="s">
        <v>3316</v>
      </c>
    </row>
    <row r="4814" spans="1:27" x14ac:dyDescent="0.2">
      <c r="A4814" t="s">
        <v>547</v>
      </c>
      <c r="B4814">
        <v>2023</v>
      </c>
      <c r="C4814">
        <v>5180006006</v>
      </c>
      <c r="D4814" t="s">
        <v>5918</v>
      </c>
      <c r="E4814" t="s">
        <v>29</v>
      </c>
      <c r="F4814" t="s">
        <v>30</v>
      </c>
      <c r="G4814">
        <v>12</v>
      </c>
      <c r="H4814">
        <v>0</v>
      </c>
      <c r="I4814">
        <v>38</v>
      </c>
      <c r="J4814">
        <v>0</v>
      </c>
      <c r="K4814">
        <v>0</v>
      </c>
      <c r="L4814">
        <v>0</v>
      </c>
      <c r="M4814">
        <v>0</v>
      </c>
      <c r="N4814">
        <v>0</v>
      </c>
      <c r="O4814">
        <v>0</v>
      </c>
      <c r="P4814">
        <v>0</v>
      </c>
      <c r="Q4814">
        <v>0</v>
      </c>
      <c r="R4814">
        <v>0</v>
      </c>
      <c r="S4814">
        <v>0</v>
      </c>
      <c r="T4814">
        <v>0</v>
      </c>
      <c r="U4814">
        <v>0</v>
      </c>
      <c r="V4814">
        <v>0</v>
      </c>
      <c r="W4814">
        <v>0</v>
      </c>
      <c r="X4814">
        <v>0</v>
      </c>
      <c r="Y4814" t="s">
        <v>31</v>
      </c>
      <c r="Z4814">
        <v>55</v>
      </c>
      <c r="AA4814" s="2" t="s">
        <v>5903</v>
      </c>
    </row>
    <row r="4815" spans="1:27" x14ac:dyDescent="0.2">
      <c r="A4815" t="s">
        <v>547</v>
      </c>
      <c r="B4815">
        <v>2023</v>
      </c>
      <c r="C4815">
        <v>6006004009</v>
      </c>
      <c r="D4815" t="s">
        <v>5919</v>
      </c>
      <c r="E4815" t="s">
        <v>29</v>
      </c>
      <c r="F4815" t="s">
        <v>30</v>
      </c>
      <c r="G4815">
        <v>0</v>
      </c>
      <c r="H4815">
        <v>0</v>
      </c>
      <c r="I4815">
        <v>111</v>
      </c>
      <c r="J4815">
        <v>0</v>
      </c>
      <c r="K4815">
        <v>28</v>
      </c>
      <c r="L4815">
        <v>0</v>
      </c>
      <c r="M4815">
        <v>0</v>
      </c>
      <c r="N4815">
        <v>0</v>
      </c>
      <c r="O4815">
        <v>0</v>
      </c>
      <c r="P4815">
        <v>0</v>
      </c>
      <c r="Q4815">
        <v>0</v>
      </c>
      <c r="R4815">
        <v>0</v>
      </c>
      <c r="S4815">
        <v>0</v>
      </c>
      <c r="T4815">
        <v>0</v>
      </c>
      <c r="U4815">
        <v>0</v>
      </c>
      <c r="V4815">
        <v>0</v>
      </c>
      <c r="W4815">
        <v>0</v>
      </c>
      <c r="X4815">
        <v>0</v>
      </c>
      <c r="Y4815" t="s">
        <v>31</v>
      </c>
      <c r="Z4815">
        <v>55</v>
      </c>
      <c r="AA4815" s="2" t="s">
        <v>5920</v>
      </c>
    </row>
    <row r="4816" spans="1:27" x14ac:dyDescent="0.2">
      <c r="A4816" t="s">
        <v>547</v>
      </c>
      <c r="B4816">
        <v>2023</v>
      </c>
      <c r="C4816">
        <v>6031021019</v>
      </c>
      <c r="D4816" t="s">
        <v>5921</v>
      </c>
      <c r="E4816" t="s">
        <v>29</v>
      </c>
      <c r="F4816" t="s">
        <v>30</v>
      </c>
      <c r="G4816">
        <v>0</v>
      </c>
      <c r="H4816">
        <v>0</v>
      </c>
      <c r="I4816">
        <v>29</v>
      </c>
      <c r="J4816">
        <v>0</v>
      </c>
      <c r="K4816">
        <v>0</v>
      </c>
      <c r="L4816">
        <v>0</v>
      </c>
      <c r="M4816">
        <v>0</v>
      </c>
      <c r="N4816">
        <v>0</v>
      </c>
      <c r="O4816">
        <v>0</v>
      </c>
      <c r="P4816">
        <v>0</v>
      </c>
      <c r="Q4816">
        <v>0</v>
      </c>
      <c r="R4816">
        <v>0</v>
      </c>
      <c r="S4816">
        <v>0</v>
      </c>
      <c r="T4816">
        <v>0</v>
      </c>
      <c r="U4816">
        <v>0</v>
      </c>
      <c r="V4816">
        <v>0</v>
      </c>
      <c r="W4816">
        <v>0</v>
      </c>
      <c r="X4816">
        <v>0</v>
      </c>
      <c r="Y4816" t="s">
        <v>31</v>
      </c>
      <c r="Z4816">
        <v>55</v>
      </c>
      <c r="AA4816">
        <v>0.38</v>
      </c>
    </row>
    <row r="4817" spans="1:27" x14ac:dyDescent="0.2">
      <c r="A4817" t="s">
        <v>547</v>
      </c>
      <c r="B4817">
        <v>2023</v>
      </c>
      <c r="C4817">
        <v>5551017007</v>
      </c>
      <c r="D4817" t="s">
        <v>5922</v>
      </c>
      <c r="E4817" t="s">
        <v>29</v>
      </c>
      <c r="F4817" t="s">
        <v>30</v>
      </c>
      <c r="G4817">
        <v>4</v>
      </c>
      <c r="H4817">
        <v>0</v>
      </c>
      <c r="I4817">
        <v>0</v>
      </c>
      <c r="J4817">
        <v>0</v>
      </c>
      <c r="K4817">
        <v>0</v>
      </c>
      <c r="L4817">
        <v>0</v>
      </c>
      <c r="M4817">
        <v>0</v>
      </c>
      <c r="N4817">
        <v>0</v>
      </c>
      <c r="O4817">
        <v>0</v>
      </c>
      <c r="P4817">
        <v>0</v>
      </c>
      <c r="Q4817">
        <v>0</v>
      </c>
      <c r="R4817">
        <v>0</v>
      </c>
      <c r="S4817">
        <v>0</v>
      </c>
      <c r="T4817">
        <v>0</v>
      </c>
      <c r="U4817">
        <v>0</v>
      </c>
      <c r="V4817">
        <v>0</v>
      </c>
      <c r="W4817">
        <v>0</v>
      </c>
      <c r="X4817">
        <v>0</v>
      </c>
      <c r="Y4817" t="s">
        <v>31</v>
      </c>
      <c r="Z4817">
        <v>55</v>
      </c>
      <c r="AA4817" s="2" t="s">
        <v>3316</v>
      </c>
    </row>
    <row r="4818" spans="1:27" x14ac:dyDescent="0.2">
      <c r="A4818" t="s">
        <v>547</v>
      </c>
      <c r="B4818">
        <v>2023</v>
      </c>
      <c r="C4818">
        <v>4335006044</v>
      </c>
      <c r="D4818" t="s">
        <v>5923</v>
      </c>
      <c r="E4818" t="s">
        <v>29</v>
      </c>
      <c r="F4818" t="s">
        <v>30</v>
      </c>
      <c r="G4818">
        <v>5</v>
      </c>
      <c r="H4818">
        <v>0</v>
      </c>
      <c r="I4818">
        <v>2</v>
      </c>
      <c r="J4818">
        <v>0</v>
      </c>
      <c r="K4818">
        <v>0</v>
      </c>
      <c r="L4818">
        <v>0</v>
      </c>
      <c r="M4818">
        <v>0</v>
      </c>
      <c r="N4818">
        <v>0</v>
      </c>
      <c r="O4818">
        <v>0</v>
      </c>
      <c r="P4818">
        <v>0</v>
      </c>
      <c r="Q4818">
        <v>0</v>
      </c>
      <c r="R4818">
        <v>0</v>
      </c>
      <c r="S4818">
        <v>0</v>
      </c>
      <c r="T4818">
        <v>0</v>
      </c>
      <c r="U4818">
        <v>0</v>
      </c>
      <c r="V4818">
        <v>0</v>
      </c>
      <c r="W4818">
        <v>0</v>
      </c>
      <c r="X4818">
        <v>0</v>
      </c>
      <c r="Y4818" t="s">
        <v>31</v>
      </c>
      <c r="Z4818">
        <v>55</v>
      </c>
      <c r="AA4818">
        <v>0.19</v>
      </c>
    </row>
    <row r="4819" spans="1:27" x14ac:dyDescent="0.2">
      <c r="A4819" t="s">
        <v>547</v>
      </c>
      <c r="B4819">
        <v>2023</v>
      </c>
      <c r="C4819">
        <v>2366025017</v>
      </c>
      <c r="D4819" t="s">
        <v>5924</v>
      </c>
      <c r="E4819" t="s">
        <v>29</v>
      </c>
      <c r="F4819" t="s">
        <v>30</v>
      </c>
      <c r="G4819">
        <v>17</v>
      </c>
      <c r="H4819">
        <v>0</v>
      </c>
      <c r="I4819">
        <v>0</v>
      </c>
      <c r="J4819">
        <v>0</v>
      </c>
      <c r="K4819">
        <v>0</v>
      </c>
      <c r="L4819">
        <v>0</v>
      </c>
      <c r="M4819">
        <v>0</v>
      </c>
      <c r="N4819">
        <v>0</v>
      </c>
      <c r="O4819">
        <v>0</v>
      </c>
      <c r="P4819">
        <v>0</v>
      </c>
      <c r="Q4819">
        <v>0</v>
      </c>
      <c r="R4819">
        <v>0</v>
      </c>
      <c r="S4819">
        <v>0</v>
      </c>
      <c r="T4819">
        <v>0</v>
      </c>
      <c r="U4819">
        <v>0</v>
      </c>
      <c r="V4819">
        <v>0</v>
      </c>
      <c r="W4819">
        <v>0</v>
      </c>
      <c r="X4819">
        <v>0</v>
      </c>
      <c r="Y4819" t="s">
        <v>31</v>
      </c>
      <c r="Z4819">
        <v>55</v>
      </c>
      <c r="AA4819" s="2" t="s">
        <v>3779</v>
      </c>
    </row>
    <row r="4820" spans="1:27" x14ac:dyDescent="0.2">
      <c r="A4820" t="s">
        <v>547</v>
      </c>
      <c r="B4820">
        <v>2023</v>
      </c>
      <c r="C4820">
        <v>5053035029</v>
      </c>
      <c r="D4820" t="s">
        <v>5925</v>
      </c>
      <c r="E4820" t="s">
        <v>29</v>
      </c>
      <c r="F4820" t="s">
        <v>30</v>
      </c>
      <c r="G4820">
        <v>10</v>
      </c>
      <c r="H4820">
        <v>0</v>
      </c>
      <c r="I4820">
        <v>0</v>
      </c>
      <c r="J4820">
        <v>0</v>
      </c>
      <c r="K4820">
        <v>0</v>
      </c>
      <c r="L4820">
        <v>0</v>
      </c>
      <c r="M4820">
        <v>0</v>
      </c>
      <c r="N4820">
        <v>0</v>
      </c>
      <c r="O4820">
        <v>0</v>
      </c>
      <c r="P4820">
        <v>0</v>
      </c>
      <c r="Q4820">
        <v>0</v>
      </c>
      <c r="R4820">
        <v>0</v>
      </c>
      <c r="S4820">
        <v>0</v>
      </c>
      <c r="T4820">
        <v>0</v>
      </c>
      <c r="U4820">
        <v>0</v>
      </c>
      <c r="V4820">
        <v>0</v>
      </c>
      <c r="W4820">
        <v>0</v>
      </c>
      <c r="X4820">
        <v>0</v>
      </c>
      <c r="Y4820" t="s">
        <v>31</v>
      </c>
      <c r="Z4820">
        <v>55</v>
      </c>
      <c r="AA4820" s="2" t="s">
        <v>5380</v>
      </c>
    </row>
    <row r="4821" spans="1:27" x14ac:dyDescent="0.2">
      <c r="A4821" t="s">
        <v>3560</v>
      </c>
      <c r="B4821">
        <v>2024</v>
      </c>
      <c r="C4821" t="s">
        <v>3561</v>
      </c>
      <c r="D4821" t="s">
        <v>5926</v>
      </c>
      <c r="E4821" t="s">
        <v>29</v>
      </c>
      <c r="F4821" t="s">
        <v>30</v>
      </c>
      <c r="G4821">
        <v>0</v>
      </c>
      <c r="H4821">
        <v>0</v>
      </c>
      <c r="I4821">
        <v>0</v>
      </c>
      <c r="J4821">
        <v>0</v>
      </c>
      <c r="K4821">
        <v>0</v>
      </c>
      <c r="L4821">
        <v>0</v>
      </c>
      <c r="M4821">
        <v>2</v>
      </c>
      <c r="N4821">
        <v>3</v>
      </c>
      <c r="O4821">
        <v>0</v>
      </c>
      <c r="P4821">
        <v>19</v>
      </c>
      <c r="Q4821">
        <v>0</v>
      </c>
      <c r="R4821">
        <v>0</v>
      </c>
      <c r="S4821">
        <v>0</v>
      </c>
      <c r="T4821">
        <v>0</v>
      </c>
      <c r="U4821">
        <v>0</v>
      </c>
      <c r="V4821">
        <v>0</v>
      </c>
      <c r="W4821">
        <v>0</v>
      </c>
      <c r="X4821">
        <v>0</v>
      </c>
      <c r="Y4821" t="s">
        <v>31</v>
      </c>
      <c r="Z4821">
        <v>55</v>
      </c>
      <c r="AA4821">
        <v>0</v>
      </c>
    </row>
    <row r="4822" spans="1:27" x14ac:dyDescent="0.2">
      <c r="A4822" t="s">
        <v>792</v>
      </c>
      <c r="B4822">
        <v>2024</v>
      </c>
      <c r="C4822">
        <v>39032215</v>
      </c>
      <c r="D4822" t="s">
        <v>5927</v>
      </c>
      <c r="E4822" t="s">
        <v>29</v>
      </c>
      <c r="F4822" t="s">
        <v>30</v>
      </c>
      <c r="G4822">
        <v>0</v>
      </c>
      <c r="H4822">
        <v>0</v>
      </c>
      <c r="I4822">
        <v>0</v>
      </c>
      <c r="J4822">
        <v>0</v>
      </c>
      <c r="K4822">
        <v>0</v>
      </c>
      <c r="L4822">
        <v>0</v>
      </c>
      <c r="M4822">
        <v>0</v>
      </c>
      <c r="N4822">
        <v>0</v>
      </c>
      <c r="O4822">
        <v>51</v>
      </c>
      <c r="P4822">
        <v>0</v>
      </c>
      <c r="Q4822">
        <v>0</v>
      </c>
      <c r="R4822">
        <v>0</v>
      </c>
      <c r="S4822">
        <v>0</v>
      </c>
      <c r="T4822">
        <v>0</v>
      </c>
      <c r="U4822">
        <v>0</v>
      </c>
      <c r="V4822">
        <v>0</v>
      </c>
      <c r="W4822">
        <v>0</v>
      </c>
      <c r="X4822">
        <v>0</v>
      </c>
      <c r="Y4822" t="s">
        <v>31</v>
      </c>
      <c r="Z4822">
        <v>55</v>
      </c>
      <c r="AA4822" s="2" t="s">
        <v>3514</v>
      </c>
    </row>
    <row r="4823" spans="1:27" x14ac:dyDescent="0.2">
      <c r="A4823" t="s">
        <v>5928</v>
      </c>
      <c r="B4823">
        <v>2024</v>
      </c>
      <c r="C4823" t="s">
        <v>5929</v>
      </c>
      <c r="D4823" t="s">
        <v>5930</v>
      </c>
      <c r="E4823" t="s">
        <v>29</v>
      </c>
      <c r="F4823" t="s">
        <v>41</v>
      </c>
      <c r="G4823">
        <v>0</v>
      </c>
      <c r="H4823">
        <v>0</v>
      </c>
      <c r="I4823">
        <v>1</v>
      </c>
      <c r="J4823">
        <v>0</v>
      </c>
      <c r="K4823">
        <v>0</v>
      </c>
      <c r="L4823">
        <v>0</v>
      </c>
      <c r="M4823">
        <v>1</v>
      </c>
      <c r="N4823">
        <v>0</v>
      </c>
      <c r="O4823">
        <v>0</v>
      </c>
      <c r="P4823">
        <v>0</v>
      </c>
      <c r="Q4823">
        <v>0</v>
      </c>
      <c r="R4823">
        <v>0</v>
      </c>
      <c r="S4823">
        <v>1</v>
      </c>
      <c r="T4823">
        <v>0</v>
      </c>
      <c r="U4823">
        <v>0</v>
      </c>
      <c r="V4823">
        <v>0</v>
      </c>
      <c r="W4823">
        <v>0</v>
      </c>
      <c r="X4823">
        <v>0</v>
      </c>
      <c r="Y4823" t="s">
        <v>31</v>
      </c>
      <c r="Z4823">
        <v>55</v>
      </c>
      <c r="AA4823" s="2" t="s">
        <v>3920</v>
      </c>
    </row>
    <row r="4824" spans="1:27" x14ac:dyDescent="0.2">
      <c r="A4824" t="s">
        <v>227</v>
      </c>
      <c r="B4824">
        <v>2024</v>
      </c>
      <c r="C4824" t="s">
        <v>3620</v>
      </c>
      <c r="D4824" t="s">
        <v>3621</v>
      </c>
      <c r="E4824" t="s">
        <v>29</v>
      </c>
      <c r="F4824" t="s">
        <v>41</v>
      </c>
      <c r="G4824">
        <v>0</v>
      </c>
      <c r="H4824">
        <v>0</v>
      </c>
      <c r="I4824">
        <v>0</v>
      </c>
      <c r="J4824">
        <v>0</v>
      </c>
      <c r="K4824">
        <v>0</v>
      </c>
      <c r="L4824">
        <v>0</v>
      </c>
      <c r="M4824">
        <v>0</v>
      </c>
      <c r="N4824">
        <v>0</v>
      </c>
      <c r="O4824">
        <v>0</v>
      </c>
      <c r="P4824">
        <v>0</v>
      </c>
      <c r="Q4824">
        <v>0</v>
      </c>
      <c r="R4824">
        <v>0</v>
      </c>
      <c r="S4824">
        <v>0</v>
      </c>
      <c r="T4824">
        <v>0</v>
      </c>
      <c r="U4824">
        <v>0</v>
      </c>
      <c r="V4824">
        <v>0</v>
      </c>
      <c r="W4824">
        <v>0</v>
      </c>
      <c r="X4824">
        <v>0</v>
      </c>
      <c r="Y4824" t="s">
        <v>51</v>
      </c>
      <c r="Z4824">
        <v>1000</v>
      </c>
      <c r="AA4824">
        <v>0</v>
      </c>
    </row>
    <row r="4825" spans="1:27" x14ac:dyDescent="0.2">
      <c r="A4825" t="s">
        <v>2604</v>
      </c>
      <c r="B4825">
        <v>2024</v>
      </c>
      <c r="C4825" t="s">
        <v>2605</v>
      </c>
      <c r="D4825" t="s">
        <v>5931</v>
      </c>
      <c r="E4825" t="s">
        <v>29</v>
      </c>
      <c r="F4825" t="s">
        <v>30</v>
      </c>
      <c r="G4825">
        <v>0</v>
      </c>
      <c r="H4825">
        <v>0</v>
      </c>
      <c r="I4825">
        <v>0</v>
      </c>
      <c r="J4825">
        <v>0</v>
      </c>
      <c r="K4825">
        <v>0</v>
      </c>
      <c r="L4825">
        <v>0</v>
      </c>
      <c r="M4825">
        <v>1</v>
      </c>
      <c r="N4825">
        <v>0</v>
      </c>
      <c r="O4825">
        <v>18</v>
      </c>
      <c r="P4825">
        <v>0</v>
      </c>
      <c r="Q4825">
        <v>0</v>
      </c>
      <c r="R4825">
        <v>0</v>
      </c>
      <c r="S4825">
        <v>0</v>
      </c>
      <c r="T4825">
        <v>0</v>
      </c>
      <c r="U4825">
        <v>0</v>
      </c>
      <c r="V4825">
        <v>0</v>
      </c>
      <c r="W4825">
        <v>0</v>
      </c>
      <c r="X4825">
        <v>0</v>
      </c>
      <c r="Y4825" t="s">
        <v>51</v>
      </c>
      <c r="Z4825">
        <v>55</v>
      </c>
      <c r="AA4825">
        <v>0</v>
      </c>
    </row>
    <row r="4826" spans="1:27" x14ac:dyDescent="0.2">
      <c r="A4826" t="s">
        <v>547</v>
      </c>
      <c r="B4826">
        <v>2024</v>
      </c>
      <c r="C4826">
        <v>2233030001</v>
      </c>
      <c r="D4826" t="s">
        <v>5932</v>
      </c>
      <c r="E4826" t="s">
        <v>29</v>
      </c>
      <c r="F4826" t="s">
        <v>30</v>
      </c>
      <c r="G4826">
        <v>0</v>
      </c>
      <c r="H4826">
        <v>0</v>
      </c>
      <c r="I4826">
        <v>0</v>
      </c>
      <c r="J4826">
        <v>0</v>
      </c>
      <c r="K4826">
        <v>0</v>
      </c>
      <c r="L4826">
        <v>0</v>
      </c>
      <c r="M4826">
        <v>1</v>
      </c>
      <c r="N4826">
        <v>0</v>
      </c>
      <c r="O4826">
        <v>77</v>
      </c>
      <c r="P4826">
        <v>0</v>
      </c>
      <c r="Q4826">
        <v>20</v>
      </c>
      <c r="R4826">
        <v>0</v>
      </c>
      <c r="S4826">
        <v>0</v>
      </c>
      <c r="T4826">
        <v>0</v>
      </c>
      <c r="U4826">
        <v>0</v>
      </c>
      <c r="V4826">
        <v>0</v>
      </c>
      <c r="W4826">
        <v>0</v>
      </c>
      <c r="X4826">
        <v>0</v>
      </c>
      <c r="Y4826" t="s">
        <v>31</v>
      </c>
      <c r="Z4826">
        <v>55</v>
      </c>
      <c r="AA4826">
        <v>800</v>
      </c>
    </row>
    <row r="4827" spans="1:27" x14ac:dyDescent="0.2">
      <c r="A4827" t="s">
        <v>5933</v>
      </c>
      <c r="B4827">
        <v>2024</v>
      </c>
      <c r="C4827" t="s">
        <v>5934</v>
      </c>
      <c r="D4827" t="s">
        <v>5935</v>
      </c>
      <c r="E4827" t="s">
        <v>29</v>
      </c>
      <c r="F4827" t="s">
        <v>30</v>
      </c>
      <c r="G4827">
        <v>0</v>
      </c>
      <c r="H4827">
        <v>0</v>
      </c>
      <c r="I4827">
        <v>81</v>
      </c>
      <c r="J4827">
        <v>0</v>
      </c>
      <c r="K4827">
        <v>0</v>
      </c>
      <c r="L4827">
        <v>0</v>
      </c>
      <c r="M4827">
        <v>0</v>
      </c>
      <c r="N4827">
        <v>0</v>
      </c>
      <c r="O4827">
        <v>0</v>
      </c>
      <c r="P4827">
        <v>0</v>
      </c>
      <c r="Q4827">
        <v>0</v>
      </c>
      <c r="R4827">
        <v>0</v>
      </c>
      <c r="S4827">
        <v>0</v>
      </c>
      <c r="T4827">
        <v>0</v>
      </c>
      <c r="U4827">
        <v>0</v>
      </c>
      <c r="V4827">
        <v>0</v>
      </c>
      <c r="W4827">
        <v>0</v>
      </c>
      <c r="X4827">
        <v>0</v>
      </c>
      <c r="Y4827" t="s">
        <v>31</v>
      </c>
      <c r="AA4827" s="2" t="s">
        <v>5262</v>
      </c>
    </row>
    <row r="4828" spans="1:27" x14ac:dyDescent="0.2">
      <c r="A4828" t="s">
        <v>904</v>
      </c>
      <c r="B4828">
        <v>2024</v>
      </c>
      <c r="C4828" t="s">
        <v>3089</v>
      </c>
      <c r="D4828" t="s">
        <v>3090</v>
      </c>
      <c r="E4828" t="s">
        <v>29</v>
      </c>
      <c r="F4828" t="s">
        <v>30</v>
      </c>
      <c r="G4828">
        <v>0</v>
      </c>
      <c r="H4828">
        <v>0</v>
      </c>
      <c r="I4828">
        <v>19</v>
      </c>
      <c r="J4828">
        <v>0</v>
      </c>
      <c r="K4828">
        <v>0</v>
      </c>
      <c r="L4828">
        <v>0</v>
      </c>
      <c r="M4828">
        <v>0</v>
      </c>
      <c r="N4828">
        <v>0</v>
      </c>
      <c r="O4828">
        <v>0</v>
      </c>
      <c r="P4828">
        <v>0</v>
      </c>
      <c r="Q4828">
        <v>0</v>
      </c>
      <c r="R4828">
        <v>0</v>
      </c>
      <c r="S4828">
        <v>0</v>
      </c>
      <c r="T4828">
        <v>0</v>
      </c>
      <c r="U4828">
        <v>0</v>
      </c>
      <c r="V4828">
        <v>0</v>
      </c>
      <c r="W4828">
        <v>0</v>
      </c>
      <c r="X4828">
        <v>0</v>
      </c>
      <c r="Y4828" t="s">
        <v>31</v>
      </c>
      <c r="Z4828">
        <v>55</v>
      </c>
      <c r="AA4828" s="2" t="s">
        <v>3316</v>
      </c>
    </row>
    <row r="4829" spans="1:27" x14ac:dyDescent="0.2">
      <c r="A4829" t="s">
        <v>2691</v>
      </c>
      <c r="B4829">
        <v>2024</v>
      </c>
      <c r="C4829" t="s">
        <v>3451</v>
      </c>
      <c r="D4829" t="s">
        <v>3452</v>
      </c>
      <c r="E4829" t="s">
        <v>29</v>
      </c>
      <c r="F4829" t="s">
        <v>30</v>
      </c>
      <c r="G4829">
        <v>0</v>
      </c>
      <c r="H4829">
        <v>0</v>
      </c>
      <c r="I4829">
        <v>0</v>
      </c>
      <c r="J4829">
        <v>0</v>
      </c>
      <c r="K4829">
        <v>0</v>
      </c>
      <c r="L4829">
        <v>0</v>
      </c>
      <c r="M4829">
        <v>0</v>
      </c>
      <c r="N4829">
        <v>0</v>
      </c>
      <c r="O4829">
        <v>0</v>
      </c>
      <c r="P4829">
        <v>0</v>
      </c>
      <c r="Q4829">
        <v>0</v>
      </c>
      <c r="R4829">
        <v>0</v>
      </c>
      <c r="S4829">
        <v>1</v>
      </c>
      <c r="T4829">
        <v>0</v>
      </c>
      <c r="U4829">
        <v>0</v>
      </c>
      <c r="V4829">
        <v>0</v>
      </c>
      <c r="W4829">
        <v>0</v>
      </c>
      <c r="X4829">
        <v>0</v>
      </c>
      <c r="Y4829" t="s">
        <v>31</v>
      </c>
      <c r="AA4829" s="2" t="s">
        <v>4024</v>
      </c>
    </row>
    <row r="4830" spans="1:27" x14ac:dyDescent="0.2">
      <c r="A4830" t="s">
        <v>2691</v>
      </c>
      <c r="B4830">
        <v>2024</v>
      </c>
      <c r="C4830" t="s">
        <v>3179</v>
      </c>
      <c r="D4830" t="s">
        <v>3180</v>
      </c>
      <c r="E4830" t="s">
        <v>29</v>
      </c>
      <c r="F4830" t="s">
        <v>30</v>
      </c>
      <c r="G4830">
        <v>0</v>
      </c>
      <c r="H4830">
        <v>0</v>
      </c>
      <c r="I4830">
        <v>0</v>
      </c>
      <c r="J4830">
        <v>0</v>
      </c>
      <c r="K4830">
        <v>0</v>
      </c>
      <c r="L4830">
        <v>0</v>
      </c>
      <c r="M4830">
        <v>0</v>
      </c>
      <c r="N4830">
        <v>0</v>
      </c>
      <c r="O4830">
        <v>0</v>
      </c>
      <c r="P4830">
        <v>0</v>
      </c>
      <c r="Q4830">
        <v>0</v>
      </c>
      <c r="R4830">
        <v>0</v>
      </c>
      <c r="S4830">
        <v>2</v>
      </c>
      <c r="T4830">
        <v>0</v>
      </c>
      <c r="U4830">
        <v>0</v>
      </c>
      <c r="V4830">
        <v>0</v>
      </c>
      <c r="W4830">
        <v>0</v>
      </c>
      <c r="X4830">
        <v>0</v>
      </c>
      <c r="Y4830" t="s">
        <v>31</v>
      </c>
      <c r="AA4830" s="2" t="s">
        <v>3361</v>
      </c>
    </row>
    <row r="4831" spans="1:27" x14ac:dyDescent="0.2">
      <c r="A4831" t="s">
        <v>737</v>
      </c>
      <c r="B4831">
        <v>2024</v>
      </c>
      <c r="C4831">
        <v>4134005015</v>
      </c>
      <c r="D4831" t="s">
        <v>5936</v>
      </c>
      <c r="E4831" t="s">
        <v>29</v>
      </c>
      <c r="F4831" t="s">
        <v>30</v>
      </c>
      <c r="G4831">
        <v>27</v>
      </c>
      <c r="H4831">
        <v>0</v>
      </c>
      <c r="I4831">
        <v>0</v>
      </c>
      <c r="J4831">
        <v>0</v>
      </c>
      <c r="K4831">
        <v>0</v>
      </c>
      <c r="L4831">
        <v>0</v>
      </c>
      <c r="M4831">
        <v>0</v>
      </c>
      <c r="N4831">
        <v>0</v>
      </c>
      <c r="O4831">
        <v>0</v>
      </c>
      <c r="P4831">
        <v>0</v>
      </c>
      <c r="Q4831">
        <v>0</v>
      </c>
      <c r="R4831">
        <v>0</v>
      </c>
      <c r="S4831">
        <v>0</v>
      </c>
      <c r="T4831">
        <v>0</v>
      </c>
      <c r="U4831">
        <v>0</v>
      </c>
      <c r="V4831">
        <v>0</v>
      </c>
      <c r="W4831">
        <v>0</v>
      </c>
      <c r="X4831">
        <v>0</v>
      </c>
      <c r="Y4831" t="s">
        <v>31</v>
      </c>
      <c r="AA4831" s="2" t="s">
        <v>5103</v>
      </c>
    </row>
    <row r="4832" spans="1:27" x14ac:dyDescent="0.2">
      <c r="A4832" t="s">
        <v>547</v>
      </c>
      <c r="B4832">
        <v>2024</v>
      </c>
      <c r="C4832">
        <v>2321011003</v>
      </c>
      <c r="D4832" t="s">
        <v>5937</v>
      </c>
      <c r="E4832" t="s">
        <v>29</v>
      </c>
      <c r="F4832" t="s">
        <v>30</v>
      </c>
      <c r="G4832">
        <v>2</v>
      </c>
      <c r="H4832">
        <v>0</v>
      </c>
      <c r="I4832">
        <v>14</v>
      </c>
      <c r="J4832">
        <v>0</v>
      </c>
      <c r="K4832">
        <v>5</v>
      </c>
      <c r="L4832">
        <v>0</v>
      </c>
      <c r="M4832">
        <v>0</v>
      </c>
      <c r="N4832">
        <v>0</v>
      </c>
      <c r="O4832">
        <v>0</v>
      </c>
      <c r="P4832">
        <v>0</v>
      </c>
      <c r="Q4832">
        <v>0</v>
      </c>
      <c r="R4832">
        <v>0</v>
      </c>
      <c r="S4832">
        <v>0</v>
      </c>
      <c r="T4832">
        <v>0</v>
      </c>
      <c r="U4832">
        <v>0</v>
      </c>
      <c r="V4832">
        <v>0</v>
      </c>
      <c r="W4832">
        <v>0</v>
      </c>
      <c r="X4832">
        <v>0</v>
      </c>
      <c r="Y4832" t="s">
        <v>31</v>
      </c>
      <c r="Z4832">
        <v>55</v>
      </c>
      <c r="AA4832">
        <v>144</v>
      </c>
    </row>
    <row r="4833" spans="1:27" x14ac:dyDescent="0.2">
      <c r="A4833" t="s">
        <v>547</v>
      </c>
      <c r="B4833">
        <v>2024</v>
      </c>
      <c r="C4833">
        <v>2021002013</v>
      </c>
      <c r="D4833" t="s">
        <v>5938</v>
      </c>
      <c r="E4833" t="s">
        <v>29</v>
      </c>
      <c r="F4833" t="s">
        <v>30</v>
      </c>
      <c r="G4833">
        <v>0</v>
      </c>
      <c r="H4833">
        <v>0</v>
      </c>
      <c r="I4833">
        <v>265</v>
      </c>
      <c r="J4833">
        <v>0</v>
      </c>
      <c r="K4833">
        <v>66</v>
      </c>
      <c r="L4833">
        <v>0</v>
      </c>
      <c r="M4833">
        <v>0</v>
      </c>
      <c r="N4833">
        <v>0</v>
      </c>
      <c r="O4833">
        <v>0</v>
      </c>
      <c r="P4833">
        <v>0</v>
      </c>
      <c r="Q4833">
        <v>0</v>
      </c>
      <c r="R4833">
        <v>0</v>
      </c>
      <c r="S4833">
        <v>0</v>
      </c>
      <c r="T4833">
        <v>0</v>
      </c>
      <c r="U4833">
        <v>0</v>
      </c>
      <c r="V4833">
        <v>0</v>
      </c>
      <c r="W4833">
        <v>0</v>
      </c>
      <c r="X4833">
        <v>0</v>
      </c>
      <c r="Y4833" t="s">
        <v>31</v>
      </c>
      <c r="Z4833">
        <v>55</v>
      </c>
      <c r="AA4833">
        <v>1560</v>
      </c>
    </row>
    <row r="4834" spans="1:27" x14ac:dyDescent="0.2">
      <c r="A4834" t="s">
        <v>547</v>
      </c>
      <c r="B4834">
        <v>2024</v>
      </c>
      <c r="C4834">
        <v>2421015009</v>
      </c>
      <c r="D4834" t="s">
        <v>5939</v>
      </c>
      <c r="E4834" t="s">
        <v>29</v>
      </c>
      <c r="F4834" t="s">
        <v>30</v>
      </c>
      <c r="G4834">
        <v>0</v>
      </c>
      <c r="H4834">
        <v>0</v>
      </c>
      <c r="I4834">
        <v>0</v>
      </c>
      <c r="J4834">
        <v>0</v>
      </c>
      <c r="K4834">
        <v>0</v>
      </c>
      <c r="L4834">
        <v>0</v>
      </c>
      <c r="M4834">
        <v>0</v>
      </c>
      <c r="N4834">
        <v>0</v>
      </c>
      <c r="O4834">
        <v>0</v>
      </c>
      <c r="P4834">
        <v>0</v>
      </c>
      <c r="Q4834">
        <v>0</v>
      </c>
      <c r="R4834">
        <v>0</v>
      </c>
      <c r="S4834">
        <v>0</v>
      </c>
      <c r="T4834">
        <v>0</v>
      </c>
      <c r="U4834">
        <v>0</v>
      </c>
      <c r="V4834">
        <v>0</v>
      </c>
      <c r="W4834">
        <v>0</v>
      </c>
      <c r="X4834">
        <v>0</v>
      </c>
      <c r="Y4834" t="s">
        <v>31</v>
      </c>
      <c r="Z4834">
        <v>55</v>
      </c>
      <c r="AA4834">
        <v>240</v>
      </c>
    </row>
    <row r="4835" spans="1:27" x14ac:dyDescent="0.2">
      <c r="A4835" t="s">
        <v>547</v>
      </c>
      <c r="B4835">
        <v>2024</v>
      </c>
      <c r="C4835">
        <v>2536015013</v>
      </c>
      <c r="D4835" t="s">
        <v>5940</v>
      </c>
      <c r="E4835" t="s">
        <v>29</v>
      </c>
      <c r="F4835" t="s">
        <v>30</v>
      </c>
      <c r="G4835">
        <v>0</v>
      </c>
      <c r="H4835">
        <v>0</v>
      </c>
      <c r="I4835">
        <v>247</v>
      </c>
      <c r="J4835">
        <v>0</v>
      </c>
      <c r="K4835">
        <v>62</v>
      </c>
      <c r="L4835">
        <v>0</v>
      </c>
      <c r="M4835">
        <v>0</v>
      </c>
      <c r="N4835">
        <v>0</v>
      </c>
      <c r="O4835">
        <v>0</v>
      </c>
      <c r="P4835">
        <v>0</v>
      </c>
      <c r="Q4835">
        <v>0</v>
      </c>
      <c r="R4835">
        <v>0</v>
      </c>
      <c r="S4835">
        <v>0</v>
      </c>
      <c r="T4835">
        <v>0</v>
      </c>
      <c r="U4835">
        <v>0</v>
      </c>
      <c r="V4835">
        <v>0</v>
      </c>
      <c r="W4835">
        <v>0</v>
      </c>
      <c r="X4835">
        <v>0</v>
      </c>
      <c r="Y4835" t="s">
        <v>31</v>
      </c>
      <c r="Z4835">
        <v>55</v>
      </c>
      <c r="AA4835">
        <v>900</v>
      </c>
    </row>
    <row r="4836" spans="1:27" x14ac:dyDescent="0.2">
      <c r="A4836" t="s">
        <v>547</v>
      </c>
      <c r="B4836">
        <v>2024</v>
      </c>
      <c r="C4836">
        <v>4125011010</v>
      </c>
      <c r="D4836" t="s">
        <v>5941</v>
      </c>
      <c r="E4836" t="s">
        <v>29</v>
      </c>
      <c r="F4836" t="s">
        <v>30</v>
      </c>
      <c r="G4836">
        <v>0</v>
      </c>
      <c r="H4836">
        <v>0</v>
      </c>
      <c r="I4836">
        <v>92</v>
      </c>
      <c r="J4836">
        <v>0</v>
      </c>
      <c r="K4836">
        <v>23</v>
      </c>
      <c r="L4836">
        <v>0</v>
      </c>
      <c r="M4836">
        <v>0</v>
      </c>
      <c r="N4836">
        <v>0</v>
      </c>
      <c r="O4836">
        <v>0</v>
      </c>
      <c r="P4836">
        <v>0</v>
      </c>
      <c r="Q4836">
        <v>0</v>
      </c>
      <c r="R4836">
        <v>0</v>
      </c>
      <c r="S4836">
        <v>0</v>
      </c>
      <c r="T4836">
        <v>0</v>
      </c>
      <c r="U4836">
        <v>0</v>
      </c>
      <c r="V4836">
        <v>0</v>
      </c>
      <c r="W4836">
        <v>0</v>
      </c>
      <c r="X4836">
        <v>0</v>
      </c>
      <c r="Y4836" t="s">
        <v>31</v>
      </c>
      <c r="Z4836">
        <v>55</v>
      </c>
      <c r="AA4836">
        <v>867</v>
      </c>
    </row>
    <row r="4837" spans="1:27" x14ac:dyDescent="0.2">
      <c r="A4837" t="s">
        <v>547</v>
      </c>
      <c r="B4837">
        <v>2024</v>
      </c>
      <c r="C4837">
        <v>4217009017</v>
      </c>
      <c r="D4837" t="s">
        <v>5942</v>
      </c>
      <c r="E4837" t="s">
        <v>29</v>
      </c>
      <c r="F4837" t="s">
        <v>30</v>
      </c>
      <c r="G4837">
        <v>0</v>
      </c>
      <c r="H4837">
        <v>0</v>
      </c>
      <c r="I4837">
        <v>29</v>
      </c>
      <c r="J4837">
        <v>0</v>
      </c>
      <c r="K4837">
        <v>5</v>
      </c>
      <c r="L4837">
        <v>0</v>
      </c>
      <c r="M4837">
        <v>0</v>
      </c>
      <c r="N4837">
        <v>0</v>
      </c>
      <c r="O4837">
        <v>0</v>
      </c>
      <c r="P4837">
        <v>0</v>
      </c>
      <c r="Q4837">
        <v>0</v>
      </c>
      <c r="R4837">
        <v>0</v>
      </c>
      <c r="S4837">
        <v>0</v>
      </c>
      <c r="T4837">
        <v>0</v>
      </c>
      <c r="U4837">
        <v>0</v>
      </c>
      <c r="V4837">
        <v>0</v>
      </c>
      <c r="W4837">
        <v>0</v>
      </c>
      <c r="X4837">
        <v>0</v>
      </c>
      <c r="Y4837" t="s">
        <v>31</v>
      </c>
      <c r="Z4837">
        <v>55</v>
      </c>
      <c r="AA4837">
        <v>375</v>
      </c>
    </row>
    <row r="4838" spans="1:27" x14ac:dyDescent="0.2">
      <c r="A4838" t="s">
        <v>547</v>
      </c>
      <c r="B4838">
        <v>2024</v>
      </c>
      <c r="C4838">
        <v>4236021012</v>
      </c>
      <c r="D4838" t="s">
        <v>5943</v>
      </c>
      <c r="E4838" t="s">
        <v>29</v>
      </c>
      <c r="F4838" t="s">
        <v>30</v>
      </c>
      <c r="G4838">
        <v>0</v>
      </c>
      <c r="H4838">
        <v>0</v>
      </c>
      <c r="I4838">
        <v>60</v>
      </c>
      <c r="J4838">
        <v>0</v>
      </c>
      <c r="K4838">
        <v>16</v>
      </c>
      <c r="L4838">
        <v>0</v>
      </c>
      <c r="M4838">
        <v>0</v>
      </c>
      <c r="N4838">
        <v>0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</v>
      </c>
      <c r="V4838">
        <v>0</v>
      </c>
      <c r="W4838">
        <v>0</v>
      </c>
      <c r="X4838">
        <v>0</v>
      </c>
      <c r="Y4838" t="s">
        <v>31</v>
      </c>
      <c r="Z4838">
        <v>55</v>
      </c>
      <c r="AA4838">
        <v>436</v>
      </c>
    </row>
    <row r="4839" spans="1:27" x14ac:dyDescent="0.2">
      <c r="A4839" t="s">
        <v>3564</v>
      </c>
      <c r="B4839">
        <v>2024</v>
      </c>
      <c r="C4839" t="s">
        <v>3565</v>
      </c>
      <c r="D4839" t="s">
        <v>3566</v>
      </c>
      <c r="E4839" t="s">
        <v>29</v>
      </c>
      <c r="F4839" t="s">
        <v>30</v>
      </c>
      <c r="G4839">
        <v>0</v>
      </c>
      <c r="H4839">
        <v>0</v>
      </c>
      <c r="I4839">
        <v>0</v>
      </c>
      <c r="J4839">
        <v>0</v>
      </c>
      <c r="K4839">
        <v>0</v>
      </c>
      <c r="L4839">
        <v>0</v>
      </c>
      <c r="M4839">
        <v>1</v>
      </c>
      <c r="N4839">
        <v>0</v>
      </c>
      <c r="O4839">
        <v>0</v>
      </c>
      <c r="P4839">
        <v>0</v>
      </c>
      <c r="Q4839">
        <v>0</v>
      </c>
      <c r="R4839">
        <v>0</v>
      </c>
      <c r="S4839">
        <v>0</v>
      </c>
      <c r="T4839">
        <v>0</v>
      </c>
      <c r="U4839">
        <v>0</v>
      </c>
      <c r="V4839">
        <v>0</v>
      </c>
      <c r="W4839">
        <v>0</v>
      </c>
      <c r="X4839">
        <v>0</v>
      </c>
      <c r="Y4839" t="s">
        <v>31</v>
      </c>
      <c r="Z4839">
        <v>55</v>
      </c>
      <c r="AA4839" s="2" t="s">
        <v>3244</v>
      </c>
    </row>
    <row r="4840" spans="1:27" x14ac:dyDescent="0.2">
      <c r="A4840" t="s">
        <v>649</v>
      </c>
      <c r="B4840">
        <v>2024</v>
      </c>
      <c r="C4840">
        <v>3148041001</v>
      </c>
      <c r="D4840" t="s">
        <v>5944</v>
      </c>
      <c r="E4840" t="s">
        <v>29</v>
      </c>
      <c r="F4840" t="s">
        <v>30</v>
      </c>
      <c r="G4840">
        <v>0</v>
      </c>
      <c r="H4840">
        <v>0</v>
      </c>
      <c r="I4840">
        <v>0</v>
      </c>
      <c r="J4840">
        <v>0</v>
      </c>
      <c r="K4840">
        <v>0</v>
      </c>
      <c r="L4840">
        <v>0</v>
      </c>
      <c r="M4840">
        <v>0</v>
      </c>
      <c r="N4840">
        <v>0</v>
      </c>
      <c r="O4840">
        <v>0</v>
      </c>
      <c r="P4840">
        <v>0</v>
      </c>
      <c r="Q4840">
        <v>0</v>
      </c>
      <c r="R4840">
        <v>0</v>
      </c>
      <c r="S4840">
        <v>0</v>
      </c>
      <c r="T4840">
        <v>0</v>
      </c>
      <c r="U4840">
        <v>24</v>
      </c>
      <c r="V4840">
        <v>0</v>
      </c>
      <c r="W4840">
        <v>0</v>
      </c>
      <c r="X4840">
        <v>0</v>
      </c>
      <c r="Y4840" t="s">
        <v>31</v>
      </c>
      <c r="Z4840">
        <v>55</v>
      </c>
      <c r="AA4840">
        <v>0</v>
      </c>
    </row>
    <row r="4841" spans="1:27" x14ac:dyDescent="0.2">
      <c r="A4841" t="s">
        <v>547</v>
      </c>
      <c r="B4841">
        <v>2024</v>
      </c>
      <c r="C4841">
        <v>5019006004</v>
      </c>
      <c r="D4841" t="s">
        <v>5945</v>
      </c>
      <c r="E4841" t="s">
        <v>29</v>
      </c>
      <c r="F4841" t="s">
        <v>30</v>
      </c>
      <c r="G4841">
        <v>3</v>
      </c>
      <c r="H4841">
        <v>0</v>
      </c>
      <c r="I4841">
        <v>67</v>
      </c>
      <c r="J4841">
        <v>0</v>
      </c>
      <c r="K4841">
        <v>17</v>
      </c>
      <c r="L4841">
        <v>0</v>
      </c>
      <c r="M4841">
        <v>0</v>
      </c>
      <c r="N4841">
        <v>0</v>
      </c>
      <c r="O4841">
        <v>0</v>
      </c>
      <c r="P4841">
        <v>0</v>
      </c>
      <c r="Q4841">
        <v>0</v>
      </c>
      <c r="R4841">
        <v>0</v>
      </c>
      <c r="S4841">
        <v>0</v>
      </c>
      <c r="T4841">
        <v>0</v>
      </c>
      <c r="U4841">
        <v>0</v>
      </c>
      <c r="V4841">
        <v>0</v>
      </c>
      <c r="W4841">
        <v>0</v>
      </c>
      <c r="X4841">
        <v>0</v>
      </c>
      <c r="Y4841" t="s">
        <v>31</v>
      </c>
      <c r="Z4841">
        <v>55</v>
      </c>
      <c r="AA4841">
        <v>268</v>
      </c>
    </row>
    <row r="4842" spans="1:27" x14ac:dyDescent="0.2">
      <c r="A4842" t="s">
        <v>514</v>
      </c>
      <c r="B4842">
        <v>2023</v>
      </c>
      <c r="C4842">
        <v>21300600250000</v>
      </c>
      <c r="D4842" t="s">
        <v>5946</v>
      </c>
      <c r="E4842" t="s">
        <v>29</v>
      </c>
      <c r="F4842" t="s">
        <v>30</v>
      </c>
      <c r="G4842">
        <v>0</v>
      </c>
      <c r="H4842">
        <v>0</v>
      </c>
      <c r="I4842">
        <v>0</v>
      </c>
      <c r="J4842">
        <v>0</v>
      </c>
      <c r="K4842">
        <v>0</v>
      </c>
      <c r="L4842">
        <v>0</v>
      </c>
      <c r="M4842">
        <v>3</v>
      </c>
      <c r="N4842">
        <v>0</v>
      </c>
      <c r="O4842">
        <v>7</v>
      </c>
      <c r="P4842">
        <v>0</v>
      </c>
      <c r="Q4842">
        <v>0</v>
      </c>
      <c r="R4842">
        <v>10</v>
      </c>
      <c r="S4842">
        <v>0</v>
      </c>
      <c r="T4842">
        <v>0</v>
      </c>
      <c r="U4842">
        <v>0</v>
      </c>
      <c r="V4842">
        <v>0</v>
      </c>
      <c r="W4842">
        <v>0</v>
      </c>
      <c r="X4842">
        <v>0</v>
      </c>
      <c r="Y4842" t="s">
        <v>51</v>
      </c>
      <c r="AA4842">
        <v>0</v>
      </c>
    </row>
    <row r="4843" spans="1:27" x14ac:dyDescent="0.2">
      <c r="A4843" t="s">
        <v>547</v>
      </c>
      <c r="B4843">
        <v>2024</v>
      </c>
      <c r="C4843">
        <v>5046015022</v>
      </c>
      <c r="D4843" t="s">
        <v>5947</v>
      </c>
      <c r="E4843" t="s">
        <v>29</v>
      </c>
      <c r="F4843" t="s">
        <v>30</v>
      </c>
      <c r="G4843">
        <v>1</v>
      </c>
      <c r="H4843">
        <v>0</v>
      </c>
      <c r="I4843">
        <v>41</v>
      </c>
      <c r="J4843">
        <v>0</v>
      </c>
      <c r="K4843">
        <v>11</v>
      </c>
      <c r="L4843">
        <v>0</v>
      </c>
      <c r="M4843">
        <v>0</v>
      </c>
      <c r="N4843">
        <v>0</v>
      </c>
      <c r="O4843">
        <v>0</v>
      </c>
      <c r="P4843">
        <v>0</v>
      </c>
      <c r="Q4843">
        <v>0</v>
      </c>
      <c r="R4843">
        <v>0</v>
      </c>
      <c r="S4843">
        <v>0</v>
      </c>
      <c r="T4843">
        <v>0</v>
      </c>
      <c r="U4843">
        <v>0</v>
      </c>
      <c r="V4843">
        <v>0</v>
      </c>
      <c r="W4843">
        <v>0</v>
      </c>
      <c r="X4843">
        <v>0</v>
      </c>
      <c r="Y4843" t="s">
        <v>31</v>
      </c>
      <c r="Z4843">
        <v>55</v>
      </c>
      <c r="AA4843">
        <v>500</v>
      </c>
    </row>
    <row r="4844" spans="1:27" x14ac:dyDescent="0.2">
      <c r="A4844" t="s">
        <v>547</v>
      </c>
      <c r="B4844">
        <v>2024</v>
      </c>
      <c r="C4844">
        <v>5056007025</v>
      </c>
      <c r="D4844" t="s">
        <v>5948</v>
      </c>
      <c r="E4844" t="s">
        <v>29</v>
      </c>
      <c r="F4844" t="s">
        <v>30</v>
      </c>
      <c r="G4844">
        <v>2</v>
      </c>
      <c r="H4844">
        <v>0</v>
      </c>
      <c r="I4844">
        <v>19</v>
      </c>
      <c r="J4844">
        <v>0</v>
      </c>
      <c r="K4844">
        <v>5</v>
      </c>
      <c r="L4844">
        <v>0</v>
      </c>
      <c r="M4844">
        <v>0</v>
      </c>
      <c r="N4844">
        <v>0</v>
      </c>
      <c r="O4844">
        <v>0</v>
      </c>
      <c r="P4844">
        <v>0</v>
      </c>
      <c r="Q4844">
        <v>0</v>
      </c>
      <c r="R4844">
        <v>0</v>
      </c>
      <c r="S4844">
        <v>0</v>
      </c>
      <c r="T4844">
        <v>0</v>
      </c>
      <c r="U4844">
        <v>0</v>
      </c>
      <c r="V4844">
        <v>0</v>
      </c>
      <c r="W4844">
        <v>0</v>
      </c>
      <c r="X4844">
        <v>0</v>
      </c>
      <c r="Y4844" t="s">
        <v>31</v>
      </c>
      <c r="Z4844">
        <v>55</v>
      </c>
      <c r="AA4844">
        <v>440</v>
      </c>
    </row>
    <row r="4845" spans="1:27" x14ac:dyDescent="0.2">
      <c r="A4845" t="s">
        <v>3097</v>
      </c>
      <c r="B4845">
        <v>2024</v>
      </c>
      <c r="C4845" t="s">
        <v>5949</v>
      </c>
      <c r="D4845" t="s">
        <v>5161</v>
      </c>
      <c r="E4845" t="s">
        <v>29</v>
      </c>
      <c r="F4845" t="s">
        <v>30</v>
      </c>
      <c r="G4845">
        <v>0</v>
      </c>
      <c r="H4845">
        <v>0</v>
      </c>
      <c r="I4845">
        <v>0</v>
      </c>
      <c r="J4845">
        <v>0</v>
      </c>
      <c r="K4845">
        <v>0</v>
      </c>
      <c r="L4845">
        <v>0</v>
      </c>
      <c r="M4845">
        <v>54</v>
      </c>
      <c r="N4845">
        <v>0</v>
      </c>
      <c r="O4845">
        <v>20</v>
      </c>
      <c r="P4845">
        <v>0</v>
      </c>
      <c r="Q4845">
        <v>0</v>
      </c>
      <c r="R4845">
        <v>0</v>
      </c>
      <c r="S4845">
        <v>0</v>
      </c>
      <c r="T4845">
        <v>0</v>
      </c>
      <c r="U4845">
        <v>0</v>
      </c>
      <c r="V4845">
        <v>0</v>
      </c>
      <c r="W4845">
        <v>0</v>
      </c>
      <c r="X4845">
        <v>0</v>
      </c>
      <c r="Y4845" t="s">
        <v>31</v>
      </c>
      <c r="AA4845" s="2" t="s">
        <v>2716</v>
      </c>
    </row>
    <row r="4846" spans="1:27" x14ac:dyDescent="0.2">
      <c r="A4846" t="s">
        <v>928</v>
      </c>
      <c r="B4846">
        <v>2024</v>
      </c>
      <c r="C4846" t="s">
        <v>4968</v>
      </c>
      <c r="D4846" t="s">
        <v>4969</v>
      </c>
      <c r="E4846" t="s">
        <v>29</v>
      </c>
      <c r="F4846" t="s">
        <v>41</v>
      </c>
      <c r="G4846">
        <v>0</v>
      </c>
      <c r="H4846">
        <v>0</v>
      </c>
      <c r="I4846">
        <v>0</v>
      </c>
      <c r="J4846">
        <v>0</v>
      </c>
      <c r="K4846">
        <v>0</v>
      </c>
      <c r="L4846">
        <v>0</v>
      </c>
      <c r="M4846">
        <v>0</v>
      </c>
      <c r="N4846">
        <v>0</v>
      </c>
      <c r="O4846">
        <v>0</v>
      </c>
      <c r="P4846">
        <v>0</v>
      </c>
      <c r="Q4846">
        <v>0</v>
      </c>
      <c r="R4846">
        <v>0</v>
      </c>
      <c r="S4846">
        <v>1</v>
      </c>
      <c r="T4846">
        <v>0</v>
      </c>
      <c r="U4846">
        <v>0</v>
      </c>
      <c r="V4846">
        <v>0</v>
      </c>
      <c r="W4846">
        <v>0</v>
      </c>
      <c r="X4846">
        <v>0</v>
      </c>
      <c r="Y4846" t="s">
        <v>51</v>
      </c>
      <c r="Z4846">
        <v>55</v>
      </c>
      <c r="AA4846">
        <v>0</v>
      </c>
    </row>
    <row r="4847" spans="1:27" x14ac:dyDescent="0.2">
      <c r="A4847" t="s">
        <v>928</v>
      </c>
      <c r="B4847">
        <v>2024</v>
      </c>
      <c r="C4847" t="s">
        <v>5950</v>
      </c>
      <c r="D4847" t="s">
        <v>5951</v>
      </c>
      <c r="E4847" t="s">
        <v>29</v>
      </c>
      <c r="F4847" t="s">
        <v>30</v>
      </c>
      <c r="G4847">
        <v>35</v>
      </c>
      <c r="H4847">
        <v>0</v>
      </c>
      <c r="I4847">
        <v>34</v>
      </c>
      <c r="J4847">
        <v>0</v>
      </c>
      <c r="K4847">
        <v>0</v>
      </c>
      <c r="L4847">
        <v>0</v>
      </c>
      <c r="M4847">
        <v>0</v>
      </c>
      <c r="N4847">
        <v>0</v>
      </c>
      <c r="O4847">
        <v>0</v>
      </c>
      <c r="P4847">
        <v>0</v>
      </c>
      <c r="Q4847">
        <v>0</v>
      </c>
      <c r="R4847">
        <v>0</v>
      </c>
      <c r="S4847">
        <v>0</v>
      </c>
      <c r="T4847">
        <v>0</v>
      </c>
      <c r="U4847">
        <v>0</v>
      </c>
      <c r="V4847">
        <v>0</v>
      </c>
      <c r="W4847">
        <v>0</v>
      </c>
      <c r="X4847">
        <v>0</v>
      </c>
      <c r="Y4847" t="s">
        <v>51</v>
      </c>
      <c r="Z4847">
        <v>55</v>
      </c>
      <c r="AA4847">
        <v>0</v>
      </c>
    </row>
    <row r="4848" spans="1:27" x14ac:dyDescent="0.2">
      <c r="A4848" t="s">
        <v>928</v>
      </c>
      <c r="B4848">
        <v>2024</v>
      </c>
      <c r="C4848" t="s">
        <v>5952</v>
      </c>
      <c r="D4848" t="s">
        <v>5953</v>
      </c>
      <c r="E4848" t="s">
        <v>29</v>
      </c>
      <c r="F4848" t="s">
        <v>41</v>
      </c>
      <c r="G4848">
        <v>0</v>
      </c>
      <c r="H4848">
        <v>0</v>
      </c>
      <c r="I4848">
        <v>0</v>
      </c>
      <c r="J4848">
        <v>0</v>
      </c>
      <c r="K4848">
        <v>0</v>
      </c>
      <c r="L4848">
        <v>0</v>
      </c>
      <c r="M4848">
        <v>1</v>
      </c>
      <c r="N4848">
        <v>0</v>
      </c>
      <c r="O4848">
        <v>0</v>
      </c>
      <c r="P4848">
        <v>0</v>
      </c>
      <c r="Q4848">
        <v>0</v>
      </c>
      <c r="R4848">
        <v>0</v>
      </c>
      <c r="S4848">
        <v>0</v>
      </c>
      <c r="T4848">
        <v>0</v>
      </c>
      <c r="U4848">
        <v>0</v>
      </c>
      <c r="V4848">
        <v>0</v>
      </c>
      <c r="W4848">
        <v>0</v>
      </c>
      <c r="X4848">
        <v>0</v>
      </c>
      <c r="Y4848" t="s">
        <v>51</v>
      </c>
      <c r="Z4848">
        <v>55</v>
      </c>
      <c r="AA4848">
        <v>0</v>
      </c>
    </row>
    <row r="4849" spans="1:27" x14ac:dyDescent="0.2">
      <c r="A4849" t="s">
        <v>547</v>
      </c>
      <c r="B4849">
        <v>2024</v>
      </c>
      <c r="C4849">
        <v>5081010010</v>
      </c>
      <c r="D4849" t="s">
        <v>5954</v>
      </c>
      <c r="E4849" t="s">
        <v>29</v>
      </c>
      <c r="F4849" t="s">
        <v>30</v>
      </c>
      <c r="G4849">
        <v>0</v>
      </c>
      <c r="H4849">
        <v>0</v>
      </c>
      <c r="I4849">
        <v>73</v>
      </c>
      <c r="J4849">
        <v>0</v>
      </c>
      <c r="K4849">
        <v>21</v>
      </c>
      <c r="L4849">
        <v>0</v>
      </c>
      <c r="M4849">
        <v>0</v>
      </c>
      <c r="N4849">
        <v>0</v>
      </c>
      <c r="O4849">
        <v>0</v>
      </c>
      <c r="P4849">
        <v>0</v>
      </c>
      <c r="Q4849">
        <v>0</v>
      </c>
      <c r="R4849">
        <v>0</v>
      </c>
      <c r="S4849">
        <v>0</v>
      </c>
      <c r="T4849">
        <v>0</v>
      </c>
      <c r="U4849">
        <v>0</v>
      </c>
      <c r="V4849">
        <v>0</v>
      </c>
      <c r="W4849">
        <v>0</v>
      </c>
      <c r="X4849">
        <v>0</v>
      </c>
      <c r="Y4849" t="s">
        <v>31</v>
      </c>
      <c r="Z4849">
        <v>55</v>
      </c>
      <c r="AA4849">
        <v>325</v>
      </c>
    </row>
    <row r="4850" spans="1:27" x14ac:dyDescent="0.2">
      <c r="A4850" t="s">
        <v>547</v>
      </c>
      <c r="B4850">
        <v>2024</v>
      </c>
      <c r="C4850">
        <v>5090033019</v>
      </c>
      <c r="D4850" t="s">
        <v>5955</v>
      </c>
      <c r="E4850" t="s">
        <v>29</v>
      </c>
      <c r="F4850" t="s">
        <v>30</v>
      </c>
      <c r="G4850">
        <v>0</v>
      </c>
      <c r="H4850">
        <v>0</v>
      </c>
      <c r="I4850">
        <v>51</v>
      </c>
      <c r="J4850">
        <v>0</v>
      </c>
      <c r="K4850">
        <v>12</v>
      </c>
      <c r="L4850">
        <v>0</v>
      </c>
      <c r="M4850">
        <v>0</v>
      </c>
      <c r="N4850">
        <v>0</v>
      </c>
      <c r="O4850">
        <v>0</v>
      </c>
      <c r="P4850">
        <v>0</v>
      </c>
      <c r="Q4850">
        <v>0</v>
      </c>
      <c r="R4850">
        <v>0</v>
      </c>
      <c r="S4850">
        <v>0</v>
      </c>
      <c r="T4850">
        <v>0</v>
      </c>
      <c r="U4850">
        <v>0</v>
      </c>
      <c r="V4850">
        <v>0</v>
      </c>
      <c r="W4850">
        <v>0</v>
      </c>
      <c r="X4850">
        <v>0</v>
      </c>
      <c r="Y4850" t="s">
        <v>31</v>
      </c>
      <c r="Z4850">
        <v>55</v>
      </c>
      <c r="AA4850">
        <v>540</v>
      </c>
    </row>
    <row r="4851" spans="1:27" x14ac:dyDescent="0.2">
      <c r="A4851" t="s">
        <v>547</v>
      </c>
      <c r="B4851">
        <v>2024</v>
      </c>
      <c r="C4851">
        <v>5136019023</v>
      </c>
      <c r="D4851" t="s">
        <v>5956</v>
      </c>
      <c r="E4851" t="s">
        <v>29</v>
      </c>
      <c r="F4851" t="s">
        <v>30</v>
      </c>
      <c r="G4851">
        <v>0</v>
      </c>
      <c r="H4851">
        <v>0</v>
      </c>
      <c r="I4851">
        <v>46</v>
      </c>
      <c r="J4851">
        <v>0</v>
      </c>
      <c r="K4851">
        <v>12</v>
      </c>
      <c r="L4851">
        <v>0</v>
      </c>
      <c r="M4851">
        <v>0</v>
      </c>
      <c r="N4851">
        <v>0</v>
      </c>
      <c r="O4851">
        <v>0</v>
      </c>
      <c r="P4851">
        <v>0</v>
      </c>
      <c r="Q4851">
        <v>0</v>
      </c>
      <c r="R4851">
        <v>0</v>
      </c>
      <c r="S4851">
        <v>0</v>
      </c>
      <c r="T4851">
        <v>0</v>
      </c>
      <c r="U4851">
        <v>0</v>
      </c>
      <c r="V4851">
        <v>0</v>
      </c>
      <c r="W4851">
        <v>0</v>
      </c>
      <c r="X4851">
        <v>0</v>
      </c>
      <c r="Y4851" t="s">
        <v>31</v>
      </c>
      <c r="Z4851">
        <v>55</v>
      </c>
      <c r="AA4851">
        <v>146</v>
      </c>
    </row>
    <row r="4852" spans="1:27" x14ac:dyDescent="0.2">
      <c r="A4852" t="s">
        <v>547</v>
      </c>
      <c r="B4852">
        <v>2024</v>
      </c>
      <c r="C4852">
        <v>5154014005</v>
      </c>
      <c r="D4852" t="s">
        <v>5957</v>
      </c>
      <c r="E4852" t="s">
        <v>29</v>
      </c>
      <c r="F4852" t="s">
        <v>30</v>
      </c>
      <c r="G4852">
        <v>1</v>
      </c>
      <c r="H4852">
        <v>0</v>
      </c>
      <c r="I4852">
        <v>64</v>
      </c>
      <c r="J4852">
        <v>0</v>
      </c>
      <c r="K4852">
        <v>14</v>
      </c>
      <c r="L4852">
        <v>0</v>
      </c>
      <c r="M4852">
        <v>0</v>
      </c>
      <c r="N4852">
        <v>0</v>
      </c>
      <c r="O4852">
        <v>0</v>
      </c>
      <c r="P4852">
        <v>0</v>
      </c>
      <c r="Q4852">
        <v>0</v>
      </c>
      <c r="R4852">
        <v>0</v>
      </c>
      <c r="S4852">
        <v>0</v>
      </c>
      <c r="T4852">
        <v>0</v>
      </c>
      <c r="U4852">
        <v>0</v>
      </c>
      <c r="V4852">
        <v>0</v>
      </c>
      <c r="W4852">
        <v>0</v>
      </c>
      <c r="X4852">
        <v>0</v>
      </c>
      <c r="Y4852" t="s">
        <v>31</v>
      </c>
      <c r="Z4852">
        <v>55</v>
      </c>
      <c r="AA4852">
        <v>700</v>
      </c>
    </row>
    <row r="4853" spans="1:27" x14ac:dyDescent="0.2">
      <c r="A4853" t="s">
        <v>547</v>
      </c>
      <c r="B4853">
        <v>2024</v>
      </c>
      <c r="C4853">
        <v>5210004014</v>
      </c>
      <c r="D4853" t="s">
        <v>5958</v>
      </c>
      <c r="E4853" t="s">
        <v>29</v>
      </c>
      <c r="F4853" t="s">
        <v>30</v>
      </c>
      <c r="G4853">
        <v>2</v>
      </c>
      <c r="H4853">
        <v>0</v>
      </c>
      <c r="I4853">
        <v>177</v>
      </c>
      <c r="J4853">
        <v>0</v>
      </c>
      <c r="K4853">
        <v>46</v>
      </c>
      <c r="L4853">
        <v>0</v>
      </c>
      <c r="M4853">
        <v>0</v>
      </c>
      <c r="N4853">
        <v>0</v>
      </c>
      <c r="O4853">
        <v>0</v>
      </c>
      <c r="P4853">
        <v>0</v>
      </c>
      <c r="Q4853">
        <v>0</v>
      </c>
      <c r="R4853">
        <v>0</v>
      </c>
      <c r="S4853">
        <v>0</v>
      </c>
      <c r="T4853">
        <v>0</v>
      </c>
      <c r="U4853">
        <v>0</v>
      </c>
      <c r="V4853">
        <v>0</v>
      </c>
      <c r="W4853">
        <v>0</v>
      </c>
      <c r="X4853">
        <v>0</v>
      </c>
      <c r="Y4853" t="s">
        <v>31</v>
      </c>
      <c r="Z4853">
        <v>55</v>
      </c>
      <c r="AA4853">
        <v>1700</v>
      </c>
    </row>
    <row r="4854" spans="1:27" x14ac:dyDescent="0.2">
      <c r="A4854" t="s">
        <v>547</v>
      </c>
      <c r="B4854">
        <v>2024</v>
      </c>
      <c r="C4854">
        <v>5459027035</v>
      </c>
      <c r="D4854" t="s">
        <v>5959</v>
      </c>
      <c r="E4854" t="s">
        <v>29</v>
      </c>
      <c r="F4854" t="s">
        <v>30</v>
      </c>
      <c r="G4854">
        <v>0</v>
      </c>
      <c r="H4854">
        <v>0</v>
      </c>
      <c r="I4854">
        <v>0</v>
      </c>
      <c r="J4854">
        <v>0</v>
      </c>
      <c r="K4854">
        <v>0</v>
      </c>
      <c r="L4854">
        <v>0</v>
      </c>
      <c r="M4854">
        <v>0</v>
      </c>
      <c r="N4854">
        <v>0</v>
      </c>
      <c r="O4854">
        <v>0</v>
      </c>
      <c r="P4854">
        <v>0</v>
      </c>
      <c r="Q4854">
        <v>0</v>
      </c>
      <c r="R4854">
        <v>0</v>
      </c>
      <c r="S4854">
        <v>0</v>
      </c>
      <c r="T4854">
        <v>0</v>
      </c>
      <c r="U4854">
        <v>0</v>
      </c>
      <c r="V4854">
        <v>0</v>
      </c>
      <c r="W4854">
        <v>0</v>
      </c>
      <c r="X4854">
        <v>0</v>
      </c>
      <c r="Y4854" t="s">
        <v>31</v>
      </c>
      <c r="Z4854">
        <v>55</v>
      </c>
      <c r="AA4854">
        <v>28</v>
      </c>
    </row>
    <row r="4855" spans="1:27" x14ac:dyDescent="0.2">
      <c r="A4855" t="s">
        <v>547</v>
      </c>
      <c r="B4855">
        <v>2024</v>
      </c>
      <c r="C4855">
        <v>5474023008</v>
      </c>
      <c r="D4855" t="s">
        <v>5960</v>
      </c>
      <c r="E4855" t="s">
        <v>29</v>
      </c>
      <c r="F4855" t="s">
        <v>30</v>
      </c>
      <c r="G4855">
        <v>9</v>
      </c>
      <c r="H4855">
        <v>0</v>
      </c>
      <c r="I4855">
        <v>103</v>
      </c>
      <c r="J4855">
        <v>0</v>
      </c>
      <c r="K4855">
        <v>28</v>
      </c>
      <c r="L4855">
        <v>0</v>
      </c>
      <c r="M4855">
        <v>0</v>
      </c>
      <c r="N4855">
        <v>0</v>
      </c>
      <c r="O4855">
        <v>0</v>
      </c>
      <c r="P4855">
        <v>0</v>
      </c>
      <c r="Q4855">
        <v>0</v>
      </c>
      <c r="R4855">
        <v>0</v>
      </c>
      <c r="S4855">
        <v>0</v>
      </c>
      <c r="T4855">
        <v>0</v>
      </c>
      <c r="U4855">
        <v>0</v>
      </c>
      <c r="V4855">
        <v>0</v>
      </c>
      <c r="W4855">
        <v>0</v>
      </c>
      <c r="X4855">
        <v>0</v>
      </c>
      <c r="Y4855" t="s">
        <v>31</v>
      </c>
      <c r="Z4855">
        <v>55</v>
      </c>
      <c r="AA4855">
        <v>992</v>
      </c>
    </row>
    <row r="4856" spans="1:27" x14ac:dyDescent="0.2">
      <c r="A4856" t="s">
        <v>547</v>
      </c>
      <c r="B4856">
        <v>2024</v>
      </c>
      <c r="C4856">
        <v>6040030032</v>
      </c>
      <c r="D4856" t="s">
        <v>5961</v>
      </c>
      <c r="E4856" t="s">
        <v>29</v>
      </c>
      <c r="F4856" t="s">
        <v>30</v>
      </c>
      <c r="G4856">
        <v>0</v>
      </c>
      <c r="H4856">
        <v>0</v>
      </c>
      <c r="I4856">
        <v>40</v>
      </c>
      <c r="J4856">
        <v>0</v>
      </c>
      <c r="K4856">
        <v>0</v>
      </c>
      <c r="L4856">
        <v>0</v>
      </c>
      <c r="M4856">
        <v>0</v>
      </c>
      <c r="N4856">
        <v>0</v>
      </c>
      <c r="O4856">
        <v>0</v>
      </c>
      <c r="P4856">
        <v>0</v>
      </c>
      <c r="Q4856">
        <v>0</v>
      </c>
      <c r="R4856">
        <v>0</v>
      </c>
      <c r="S4856">
        <v>0</v>
      </c>
      <c r="T4856">
        <v>0</v>
      </c>
      <c r="U4856">
        <v>0</v>
      </c>
      <c r="V4856">
        <v>0</v>
      </c>
      <c r="W4856">
        <v>0</v>
      </c>
      <c r="X4856">
        <v>0</v>
      </c>
      <c r="Y4856" t="s">
        <v>31</v>
      </c>
      <c r="Z4856">
        <v>55</v>
      </c>
      <c r="AA4856">
        <v>32</v>
      </c>
    </row>
    <row r="4857" spans="1:27" x14ac:dyDescent="0.2">
      <c r="A4857" t="s">
        <v>547</v>
      </c>
      <c r="B4857">
        <v>2024</v>
      </c>
      <c r="C4857">
        <v>4265008042</v>
      </c>
      <c r="D4857" t="s">
        <v>4565</v>
      </c>
      <c r="E4857" t="s">
        <v>29</v>
      </c>
      <c r="F4857" t="s">
        <v>30</v>
      </c>
      <c r="G4857">
        <v>0</v>
      </c>
      <c r="H4857">
        <v>0</v>
      </c>
      <c r="I4857">
        <v>0</v>
      </c>
      <c r="J4857">
        <v>0</v>
      </c>
      <c r="K4857">
        <v>0</v>
      </c>
      <c r="L4857">
        <v>0</v>
      </c>
      <c r="M4857">
        <v>1</v>
      </c>
      <c r="N4857">
        <v>0</v>
      </c>
      <c r="O4857">
        <v>0</v>
      </c>
      <c r="P4857">
        <v>0</v>
      </c>
      <c r="Q4857">
        <v>0</v>
      </c>
      <c r="R4857">
        <v>0</v>
      </c>
      <c r="S4857">
        <v>1</v>
      </c>
      <c r="T4857">
        <v>0</v>
      </c>
      <c r="U4857">
        <v>0</v>
      </c>
      <c r="V4857">
        <v>0</v>
      </c>
      <c r="W4857">
        <v>0</v>
      </c>
      <c r="X4857">
        <v>0</v>
      </c>
      <c r="Y4857" t="s">
        <v>31</v>
      </c>
      <c r="Z4857">
        <v>55</v>
      </c>
      <c r="AA4857">
        <v>30</v>
      </c>
    </row>
    <row r="4858" spans="1:27" ht="119" x14ac:dyDescent="0.2">
      <c r="A4858" t="s">
        <v>32</v>
      </c>
      <c r="B4858">
        <v>2024</v>
      </c>
      <c r="C4858" t="s">
        <v>35</v>
      </c>
      <c r="D4858" s="1" t="s">
        <v>5962</v>
      </c>
      <c r="E4858" t="s">
        <v>29</v>
      </c>
      <c r="F4858" t="s">
        <v>30</v>
      </c>
      <c r="G4858">
        <v>0</v>
      </c>
      <c r="H4858">
        <v>0</v>
      </c>
      <c r="I4858">
        <v>0</v>
      </c>
      <c r="J4858">
        <v>0</v>
      </c>
      <c r="K4858">
        <v>0</v>
      </c>
      <c r="L4858">
        <v>0</v>
      </c>
      <c r="M4858">
        <v>0</v>
      </c>
      <c r="N4858">
        <v>0</v>
      </c>
      <c r="O4858">
        <v>0</v>
      </c>
      <c r="P4858">
        <v>0</v>
      </c>
      <c r="Q4858">
        <v>0</v>
      </c>
      <c r="R4858">
        <v>0</v>
      </c>
      <c r="S4858">
        <v>0</v>
      </c>
      <c r="T4858">
        <v>0</v>
      </c>
      <c r="U4858">
        <v>24</v>
      </c>
      <c r="V4858">
        <v>0</v>
      </c>
      <c r="W4858">
        <v>0</v>
      </c>
      <c r="X4858">
        <v>0</v>
      </c>
      <c r="Y4858" t="s">
        <v>31</v>
      </c>
      <c r="Z4858">
        <v>55</v>
      </c>
      <c r="AA4858" s="2" t="s">
        <v>3600</v>
      </c>
    </row>
    <row r="4859" spans="1:27" x14ac:dyDescent="0.2">
      <c r="A4859" t="s">
        <v>547</v>
      </c>
      <c r="B4859">
        <v>2024</v>
      </c>
      <c r="C4859">
        <v>5056026033</v>
      </c>
      <c r="D4859" t="s">
        <v>1014</v>
      </c>
      <c r="E4859" t="s">
        <v>29</v>
      </c>
      <c r="F4859" t="s">
        <v>30</v>
      </c>
      <c r="G4859">
        <v>0</v>
      </c>
      <c r="H4859">
        <v>0</v>
      </c>
      <c r="I4859">
        <v>0</v>
      </c>
      <c r="J4859">
        <v>0</v>
      </c>
      <c r="K4859">
        <v>0</v>
      </c>
      <c r="L4859">
        <v>0</v>
      </c>
      <c r="M4859">
        <v>4</v>
      </c>
      <c r="N4859">
        <v>0</v>
      </c>
      <c r="O4859">
        <v>0</v>
      </c>
      <c r="P4859">
        <v>0</v>
      </c>
      <c r="Q4859">
        <v>0</v>
      </c>
      <c r="R4859">
        <v>0</v>
      </c>
      <c r="S4859">
        <v>4</v>
      </c>
      <c r="T4859">
        <v>0</v>
      </c>
      <c r="U4859">
        <v>0</v>
      </c>
      <c r="V4859">
        <v>0</v>
      </c>
      <c r="W4859">
        <v>0</v>
      </c>
      <c r="X4859">
        <v>0</v>
      </c>
      <c r="Y4859" t="s">
        <v>31</v>
      </c>
      <c r="Z4859">
        <v>55</v>
      </c>
      <c r="AA4859">
        <v>35</v>
      </c>
    </row>
    <row r="4860" spans="1:27" x14ac:dyDescent="0.2">
      <c r="A4860" t="s">
        <v>75</v>
      </c>
      <c r="B4860">
        <v>2024</v>
      </c>
      <c r="C4860">
        <v>4256800900</v>
      </c>
      <c r="D4860" t="s">
        <v>5963</v>
      </c>
      <c r="E4860" t="s">
        <v>29</v>
      </c>
      <c r="F4860" t="s">
        <v>30</v>
      </c>
      <c r="G4860">
        <v>0</v>
      </c>
      <c r="H4860">
        <v>0</v>
      </c>
      <c r="I4860">
        <v>23</v>
      </c>
      <c r="J4860">
        <v>0</v>
      </c>
      <c r="K4860">
        <v>0</v>
      </c>
      <c r="L4860">
        <v>0</v>
      </c>
      <c r="M4860">
        <v>0</v>
      </c>
      <c r="N4860">
        <v>0</v>
      </c>
      <c r="O4860">
        <v>0</v>
      </c>
      <c r="P4860">
        <v>0</v>
      </c>
      <c r="Q4860">
        <v>0</v>
      </c>
      <c r="R4860">
        <v>0</v>
      </c>
      <c r="S4860">
        <v>0</v>
      </c>
      <c r="T4860">
        <v>0</v>
      </c>
      <c r="U4860">
        <v>0</v>
      </c>
      <c r="V4860">
        <v>0</v>
      </c>
      <c r="W4860">
        <v>0</v>
      </c>
      <c r="X4860">
        <v>0</v>
      </c>
      <c r="Y4860" t="s">
        <v>51</v>
      </c>
      <c r="AA4860">
        <v>0</v>
      </c>
    </row>
    <row r="4861" spans="1:27" x14ac:dyDescent="0.2">
      <c r="A4861" t="s">
        <v>75</v>
      </c>
      <c r="B4861">
        <v>2024</v>
      </c>
      <c r="C4861">
        <v>4454320900</v>
      </c>
      <c r="D4861" t="s">
        <v>5964</v>
      </c>
      <c r="E4861" t="s">
        <v>29</v>
      </c>
      <c r="F4861" t="s">
        <v>30</v>
      </c>
      <c r="G4861">
        <v>0</v>
      </c>
      <c r="H4861">
        <v>0</v>
      </c>
      <c r="I4861">
        <v>0</v>
      </c>
      <c r="J4861">
        <v>0</v>
      </c>
      <c r="K4861">
        <v>0</v>
      </c>
      <c r="L4861">
        <v>0</v>
      </c>
      <c r="M4861">
        <v>0</v>
      </c>
      <c r="N4861">
        <v>0</v>
      </c>
      <c r="O4861">
        <v>0</v>
      </c>
      <c r="P4861">
        <v>0</v>
      </c>
      <c r="Q4861">
        <v>0</v>
      </c>
      <c r="R4861">
        <v>0</v>
      </c>
      <c r="S4861">
        <v>1</v>
      </c>
      <c r="T4861">
        <v>0</v>
      </c>
      <c r="U4861">
        <v>0</v>
      </c>
      <c r="V4861">
        <v>0</v>
      </c>
      <c r="W4861">
        <v>0</v>
      </c>
      <c r="X4861">
        <v>0</v>
      </c>
      <c r="Y4861" t="s">
        <v>31</v>
      </c>
      <c r="Z4861">
        <v>55</v>
      </c>
      <c r="AA4861">
        <v>1</v>
      </c>
    </row>
    <row r="4862" spans="1:27" x14ac:dyDescent="0.2">
      <c r="A4862" t="s">
        <v>75</v>
      </c>
      <c r="B4862">
        <v>2024</v>
      </c>
      <c r="C4862">
        <v>3130600700</v>
      </c>
      <c r="D4862" t="s">
        <v>485</v>
      </c>
      <c r="E4862" t="s">
        <v>29</v>
      </c>
      <c r="F4862" t="s">
        <v>30</v>
      </c>
      <c r="G4862">
        <v>0</v>
      </c>
      <c r="H4862">
        <v>0</v>
      </c>
      <c r="I4862">
        <v>0</v>
      </c>
      <c r="J4862">
        <v>0</v>
      </c>
      <c r="K4862">
        <v>0</v>
      </c>
      <c r="L4862">
        <v>0</v>
      </c>
      <c r="M4862">
        <v>0</v>
      </c>
      <c r="N4862">
        <v>0</v>
      </c>
      <c r="O4862">
        <v>0</v>
      </c>
      <c r="P4862">
        <v>0</v>
      </c>
      <c r="Q4862">
        <v>0</v>
      </c>
      <c r="R4862">
        <v>0</v>
      </c>
      <c r="S4862">
        <v>4</v>
      </c>
      <c r="T4862">
        <v>0</v>
      </c>
      <c r="U4862">
        <v>0</v>
      </c>
      <c r="V4862">
        <v>0</v>
      </c>
      <c r="W4862">
        <v>0</v>
      </c>
      <c r="X4862">
        <v>0</v>
      </c>
      <c r="Y4862" t="s">
        <v>51</v>
      </c>
      <c r="AA4862">
        <v>0</v>
      </c>
    </row>
    <row r="4863" spans="1:27" x14ac:dyDescent="0.2">
      <c r="A4863" t="s">
        <v>75</v>
      </c>
      <c r="B4863">
        <v>2024</v>
      </c>
      <c r="C4863">
        <v>3130601000</v>
      </c>
      <c r="D4863" t="s">
        <v>448</v>
      </c>
      <c r="E4863" t="s">
        <v>29</v>
      </c>
      <c r="F4863" t="s">
        <v>30</v>
      </c>
      <c r="G4863">
        <v>0</v>
      </c>
      <c r="H4863">
        <v>0</v>
      </c>
      <c r="I4863">
        <v>0</v>
      </c>
      <c r="J4863">
        <v>0</v>
      </c>
      <c r="K4863">
        <v>0</v>
      </c>
      <c r="L4863">
        <v>0</v>
      </c>
      <c r="M4863">
        <v>0</v>
      </c>
      <c r="N4863">
        <v>0</v>
      </c>
      <c r="O4863">
        <v>0</v>
      </c>
      <c r="P4863">
        <v>0</v>
      </c>
      <c r="Q4863">
        <v>0</v>
      </c>
      <c r="R4863">
        <v>0</v>
      </c>
      <c r="S4863">
        <v>1</v>
      </c>
      <c r="T4863">
        <v>0</v>
      </c>
      <c r="U4863">
        <v>0</v>
      </c>
      <c r="V4863">
        <v>0</v>
      </c>
      <c r="W4863">
        <v>0</v>
      </c>
      <c r="X4863">
        <v>0</v>
      </c>
      <c r="Y4863" t="s">
        <v>51</v>
      </c>
      <c r="AA4863">
        <v>0</v>
      </c>
    </row>
    <row r="4864" spans="1:27" x14ac:dyDescent="0.2">
      <c r="A4864" t="s">
        <v>75</v>
      </c>
      <c r="B4864">
        <v>2024</v>
      </c>
      <c r="C4864">
        <v>4523612400</v>
      </c>
      <c r="D4864" t="s">
        <v>365</v>
      </c>
      <c r="E4864" t="s">
        <v>29</v>
      </c>
      <c r="F4864" t="s">
        <v>30</v>
      </c>
      <c r="G4864">
        <v>0</v>
      </c>
      <c r="H4864">
        <v>0</v>
      </c>
      <c r="I4864">
        <v>0</v>
      </c>
      <c r="J4864">
        <v>0</v>
      </c>
      <c r="K4864">
        <v>0</v>
      </c>
      <c r="L4864">
        <v>0</v>
      </c>
      <c r="M4864">
        <v>0</v>
      </c>
      <c r="N4864">
        <v>0</v>
      </c>
      <c r="O4864">
        <v>0</v>
      </c>
      <c r="P4864">
        <v>0</v>
      </c>
      <c r="Q4864">
        <v>0</v>
      </c>
      <c r="R4864">
        <v>0</v>
      </c>
      <c r="S4864">
        <v>2</v>
      </c>
      <c r="T4864">
        <v>0</v>
      </c>
      <c r="U4864">
        <v>0</v>
      </c>
      <c r="V4864">
        <v>0</v>
      </c>
      <c r="W4864">
        <v>0</v>
      </c>
      <c r="X4864">
        <v>0</v>
      </c>
      <c r="Y4864" t="s">
        <v>31</v>
      </c>
      <c r="Z4864">
        <v>55</v>
      </c>
      <c r="AA4864">
        <v>0.25</v>
      </c>
    </row>
    <row r="4865" spans="1:27" x14ac:dyDescent="0.2">
      <c r="A4865" t="s">
        <v>75</v>
      </c>
      <c r="B4865">
        <v>2024</v>
      </c>
      <c r="C4865">
        <v>4714610500</v>
      </c>
      <c r="D4865" t="s">
        <v>5965</v>
      </c>
      <c r="E4865" t="s">
        <v>29</v>
      </c>
      <c r="F4865" t="s">
        <v>30</v>
      </c>
      <c r="G4865">
        <v>0</v>
      </c>
      <c r="H4865">
        <v>0</v>
      </c>
      <c r="I4865">
        <v>0</v>
      </c>
      <c r="J4865">
        <v>0</v>
      </c>
      <c r="K4865">
        <v>0</v>
      </c>
      <c r="L4865">
        <v>0</v>
      </c>
      <c r="M4865">
        <v>0</v>
      </c>
      <c r="N4865">
        <v>0</v>
      </c>
      <c r="O4865">
        <v>0</v>
      </c>
      <c r="P4865">
        <v>0</v>
      </c>
      <c r="Q4865">
        <v>0</v>
      </c>
      <c r="R4865">
        <v>0</v>
      </c>
      <c r="S4865">
        <v>0</v>
      </c>
      <c r="T4865">
        <v>0</v>
      </c>
      <c r="U4865">
        <v>74</v>
      </c>
      <c r="V4865">
        <v>0</v>
      </c>
      <c r="W4865">
        <v>0</v>
      </c>
      <c r="X4865">
        <v>0</v>
      </c>
      <c r="Y4865" t="s">
        <v>31</v>
      </c>
      <c r="Z4865">
        <v>55</v>
      </c>
      <c r="AA4865">
        <v>1.03</v>
      </c>
    </row>
    <row r="4866" spans="1:27" x14ac:dyDescent="0.2">
      <c r="A4866" t="s">
        <v>75</v>
      </c>
      <c r="B4866">
        <v>2024</v>
      </c>
      <c r="C4866">
        <v>6461005400</v>
      </c>
      <c r="D4866" t="s">
        <v>5966</v>
      </c>
      <c r="E4866" t="s">
        <v>29</v>
      </c>
      <c r="F4866" t="s">
        <v>30</v>
      </c>
      <c r="G4866">
        <v>0</v>
      </c>
      <c r="H4866">
        <v>0</v>
      </c>
      <c r="I4866">
        <v>0</v>
      </c>
      <c r="J4866">
        <v>0</v>
      </c>
      <c r="K4866">
        <v>0</v>
      </c>
      <c r="L4866">
        <v>0</v>
      </c>
      <c r="M4866">
        <v>0</v>
      </c>
      <c r="N4866">
        <v>0</v>
      </c>
      <c r="O4866">
        <v>0</v>
      </c>
      <c r="P4866">
        <v>0</v>
      </c>
      <c r="Q4866">
        <v>0</v>
      </c>
      <c r="R4866">
        <v>0</v>
      </c>
      <c r="S4866">
        <v>0</v>
      </c>
      <c r="T4866">
        <v>0</v>
      </c>
      <c r="U4866">
        <v>0</v>
      </c>
      <c r="V4866">
        <v>0</v>
      </c>
      <c r="W4866">
        <v>0</v>
      </c>
      <c r="X4866">
        <v>0</v>
      </c>
      <c r="Y4866" t="s">
        <v>51</v>
      </c>
      <c r="AA4866">
        <v>0</v>
      </c>
    </row>
    <row r="4867" spans="1:27" x14ac:dyDescent="0.2">
      <c r="A4867" t="s">
        <v>75</v>
      </c>
      <c r="B4867">
        <v>2024</v>
      </c>
      <c r="C4867">
        <v>4251000500</v>
      </c>
      <c r="D4867" t="s">
        <v>5967</v>
      </c>
      <c r="E4867" t="s">
        <v>29</v>
      </c>
      <c r="F4867" t="s">
        <v>41</v>
      </c>
      <c r="G4867">
        <v>0</v>
      </c>
      <c r="H4867">
        <v>0</v>
      </c>
      <c r="I4867">
        <v>0</v>
      </c>
      <c r="J4867">
        <v>0</v>
      </c>
      <c r="K4867">
        <v>0</v>
      </c>
      <c r="L4867">
        <v>0</v>
      </c>
      <c r="M4867">
        <v>0</v>
      </c>
      <c r="N4867">
        <v>0</v>
      </c>
      <c r="O4867">
        <v>0</v>
      </c>
      <c r="P4867">
        <v>0</v>
      </c>
      <c r="Q4867">
        <v>0</v>
      </c>
      <c r="R4867">
        <v>0</v>
      </c>
      <c r="S4867">
        <v>0</v>
      </c>
      <c r="T4867">
        <v>0</v>
      </c>
      <c r="U4867">
        <v>0</v>
      </c>
      <c r="V4867">
        <v>0</v>
      </c>
      <c r="W4867">
        <v>0</v>
      </c>
      <c r="X4867">
        <v>0</v>
      </c>
      <c r="Y4867" t="s">
        <v>51</v>
      </c>
      <c r="AA4867">
        <v>0</v>
      </c>
    </row>
    <row r="4868" spans="1:27" x14ac:dyDescent="0.2">
      <c r="A4868" t="s">
        <v>75</v>
      </c>
      <c r="B4868">
        <v>2024</v>
      </c>
      <c r="C4868">
        <v>6461005400</v>
      </c>
      <c r="D4868" t="s">
        <v>5968</v>
      </c>
      <c r="E4868" t="s">
        <v>29</v>
      </c>
      <c r="F4868" t="s">
        <v>30</v>
      </c>
      <c r="G4868">
        <v>0</v>
      </c>
      <c r="H4868">
        <v>0</v>
      </c>
      <c r="I4868">
        <v>0</v>
      </c>
      <c r="J4868">
        <v>0</v>
      </c>
      <c r="K4868">
        <v>0</v>
      </c>
      <c r="L4868">
        <v>0</v>
      </c>
      <c r="M4868">
        <v>0</v>
      </c>
      <c r="N4868">
        <v>0</v>
      </c>
      <c r="O4868">
        <v>0</v>
      </c>
      <c r="P4868">
        <v>0</v>
      </c>
      <c r="Q4868">
        <v>0</v>
      </c>
      <c r="R4868">
        <v>0</v>
      </c>
      <c r="S4868">
        <v>0</v>
      </c>
      <c r="T4868">
        <v>0</v>
      </c>
      <c r="U4868">
        <v>0</v>
      </c>
      <c r="V4868">
        <v>0</v>
      </c>
      <c r="W4868">
        <v>0</v>
      </c>
      <c r="X4868">
        <v>0</v>
      </c>
      <c r="Y4868" t="s">
        <v>51</v>
      </c>
      <c r="AA4868">
        <v>0</v>
      </c>
    </row>
    <row r="4869" spans="1:27" x14ac:dyDescent="0.2">
      <c r="A4869" t="s">
        <v>75</v>
      </c>
      <c r="B4869">
        <v>2024</v>
      </c>
      <c r="C4869">
        <v>6461002000</v>
      </c>
      <c r="D4869" t="s">
        <v>5969</v>
      </c>
      <c r="E4869" t="s">
        <v>29</v>
      </c>
      <c r="F4869" t="s">
        <v>30</v>
      </c>
      <c r="G4869">
        <v>0</v>
      </c>
      <c r="H4869">
        <v>0</v>
      </c>
      <c r="I4869">
        <v>0</v>
      </c>
      <c r="J4869">
        <v>0</v>
      </c>
      <c r="K4869">
        <v>0</v>
      </c>
      <c r="L4869">
        <v>0</v>
      </c>
      <c r="M4869">
        <v>0</v>
      </c>
      <c r="N4869">
        <v>0</v>
      </c>
      <c r="O4869">
        <v>0</v>
      </c>
      <c r="P4869">
        <v>0</v>
      </c>
      <c r="Q4869">
        <v>0</v>
      </c>
      <c r="R4869">
        <v>0</v>
      </c>
      <c r="S4869">
        <v>0</v>
      </c>
      <c r="T4869">
        <v>0</v>
      </c>
      <c r="U4869">
        <v>0</v>
      </c>
      <c r="V4869">
        <v>0</v>
      </c>
      <c r="W4869">
        <v>0</v>
      </c>
      <c r="X4869">
        <v>0</v>
      </c>
      <c r="Y4869" t="s">
        <v>51</v>
      </c>
      <c r="AA4869">
        <v>0</v>
      </c>
    </row>
    <row r="4870" spans="1:27" x14ac:dyDescent="0.2">
      <c r="A4870" t="s">
        <v>75</v>
      </c>
      <c r="B4870">
        <v>2024</v>
      </c>
      <c r="C4870">
        <v>6461002000</v>
      </c>
      <c r="D4870" t="s">
        <v>5970</v>
      </c>
      <c r="E4870" t="s">
        <v>29</v>
      </c>
      <c r="F4870" t="s">
        <v>30</v>
      </c>
      <c r="G4870">
        <v>0</v>
      </c>
      <c r="H4870">
        <v>0</v>
      </c>
      <c r="I4870">
        <v>0</v>
      </c>
      <c r="J4870">
        <v>0</v>
      </c>
      <c r="K4870">
        <v>0</v>
      </c>
      <c r="L4870">
        <v>0</v>
      </c>
      <c r="M4870">
        <v>0</v>
      </c>
      <c r="N4870">
        <v>0</v>
      </c>
      <c r="O4870">
        <v>0</v>
      </c>
      <c r="P4870">
        <v>0</v>
      </c>
      <c r="Q4870">
        <v>0</v>
      </c>
      <c r="R4870">
        <v>0</v>
      </c>
      <c r="S4870">
        <v>0</v>
      </c>
      <c r="T4870">
        <v>0</v>
      </c>
      <c r="U4870">
        <v>0</v>
      </c>
      <c r="V4870">
        <v>0</v>
      </c>
      <c r="W4870">
        <v>0</v>
      </c>
      <c r="X4870">
        <v>0</v>
      </c>
      <c r="Y4870" t="s">
        <v>51</v>
      </c>
      <c r="AA4870">
        <v>0</v>
      </c>
    </row>
    <row r="4871" spans="1:27" x14ac:dyDescent="0.2">
      <c r="A4871" t="s">
        <v>75</v>
      </c>
      <c r="B4871">
        <v>2024</v>
      </c>
      <c r="C4871">
        <v>5480200470</v>
      </c>
      <c r="D4871" t="s">
        <v>3645</v>
      </c>
      <c r="E4871" t="s">
        <v>29</v>
      </c>
      <c r="F4871" t="s">
        <v>30</v>
      </c>
      <c r="G4871">
        <v>0</v>
      </c>
      <c r="H4871">
        <v>0</v>
      </c>
      <c r="I4871">
        <v>0</v>
      </c>
      <c r="J4871">
        <v>0</v>
      </c>
      <c r="K4871">
        <v>0</v>
      </c>
      <c r="L4871">
        <v>0</v>
      </c>
      <c r="M4871">
        <v>0</v>
      </c>
      <c r="N4871">
        <v>0</v>
      </c>
      <c r="O4871">
        <v>2</v>
      </c>
      <c r="P4871">
        <v>0</v>
      </c>
      <c r="Q4871">
        <v>0</v>
      </c>
      <c r="R4871">
        <v>0</v>
      </c>
      <c r="S4871">
        <v>0</v>
      </c>
      <c r="T4871">
        <v>0</v>
      </c>
      <c r="U4871">
        <v>0</v>
      </c>
      <c r="V4871">
        <v>0</v>
      </c>
      <c r="W4871">
        <v>0</v>
      </c>
      <c r="X4871">
        <v>0</v>
      </c>
      <c r="Y4871" t="s">
        <v>51</v>
      </c>
      <c r="Z4871">
        <v>55</v>
      </c>
      <c r="AA4871">
        <v>0</v>
      </c>
    </row>
    <row r="4872" spans="1:27" x14ac:dyDescent="0.2">
      <c r="A4872" t="s">
        <v>324</v>
      </c>
      <c r="B4872">
        <v>2024</v>
      </c>
      <c r="C4872" s="2" t="s">
        <v>5971</v>
      </c>
      <c r="D4872" t="s">
        <v>5972</v>
      </c>
      <c r="E4872" t="s">
        <v>29</v>
      </c>
      <c r="F4872" t="s">
        <v>30</v>
      </c>
      <c r="G4872">
        <v>0</v>
      </c>
      <c r="H4872">
        <v>0</v>
      </c>
      <c r="I4872">
        <v>0</v>
      </c>
      <c r="J4872">
        <v>0</v>
      </c>
      <c r="K4872">
        <v>0</v>
      </c>
      <c r="L4872">
        <v>0</v>
      </c>
      <c r="M4872">
        <v>0</v>
      </c>
      <c r="N4872">
        <v>0</v>
      </c>
      <c r="O4872">
        <v>0</v>
      </c>
      <c r="P4872">
        <v>0</v>
      </c>
      <c r="Q4872">
        <v>0</v>
      </c>
      <c r="R4872">
        <v>0</v>
      </c>
      <c r="S4872">
        <v>0</v>
      </c>
      <c r="T4872">
        <v>0</v>
      </c>
      <c r="U4872">
        <v>38</v>
      </c>
      <c r="V4872">
        <v>0</v>
      </c>
      <c r="W4872">
        <v>0</v>
      </c>
      <c r="X4872">
        <v>0</v>
      </c>
      <c r="Y4872" t="s">
        <v>31</v>
      </c>
      <c r="Z4872">
        <v>55</v>
      </c>
      <c r="AA4872" s="2" t="s">
        <v>3394</v>
      </c>
    </row>
    <row r="4873" spans="1:27" x14ac:dyDescent="0.2">
      <c r="A4873" t="s">
        <v>75</v>
      </c>
      <c r="B4873">
        <v>2024</v>
      </c>
      <c r="C4873">
        <v>5480200470</v>
      </c>
      <c r="D4873" t="s">
        <v>3645</v>
      </c>
      <c r="E4873" t="s">
        <v>29</v>
      </c>
      <c r="F4873" t="s">
        <v>41</v>
      </c>
      <c r="G4873">
        <v>0</v>
      </c>
      <c r="H4873">
        <v>0</v>
      </c>
      <c r="I4873">
        <v>0</v>
      </c>
      <c r="J4873">
        <v>0</v>
      </c>
      <c r="K4873">
        <v>0</v>
      </c>
      <c r="L4873">
        <v>0</v>
      </c>
      <c r="M4873">
        <v>0</v>
      </c>
      <c r="N4873">
        <v>0</v>
      </c>
      <c r="O4873">
        <v>0</v>
      </c>
      <c r="P4873">
        <v>0</v>
      </c>
      <c r="Q4873">
        <v>0</v>
      </c>
      <c r="R4873">
        <v>0</v>
      </c>
      <c r="S4873">
        <v>0</v>
      </c>
      <c r="T4873">
        <v>0</v>
      </c>
      <c r="U4873">
        <v>0</v>
      </c>
      <c r="V4873">
        <v>0</v>
      </c>
      <c r="W4873">
        <v>0</v>
      </c>
      <c r="X4873">
        <v>0</v>
      </c>
      <c r="Y4873" t="s">
        <v>51</v>
      </c>
      <c r="AA4873">
        <v>0</v>
      </c>
    </row>
    <row r="4874" spans="1:27" x14ac:dyDescent="0.2">
      <c r="A4874" t="s">
        <v>75</v>
      </c>
      <c r="B4874">
        <v>2024</v>
      </c>
      <c r="C4874">
        <v>5480200470</v>
      </c>
      <c r="D4874" t="s">
        <v>3645</v>
      </c>
      <c r="E4874" t="s">
        <v>29</v>
      </c>
      <c r="F4874" t="s">
        <v>41</v>
      </c>
      <c r="G4874">
        <v>0</v>
      </c>
      <c r="H4874">
        <v>0</v>
      </c>
      <c r="I4874">
        <v>0</v>
      </c>
      <c r="J4874">
        <v>0</v>
      </c>
      <c r="K4874">
        <v>0</v>
      </c>
      <c r="L4874">
        <v>0</v>
      </c>
      <c r="M4874">
        <v>0</v>
      </c>
      <c r="N4874">
        <v>0</v>
      </c>
      <c r="O4874">
        <v>0</v>
      </c>
      <c r="P4874">
        <v>0</v>
      </c>
      <c r="Q4874">
        <v>0</v>
      </c>
      <c r="R4874">
        <v>0</v>
      </c>
      <c r="S4874">
        <v>0</v>
      </c>
      <c r="T4874">
        <v>0</v>
      </c>
      <c r="U4874">
        <v>0</v>
      </c>
      <c r="V4874">
        <v>0</v>
      </c>
      <c r="W4874">
        <v>0</v>
      </c>
      <c r="X4874">
        <v>0</v>
      </c>
      <c r="Y4874" t="s">
        <v>51</v>
      </c>
      <c r="AA4874">
        <v>0</v>
      </c>
    </row>
    <row r="4875" spans="1:27" x14ac:dyDescent="0.2">
      <c r="A4875" t="s">
        <v>75</v>
      </c>
      <c r="B4875">
        <v>2024</v>
      </c>
      <c r="C4875">
        <v>5334040900</v>
      </c>
      <c r="D4875" t="s">
        <v>5973</v>
      </c>
      <c r="E4875" t="s">
        <v>29</v>
      </c>
      <c r="F4875" t="s">
        <v>30</v>
      </c>
      <c r="G4875">
        <v>0</v>
      </c>
      <c r="H4875">
        <v>0</v>
      </c>
      <c r="I4875">
        <v>0</v>
      </c>
      <c r="J4875">
        <v>0</v>
      </c>
      <c r="K4875">
        <v>0</v>
      </c>
      <c r="L4875">
        <v>0</v>
      </c>
      <c r="M4875">
        <v>0</v>
      </c>
      <c r="N4875">
        <v>0</v>
      </c>
      <c r="O4875">
        <v>0</v>
      </c>
      <c r="P4875">
        <v>0</v>
      </c>
      <c r="Q4875">
        <v>0</v>
      </c>
      <c r="R4875">
        <v>0</v>
      </c>
      <c r="S4875">
        <v>0</v>
      </c>
      <c r="T4875">
        <v>0</v>
      </c>
      <c r="U4875">
        <v>0</v>
      </c>
      <c r="V4875">
        <v>0</v>
      </c>
      <c r="W4875">
        <v>0</v>
      </c>
      <c r="X4875">
        <v>0</v>
      </c>
      <c r="Y4875" t="s">
        <v>31</v>
      </c>
      <c r="Z4875">
        <v>55</v>
      </c>
      <c r="AA4875">
        <v>1</v>
      </c>
    </row>
    <row r="4876" spans="1:27" x14ac:dyDescent="0.2">
      <c r="A4876" t="s">
        <v>75</v>
      </c>
      <c r="B4876">
        <v>2024</v>
      </c>
      <c r="C4876">
        <v>4152310600</v>
      </c>
      <c r="D4876" t="s">
        <v>5974</v>
      </c>
      <c r="E4876" t="s">
        <v>29</v>
      </c>
      <c r="F4876" t="s">
        <v>30</v>
      </c>
      <c r="G4876">
        <v>0</v>
      </c>
      <c r="H4876">
        <v>0</v>
      </c>
      <c r="I4876">
        <v>0</v>
      </c>
      <c r="J4876">
        <v>0</v>
      </c>
      <c r="K4876">
        <v>0</v>
      </c>
      <c r="L4876">
        <v>0</v>
      </c>
      <c r="M4876">
        <v>4</v>
      </c>
      <c r="N4876">
        <v>0</v>
      </c>
      <c r="O4876">
        <v>0</v>
      </c>
      <c r="P4876">
        <v>0</v>
      </c>
      <c r="Q4876">
        <v>0</v>
      </c>
      <c r="R4876">
        <v>0</v>
      </c>
      <c r="S4876">
        <v>0</v>
      </c>
      <c r="T4876">
        <v>0</v>
      </c>
      <c r="U4876">
        <v>0</v>
      </c>
      <c r="V4876">
        <v>0</v>
      </c>
      <c r="W4876">
        <v>0</v>
      </c>
      <c r="X4876">
        <v>0</v>
      </c>
      <c r="Y4876" t="s">
        <v>31</v>
      </c>
      <c r="Z4876">
        <v>55</v>
      </c>
      <c r="AA4876" s="2" t="s">
        <v>5882</v>
      </c>
    </row>
    <row r="4877" spans="1:27" x14ac:dyDescent="0.2">
      <c r="A4877" t="s">
        <v>75</v>
      </c>
      <c r="B4877">
        <v>2024</v>
      </c>
      <c r="C4877">
        <v>6454100100</v>
      </c>
      <c r="D4877" t="s">
        <v>5975</v>
      </c>
      <c r="E4877" t="s">
        <v>29</v>
      </c>
      <c r="F4877" t="s">
        <v>41</v>
      </c>
      <c r="G4877">
        <v>0</v>
      </c>
      <c r="H4877">
        <v>0</v>
      </c>
      <c r="I4877">
        <v>0</v>
      </c>
      <c r="J4877">
        <v>0</v>
      </c>
      <c r="K4877">
        <v>0</v>
      </c>
      <c r="L4877">
        <v>0</v>
      </c>
      <c r="M4877">
        <v>0</v>
      </c>
      <c r="N4877">
        <v>0</v>
      </c>
      <c r="O4877">
        <v>0</v>
      </c>
      <c r="P4877">
        <v>0</v>
      </c>
      <c r="Q4877">
        <v>0</v>
      </c>
      <c r="R4877">
        <v>0</v>
      </c>
      <c r="S4877">
        <v>0</v>
      </c>
      <c r="T4877">
        <v>0</v>
      </c>
      <c r="U4877">
        <v>0</v>
      </c>
      <c r="V4877">
        <v>0</v>
      </c>
      <c r="W4877">
        <v>7</v>
      </c>
      <c r="X4877">
        <v>0</v>
      </c>
      <c r="Y4877" t="s">
        <v>51</v>
      </c>
      <c r="AA4877">
        <v>0</v>
      </c>
    </row>
    <row r="4878" spans="1:27" x14ac:dyDescent="0.2">
      <c r="A4878" t="s">
        <v>517</v>
      </c>
      <c r="B4878">
        <v>2024</v>
      </c>
      <c r="C4878" t="s">
        <v>5329</v>
      </c>
      <c r="D4878" t="s">
        <v>5976</v>
      </c>
      <c r="E4878" t="s">
        <v>29</v>
      </c>
      <c r="F4878" t="s">
        <v>30</v>
      </c>
      <c r="G4878">
        <v>0</v>
      </c>
      <c r="H4878">
        <v>0</v>
      </c>
      <c r="I4878">
        <v>0</v>
      </c>
      <c r="J4878">
        <v>0</v>
      </c>
      <c r="K4878">
        <v>0</v>
      </c>
      <c r="L4878">
        <v>0</v>
      </c>
      <c r="M4878">
        <v>22</v>
      </c>
      <c r="N4878">
        <v>0</v>
      </c>
      <c r="O4878">
        <v>0</v>
      </c>
      <c r="P4878">
        <v>0</v>
      </c>
      <c r="Q4878">
        <v>0</v>
      </c>
      <c r="R4878">
        <v>0</v>
      </c>
      <c r="S4878">
        <v>0</v>
      </c>
      <c r="T4878">
        <v>0</v>
      </c>
      <c r="U4878">
        <v>0</v>
      </c>
      <c r="V4878">
        <v>0</v>
      </c>
      <c r="W4878">
        <v>0</v>
      </c>
      <c r="X4878">
        <v>0</v>
      </c>
      <c r="Y4878" t="s">
        <v>31</v>
      </c>
      <c r="Z4878">
        <v>55</v>
      </c>
      <c r="AA4878">
        <v>0</v>
      </c>
    </row>
    <row r="4879" spans="1:27" x14ac:dyDescent="0.2">
      <c r="A4879" t="s">
        <v>517</v>
      </c>
      <c r="B4879">
        <v>2024</v>
      </c>
      <c r="C4879" t="s">
        <v>5329</v>
      </c>
      <c r="D4879" t="s">
        <v>5977</v>
      </c>
      <c r="E4879" t="s">
        <v>29</v>
      </c>
      <c r="F4879" t="s">
        <v>30</v>
      </c>
      <c r="G4879">
        <v>0</v>
      </c>
      <c r="H4879">
        <v>0</v>
      </c>
      <c r="I4879">
        <v>0</v>
      </c>
      <c r="J4879">
        <v>0</v>
      </c>
      <c r="K4879">
        <v>0</v>
      </c>
      <c r="L4879">
        <v>0</v>
      </c>
      <c r="M4879">
        <v>36</v>
      </c>
      <c r="N4879">
        <v>0</v>
      </c>
      <c r="O4879">
        <v>0</v>
      </c>
      <c r="P4879">
        <v>0</v>
      </c>
      <c r="Q4879">
        <v>0</v>
      </c>
      <c r="R4879">
        <v>0</v>
      </c>
      <c r="S4879">
        <v>0</v>
      </c>
      <c r="T4879">
        <v>0</v>
      </c>
      <c r="U4879">
        <v>0</v>
      </c>
      <c r="V4879">
        <v>0</v>
      </c>
      <c r="W4879">
        <v>0</v>
      </c>
      <c r="X4879">
        <v>0</v>
      </c>
      <c r="Y4879" t="s">
        <v>31</v>
      </c>
      <c r="Z4879">
        <v>55</v>
      </c>
      <c r="AA4879">
        <v>0</v>
      </c>
    </row>
    <row r="4880" spans="1:27" ht="68" x14ac:dyDescent="0.2">
      <c r="A4880" t="s">
        <v>2411</v>
      </c>
      <c r="B4880">
        <v>2024</v>
      </c>
      <c r="C4880" t="s">
        <v>5978</v>
      </c>
      <c r="D4880" s="1" t="s">
        <v>5979</v>
      </c>
      <c r="E4880" t="s">
        <v>29</v>
      </c>
      <c r="F4880" t="s">
        <v>30</v>
      </c>
      <c r="G4880">
        <v>0</v>
      </c>
      <c r="H4880">
        <v>0</v>
      </c>
      <c r="I4880">
        <v>0</v>
      </c>
      <c r="J4880">
        <v>0</v>
      </c>
      <c r="K4880">
        <v>0</v>
      </c>
      <c r="L4880">
        <v>0</v>
      </c>
      <c r="M4880">
        <v>0</v>
      </c>
      <c r="N4880">
        <v>0</v>
      </c>
      <c r="O4880">
        <v>0</v>
      </c>
      <c r="P4880">
        <v>0</v>
      </c>
      <c r="Q4880">
        <v>0</v>
      </c>
      <c r="R4880">
        <v>0</v>
      </c>
      <c r="S4880">
        <v>46</v>
      </c>
      <c r="T4880">
        <v>0</v>
      </c>
      <c r="U4880">
        <v>10</v>
      </c>
      <c r="V4880">
        <v>0</v>
      </c>
      <c r="W4880">
        <v>0</v>
      </c>
      <c r="X4880">
        <v>0</v>
      </c>
      <c r="Y4880" t="s">
        <v>31</v>
      </c>
      <c r="Z4880">
        <v>1000</v>
      </c>
      <c r="AA4880">
        <v>0</v>
      </c>
    </row>
    <row r="4881" spans="1:27" x14ac:dyDescent="0.2">
      <c r="A4881" t="s">
        <v>219</v>
      </c>
      <c r="B4881">
        <v>2024</v>
      </c>
      <c r="C4881" t="s">
        <v>5980</v>
      </c>
      <c r="D4881" t="s">
        <v>5981</v>
      </c>
      <c r="E4881" t="s">
        <v>29</v>
      </c>
      <c r="F4881" t="s">
        <v>41</v>
      </c>
      <c r="G4881">
        <v>0</v>
      </c>
      <c r="H4881">
        <v>0</v>
      </c>
      <c r="I4881">
        <v>6</v>
      </c>
      <c r="J4881">
        <v>0</v>
      </c>
      <c r="K4881">
        <v>0</v>
      </c>
      <c r="L4881">
        <v>0</v>
      </c>
      <c r="M4881">
        <v>0</v>
      </c>
      <c r="N4881">
        <v>0</v>
      </c>
      <c r="O4881">
        <v>0</v>
      </c>
      <c r="P4881">
        <v>0</v>
      </c>
      <c r="Q4881">
        <v>0</v>
      </c>
      <c r="R4881">
        <v>0</v>
      </c>
      <c r="S4881">
        <v>0</v>
      </c>
      <c r="T4881">
        <v>0</v>
      </c>
      <c r="U4881">
        <v>0</v>
      </c>
      <c r="V4881">
        <v>0</v>
      </c>
      <c r="W4881">
        <v>0</v>
      </c>
      <c r="X4881">
        <v>0</v>
      </c>
      <c r="Y4881" t="s">
        <v>31</v>
      </c>
      <c r="Z4881">
        <v>45</v>
      </c>
      <c r="AA4881">
        <v>0</v>
      </c>
    </row>
    <row r="4882" spans="1:27" x14ac:dyDescent="0.2">
      <c r="A4882" t="s">
        <v>219</v>
      </c>
      <c r="B4882">
        <v>2024</v>
      </c>
      <c r="C4882" t="s">
        <v>2637</v>
      </c>
      <c r="D4882" t="s">
        <v>5982</v>
      </c>
      <c r="E4882" t="s">
        <v>29</v>
      </c>
      <c r="F4882" t="s">
        <v>30</v>
      </c>
      <c r="G4882">
        <v>0</v>
      </c>
      <c r="H4882">
        <v>0</v>
      </c>
      <c r="I4882">
        <v>0</v>
      </c>
      <c r="J4882">
        <v>0</v>
      </c>
      <c r="K4882">
        <v>0</v>
      </c>
      <c r="L4882">
        <v>0</v>
      </c>
      <c r="M4882">
        <v>0</v>
      </c>
      <c r="N4882">
        <v>0</v>
      </c>
      <c r="O4882">
        <v>0</v>
      </c>
      <c r="P4882">
        <v>0</v>
      </c>
      <c r="Q4882">
        <v>0</v>
      </c>
      <c r="R4882">
        <v>0</v>
      </c>
      <c r="S4882">
        <v>11</v>
      </c>
      <c r="T4882">
        <v>0</v>
      </c>
      <c r="U4882">
        <v>0</v>
      </c>
      <c r="V4882">
        <v>0</v>
      </c>
      <c r="W4882">
        <v>0</v>
      </c>
      <c r="X4882">
        <v>0</v>
      </c>
      <c r="Y4882" t="s">
        <v>31</v>
      </c>
      <c r="Z4882">
        <v>55</v>
      </c>
      <c r="AA4882">
        <v>0</v>
      </c>
    </row>
    <row r="4883" spans="1:27" x14ac:dyDescent="0.2">
      <c r="A4883" t="s">
        <v>1999</v>
      </c>
      <c r="B4883">
        <v>2024</v>
      </c>
      <c r="C4883" t="s">
        <v>2000</v>
      </c>
      <c r="D4883" t="s">
        <v>2001</v>
      </c>
      <c r="E4883" t="s">
        <v>29</v>
      </c>
      <c r="F4883" t="s">
        <v>41</v>
      </c>
      <c r="G4883">
        <v>56</v>
      </c>
      <c r="H4883">
        <v>0</v>
      </c>
      <c r="I4883">
        <v>27</v>
      </c>
      <c r="J4883">
        <v>0</v>
      </c>
      <c r="K4883">
        <v>0</v>
      </c>
      <c r="L4883">
        <v>0</v>
      </c>
      <c r="M4883">
        <v>34</v>
      </c>
      <c r="N4883">
        <v>0</v>
      </c>
      <c r="O4883">
        <v>13</v>
      </c>
      <c r="P4883">
        <v>0</v>
      </c>
      <c r="Q4883">
        <v>0</v>
      </c>
      <c r="R4883">
        <v>0</v>
      </c>
      <c r="S4883">
        <v>34</v>
      </c>
      <c r="T4883">
        <v>0</v>
      </c>
      <c r="U4883">
        <v>0</v>
      </c>
      <c r="V4883">
        <v>13</v>
      </c>
      <c r="W4883">
        <v>0</v>
      </c>
      <c r="X4883">
        <v>0</v>
      </c>
      <c r="Y4883" t="s">
        <v>31</v>
      </c>
      <c r="Z4883">
        <v>55</v>
      </c>
      <c r="AA4883">
        <v>0</v>
      </c>
    </row>
    <row r="4884" spans="1:27" x14ac:dyDescent="0.2">
      <c r="A4884" t="s">
        <v>1999</v>
      </c>
      <c r="B4884">
        <v>2024</v>
      </c>
      <c r="C4884" t="s">
        <v>5983</v>
      </c>
      <c r="D4884" t="s">
        <v>5984</v>
      </c>
      <c r="E4884" t="s">
        <v>29</v>
      </c>
      <c r="F4884" t="s">
        <v>41</v>
      </c>
      <c r="G4884">
        <v>0</v>
      </c>
      <c r="H4884">
        <v>0</v>
      </c>
      <c r="I4884">
        <v>1</v>
      </c>
      <c r="J4884">
        <v>0</v>
      </c>
      <c r="K4884">
        <v>0</v>
      </c>
      <c r="L4884">
        <v>0</v>
      </c>
      <c r="M4884">
        <v>0</v>
      </c>
      <c r="N4884">
        <v>0</v>
      </c>
      <c r="O4884">
        <v>0</v>
      </c>
      <c r="P4884">
        <v>0</v>
      </c>
      <c r="Q4884">
        <v>0</v>
      </c>
      <c r="R4884">
        <v>0</v>
      </c>
      <c r="S4884">
        <v>0</v>
      </c>
      <c r="T4884">
        <v>0</v>
      </c>
      <c r="U4884">
        <v>0</v>
      </c>
      <c r="V4884">
        <v>0</v>
      </c>
      <c r="W4884">
        <v>0</v>
      </c>
      <c r="X4884">
        <v>0</v>
      </c>
      <c r="Y4884" t="s">
        <v>51</v>
      </c>
      <c r="AA4884">
        <v>0</v>
      </c>
    </row>
    <row r="4885" spans="1:27" x14ac:dyDescent="0.2">
      <c r="A4885" t="s">
        <v>1999</v>
      </c>
      <c r="B4885">
        <v>2024</v>
      </c>
      <c r="C4885" t="s">
        <v>5985</v>
      </c>
      <c r="D4885" t="s">
        <v>5986</v>
      </c>
      <c r="E4885" t="s">
        <v>29</v>
      </c>
      <c r="F4885" t="s">
        <v>41</v>
      </c>
      <c r="G4885">
        <v>0</v>
      </c>
      <c r="H4885">
        <v>0</v>
      </c>
      <c r="I4885">
        <v>0</v>
      </c>
      <c r="J4885">
        <v>0</v>
      </c>
      <c r="K4885">
        <v>12</v>
      </c>
      <c r="L4885">
        <v>0</v>
      </c>
      <c r="M4885">
        <v>0</v>
      </c>
      <c r="N4885">
        <v>0</v>
      </c>
      <c r="O4885">
        <v>0</v>
      </c>
      <c r="P4885">
        <v>0</v>
      </c>
      <c r="Q4885">
        <v>0</v>
      </c>
      <c r="R4885">
        <v>0</v>
      </c>
      <c r="S4885">
        <v>0</v>
      </c>
      <c r="T4885">
        <v>0</v>
      </c>
      <c r="U4885">
        <v>0</v>
      </c>
      <c r="V4885">
        <v>0</v>
      </c>
      <c r="W4885">
        <v>0</v>
      </c>
      <c r="X4885">
        <v>0</v>
      </c>
      <c r="Y4885" t="s">
        <v>51</v>
      </c>
      <c r="AA4885">
        <v>0</v>
      </c>
    </row>
    <row r="4886" spans="1:27" x14ac:dyDescent="0.2">
      <c r="A4886" t="s">
        <v>1609</v>
      </c>
      <c r="B4886">
        <v>2024</v>
      </c>
      <c r="C4886" s="2" t="s">
        <v>2080</v>
      </c>
      <c r="D4886" t="s">
        <v>2081</v>
      </c>
      <c r="E4886" t="s">
        <v>29</v>
      </c>
      <c r="F4886" t="s">
        <v>41</v>
      </c>
      <c r="G4886">
        <v>0</v>
      </c>
      <c r="H4886">
        <v>0</v>
      </c>
      <c r="I4886">
        <v>4</v>
      </c>
      <c r="J4886">
        <v>0</v>
      </c>
      <c r="K4886">
        <v>0</v>
      </c>
      <c r="L4886">
        <v>0</v>
      </c>
      <c r="M4886">
        <v>0</v>
      </c>
      <c r="N4886">
        <v>0</v>
      </c>
      <c r="O4886">
        <v>4</v>
      </c>
      <c r="P4886">
        <v>0</v>
      </c>
      <c r="Q4886">
        <v>0</v>
      </c>
      <c r="R4886">
        <v>0</v>
      </c>
      <c r="S4886">
        <v>0</v>
      </c>
      <c r="T4886">
        <v>0</v>
      </c>
      <c r="U4886">
        <v>0</v>
      </c>
      <c r="V4886">
        <v>0</v>
      </c>
      <c r="W4886">
        <v>0</v>
      </c>
      <c r="X4886">
        <v>0</v>
      </c>
      <c r="Y4886" t="s">
        <v>51</v>
      </c>
      <c r="AA4886">
        <v>0</v>
      </c>
    </row>
    <row r="4887" spans="1:27" x14ac:dyDescent="0.2">
      <c r="A4887" t="s">
        <v>600</v>
      </c>
      <c r="B4887">
        <v>2024</v>
      </c>
      <c r="C4887">
        <v>3725086</v>
      </c>
      <c r="D4887" t="s">
        <v>5987</v>
      </c>
      <c r="E4887" t="s">
        <v>29</v>
      </c>
      <c r="F4887" t="s">
        <v>30</v>
      </c>
      <c r="G4887">
        <v>68</v>
      </c>
      <c r="H4887">
        <v>0</v>
      </c>
      <c r="I4887">
        <v>26</v>
      </c>
      <c r="J4887">
        <v>0</v>
      </c>
      <c r="K4887">
        <v>0</v>
      </c>
      <c r="L4887">
        <v>0</v>
      </c>
      <c r="M4887">
        <v>0</v>
      </c>
      <c r="N4887">
        <v>0</v>
      </c>
      <c r="O4887">
        <v>0</v>
      </c>
      <c r="P4887">
        <v>0</v>
      </c>
      <c r="Q4887">
        <v>0</v>
      </c>
      <c r="R4887">
        <v>0</v>
      </c>
      <c r="S4887">
        <v>0</v>
      </c>
      <c r="T4887">
        <v>0</v>
      </c>
      <c r="U4887">
        <v>0</v>
      </c>
      <c r="V4887">
        <v>0</v>
      </c>
      <c r="W4887">
        <v>0</v>
      </c>
      <c r="X4887">
        <v>0</v>
      </c>
      <c r="Y4887" t="s">
        <v>31</v>
      </c>
      <c r="Z4887">
        <v>99</v>
      </c>
      <c r="AA4887">
        <v>1</v>
      </c>
    </row>
    <row r="4888" spans="1:27" x14ac:dyDescent="0.2">
      <c r="A4888" t="s">
        <v>2102</v>
      </c>
      <c r="B4888">
        <v>2024</v>
      </c>
      <c r="C4888" t="s">
        <v>5988</v>
      </c>
      <c r="D4888" t="s">
        <v>2103</v>
      </c>
      <c r="E4888" t="s">
        <v>29</v>
      </c>
      <c r="F4888" t="s">
        <v>30</v>
      </c>
      <c r="G4888">
        <v>0</v>
      </c>
      <c r="H4888">
        <v>0</v>
      </c>
      <c r="I4888">
        <v>55</v>
      </c>
      <c r="J4888">
        <v>0</v>
      </c>
      <c r="K4888">
        <v>0</v>
      </c>
      <c r="L4888">
        <v>0</v>
      </c>
      <c r="M4888">
        <v>0</v>
      </c>
      <c r="N4888">
        <v>0</v>
      </c>
      <c r="O4888">
        <v>0</v>
      </c>
      <c r="P4888">
        <v>0</v>
      </c>
      <c r="Q4888">
        <v>0</v>
      </c>
      <c r="R4888">
        <v>0</v>
      </c>
      <c r="S4888">
        <v>0</v>
      </c>
      <c r="T4888">
        <v>0</v>
      </c>
      <c r="U4888">
        <v>0</v>
      </c>
      <c r="V4888">
        <v>0</v>
      </c>
      <c r="W4888">
        <v>0</v>
      </c>
      <c r="X4888">
        <v>0</v>
      </c>
      <c r="Y4888" t="s">
        <v>31</v>
      </c>
      <c r="AA4888" s="2" t="s">
        <v>5598</v>
      </c>
    </row>
    <row r="4889" spans="1:27" x14ac:dyDescent="0.2">
      <c r="A4889" t="s">
        <v>5989</v>
      </c>
      <c r="B4889">
        <v>2024</v>
      </c>
      <c r="C4889" t="s">
        <v>5990</v>
      </c>
      <c r="D4889" t="s">
        <v>5991</v>
      </c>
      <c r="E4889" t="s">
        <v>29</v>
      </c>
      <c r="F4889" t="s">
        <v>30</v>
      </c>
      <c r="G4889">
        <v>0</v>
      </c>
      <c r="H4889">
        <v>0</v>
      </c>
      <c r="I4889">
        <v>76</v>
      </c>
      <c r="J4889">
        <v>0</v>
      </c>
      <c r="K4889">
        <v>0</v>
      </c>
      <c r="L4889">
        <v>0</v>
      </c>
      <c r="M4889">
        <v>0</v>
      </c>
      <c r="N4889">
        <v>0</v>
      </c>
      <c r="O4889">
        <v>0</v>
      </c>
      <c r="P4889">
        <v>0</v>
      </c>
      <c r="Q4889">
        <v>0</v>
      </c>
      <c r="R4889">
        <v>0</v>
      </c>
      <c r="S4889">
        <v>0</v>
      </c>
      <c r="T4889">
        <v>0</v>
      </c>
      <c r="U4889">
        <v>0</v>
      </c>
      <c r="V4889">
        <v>0</v>
      </c>
      <c r="W4889">
        <v>0</v>
      </c>
      <c r="X4889">
        <v>0</v>
      </c>
      <c r="Y4889" t="s">
        <v>31</v>
      </c>
      <c r="Z4889">
        <v>55</v>
      </c>
      <c r="AA4889">
        <v>0</v>
      </c>
    </row>
    <row r="4890" spans="1:27" x14ac:dyDescent="0.2">
      <c r="A4890" t="s">
        <v>75</v>
      </c>
      <c r="B4890">
        <v>2024</v>
      </c>
      <c r="C4890">
        <v>4292810100</v>
      </c>
      <c r="D4890" t="s">
        <v>5992</v>
      </c>
      <c r="E4890" t="s">
        <v>29</v>
      </c>
      <c r="F4890" t="s">
        <v>30</v>
      </c>
      <c r="G4890">
        <v>0</v>
      </c>
      <c r="H4890">
        <v>0</v>
      </c>
      <c r="I4890">
        <v>0</v>
      </c>
      <c r="J4890">
        <v>0</v>
      </c>
      <c r="K4890">
        <v>0</v>
      </c>
      <c r="L4890">
        <v>0</v>
      </c>
      <c r="M4890">
        <v>2</v>
      </c>
      <c r="N4890">
        <v>0</v>
      </c>
      <c r="O4890">
        <v>0</v>
      </c>
      <c r="P4890">
        <v>0</v>
      </c>
      <c r="Q4890">
        <v>0</v>
      </c>
      <c r="R4890">
        <v>0</v>
      </c>
      <c r="S4890">
        <v>0</v>
      </c>
      <c r="T4890">
        <v>0</v>
      </c>
      <c r="U4890">
        <v>0</v>
      </c>
      <c r="V4890">
        <v>0</v>
      </c>
      <c r="W4890">
        <v>0</v>
      </c>
      <c r="X4890">
        <v>0</v>
      </c>
      <c r="Y4890" t="s">
        <v>31</v>
      </c>
      <c r="Z4890">
        <v>55</v>
      </c>
      <c r="AA4890">
        <v>0.5</v>
      </c>
    </row>
    <row r="4891" spans="1:27" x14ac:dyDescent="0.2">
      <c r="A4891" t="s">
        <v>75</v>
      </c>
      <c r="B4891">
        <v>2024</v>
      </c>
      <c r="C4891">
        <v>4453102100</v>
      </c>
      <c r="D4891" t="s">
        <v>5993</v>
      </c>
      <c r="E4891" t="s">
        <v>29</v>
      </c>
      <c r="F4891" t="s">
        <v>30</v>
      </c>
      <c r="G4891">
        <v>0</v>
      </c>
      <c r="H4891">
        <v>0</v>
      </c>
      <c r="I4891">
        <v>0</v>
      </c>
      <c r="J4891">
        <v>0</v>
      </c>
      <c r="K4891">
        <v>0</v>
      </c>
      <c r="L4891">
        <v>0</v>
      </c>
      <c r="M4891">
        <v>0</v>
      </c>
      <c r="N4891">
        <v>0</v>
      </c>
      <c r="O4891">
        <v>0</v>
      </c>
      <c r="P4891">
        <v>0</v>
      </c>
      <c r="Q4891">
        <v>0</v>
      </c>
      <c r="R4891">
        <v>0</v>
      </c>
      <c r="S4891">
        <v>30</v>
      </c>
      <c r="T4891">
        <v>0</v>
      </c>
      <c r="U4891">
        <v>0</v>
      </c>
      <c r="V4891">
        <v>0</v>
      </c>
      <c r="W4891">
        <v>0</v>
      </c>
      <c r="X4891">
        <v>0</v>
      </c>
      <c r="Y4891" t="s">
        <v>51</v>
      </c>
      <c r="AA4891">
        <v>0</v>
      </c>
    </row>
    <row r="4892" spans="1:27" x14ac:dyDescent="0.2">
      <c r="A4892" t="s">
        <v>75</v>
      </c>
      <c r="B4892">
        <v>2024</v>
      </c>
      <c r="C4892">
        <v>4624401700</v>
      </c>
      <c r="D4892" t="s">
        <v>5994</v>
      </c>
      <c r="E4892" t="s">
        <v>29</v>
      </c>
      <c r="F4892" t="s">
        <v>30</v>
      </c>
      <c r="G4892">
        <v>0</v>
      </c>
      <c r="H4892">
        <v>0</v>
      </c>
      <c r="I4892">
        <v>0</v>
      </c>
      <c r="J4892">
        <v>0</v>
      </c>
      <c r="K4892">
        <v>0</v>
      </c>
      <c r="L4892">
        <v>0</v>
      </c>
      <c r="M4892">
        <v>0</v>
      </c>
      <c r="N4892">
        <v>0</v>
      </c>
      <c r="O4892">
        <v>0</v>
      </c>
      <c r="P4892">
        <v>0</v>
      </c>
      <c r="Q4892">
        <v>0</v>
      </c>
      <c r="R4892">
        <v>0</v>
      </c>
      <c r="S4892">
        <v>9</v>
      </c>
      <c r="T4892">
        <v>0</v>
      </c>
      <c r="U4892">
        <v>0</v>
      </c>
      <c r="V4892">
        <v>0</v>
      </c>
      <c r="W4892">
        <v>0</v>
      </c>
      <c r="X4892">
        <v>0</v>
      </c>
      <c r="Y4892" t="s">
        <v>51</v>
      </c>
      <c r="AA4892">
        <v>0</v>
      </c>
    </row>
    <row r="4893" spans="1:27" x14ac:dyDescent="0.2">
      <c r="A4893" t="s">
        <v>75</v>
      </c>
      <c r="B4893">
        <v>2024</v>
      </c>
      <c r="C4893">
        <v>4312500100</v>
      </c>
      <c r="D4893" t="s">
        <v>5995</v>
      </c>
      <c r="E4893" t="s">
        <v>29</v>
      </c>
      <c r="F4893" t="s">
        <v>30</v>
      </c>
      <c r="G4893">
        <v>0</v>
      </c>
      <c r="H4893">
        <v>0</v>
      </c>
      <c r="I4893">
        <v>0</v>
      </c>
      <c r="J4893">
        <v>0</v>
      </c>
      <c r="K4893">
        <v>0</v>
      </c>
      <c r="L4893">
        <v>0</v>
      </c>
      <c r="M4893">
        <v>0</v>
      </c>
      <c r="N4893">
        <v>0</v>
      </c>
      <c r="O4893">
        <v>0</v>
      </c>
      <c r="P4893">
        <v>0</v>
      </c>
      <c r="Q4893">
        <v>0</v>
      </c>
      <c r="R4893">
        <v>0</v>
      </c>
      <c r="S4893">
        <v>10</v>
      </c>
      <c r="T4893">
        <v>0</v>
      </c>
      <c r="U4893">
        <v>0</v>
      </c>
      <c r="V4893">
        <v>0</v>
      </c>
      <c r="W4893">
        <v>0</v>
      </c>
      <c r="X4893">
        <v>0</v>
      </c>
      <c r="Y4893" t="s">
        <v>51</v>
      </c>
      <c r="AA4893">
        <v>0</v>
      </c>
    </row>
    <row r="4894" spans="1:27" x14ac:dyDescent="0.2">
      <c r="A4894" t="s">
        <v>75</v>
      </c>
      <c r="B4894">
        <v>2024</v>
      </c>
      <c r="C4894">
        <v>4312820100</v>
      </c>
      <c r="D4894" t="s">
        <v>342</v>
      </c>
      <c r="E4894" t="s">
        <v>29</v>
      </c>
      <c r="F4894" t="s">
        <v>30</v>
      </c>
      <c r="G4894">
        <v>0</v>
      </c>
      <c r="H4894">
        <v>0</v>
      </c>
      <c r="I4894">
        <v>0</v>
      </c>
      <c r="J4894">
        <v>0</v>
      </c>
      <c r="K4894">
        <v>0</v>
      </c>
      <c r="L4894">
        <v>0</v>
      </c>
      <c r="M4894">
        <v>0</v>
      </c>
      <c r="N4894">
        <v>0</v>
      </c>
      <c r="O4894">
        <v>0</v>
      </c>
      <c r="P4894">
        <v>0</v>
      </c>
      <c r="Q4894">
        <v>0</v>
      </c>
      <c r="R4894">
        <v>0</v>
      </c>
      <c r="S4894">
        <v>3</v>
      </c>
      <c r="T4894">
        <v>0</v>
      </c>
      <c r="U4894">
        <v>0</v>
      </c>
      <c r="V4894">
        <v>0</v>
      </c>
      <c r="W4894">
        <v>0</v>
      </c>
      <c r="X4894">
        <v>0</v>
      </c>
      <c r="Y4894" t="s">
        <v>51</v>
      </c>
      <c r="AA4894">
        <v>0</v>
      </c>
    </row>
    <row r="4895" spans="1:27" x14ac:dyDescent="0.2">
      <c r="A4895" t="s">
        <v>75</v>
      </c>
      <c r="B4895">
        <v>2024</v>
      </c>
      <c r="C4895">
        <v>4332503100</v>
      </c>
      <c r="D4895" t="s">
        <v>5996</v>
      </c>
      <c r="E4895" t="s">
        <v>29</v>
      </c>
      <c r="F4895" t="s">
        <v>30</v>
      </c>
      <c r="G4895">
        <v>0</v>
      </c>
      <c r="H4895">
        <v>0</v>
      </c>
      <c r="I4895">
        <v>0</v>
      </c>
      <c r="J4895">
        <v>0</v>
      </c>
      <c r="K4895">
        <v>0</v>
      </c>
      <c r="L4895">
        <v>0</v>
      </c>
      <c r="M4895">
        <v>0</v>
      </c>
      <c r="N4895">
        <v>0</v>
      </c>
      <c r="O4895">
        <v>0</v>
      </c>
      <c r="P4895">
        <v>0</v>
      </c>
      <c r="Q4895">
        <v>0</v>
      </c>
      <c r="R4895">
        <v>0</v>
      </c>
      <c r="S4895">
        <v>0</v>
      </c>
      <c r="T4895">
        <v>0</v>
      </c>
      <c r="U4895">
        <v>0</v>
      </c>
      <c r="V4895">
        <v>0</v>
      </c>
      <c r="W4895">
        <v>0</v>
      </c>
      <c r="X4895">
        <v>0</v>
      </c>
      <c r="Y4895" t="s">
        <v>51</v>
      </c>
      <c r="AA4895">
        <v>0</v>
      </c>
    </row>
    <row r="4896" spans="1:27" x14ac:dyDescent="0.2">
      <c r="A4896" t="s">
        <v>75</v>
      </c>
      <c r="B4896">
        <v>2024</v>
      </c>
      <c r="C4896">
        <v>3081801500</v>
      </c>
      <c r="D4896" t="s">
        <v>5997</v>
      </c>
      <c r="E4896" t="s">
        <v>29</v>
      </c>
      <c r="F4896" t="s">
        <v>30</v>
      </c>
      <c r="G4896">
        <v>0</v>
      </c>
      <c r="H4896">
        <v>0</v>
      </c>
      <c r="I4896">
        <v>0</v>
      </c>
      <c r="J4896">
        <v>0</v>
      </c>
      <c r="K4896">
        <v>0</v>
      </c>
      <c r="L4896">
        <v>0</v>
      </c>
      <c r="M4896">
        <v>0</v>
      </c>
      <c r="N4896">
        <v>0</v>
      </c>
      <c r="O4896">
        <v>0</v>
      </c>
      <c r="P4896">
        <v>0</v>
      </c>
      <c r="Q4896">
        <v>0</v>
      </c>
      <c r="R4896">
        <v>0</v>
      </c>
      <c r="S4896">
        <v>0</v>
      </c>
      <c r="T4896">
        <v>0</v>
      </c>
      <c r="U4896">
        <v>0</v>
      </c>
      <c r="V4896">
        <v>0</v>
      </c>
      <c r="W4896">
        <v>0</v>
      </c>
      <c r="X4896">
        <v>0</v>
      </c>
      <c r="Y4896" t="s">
        <v>51</v>
      </c>
      <c r="AA4896">
        <v>0</v>
      </c>
    </row>
    <row r="4897" spans="1:27" x14ac:dyDescent="0.2">
      <c r="A4897" t="s">
        <v>5998</v>
      </c>
      <c r="B4897">
        <v>2024</v>
      </c>
      <c r="C4897" t="s">
        <v>5999</v>
      </c>
      <c r="D4897" t="s">
        <v>6000</v>
      </c>
      <c r="E4897" t="s">
        <v>29</v>
      </c>
      <c r="F4897" t="s">
        <v>30</v>
      </c>
      <c r="G4897">
        <v>0</v>
      </c>
      <c r="H4897">
        <v>0</v>
      </c>
      <c r="I4897">
        <v>0</v>
      </c>
      <c r="J4897">
        <v>0</v>
      </c>
      <c r="K4897">
        <v>0</v>
      </c>
      <c r="L4897">
        <v>0</v>
      </c>
      <c r="M4897">
        <v>0</v>
      </c>
      <c r="N4897">
        <v>0</v>
      </c>
      <c r="O4897">
        <v>0</v>
      </c>
      <c r="P4897">
        <v>0</v>
      </c>
      <c r="Q4897">
        <v>0</v>
      </c>
      <c r="R4897">
        <v>0</v>
      </c>
      <c r="S4897">
        <v>9</v>
      </c>
      <c r="T4897">
        <v>0</v>
      </c>
      <c r="U4897">
        <v>0</v>
      </c>
      <c r="V4897">
        <v>0</v>
      </c>
      <c r="W4897">
        <v>0</v>
      </c>
      <c r="X4897">
        <v>0</v>
      </c>
      <c r="Y4897" t="s">
        <v>31</v>
      </c>
      <c r="AA4897" s="2" t="s">
        <v>2716</v>
      </c>
    </row>
    <row r="4898" spans="1:27" x14ac:dyDescent="0.2">
      <c r="A4898" t="s">
        <v>75</v>
      </c>
      <c r="B4898">
        <v>2024</v>
      </c>
      <c r="C4898">
        <v>3130600600</v>
      </c>
      <c r="D4898" t="s">
        <v>6001</v>
      </c>
      <c r="E4898" t="s">
        <v>29</v>
      </c>
      <c r="F4898" t="s">
        <v>30</v>
      </c>
      <c r="G4898">
        <v>0</v>
      </c>
      <c r="H4898">
        <v>0</v>
      </c>
      <c r="I4898">
        <v>0</v>
      </c>
      <c r="J4898">
        <v>0</v>
      </c>
      <c r="K4898">
        <v>0</v>
      </c>
      <c r="L4898">
        <v>0</v>
      </c>
      <c r="M4898">
        <v>0</v>
      </c>
      <c r="N4898">
        <v>0</v>
      </c>
      <c r="O4898">
        <v>0</v>
      </c>
      <c r="P4898">
        <v>0</v>
      </c>
      <c r="Q4898">
        <v>0</v>
      </c>
      <c r="R4898">
        <v>0</v>
      </c>
      <c r="S4898">
        <v>0</v>
      </c>
      <c r="T4898">
        <v>0</v>
      </c>
      <c r="U4898">
        <v>0</v>
      </c>
      <c r="V4898">
        <v>0</v>
      </c>
      <c r="W4898">
        <v>0</v>
      </c>
      <c r="X4898">
        <v>0</v>
      </c>
      <c r="Y4898" t="s">
        <v>51</v>
      </c>
      <c r="AA4898">
        <v>0</v>
      </c>
    </row>
    <row r="4899" spans="1:27" x14ac:dyDescent="0.2">
      <c r="A4899" t="s">
        <v>75</v>
      </c>
      <c r="B4899">
        <v>2024</v>
      </c>
      <c r="C4899">
        <v>3130600600</v>
      </c>
      <c r="D4899" t="s">
        <v>6002</v>
      </c>
      <c r="E4899" t="s">
        <v>29</v>
      </c>
      <c r="F4899" t="s">
        <v>30</v>
      </c>
      <c r="G4899">
        <v>0</v>
      </c>
      <c r="H4899">
        <v>0</v>
      </c>
      <c r="I4899">
        <v>0</v>
      </c>
      <c r="J4899">
        <v>0</v>
      </c>
      <c r="K4899">
        <v>0</v>
      </c>
      <c r="L4899">
        <v>0</v>
      </c>
      <c r="M4899">
        <v>0</v>
      </c>
      <c r="N4899">
        <v>0</v>
      </c>
      <c r="O4899">
        <v>0</v>
      </c>
      <c r="P4899">
        <v>0</v>
      </c>
      <c r="Q4899">
        <v>0</v>
      </c>
      <c r="R4899">
        <v>0</v>
      </c>
      <c r="S4899">
        <v>0</v>
      </c>
      <c r="T4899">
        <v>0</v>
      </c>
      <c r="U4899">
        <v>0</v>
      </c>
      <c r="V4899">
        <v>0</v>
      </c>
      <c r="W4899">
        <v>0</v>
      </c>
      <c r="X4899">
        <v>0</v>
      </c>
      <c r="Y4899" t="s">
        <v>51</v>
      </c>
      <c r="AA4899">
        <v>0</v>
      </c>
    </row>
    <row r="4900" spans="1:27" x14ac:dyDescent="0.2">
      <c r="A4900" t="s">
        <v>75</v>
      </c>
      <c r="B4900">
        <v>2024</v>
      </c>
      <c r="C4900">
        <v>4504121000</v>
      </c>
      <c r="D4900" t="s">
        <v>6003</v>
      </c>
      <c r="E4900" t="s">
        <v>29</v>
      </c>
      <c r="F4900" t="s">
        <v>30</v>
      </c>
      <c r="G4900">
        <v>0</v>
      </c>
      <c r="H4900">
        <v>0</v>
      </c>
      <c r="I4900">
        <v>0</v>
      </c>
      <c r="J4900">
        <v>0</v>
      </c>
      <c r="K4900">
        <v>0</v>
      </c>
      <c r="L4900">
        <v>0</v>
      </c>
      <c r="M4900">
        <v>8</v>
      </c>
      <c r="N4900">
        <v>0</v>
      </c>
      <c r="O4900">
        <v>0</v>
      </c>
      <c r="P4900">
        <v>0</v>
      </c>
      <c r="Q4900">
        <v>0</v>
      </c>
      <c r="R4900">
        <v>0</v>
      </c>
      <c r="S4900">
        <v>0</v>
      </c>
      <c r="T4900">
        <v>0</v>
      </c>
      <c r="U4900">
        <v>0</v>
      </c>
      <c r="V4900">
        <v>0</v>
      </c>
      <c r="W4900">
        <v>0</v>
      </c>
      <c r="X4900">
        <v>0</v>
      </c>
      <c r="Y4900" t="s">
        <v>31</v>
      </c>
      <c r="Z4900">
        <v>55</v>
      </c>
      <c r="AA4900" s="2" t="s">
        <v>5433</v>
      </c>
    </row>
    <row r="4901" spans="1:27" x14ac:dyDescent="0.2">
      <c r="A4901" t="s">
        <v>547</v>
      </c>
      <c r="B4901">
        <v>2024</v>
      </c>
      <c r="C4901">
        <v>5093023056</v>
      </c>
      <c r="D4901" t="s">
        <v>6004</v>
      </c>
      <c r="E4901" t="s">
        <v>29</v>
      </c>
      <c r="F4901" t="s">
        <v>30</v>
      </c>
      <c r="G4901">
        <v>0</v>
      </c>
      <c r="H4901">
        <v>0</v>
      </c>
      <c r="I4901">
        <v>0</v>
      </c>
      <c r="J4901">
        <v>0</v>
      </c>
      <c r="K4901">
        <v>0</v>
      </c>
      <c r="L4901">
        <v>0</v>
      </c>
      <c r="M4901">
        <v>2</v>
      </c>
      <c r="N4901">
        <v>0</v>
      </c>
      <c r="O4901">
        <v>109</v>
      </c>
      <c r="P4901">
        <v>0</v>
      </c>
      <c r="Q4901">
        <v>24</v>
      </c>
      <c r="R4901">
        <v>0</v>
      </c>
      <c r="S4901">
        <v>0</v>
      </c>
      <c r="T4901">
        <v>0</v>
      </c>
      <c r="U4901">
        <v>0</v>
      </c>
      <c r="V4901">
        <v>0</v>
      </c>
      <c r="W4901">
        <v>0</v>
      </c>
      <c r="X4901">
        <v>0</v>
      </c>
      <c r="Y4901" t="s">
        <v>31</v>
      </c>
      <c r="Z4901">
        <v>55</v>
      </c>
      <c r="AA4901">
        <v>162</v>
      </c>
    </row>
    <row r="4902" spans="1:27" x14ac:dyDescent="0.2">
      <c r="A4902" t="s">
        <v>1624</v>
      </c>
      <c r="B4902">
        <v>2024</v>
      </c>
      <c r="C4902" t="s">
        <v>6005</v>
      </c>
      <c r="D4902" t="s">
        <v>6006</v>
      </c>
      <c r="E4902" t="s">
        <v>29</v>
      </c>
      <c r="F4902" t="s">
        <v>41</v>
      </c>
      <c r="G4902">
        <v>0</v>
      </c>
      <c r="H4902">
        <v>0</v>
      </c>
      <c r="I4902">
        <v>0</v>
      </c>
      <c r="J4902">
        <v>0</v>
      </c>
      <c r="K4902">
        <v>1</v>
      </c>
      <c r="L4902">
        <v>0</v>
      </c>
      <c r="M4902">
        <v>0</v>
      </c>
      <c r="N4902">
        <v>0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0</v>
      </c>
      <c r="U4902">
        <v>0</v>
      </c>
      <c r="V4902">
        <v>0</v>
      </c>
      <c r="W4902">
        <v>0</v>
      </c>
      <c r="X4902">
        <v>0</v>
      </c>
      <c r="Y4902" t="s">
        <v>31</v>
      </c>
      <c r="AA4902">
        <v>0</v>
      </c>
    </row>
    <row r="4903" spans="1:27" x14ac:dyDescent="0.2">
      <c r="A4903" t="s">
        <v>547</v>
      </c>
      <c r="B4903">
        <v>2024</v>
      </c>
      <c r="C4903">
        <v>2126021019</v>
      </c>
      <c r="D4903" t="s">
        <v>6007</v>
      </c>
      <c r="E4903" t="s">
        <v>29</v>
      </c>
      <c r="F4903" t="s">
        <v>30</v>
      </c>
      <c r="G4903">
        <v>0</v>
      </c>
      <c r="H4903">
        <v>0</v>
      </c>
      <c r="I4903">
        <v>37</v>
      </c>
      <c r="J4903">
        <v>0</v>
      </c>
      <c r="K4903">
        <v>10</v>
      </c>
      <c r="L4903">
        <v>0</v>
      </c>
      <c r="M4903">
        <v>0</v>
      </c>
      <c r="N4903">
        <v>0</v>
      </c>
      <c r="O4903">
        <v>0</v>
      </c>
      <c r="P4903">
        <v>0</v>
      </c>
      <c r="Q4903">
        <v>0</v>
      </c>
      <c r="R4903">
        <v>0</v>
      </c>
      <c r="S4903">
        <v>0</v>
      </c>
      <c r="T4903">
        <v>0</v>
      </c>
      <c r="U4903">
        <v>0</v>
      </c>
      <c r="V4903">
        <v>0</v>
      </c>
      <c r="W4903">
        <v>0</v>
      </c>
      <c r="X4903">
        <v>0</v>
      </c>
      <c r="Y4903" t="s">
        <v>31</v>
      </c>
      <c r="Z4903">
        <v>55</v>
      </c>
      <c r="AA4903">
        <v>41</v>
      </c>
    </row>
    <row r="4904" spans="1:27" x14ac:dyDescent="0.2">
      <c r="A4904" t="s">
        <v>547</v>
      </c>
      <c r="B4904">
        <v>2024</v>
      </c>
      <c r="C4904">
        <v>2240016021</v>
      </c>
      <c r="D4904" t="s">
        <v>6008</v>
      </c>
      <c r="E4904" t="s">
        <v>29</v>
      </c>
      <c r="F4904" t="s">
        <v>30</v>
      </c>
      <c r="G4904">
        <v>2</v>
      </c>
      <c r="H4904">
        <v>0</v>
      </c>
      <c r="I4904">
        <v>64</v>
      </c>
      <c r="J4904">
        <v>0</v>
      </c>
      <c r="K4904">
        <v>14</v>
      </c>
      <c r="L4904">
        <v>0</v>
      </c>
      <c r="M4904">
        <v>0</v>
      </c>
      <c r="N4904">
        <v>0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</v>
      </c>
      <c r="V4904">
        <v>0</v>
      </c>
      <c r="W4904">
        <v>0</v>
      </c>
      <c r="X4904">
        <v>0</v>
      </c>
      <c r="Y4904" t="s">
        <v>31</v>
      </c>
      <c r="Z4904">
        <v>55</v>
      </c>
      <c r="AA4904">
        <v>2600</v>
      </c>
    </row>
    <row r="4905" spans="1:27" x14ac:dyDescent="0.2">
      <c r="A4905" t="s">
        <v>547</v>
      </c>
      <c r="B4905">
        <v>2024</v>
      </c>
      <c r="C4905">
        <v>2416008010</v>
      </c>
      <c r="D4905" t="s">
        <v>6009</v>
      </c>
      <c r="E4905" t="s">
        <v>29</v>
      </c>
      <c r="F4905" t="s">
        <v>30</v>
      </c>
      <c r="G4905">
        <v>1</v>
      </c>
      <c r="H4905">
        <v>0</v>
      </c>
      <c r="I4905">
        <v>24</v>
      </c>
      <c r="J4905">
        <v>0</v>
      </c>
      <c r="K4905">
        <v>7</v>
      </c>
      <c r="L4905">
        <v>0</v>
      </c>
      <c r="M4905">
        <v>0</v>
      </c>
      <c r="N4905">
        <v>0</v>
      </c>
      <c r="O4905">
        <v>0</v>
      </c>
      <c r="P4905">
        <v>0</v>
      </c>
      <c r="Q4905">
        <v>0</v>
      </c>
      <c r="R4905">
        <v>0</v>
      </c>
      <c r="S4905">
        <v>0</v>
      </c>
      <c r="T4905">
        <v>0</v>
      </c>
      <c r="U4905">
        <v>0</v>
      </c>
      <c r="V4905">
        <v>0</v>
      </c>
      <c r="W4905">
        <v>0</v>
      </c>
      <c r="X4905">
        <v>0</v>
      </c>
      <c r="Y4905" t="s">
        <v>31</v>
      </c>
      <c r="Z4905">
        <v>55</v>
      </c>
      <c r="AA4905">
        <v>313</v>
      </c>
    </row>
    <row r="4906" spans="1:27" x14ac:dyDescent="0.2">
      <c r="A4906" t="s">
        <v>547</v>
      </c>
      <c r="B4906">
        <v>2024</v>
      </c>
      <c r="C4906">
        <v>4006010012</v>
      </c>
      <c r="D4906" t="s">
        <v>6010</v>
      </c>
      <c r="E4906" t="s">
        <v>29</v>
      </c>
      <c r="F4906" t="s">
        <v>30</v>
      </c>
      <c r="G4906">
        <v>0</v>
      </c>
      <c r="H4906">
        <v>0</v>
      </c>
      <c r="I4906">
        <v>47</v>
      </c>
      <c r="J4906">
        <v>0</v>
      </c>
      <c r="K4906">
        <v>12</v>
      </c>
      <c r="L4906">
        <v>0</v>
      </c>
      <c r="M4906">
        <v>0</v>
      </c>
      <c r="N4906">
        <v>0</v>
      </c>
      <c r="O4906">
        <v>0</v>
      </c>
      <c r="P4906">
        <v>0</v>
      </c>
      <c r="Q4906">
        <v>0</v>
      </c>
      <c r="R4906">
        <v>0</v>
      </c>
      <c r="S4906">
        <v>0</v>
      </c>
      <c r="T4906">
        <v>0</v>
      </c>
      <c r="U4906">
        <v>0</v>
      </c>
      <c r="V4906">
        <v>0</v>
      </c>
      <c r="W4906">
        <v>0</v>
      </c>
      <c r="X4906">
        <v>0</v>
      </c>
      <c r="Y4906" t="s">
        <v>31</v>
      </c>
      <c r="Z4906">
        <v>55</v>
      </c>
      <c r="AA4906">
        <v>122</v>
      </c>
    </row>
    <row r="4907" spans="1:27" x14ac:dyDescent="0.2">
      <c r="A4907" t="s">
        <v>547</v>
      </c>
      <c r="B4907">
        <v>2024</v>
      </c>
      <c r="C4907">
        <v>4259030017</v>
      </c>
      <c r="D4907" t="s">
        <v>6011</v>
      </c>
      <c r="E4907" t="s">
        <v>29</v>
      </c>
      <c r="F4907" t="s">
        <v>30</v>
      </c>
      <c r="G4907">
        <v>0</v>
      </c>
      <c r="H4907">
        <v>0</v>
      </c>
      <c r="I4907">
        <v>30</v>
      </c>
      <c r="J4907">
        <v>0</v>
      </c>
      <c r="K4907">
        <v>7</v>
      </c>
      <c r="L4907">
        <v>0</v>
      </c>
      <c r="M4907">
        <v>0</v>
      </c>
      <c r="N4907">
        <v>0</v>
      </c>
      <c r="O4907">
        <v>0</v>
      </c>
      <c r="P4907">
        <v>0</v>
      </c>
      <c r="Q4907">
        <v>0</v>
      </c>
      <c r="R4907">
        <v>0</v>
      </c>
      <c r="S4907">
        <v>0</v>
      </c>
      <c r="T4907">
        <v>0</v>
      </c>
      <c r="U4907">
        <v>0</v>
      </c>
      <c r="V4907">
        <v>0</v>
      </c>
      <c r="W4907">
        <v>0</v>
      </c>
      <c r="X4907">
        <v>0</v>
      </c>
      <c r="Y4907" t="s">
        <v>31</v>
      </c>
      <c r="Z4907">
        <v>55</v>
      </c>
      <c r="AA4907">
        <v>533</v>
      </c>
    </row>
    <row r="4908" spans="1:27" x14ac:dyDescent="0.2">
      <c r="A4908" t="s">
        <v>547</v>
      </c>
      <c r="B4908">
        <v>2024</v>
      </c>
      <c r="C4908">
        <v>5077022059</v>
      </c>
      <c r="D4908" t="s">
        <v>6012</v>
      </c>
      <c r="E4908" t="s">
        <v>29</v>
      </c>
      <c r="F4908" t="s">
        <v>30</v>
      </c>
      <c r="G4908">
        <v>11</v>
      </c>
      <c r="H4908">
        <v>0</v>
      </c>
      <c r="I4908">
        <v>0</v>
      </c>
      <c r="J4908">
        <v>0</v>
      </c>
      <c r="K4908">
        <v>0</v>
      </c>
      <c r="L4908">
        <v>0</v>
      </c>
      <c r="M4908">
        <v>0</v>
      </c>
      <c r="N4908">
        <v>0</v>
      </c>
      <c r="O4908">
        <v>0</v>
      </c>
      <c r="P4908">
        <v>0</v>
      </c>
      <c r="Q4908">
        <v>0</v>
      </c>
      <c r="R4908">
        <v>0</v>
      </c>
      <c r="S4908">
        <v>0</v>
      </c>
      <c r="T4908">
        <v>0</v>
      </c>
      <c r="U4908">
        <v>0</v>
      </c>
      <c r="V4908">
        <v>0</v>
      </c>
      <c r="W4908">
        <v>0</v>
      </c>
      <c r="X4908">
        <v>0</v>
      </c>
      <c r="Y4908" t="s">
        <v>31</v>
      </c>
      <c r="Z4908">
        <v>55</v>
      </c>
      <c r="AA4908">
        <v>232</v>
      </c>
    </row>
    <row r="4909" spans="1:27" x14ac:dyDescent="0.2">
      <c r="A4909" t="s">
        <v>547</v>
      </c>
      <c r="B4909">
        <v>2024</v>
      </c>
      <c r="C4909">
        <v>5179017009</v>
      </c>
      <c r="D4909" t="s">
        <v>6013</v>
      </c>
      <c r="E4909" t="s">
        <v>29</v>
      </c>
      <c r="F4909" t="s">
        <v>30</v>
      </c>
      <c r="G4909">
        <v>39</v>
      </c>
      <c r="H4909">
        <v>0</v>
      </c>
      <c r="I4909">
        <v>0</v>
      </c>
      <c r="J4909">
        <v>0</v>
      </c>
      <c r="K4909">
        <v>10</v>
      </c>
      <c r="L4909">
        <v>0</v>
      </c>
      <c r="M4909">
        <v>0</v>
      </c>
      <c r="N4909">
        <v>0</v>
      </c>
      <c r="O4909">
        <v>0</v>
      </c>
      <c r="P4909">
        <v>0</v>
      </c>
      <c r="Q4909">
        <v>0</v>
      </c>
      <c r="R4909">
        <v>0</v>
      </c>
      <c r="S4909">
        <v>0</v>
      </c>
      <c r="T4909">
        <v>0</v>
      </c>
      <c r="U4909">
        <v>0</v>
      </c>
      <c r="V4909">
        <v>0</v>
      </c>
      <c r="W4909">
        <v>0</v>
      </c>
      <c r="X4909">
        <v>0</v>
      </c>
      <c r="Y4909" t="s">
        <v>31</v>
      </c>
      <c r="Z4909">
        <v>55</v>
      </c>
      <c r="AA4909">
        <v>92</v>
      </c>
    </row>
    <row r="4910" spans="1:27" x14ac:dyDescent="0.2">
      <c r="A4910" t="s">
        <v>547</v>
      </c>
      <c r="B4910">
        <v>2024</v>
      </c>
      <c r="C4910">
        <v>5502006004</v>
      </c>
      <c r="D4910" t="s">
        <v>6014</v>
      </c>
      <c r="E4910" t="s">
        <v>29</v>
      </c>
      <c r="F4910" t="s">
        <v>30</v>
      </c>
      <c r="G4910">
        <v>3</v>
      </c>
      <c r="H4910">
        <v>0</v>
      </c>
      <c r="I4910">
        <v>0</v>
      </c>
      <c r="J4910">
        <v>0</v>
      </c>
      <c r="K4910">
        <v>0</v>
      </c>
      <c r="L4910">
        <v>0</v>
      </c>
      <c r="M4910">
        <v>0</v>
      </c>
      <c r="N4910">
        <v>0</v>
      </c>
      <c r="O4910">
        <v>0</v>
      </c>
      <c r="P4910">
        <v>0</v>
      </c>
      <c r="Q4910">
        <v>0</v>
      </c>
      <c r="R4910">
        <v>0</v>
      </c>
      <c r="S4910">
        <v>0</v>
      </c>
      <c r="T4910">
        <v>0</v>
      </c>
      <c r="U4910">
        <v>0</v>
      </c>
      <c r="V4910">
        <v>0</v>
      </c>
      <c r="W4910">
        <v>0</v>
      </c>
      <c r="X4910">
        <v>0</v>
      </c>
      <c r="Y4910" t="s">
        <v>31</v>
      </c>
      <c r="Z4910">
        <v>55</v>
      </c>
      <c r="AA4910">
        <v>36</v>
      </c>
    </row>
    <row r="4911" spans="1:27" x14ac:dyDescent="0.2">
      <c r="A4911" t="s">
        <v>547</v>
      </c>
      <c r="B4911">
        <v>2024</v>
      </c>
      <c r="C4911">
        <v>6005021032</v>
      </c>
      <c r="D4911" t="s">
        <v>6015</v>
      </c>
      <c r="E4911" t="s">
        <v>29</v>
      </c>
      <c r="F4911" t="s">
        <v>30</v>
      </c>
      <c r="G4911">
        <v>0</v>
      </c>
      <c r="H4911">
        <v>0</v>
      </c>
      <c r="I4911">
        <v>102</v>
      </c>
      <c r="J4911">
        <v>0</v>
      </c>
      <c r="K4911">
        <v>28</v>
      </c>
      <c r="L4911">
        <v>0</v>
      </c>
      <c r="M4911">
        <v>0</v>
      </c>
      <c r="N4911">
        <v>0</v>
      </c>
      <c r="O4911">
        <v>0</v>
      </c>
      <c r="P4911">
        <v>0</v>
      </c>
      <c r="Q4911">
        <v>0</v>
      </c>
      <c r="R4911">
        <v>0</v>
      </c>
      <c r="S4911">
        <v>0</v>
      </c>
      <c r="T4911">
        <v>0</v>
      </c>
      <c r="U4911">
        <v>0</v>
      </c>
      <c r="V4911">
        <v>0</v>
      </c>
      <c r="W4911">
        <v>0</v>
      </c>
      <c r="X4911">
        <v>0</v>
      </c>
      <c r="Y4911" t="s">
        <v>31</v>
      </c>
      <c r="Z4911">
        <v>55</v>
      </c>
      <c r="AA4911">
        <v>120</v>
      </c>
    </row>
    <row r="4912" spans="1:27" x14ac:dyDescent="0.2">
      <c r="A4912" t="s">
        <v>321</v>
      </c>
      <c r="B4912">
        <v>2024</v>
      </c>
      <c r="C4912" t="s">
        <v>6016</v>
      </c>
      <c r="D4912" t="s">
        <v>6017</v>
      </c>
      <c r="E4912" t="s">
        <v>29</v>
      </c>
      <c r="F4912" t="s">
        <v>30</v>
      </c>
      <c r="G4912">
        <v>5</v>
      </c>
      <c r="H4912">
        <v>0</v>
      </c>
      <c r="I4912">
        <v>5</v>
      </c>
      <c r="J4912">
        <v>0</v>
      </c>
      <c r="K4912">
        <v>5</v>
      </c>
      <c r="L4912">
        <v>0</v>
      </c>
      <c r="M4912">
        <v>0</v>
      </c>
      <c r="N4912">
        <v>0</v>
      </c>
      <c r="O4912">
        <v>0</v>
      </c>
      <c r="P4912">
        <v>0</v>
      </c>
      <c r="Q4912">
        <v>0</v>
      </c>
      <c r="R4912">
        <v>0</v>
      </c>
      <c r="S4912">
        <v>0</v>
      </c>
      <c r="T4912">
        <v>0</v>
      </c>
      <c r="U4912">
        <v>0</v>
      </c>
      <c r="V4912">
        <v>0</v>
      </c>
      <c r="W4912">
        <v>0</v>
      </c>
      <c r="X4912">
        <v>0</v>
      </c>
      <c r="Y4912" t="s">
        <v>51</v>
      </c>
      <c r="AA4912">
        <v>0</v>
      </c>
    </row>
    <row r="4913" spans="1:27" x14ac:dyDescent="0.2">
      <c r="A4913" t="s">
        <v>547</v>
      </c>
      <c r="B4913">
        <v>2024</v>
      </c>
      <c r="C4913">
        <v>2322007056</v>
      </c>
      <c r="D4913" t="s">
        <v>6018</v>
      </c>
      <c r="E4913" t="s">
        <v>29</v>
      </c>
      <c r="F4913" t="s">
        <v>30</v>
      </c>
      <c r="G4913">
        <v>0</v>
      </c>
      <c r="H4913">
        <v>0</v>
      </c>
      <c r="I4913">
        <v>234</v>
      </c>
      <c r="J4913">
        <v>0</v>
      </c>
      <c r="K4913">
        <v>59</v>
      </c>
      <c r="L4913">
        <v>0</v>
      </c>
      <c r="M4913">
        <v>0</v>
      </c>
      <c r="N4913">
        <v>0</v>
      </c>
      <c r="O4913">
        <v>0</v>
      </c>
      <c r="P4913">
        <v>0</v>
      </c>
      <c r="Q4913">
        <v>0</v>
      </c>
      <c r="R4913">
        <v>0</v>
      </c>
      <c r="S4913">
        <v>0</v>
      </c>
      <c r="T4913">
        <v>0</v>
      </c>
      <c r="U4913">
        <v>0</v>
      </c>
      <c r="V4913">
        <v>0</v>
      </c>
      <c r="W4913">
        <v>0</v>
      </c>
      <c r="X4913">
        <v>0</v>
      </c>
      <c r="Y4913" t="s">
        <v>31</v>
      </c>
      <c r="Z4913">
        <v>55</v>
      </c>
      <c r="AA4913">
        <v>194</v>
      </c>
    </row>
    <row r="4914" spans="1:27" x14ac:dyDescent="0.2">
      <c r="A4914" t="s">
        <v>547</v>
      </c>
      <c r="B4914">
        <v>2024</v>
      </c>
      <c r="C4914">
        <v>4306009045</v>
      </c>
      <c r="D4914" t="s">
        <v>6019</v>
      </c>
      <c r="E4914" t="s">
        <v>29</v>
      </c>
      <c r="F4914" t="s">
        <v>30</v>
      </c>
      <c r="G4914">
        <v>3</v>
      </c>
      <c r="H4914">
        <v>0</v>
      </c>
      <c r="I4914">
        <v>76</v>
      </c>
      <c r="J4914">
        <v>0</v>
      </c>
      <c r="K4914">
        <v>21</v>
      </c>
      <c r="L4914">
        <v>0</v>
      </c>
      <c r="M4914">
        <v>0</v>
      </c>
      <c r="N4914">
        <v>0</v>
      </c>
      <c r="O4914">
        <v>0</v>
      </c>
      <c r="P4914">
        <v>0</v>
      </c>
      <c r="Q4914">
        <v>0</v>
      </c>
      <c r="R4914">
        <v>0</v>
      </c>
      <c r="S4914">
        <v>0</v>
      </c>
      <c r="T4914">
        <v>0</v>
      </c>
      <c r="U4914">
        <v>0</v>
      </c>
      <c r="V4914">
        <v>0</v>
      </c>
      <c r="W4914">
        <v>0</v>
      </c>
      <c r="X4914">
        <v>0</v>
      </c>
      <c r="Y4914" t="s">
        <v>31</v>
      </c>
      <c r="Z4914">
        <v>55</v>
      </c>
      <c r="AA4914">
        <v>490</v>
      </c>
    </row>
    <row r="4915" spans="1:27" x14ac:dyDescent="0.2">
      <c r="A4915" t="s">
        <v>547</v>
      </c>
      <c r="B4915">
        <v>2024</v>
      </c>
      <c r="C4915">
        <v>4332019009</v>
      </c>
      <c r="D4915" t="s">
        <v>6020</v>
      </c>
      <c r="E4915" t="s">
        <v>29</v>
      </c>
      <c r="F4915" t="s">
        <v>30</v>
      </c>
      <c r="G4915">
        <v>0</v>
      </c>
      <c r="H4915">
        <v>0</v>
      </c>
      <c r="I4915">
        <v>14</v>
      </c>
      <c r="J4915">
        <v>0</v>
      </c>
      <c r="K4915">
        <v>4</v>
      </c>
      <c r="L4915">
        <v>0</v>
      </c>
      <c r="M4915">
        <v>0</v>
      </c>
      <c r="N4915">
        <v>0</v>
      </c>
      <c r="O4915">
        <v>0</v>
      </c>
      <c r="P4915">
        <v>0</v>
      </c>
      <c r="Q4915">
        <v>0</v>
      </c>
      <c r="R4915">
        <v>0</v>
      </c>
      <c r="S4915">
        <v>0</v>
      </c>
      <c r="T4915">
        <v>0</v>
      </c>
      <c r="U4915">
        <v>0</v>
      </c>
      <c r="V4915">
        <v>0</v>
      </c>
      <c r="W4915">
        <v>0</v>
      </c>
      <c r="X4915">
        <v>0</v>
      </c>
      <c r="Y4915" t="s">
        <v>31</v>
      </c>
      <c r="Z4915">
        <v>55</v>
      </c>
      <c r="AA4915">
        <v>162</v>
      </c>
    </row>
    <row r="4916" spans="1:27" x14ac:dyDescent="0.2">
      <c r="A4916" t="s">
        <v>547</v>
      </c>
      <c r="B4916">
        <v>2024</v>
      </c>
      <c r="C4916">
        <v>5013016015</v>
      </c>
      <c r="D4916" t="s">
        <v>6021</v>
      </c>
      <c r="E4916" t="s">
        <v>29</v>
      </c>
      <c r="F4916" t="s">
        <v>30</v>
      </c>
      <c r="G4916">
        <v>0</v>
      </c>
      <c r="H4916">
        <v>0</v>
      </c>
      <c r="I4916">
        <v>43</v>
      </c>
      <c r="J4916">
        <v>0</v>
      </c>
      <c r="K4916">
        <v>12</v>
      </c>
      <c r="L4916">
        <v>0</v>
      </c>
      <c r="M4916">
        <v>0</v>
      </c>
      <c r="N4916">
        <v>0</v>
      </c>
      <c r="O4916">
        <v>0</v>
      </c>
      <c r="P4916">
        <v>0</v>
      </c>
      <c r="Q4916">
        <v>0</v>
      </c>
      <c r="R4916">
        <v>0</v>
      </c>
      <c r="S4916">
        <v>0</v>
      </c>
      <c r="T4916">
        <v>0</v>
      </c>
      <c r="U4916">
        <v>0</v>
      </c>
      <c r="V4916">
        <v>0</v>
      </c>
      <c r="W4916">
        <v>0</v>
      </c>
      <c r="X4916">
        <v>0</v>
      </c>
      <c r="Y4916" t="s">
        <v>31</v>
      </c>
      <c r="Z4916">
        <v>55</v>
      </c>
      <c r="AA4916">
        <v>5600</v>
      </c>
    </row>
    <row r="4917" spans="1:27" x14ac:dyDescent="0.2">
      <c r="A4917" t="s">
        <v>547</v>
      </c>
      <c r="B4917">
        <v>2024</v>
      </c>
      <c r="C4917">
        <v>5037020011</v>
      </c>
      <c r="D4917" t="s">
        <v>6022</v>
      </c>
      <c r="E4917" t="s">
        <v>29</v>
      </c>
      <c r="F4917" t="s">
        <v>30</v>
      </c>
      <c r="G4917">
        <v>11</v>
      </c>
      <c r="H4917">
        <v>0</v>
      </c>
      <c r="I4917">
        <v>97</v>
      </c>
      <c r="J4917">
        <v>0</v>
      </c>
      <c r="K4917">
        <v>11</v>
      </c>
      <c r="L4917">
        <v>0</v>
      </c>
      <c r="M4917">
        <v>0</v>
      </c>
      <c r="N4917">
        <v>0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0</v>
      </c>
      <c r="V4917">
        <v>0</v>
      </c>
      <c r="W4917">
        <v>0</v>
      </c>
      <c r="X4917">
        <v>0</v>
      </c>
      <c r="Y4917" t="s">
        <v>31</v>
      </c>
      <c r="Z4917">
        <v>55</v>
      </c>
      <c r="AA4917">
        <v>650</v>
      </c>
    </row>
    <row r="4918" spans="1:27" x14ac:dyDescent="0.2">
      <c r="A4918" t="s">
        <v>547</v>
      </c>
      <c r="B4918">
        <v>2024</v>
      </c>
      <c r="C4918">
        <v>5114015022</v>
      </c>
      <c r="D4918" t="s">
        <v>6023</v>
      </c>
      <c r="E4918" t="s">
        <v>29</v>
      </c>
      <c r="F4918" t="s">
        <v>30</v>
      </c>
      <c r="G4918">
        <v>0</v>
      </c>
      <c r="H4918">
        <v>0</v>
      </c>
      <c r="I4918">
        <v>56</v>
      </c>
      <c r="J4918">
        <v>0</v>
      </c>
      <c r="K4918">
        <v>14</v>
      </c>
      <c r="L4918">
        <v>0</v>
      </c>
      <c r="M4918">
        <v>0</v>
      </c>
      <c r="N4918">
        <v>0</v>
      </c>
      <c r="O4918">
        <v>0</v>
      </c>
      <c r="P4918">
        <v>0</v>
      </c>
      <c r="Q4918">
        <v>0</v>
      </c>
      <c r="R4918">
        <v>0</v>
      </c>
      <c r="S4918">
        <v>0</v>
      </c>
      <c r="T4918">
        <v>0</v>
      </c>
      <c r="U4918">
        <v>0</v>
      </c>
      <c r="V4918">
        <v>0</v>
      </c>
      <c r="W4918">
        <v>0</v>
      </c>
      <c r="X4918">
        <v>0</v>
      </c>
      <c r="Y4918" t="s">
        <v>31</v>
      </c>
      <c r="Z4918">
        <v>55</v>
      </c>
      <c r="AA4918">
        <v>209</v>
      </c>
    </row>
    <row r="4919" spans="1:27" x14ac:dyDescent="0.2">
      <c r="A4919" t="s">
        <v>547</v>
      </c>
      <c r="B4919">
        <v>2024</v>
      </c>
      <c r="C4919">
        <v>5154011021</v>
      </c>
      <c r="D4919" t="s">
        <v>6024</v>
      </c>
      <c r="E4919" t="s">
        <v>29</v>
      </c>
      <c r="F4919" t="s">
        <v>30</v>
      </c>
      <c r="G4919">
        <v>0</v>
      </c>
      <c r="H4919">
        <v>0</v>
      </c>
      <c r="I4919">
        <v>51</v>
      </c>
      <c r="J4919">
        <v>0</v>
      </c>
      <c r="K4919">
        <v>13</v>
      </c>
      <c r="L4919">
        <v>0</v>
      </c>
      <c r="M4919">
        <v>0</v>
      </c>
      <c r="N4919">
        <v>0</v>
      </c>
      <c r="O4919">
        <v>0</v>
      </c>
      <c r="P4919">
        <v>0</v>
      </c>
      <c r="Q4919">
        <v>0</v>
      </c>
      <c r="R4919">
        <v>0</v>
      </c>
      <c r="S4919">
        <v>0</v>
      </c>
      <c r="T4919">
        <v>0</v>
      </c>
      <c r="U4919">
        <v>0</v>
      </c>
      <c r="V4919">
        <v>0</v>
      </c>
      <c r="W4919">
        <v>0</v>
      </c>
      <c r="X4919">
        <v>0</v>
      </c>
      <c r="Y4919" t="s">
        <v>31</v>
      </c>
      <c r="Z4919">
        <v>55</v>
      </c>
      <c r="AA4919">
        <v>23</v>
      </c>
    </row>
    <row r="4920" spans="1:27" x14ac:dyDescent="0.2">
      <c r="A4920" t="s">
        <v>547</v>
      </c>
      <c r="B4920">
        <v>2024</v>
      </c>
      <c r="C4920">
        <v>5183008009</v>
      </c>
      <c r="D4920" t="s">
        <v>6025</v>
      </c>
      <c r="E4920" t="s">
        <v>29</v>
      </c>
      <c r="F4920" t="s">
        <v>30</v>
      </c>
      <c r="G4920">
        <v>10</v>
      </c>
      <c r="H4920">
        <v>0</v>
      </c>
      <c r="I4920">
        <v>26</v>
      </c>
      <c r="J4920">
        <v>0</v>
      </c>
      <c r="K4920">
        <v>9</v>
      </c>
      <c r="L4920">
        <v>0</v>
      </c>
      <c r="M4920">
        <v>0</v>
      </c>
      <c r="N4920">
        <v>0</v>
      </c>
      <c r="O4920">
        <v>0</v>
      </c>
      <c r="P4920">
        <v>0</v>
      </c>
      <c r="Q4920">
        <v>0</v>
      </c>
      <c r="R4920">
        <v>0</v>
      </c>
      <c r="S4920">
        <v>0</v>
      </c>
      <c r="T4920">
        <v>0</v>
      </c>
      <c r="U4920">
        <v>0</v>
      </c>
      <c r="V4920">
        <v>0</v>
      </c>
      <c r="W4920">
        <v>0</v>
      </c>
      <c r="X4920">
        <v>0</v>
      </c>
      <c r="Y4920" t="s">
        <v>31</v>
      </c>
      <c r="Z4920">
        <v>55</v>
      </c>
      <c r="AA4920">
        <v>667</v>
      </c>
    </row>
    <row r="4921" spans="1:27" x14ac:dyDescent="0.2">
      <c r="A4921" t="s">
        <v>547</v>
      </c>
      <c r="B4921">
        <v>2024</v>
      </c>
      <c r="C4921">
        <v>5429010014</v>
      </c>
      <c r="D4921" t="s">
        <v>6026</v>
      </c>
      <c r="E4921" t="s">
        <v>29</v>
      </c>
      <c r="F4921" t="s">
        <v>30</v>
      </c>
      <c r="G4921">
        <v>2</v>
      </c>
      <c r="H4921">
        <v>0</v>
      </c>
      <c r="I4921">
        <v>40</v>
      </c>
      <c r="J4921">
        <v>0</v>
      </c>
      <c r="K4921">
        <v>11</v>
      </c>
      <c r="L4921">
        <v>0</v>
      </c>
      <c r="M4921">
        <v>0</v>
      </c>
      <c r="N4921">
        <v>0</v>
      </c>
      <c r="O4921">
        <v>0</v>
      </c>
      <c r="P4921">
        <v>0</v>
      </c>
      <c r="Q4921">
        <v>0</v>
      </c>
      <c r="R4921">
        <v>0</v>
      </c>
      <c r="S4921">
        <v>0</v>
      </c>
      <c r="T4921">
        <v>0</v>
      </c>
      <c r="U4921">
        <v>0</v>
      </c>
      <c r="V4921">
        <v>0</v>
      </c>
      <c r="W4921">
        <v>0</v>
      </c>
      <c r="X4921">
        <v>0</v>
      </c>
      <c r="Y4921" t="s">
        <v>31</v>
      </c>
      <c r="Z4921">
        <v>55</v>
      </c>
      <c r="AA4921">
        <v>1250</v>
      </c>
    </row>
    <row r="4922" spans="1:27" x14ac:dyDescent="0.2">
      <c r="A4922" t="s">
        <v>547</v>
      </c>
      <c r="B4922">
        <v>2024</v>
      </c>
      <c r="C4922">
        <v>5551014011</v>
      </c>
      <c r="D4922" t="s">
        <v>6027</v>
      </c>
      <c r="E4922" t="s">
        <v>29</v>
      </c>
      <c r="F4922" t="s">
        <v>30</v>
      </c>
      <c r="G4922">
        <v>17</v>
      </c>
      <c r="H4922">
        <v>0</v>
      </c>
      <c r="I4922">
        <v>152</v>
      </c>
      <c r="J4922">
        <v>0</v>
      </c>
      <c r="K4922">
        <v>43</v>
      </c>
      <c r="L4922">
        <v>0</v>
      </c>
      <c r="M4922">
        <v>0</v>
      </c>
      <c r="N4922">
        <v>0</v>
      </c>
      <c r="O4922">
        <v>0</v>
      </c>
      <c r="P4922">
        <v>0</v>
      </c>
      <c r="Q4922">
        <v>0</v>
      </c>
      <c r="R4922">
        <v>0</v>
      </c>
      <c r="S4922">
        <v>0</v>
      </c>
      <c r="T4922">
        <v>0</v>
      </c>
      <c r="U4922">
        <v>0</v>
      </c>
      <c r="V4922">
        <v>0</v>
      </c>
      <c r="W4922">
        <v>0</v>
      </c>
      <c r="X4922">
        <v>0</v>
      </c>
      <c r="Y4922" t="s">
        <v>31</v>
      </c>
      <c r="Z4922">
        <v>55</v>
      </c>
      <c r="AA4922">
        <v>660</v>
      </c>
    </row>
    <row r="4923" spans="1:27" x14ac:dyDescent="0.2">
      <c r="A4923" t="s">
        <v>547</v>
      </c>
      <c r="B4923">
        <v>2024</v>
      </c>
      <c r="C4923">
        <v>5551027003</v>
      </c>
      <c r="D4923" t="s">
        <v>6028</v>
      </c>
      <c r="E4923" t="s">
        <v>29</v>
      </c>
      <c r="F4923" t="s">
        <v>30</v>
      </c>
      <c r="G4923">
        <v>0</v>
      </c>
      <c r="H4923">
        <v>0</v>
      </c>
      <c r="I4923">
        <v>20</v>
      </c>
      <c r="J4923">
        <v>0</v>
      </c>
      <c r="K4923">
        <v>5</v>
      </c>
      <c r="L4923">
        <v>0</v>
      </c>
      <c r="M4923">
        <v>0</v>
      </c>
      <c r="N4923">
        <v>0</v>
      </c>
      <c r="O4923">
        <v>0</v>
      </c>
      <c r="P4923">
        <v>0</v>
      </c>
      <c r="Q4923">
        <v>0</v>
      </c>
      <c r="R4923">
        <v>0</v>
      </c>
      <c r="S4923">
        <v>0</v>
      </c>
      <c r="T4923">
        <v>0</v>
      </c>
      <c r="U4923">
        <v>0</v>
      </c>
      <c r="V4923">
        <v>0</v>
      </c>
      <c r="W4923">
        <v>0</v>
      </c>
      <c r="X4923">
        <v>0</v>
      </c>
      <c r="Y4923" t="s">
        <v>31</v>
      </c>
      <c r="Z4923">
        <v>55</v>
      </c>
      <c r="AA4923">
        <v>343</v>
      </c>
    </row>
    <row r="4924" spans="1:27" x14ac:dyDescent="0.2">
      <c r="A4924" t="s">
        <v>547</v>
      </c>
      <c r="B4924">
        <v>2024</v>
      </c>
      <c r="C4924">
        <v>6053001015</v>
      </c>
      <c r="D4924" t="s">
        <v>6029</v>
      </c>
      <c r="E4924" t="s">
        <v>29</v>
      </c>
      <c r="F4924" t="s">
        <v>30</v>
      </c>
      <c r="G4924">
        <v>0</v>
      </c>
      <c r="H4924">
        <v>0</v>
      </c>
      <c r="I4924">
        <v>49</v>
      </c>
      <c r="J4924">
        <v>0</v>
      </c>
      <c r="K4924">
        <v>12</v>
      </c>
      <c r="L4924">
        <v>0</v>
      </c>
      <c r="M4924">
        <v>0</v>
      </c>
      <c r="N4924">
        <v>0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</v>
      </c>
      <c r="V4924">
        <v>0</v>
      </c>
      <c r="W4924">
        <v>0</v>
      </c>
      <c r="X4924">
        <v>0</v>
      </c>
      <c r="Y4924" t="s">
        <v>31</v>
      </c>
      <c r="Z4924">
        <v>55</v>
      </c>
      <c r="AA4924">
        <v>193</v>
      </c>
    </row>
    <row r="4925" spans="1:27" x14ac:dyDescent="0.2">
      <c r="A4925" t="s">
        <v>75</v>
      </c>
      <c r="B4925">
        <v>2024</v>
      </c>
      <c r="C4925">
        <v>6454100100</v>
      </c>
      <c r="D4925" t="s">
        <v>5703</v>
      </c>
      <c r="E4925" t="s">
        <v>29</v>
      </c>
      <c r="F4925" t="s">
        <v>41</v>
      </c>
      <c r="G4925">
        <v>0</v>
      </c>
      <c r="H4925">
        <v>0</v>
      </c>
      <c r="I4925">
        <v>0</v>
      </c>
      <c r="J4925">
        <v>0</v>
      </c>
      <c r="K4925">
        <v>0</v>
      </c>
      <c r="L4925">
        <v>0</v>
      </c>
      <c r="M4925">
        <v>0</v>
      </c>
      <c r="N4925">
        <v>0</v>
      </c>
      <c r="O4925">
        <v>0</v>
      </c>
      <c r="P4925">
        <v>0</v>
      </c>
      <c r="Q4925">
        <v>7</v>
      </c>
      <c r="R4925">
        <v>0</v>
      </c>
      <c r="S4925">
        <v>0</v>
      </c>
      <c r="T4925">
        <v>0</v>
      </c>
      <c r="U4925">
        <v>0</v>
      </c>
      <c r="V4925">
        <v>0</v>
      </c>
      <c r="W4925">
        <v>7</v>
      </c>
      <c r="X4925">
        <v>0</v>
      </c>
      <c r="Y4925" t="s">
        <v>51</v>
      </c>
      <c r="AA4925">
        <v>0</v>
      </c>
    </row>
    <row r="4926" spans="1:27" x14ac:dyDescent="0.2">
      <c r="A4926" t="s">
        <v>321</v>
      </c>
      <c r="B4926">
        <v>2024</v>
      </c>
      <c r="C4926" t="s">
        <v>6030</v>
      </c>
      <c r="D4926" t="s">
        <v>6031</v>
      </c>
      <c r="E4926" t="s">
        <v>29</v>
      </c>
      <c r="F4926" t="s">
        <v>30</v>
      </c>
      <c r="G4926">
        <v>4</v>
      </c>
      <c r="H4926">
        <v>0</v>
      </c>
      <c r="I4926">
        <v>3</v>
      </c>
      <c r="J4926">
        <v>0</v>
      </c>
      <c r="K4926">
        <v>3</v>
      </c>
      <c r="L4926">
        <v>0</v>
      </c>
      <c r="M4926">
        <v>0</v>
      </c>
      <c r="N4926">
        <v>0</v>
      </c>
      <c r="O4926">
        <v>0</v>
      </c>
      <c r="P4926">
        <v>0</v>
      </c>
      <c r="Q4926">
        <v>0</v>
      </c>
      <c r="R4926">
        <v>0</v>
      </c>
      <c r="S4926">
        <v>0</v>
      </c>
      <c r="T4926">
        <v>0</v>
      </c>
      <c r="U4926">
        <v>0</v>
      </c>
      <c r="V4926">
        <v>0</v>
      </c>
      <c r="W4926">
        <v>0</v>
      </c>
      <c r="X4926">
        <v>0</v>
      </c>
      <c r="Y4926" t="s">
        <v>31</v>
      </c>
      <c r="Z4926">
        <v>55</v>
      </c>
      <c r="AA4926">
        <v>0.19</v>
      </c>
    </row>
    <row r="4927" spans="1:27" x14ac:dyDescent="0.2">
      <c r="A4927" t="s">
        <v>321</v>
      </c>
      <c r="B4927">
        <v>2024</v>
      </c>
      <c r="C4927" s="3">
        <v>24654</v>
      </c>
      <c r="D4927" t="s">
        <v>6032</v>
      </c>
      <c r="E4927" t="s">
        <v>29</v>
      </c>
      <c r="F4927" t="s">
        <v>30</v>
      </c>
      <c r="G4927">
        <v>5</v>
      </c>
      <c r="H4927">
        <v>0</v>
      </c>
      <c r="I4927">
        <v>0</v>
      </c>
      <c r="J4927">
        <v>0</v>
      </c>
      <c r="K4927">
        <v>0</v>
      </c>
      <c r="L4927">
        <v>0</v>
      </c>
      <c r="M4927">
        <v>0</v>
      </c>
      <c r="N4927">
        <v>0</v>
      </c>
      <c r="O4927">
        <v>0</v>
      </c>
      <c r="P4927">
        <v>0</v>
      </c>
      <c r="Q4927">
        <v>0</v>
      </c>
      <c r="R4927">
        <v>0</v>
      </c>
      <c r="S4927">
        <v>0</v>
      </c>
      <c r="T4927">
        <v>0</v>
      </c>
      <c r="U4927">
        <v>0</v>
      </c>
      <c r="V4927">
        <v>0</v>
      </c>
      <c r="W4927">
        <v>0</v>
      </c>
      <c r="X4927">
        <v>0</v>
      </c>
      <c r="Y4927" t="s">
        <v>31</v>
      </c>
      <c r="Z4927">
        <v>55</v>
      </c>
      <c r="AA4927">
        <v>0.5</v>
      </c>
    </row>
    <row r="4928" spans="1:27" x14ac:dyDescent="0.2">
      <c r="A4928" t="s">
        <v>3035</v>
      </c>
      <c r="B4928">
        <v>2024</v>
      </c>
      <c r="C4928" s="2" t="s">
        <v>3212</v>
      </c>
      <c r="D4928" t="s">
        <v>6033</v>
      </c>
      <c r="E4928" t="s">
        <v>29</v>
      </c>
      <c r="F4928" t="s">
        <v>30</v>
      </c>
      <c r="G4928">
        <v>0</v>
      </c>
      <c r="H4928">
        <v>0</v>
      </c>
      <c r="I4928">
        <v>0</v>
      </c>
      <c r="J4928">
        <v>0</v>
      </c>
      <c r="K4928">
        <v>0</v>
      </c>
      <c r="L4928">
        <v>0</v>
      </c>
      <c r="M4928">
        <v>0</v>
      </c>
      <c r="N4928">
        <v>0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0</v>
      </c>
      <c r="U4928">
        <v>27</v>
      </c>
      <c r="V4928">
        <v>0</v>
      </c>
      <c r="W4928">
        <v>0</v>
      </c>
      <c r="X4928">
        <v>0</v>
      </c>
      <c r="Y4928" t="s">
        <v>31</v>
      </c>
      <c r="Z4928">
        <v>99</v>
      </c>
      <c r="AA4928" s="2" t="s">
        <v>3316</v>
      </c>
    </row>
    <row r="4929" spans="1:27" x14ac:dyDescent="0.2">
      <c r="A4929" t="s">
        <v>1241</v>
      </c>
      <c r="B4929">
        <v>2024</v>
      </c>
      <c r="C4929">
        <v>146141072</v>
      </c>
      <c r="D4929" t="s">
        <v>4017</v>
      </c>
      <c r="E4929" t="s">
        <v>29</v>
      </c>
      <c r="F4929" t="s">
        <v>30</v>
      </c>
      <c r="G4929">
        <v>0</v>
      </c>
      <c r="H4929">
        <v>0</v>
      </c>
      <c r="I4929">
        <v>0</v>
      </c>
      <c r="J4929">
        <v>0</v>
      </c>
      <c r="K4929">
        <v>0</v>
      </c>
      <c r="L4929">
        <v>0</v>
      </c>
      <c r="M4929">
        <v>0</v>
      </c>
      <c r="N4929">
        <v>0</v>
      </c>
      <c r="O4929">
        <v>0</v>
      </c>
      <c r="P4929">
        <v>0</v>
      </c>
      <c r="Q4929">
        <v>0</v>
      </c>
      <c r="R4929">
        <v>0</v>
      </c>
      <c r="S4929">
        <v>0</v>
      </c>
      <c r="T4929">
        <v>0</v>
      </c>
      <c r="U4929">
        <v>12</v>
      </c>
      <c r="V4929">
        <v>0</v>
      </c>
      <c r="W4929">
        <v>0</v>
      </c>
      <c r="X4929">
        <v>0</v>
      </c>
      <c r="Y4929" t="s">
        <v>31</v>
      </c>
      <c r="Z4929">
        <v>55</v>
      </c>
      <c r="AA4929">
        <v>0</v>
      </c>
    </row>
    <row r="4930" spans="1:27" x14ac:dyDescent="0.2">
      <c r="A4930" t="s">
        <v>1241</v>
      </c>
      <c r="B4930">
        <v>2024</v>
      </c>
      <c r="C4930">
        <v>146141072</v>
      </c>
      <c r="D4930" t="s">
        <v>4017</v>
      </c>
      <c r="E4930" t="s">
        <v>29</v>
      </c>
      <c r="F4930" t="s">
        <v>30</v>
      </c>
      <c r="G4930">
        <v>0</v>
      </c>
      <c r="H4930">
        <v>0</v>
      </c>
      <c r="I4930">
        <v>0</v>
      </c>
      <c r="J4930">
        <v>0</v>
      </c>
      <c r="K4930">
        <v>0</v>
      </c>
      <c r="L4930">
        <v>0</v>
      </c>
      <c r="M4930">
        <v>0</v>
      </c>
      <c r="N4930">
        <v>0</v>
      </c>
      <c r="O4930">
        <v>0</v>
      </c>
      <c r="P4930">
        <v>0</v>
      </c>
      <c r="Q4930">
        <v>0</v>
      </c>
      <c r="R4930">
        <v>0</v>
      </c>
      <c r="S4930">
        <v>0</v>
      </c>
      <c r="T4930">
        <v>0</v>
      </c>
      <c r="U4930">
        <v>7</v>
      </c>
      <c r="V4930">
        <v>0</v>
      </c>
      <c r="W4930">
        <v>0</v>
      </c>
      <c r="X4930">
        <v>0</v>
      </c>
      <c r="Y4930" t="s">
        <v>31</v>
      </c>
      <c r="Z4930">
        <v>55</v>
      </c>
      <c r="AA4930">
        <v>0</v>
      </c>
    </row>
    <row r="4931" spans="1:27" x14ac:dyDescent="0.2">
      <c r="A4931" t="s">
        <v>547</v>
      </c>
      <c r="B4931">
        <v>2024</v>
      </c>
      <c r="C4931">
        <v>4335008013</v>
      </c>
      <c r="D4931" t="s">
        <v>6034</v>
      </c>
      <c r="E4931" t="s">
        <v>29</v>
      </c>
      <c r="F4931" t="s">
        <v>30</v>
      </c>
      <c r="G4931">
        <v>0</v>
      </c>
      <c r="H4931">
        <v>0</v>
      </c>
      <c r="I4931">
        <v>0</v>
      </c>
      <c r="J4931">
        <v>0</v>
      </c>
      <c r="K4931">
        <v>0</v>
      </c>
      <c r="L4931">
        <v>0</v>
      </c>
      <c r="M4931">
        <v>4</v>
      </c>
      <c r="N4931">
        <v>0</v>
      </c>
      <c r="O4931">
        <v>0</v>
      </c>
      <c r="P4931">
        <v>0</v>
      </c>
      <c r="Q4931">
        <v>0</v>
      </c>
      <c r="R4931">
        <v>0</v>
      </c>
      <c r="S4931">
        <v>4</v>
      </c>
      <c r="T4931">
        <v>0</v>
      </c>
      <c r="U4931">
        <v>0</v>
      </c>
      <c r="V4931">
        <v>0</v>
      </c>
      <c r="W4931">
        <v>0</v>
      </c>
      <c r="X4931">
        <v>0</v>
      </c>
      <c r="Y4931" t="s">
        <v>31</v>
      </c>
      <c r="Z4931">
        <v>55</v>
      </c>
      <c r="AA4931">
        <v>35</v>
      </c>
    </row>
    <row r="4932" spans="1:27" x14ac:dyDescent="0.2">
      <c r="A4932" t="s">
        <v>1045</v>
      </c>
      <c r="B4932">
        <v>2024</v>
      </c>
      <c r="C4932" t="s">
        <v>6035</v>
      </c>
      <c r="D4932" t="s">
        <v>6036</v>
      </c>
      <c r="E4932" t="s">
        <v>29</v>
      </c>
      <c r="F4932" t="s">
        <v>30</v>
      </c>
      <c r="G4932">
        <v>0</v>
      </c>
      <c r="H4932">
        <v>0</v>
      </c>
      <c r="I4932">
        <v>0</v>
      </c>
      <c r="J4932">
        <v>0</v>
      </c>
      <c r="K4932">
        <v>0</v>
      </c>
      <c r="L4932">
        <v>0</v>
      </c>
      <c r="M4932">
        <v>0</v>
      </c>
      <c r="N4932">
        <v>0</v>
      </c>
      <c r="O4932">
        <v>0</v>
      </c>
      <c r="P4932">
        <v>0</v>
      </c>
      <c r="Q4932">
        <v>0</v>
      </c>
      <c r="R4932">
        <v>0</v>
      </c>
      <c r="S4932">
        <v>54</v>
      </c>
      <c r="T4932">
        <v>0</v>
      </c>
      <c r="U4932">
        <v>0</v>
      </c>
      <c r="V4932">
        <v>0</v>
      </c>
      <c r="W4932">
        <v>0</v>
      </c>
      <c r="X4932">
        <v>0</v>
      </c>
      <c r="Y4932" t="s">
        <v>31</v>
      </c>
      <c r="Z4932">
        <v>55</v>
      </c>
      <c r="AA4932">
        <v>1</v>
      </c>
    </row>
    <row r="4933" spans="1:27" x14ac:dyDescent="0.2">
      <c r="A4933" t="s">
        <v>547</v>
      </c>
      <c r="B4933">
        <v>2024</v>
      </c>
      <c r="C4933">
        <v>5545007028</v>
      </c>
      <c r="D4933" t="s">
        <v>6037</v>
      </c>
      <c r="E4933" t="s">
        <v>29</v>
      </c>
      <c r="F4933" t="s">
        <v>30</v>
      </c>
      <c r="G4933">
        <v>0</v>
      </c>
      <c r="H4933">
        <v>0</v>
      </c>
      <c r="I4933">
        <v>0</v>
      </c>
      <c r="J4933">
        <v>0</v>
      </c>
      <c r="K4933">
        <v>0</v>
      </c>
      <c r="L4933">
        <v>0</v>
      </c>
      <c r="M4933">
        <v>14</v>
      </c>
      <c r="N4933">
        <v>0</v>
      </c>
      <c r="O4933">
        <v>0</v>
      </c>
      <c r="P4933">
        <v>0</v>
      </c>
      <c r="Q4933">
        <v>0</v>
      </c>
      <c r="R4933">
        <v>0</v>
      </c>
      <c r="S4933">
        <v>0</v>
      </c>
      <c r="T4933">
        <v>0</v>
      </c>
      <c r="U4933">
        <v>0</v>
      </c>
      <c r="V4933">
        <v>0</v>
      </c>
      <c r="W4933">
        <v>0</v>
      </c>
      <c r="X4933">
        <v>0</v>
      </c>
      <c r="Y4933" t="s">
        <v>31</v>
      </c>
      <c r="Z4933">
        <v>55</v>
      </c>
      <c r="AA4933">
        <v>21</v>
      </c>
    </row>
    <row r="4934" spans="1:27" x14ac:dyDescent="0.2">
      <c r="A4934" t="s">
        <v>514</v>
      </c>
      <c r="B4934">
        <v>2024</v>
      </c>
      <c r="C4934">
        <v>7111600080000</v>
      </c>
      <c r="D4934" t="s">
        <v>6038</v>
      </c>
      <c r="E4934" t="s">
        <v>29</v>
      </c>
      <c r="F4934" t="s">
        <v>30</v>
      </c>
      <c r="G4934">
        <v>13</v>
      </c>
      <c r="H4934">
        <v>0</v>
      </c>
      <c r="I4934">
        <v>38</v>
      </c>
      <c r="J4934">
        <v>0</v>
      </c>
      <c r="K4934">
        <v>1</v>
      </c>
      <c r="L4934">
        <v>0</v>
      </c>
      <c r="M4934">
        <v>0</v>
      </c>
      <c r="N4934">
        <v>0</v>
      </c>
      <c r="O4934">
        <v>0</v>
      </c>
      <c r="P4934">
        <v>0</v>
      </c>
      <c r="Q4934">
        <v>0</v>
      </c>
      <c r="R4934">
        <v>0</v>
      </c>
      <c r="S4934">
        <v>0</v>
      </c>
      <c r="T4934">
        <v>0</v>
      </c>
      <c r="U4934">
        <v>0</v>
      </c>
      <c r="V4934">
        <v>0</v>
      </c>
      <c r="W4934">
        <v>0</v>
      </c>
      <c r="X4934">
        <v>0</v>
      </c>
      <c r="Y4934" t="s">
        <v>31</v>
      </c>
      <c r="AA4934">
        <v>0</v>
      </c>
    </row>
    <row r="4935" spans="1:27" x14ac:dyDescent="0.2">
      <c r="A4935" t="s">
        <v>1667</v>
      </c>
      <c r="B4935">
        <v>2024</v>
      </c>
      <c r="C4935" t="s">
        <v>6039</v>
      </c>
      <c r="D4935" t="s">
        <v>6040</v>
      </c>
      <c r="E4935" t="s">
        <v>29</v>
      </c>
      <c r="F4935" t="s">
        <v>30</v>
      </c>
      <c r="G4935">
        <v>20</v>
      </c>
      <c r="H4935">
        <v>0</v>
      </c>
      <c r="I4935">
        <v>0</v>
      </c>
      <c r="J4935">
        <v>0</v>
      </c>
      <c r="K4935">
        <v>0</v>
      </c>
      <c r="L4935">
        <v>0</v>
      </c>
      <c r="M4935">
        <v>0</v>
      </c>
      <c r="N4935">
        <v>0</v>
      </c>
      <c r="O4935">
        <v>0</v>
      </c>
      <c r="P4935">
        <v>0</v>
      </c>
      <c r="Q4935">
        <v>0</v>
      </c>
      <c r="R4935">
        <v>0</v>
      </c>
      <c r="S4935">
        <v>0</v>
      </c>
      <c r="T4935">
        <v>0</v>
      </c>
      <c r="U4935">
        <v>0</v>
      </c>
      <c r="V4935">
        <v>0</v>
      </c>
      <c r="W4935">
        <v>0</v>
      </c>
      <c r="X4935">
        <v>0</v>
      </c>
      <c r="Y4935" t="s">
        <v>31</v>
      </c>
      <c r="Z4935">
        <v>55</v>
      </c>
      <c r="AA4935">
        <v>2</v>
      </c>
    </row>
    <row r="4936" spans="1:27" x14ac:dyDescent="0.2">
      <c r="A4936" t="s">
        <v>547</v>
      </c>
      <c r="B4936">
        <v>2023</v>
      </c>
      <c r="C4936">
        <v>5543008012</v>
      </c>
      <c r="D4936" t="s">
        <v>2976</v>
      </c>
      <c r="E4936" t="s">
        <v>29</v>
      </c>
      <c r="F4936" t="s">
        <v>30</v>
      </c>
      <c r="G4936">
        <v>0</v>
      </c>
      <c r="H4936">
        <v>0</v>
      </c>
      <c r="I4936">
        <v>0</v>
      </c>
      <c r="J4936">
        <v>0</v>
      </c>
      <c r="K4936">
        <v>0</v>
      </c>
      <c r="L4936">
        <v>0</v>
      </c>
      <c r="M4936">
        <v>24</v>
      </c>
      <c r="N4936">
        <v>0</v>
      </c>
      <c r="O4936">
        <v>0</v>
      </c>
      <c r="P4936">
        <v>0</v>
      </c>
      <c r="Q4936">
        <v>0</v>
      </c>
      <c r="R4936">
        <v>0</v>
      </c>
      <c r="S4936">
        <v>24</v>
      </c>
      <c r="T4936">
        <v>0</v>
      </c>
      <c r="U4936">
        <v>0</v>
      </c>
      <c r="V4936">
        <v>0</v>
      </c>
      <c r="W4936">
        <v>0</v>
      </c>
      <c r="X4936">
        <v>0</v>
      </c>
      <c r="Y4936" t="s">
        <v>31</v>
      </c>
      <c r="Z4936">
        <v>55</v>
      </c>
      <c r="AA4936" s="2" t="s">
        <v>5693</v>
      </c>
    </row>
    <row r="4937" spans="1:27" x14ac:dyDescent="0.2">
      <c r="A4937" t="s">
        <v>547</v>
      </c>
      <c r="B4937">
        <v>2023</v>
      </c>
      <c r="C4937">
        <v>5160009004</v>
      </c>
      <c r="D4937" t="s">
        <v>3051</v>
      </c>
      <c r="E4937" t="s">
        <v>29</v>
      </c>
      <c r="F4937" t="s">
        <v>30</v>
      </c>
      <c r="G4937">
        <v>0</v>
      </c>
      <c r="H4937">
        <v>0</v>
      </c>
      <c r="I4937">
        <v>0</v>
      </c>
      <c r="J4937">
        <v>0</v>
      </c>
      <c r="K4937">
        <v>0</v>
      </c>
      <c r="L4937">
        <v>0</v>
      </c>
      <c r="M4937">
        <v>0</v>
      </c>
      <c r="N4937">
        <v>0</v>
      </c>
      <c r="O4937">
        <v>3</v>
      </c>
      <c r="P4937">
        <v>0</v>
      </c>
      <c r="Q4937">
        <v>0</v>
      </c>
      <c r="R4937">
        <v>0</v>
      </c>
      <c r="S4937">
        <v>0</v>
      </c>
      <c r="T4937">
        <v>0</v>
      </c>
      <c r="U4937">
        <v>3</v>
      </c>
      <c r="V4937">
        <v>0</v>
      </c>
      <c r="W4937">
        <v>0</v>
      </c>
      <c r="X4937">
        <v>0</v>
      </c>
      <c r="Y4937" t="s">
        <v>31</v>
      </c>
      <c r="Z4937">
        <v>55</v>
      </c>
      <c r="AA4937" s="2" t="s">
        <v>3390</v>
      </c>
    </row>
    <row r="4938" spans="1:27" x14ac:dyDescent="0.2">
      <c r="A4938" t="s">
        <v>547</v>
      </c>
      <c r="B4938">
        <v>2023</v>
      </c>
      <c r="C4938">
        <v>2338015002</v>
      </c>
      <c r="D4938" t="s">
        <v>2965</v>
      </c>
      <c r="E4938" t="s">
        <v>29</v>
      </c>
      <c r="F4938" t="s">
        <v>30</v>
      </c>
      <c r="G4938">
        <v>0</v>
      </c>
      <c r="H4938">
        <v>0</v>
      </c>
      <c r="I4938">
        <v>0</v>
      </c>
      <c r="J4938">
        <v>0</v>
      </c>
      <c r="K4938">
        <v>0</v>
      </c>
      <c r="L4938">
        <v>0</v>
      </c>
      <c r="M4938">
        <v>1</v>
      </c>
      <c r="N4938">
        <v>0</v>
      </c>
      <c r="O4938">
        <v>0</v>
      </c>
      <c r="P4938">
        <v>0</v>
      </c>
      <c r="Q4938">
        <v>0</v>
      </c>
      <c r="R4938">
        <v>0</v>
      </c>
      <c r="S4938">
        <v>1</v>
      </c>
      <c r="T4938">
        <v>0</v>
      </c>
      <c r="U4938">
        <v>0</v>
      </c>
      <c r="V4938">
        <v>0</v>
      </c>
      <c r="W4938">
        <v>0</v>
      </c>
      <c r="X4938">
        <v>0</v>
      </c>
      <c r="Y4938" t="s">
        <v>31</v>
      </c>
      <c r="Z4938">
        <v>55</v>
      </c>
      <c r="AA4938" s="2" t="s">
        <v>6041</v>
      </c>
    </row>
    <row r="4939" spans="1:27" x14ac:dyDescent="0.2">
      <c r="A4939" t="s">
        <v>547</v>
      </c>
      <c r="B4939">
        <v>2023</v>
      </c>
      <c r="C4939">
        <v>5532021030</v>
      </c>
      <c r="D4939" t="s">
        <v>6042</v>
      </c>
      <c r="E4939" t="s">
        <v>29</v>
      </c>
      <c r="F4939" t="s">
        <v>30</v>
      </c>
      <c r="G4939">
        <v>0</v>
      </c>
      <c r="H4939">
        <v>0</v>
      </c>
      <c r="I4939">
        <v>0</v>
      </c>
      <c r="J4939">
        <v>0</v>
      </c>
      <c r="K4939">
        <v>0</v>
      </c>
      <c r="L4939">
        <v>0</v>
      </c>
      <c r="M4939">
        <v>0</v>
      </c>
      <c r="N4939">
        <v>0</v>
      </c>
      <c r="O4939">
        <v>0</v>
      </c>
      <c r="P4939">
        <v>0</v>
      </c>
      <c r="Q4939">
        <v>0</v>
      </c>
      <c r="R4939">
        <v>0</v>
      </c>
      <c r="S4939">
        <v>55</v>
      </c>
      <c r="T4939">
        <v>0</v>
      </c>
      <c r="U4939">
        <v>42</v>
      </c>
      <c r="V4939">
        <v>0</v>
      </c>
      <c r="W4939">
        <v>0</v>
      </c>
      <c r="X4939">
        <v>0</v>
      </c>
      <c r="Y4939" t="s">
        <v>31</v>
      </c>
      <c r="Z4939">
        <v>55</v>
      </c>
      <c r="AA4939">
        <v>0</v>
      </c>
    </row>
    <row r="4940" spans="1:27" x14ac:dyDescent="0.2">
      <c r="A4940" t="s">
        <v>547</v>
      </c>
      <c r="B4940">
        <v>2023</v>
      </c>
      <c r="C4940">
        <v>4254024038</v>
      </c>
      <c r="D4940" t="s">
        <v>6043</v>
      </c>
      <c r="E4940" t="s">
        <v>29</v>
      </c>
      <c r="F4940" t="s">
        <v>30</v>
      </c>
      <c r="G4940">
        <v>0</v>
      </c>
      <c r="H4940">
        <v>0</v>
      </c>
      <c r="I4940">
        <v>0</v>
      </c>
      <c r="J4940">
        <v>0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0</v>
      </c>
      <c r="R4940">
        <v>0</v>
      </c>
      <c r="S4940">
        <v>4</v>
      </c>
      <c r="T4940">
        <v>0</v>
      </c>
      <c r="U4940">
        <v>0</v>
      </c>
      <c r="V4940">
        <v>0</v>
      </c>
      <c r="W4940">
        <v>0</v>
      </c>
      <c r="X4940">
        <v>0</v>
      </c>
      <c r="Y4940" t="s">
        <v>31</v>
      </c>
      <c r="Z4940">
        <v>55</v>
      </c>
      <c r="AA4940" s="2" t="s">
        <v>6044</v>
      </c>
    </row>
    <row r="4941" spans="1:27" x14ac:dyDescent="0.2">
      <c r="A4941" t="s">
        <v>6045</v>
      </c>
      <c r="B4941">
        <v>2024</v>
      </c>
      <c r="C4941" s="2" t="s">
        <v>6046</v>
      </c>
      <c r="D4941" t="s">
        <v>6047</v>
      </c>
      <c r="E4941" t="s">
        <v>29</v>
      </c>
      <c r="F4941" t="s">
        <v>30</v>
      </c>
      <c r="G4941">
        <v>1</v>
      </c>
      <c r="H4941">
        <v>0</v>
      </c>
      <c r="I4941">
        <v>4</v>
      </c>
      <c r="J4941">
        <v>0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  <c r="Q4941">
        <v>0</v>
      </c>
      <c r="R4941">
        <v>0</v>
      </c>
      <c r="S4941">
        <v>0</v>
      </c>
      <c r="T4941">
        <v>0</v>
      </c>
      <c r="U4941">
        <v>0</v>
      </c>
      <c r="V4941">
        <v>0</v>
      </c>
      <c r="W4941">
        <v>0</v>
      </c>
      <c r="X4941">
        <v>0</v>
      </c>
      <c r="Y4941" t="s">
        <v>31</v>
      </c>
      <c r="Z4941">
        <v>45</v>
      </c>
      <c r="AA4941">
        <v>0</v>
      </c>
    </row>
    <row r="4942" spans="1:27" x14ac:dyDescent="0.2">
      <c r="A4942" t="s">
        <v>547</v>
      </c>
      <c r="B4942">
        <v>2023</v>
      </c>
      <c r="C4942">
        <v>2149002032</v>
      </c>
      <c r="D4942" t="s">
        <v>6048</v>
      </c>
      <c r="E4942" t="s">
        <v>29</v>
      </c>
      <c r="F4942" t="s">
        <v>30</v>
      </c>
      <c r="G4942">
        <v>0</v>
      </c>
      <c r="H4942">
        <v>0</v>
      </c>
      <c r="I4942">
        <v>238</v>
      </c>
      <c r="J4942">
        <v>0</v>
      </c>
      <c r="K4942">
        <v>59</v>
      </c>
      <c r="L4942">
        <v>0</v>
      </c>
      <c r="M4942">
        <v>0</v>
      </c>
      <c r="N4942">
        <v>0</v>
      </c>
      <c r="O4942">
        <v>137</v>
      </c>
      <c r="P4942">
        <v>0</v>
      </c>
      <c r="Q4942">
        <v>34</v>
      </c>
      <c r="R4942">
        <v>0</v>
      </c>
      <c r="S4942">
        <v>0</v>
      </c>
      <c r="T4942">
        <v>0</v>
      </c>
      <c r="U4942">
        <v>0</v>
      </c>
      <c r="V4942">
        <v>0</v>
      </c>
      <c r="W4942">
        <v>0</v>
      </c>
      <c r="X4942">
        <v>0</v>
      </c>
      <c r="Y4942" t="s">
        <v>31</v>
      </c>
      <c r="Z4942">
        <v>55</v>
      </c>
      <c r="AA4942">
        <v>0</v>
      </c>
    </row>
    <row r="4943" spans="1:27" x14ac:dyDescent="0.2">
      <c r="A4943" t="s">
        <v>547</v>
      </c>
      <c r="B4943">
        <v>2024</v>
      </c>
      <c r="C4943">
        <v>2669006004</v>
      </c>
      <c r="D4943" t="s">
        <v>6049</v>
      </c>
      <c r="E4943" t="s">
        <v>29</v>
      </c>
      <c r="F4943" t="s">
        <v>30</v>
      </c>
      <c r="G4943">
        <v>0</v>
      </c>
      <c r="H4943">
        <v>0</v>
      </c>
      <c r="I4943">
        <v>10</v>
      </c>
      <c r="J4943">
        <v>0</v>
      </c>
      <c r="K4943">
        <v>3</v>
      </c>
      <c r="L4943">
        <v>0</v>
      </c>
      <c r="M4943">
        <v>1</v>
      </c>
      <c r="N4943">
        <v>0</v>
      </c>
      <c r="O4943">
        <v>11</v>
      </c>
      <c r="P4943">
        <v>0</v>
      </c>
      <c r="Q4943">
        <v>2</v>
      </c>
      <c r="R4943">
        <v>0</v>
      </c>
      <c r="S4943">
        <v>0</v>
      </c>
      <c r="T4943">
        <v>0</v>
      </c>
      <c r="U4943">
        <v>0</v>
      </c>
      <c r="V4943">
        <v>0</v>
      </c>
      <c r="W4943">
        <v>0</v>
      </c>
      <c r="X4943">
        <v>0</v>
      </c>
      <c r="Y4943" t="s">
        <v>31</v>
      </c>
      <c r="Z4943">
        <v>55</v>
      </c>
      <c r="AA4943">
        <v>40</v>
      </c>
    </row>
    <row r="4944" spans="1:27" x14ac:dyDescent="0.2">
      <c r="A4944" t="s">
        <v>1075</v>
      </c>
      <c r="B4944">
        <v>2024</v>
      </c>
      <c r="C4944" t="s">
        <v>2291</v>
      </c>
      <c r="D4944" t="s">
        <v>6050</v>
      </c>
      <c r="E4944" t="s">
        <v>29</v>
      </c>
      <c r="F4944" t="s">
        <v>30</v>
      </c>
      <c r="G4944">
        <v>0</v>
      </c>
      <c r="H4944">
        <v>0</v>
      </c>
      <c r="I4944">
        <v>0</v>
      </c>
      <c r="J4944">
        <v>0</v>
      </c>
      <c r="K4944">
        <v>0</v>
      </c>
      <c r="L4944">
        <v>0</v>
      </c>
      <c r="M4944">
        <v>0</v>
      </c>
      <c r="N4944">
        <v>0</v>
      </c>
      <c r="O4944">
        <v>0</v>
      </c>
      <c r="P4944">
        <v>0</v>
      </c>
      <c r="Q4944">
        <v>0</v>
      </c>
      <c r="R4944">
        <v>0</v>
      </c>
      <c r="S4944">
        <v>7</v>
      </c>
      <c r="T4944">
        <v>0</v>
      </c>
      <c r="U4944">
        <v>5</v>
      </c>
      <c r="V4944">
        <v>0</v>
      </c>
      <c r="W4944">
        <v>0</v>
      </c>
      <c r="X4944">
        <v>0</v>
      </c>
      <c r="Y4944" t="s">
        <v>31</v>
      </c>
      <c r="Z4944">
        <v>55</v>
      </c>
      <c r="AA4944" s="2" t="s">
        <v>5536</v>
      </c>
    </row>
    <row r="4945" spans="1:27" x14ac:dyDescent="0.2">
      <c r="A4945" t="s">
        <v>876</v>
      </c>
      <c r="B4945">
        <v>2024</v>
      </c>
      <c r="C4945">
        <v>41202003</v>
      </c>
      <c r="D4945" t="s">
        <v>6051</v>
      </c>
      <c r="E4945" t="s">
        <v>29</v>
      </c>
      <c r="F4945" t="s">
        <v>30</v>
      </c>
      <c r="G4945">
        <v>23</v>
      </c>
      <c r="H4945">
        <v>0</v>
      </c>
      <c r="I4945">
        <v>66</v>
      </c>
      <c r="J4945">
        <v>0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  <c r="Q4945">
        <v>0</v>
      </c>
      <c r="R4945">
        <v>0</v>
      </c>
      <c r="S4945">
        <v>0</v>
      </c>
      <c r="T4945">
        <v>0</v>
      </c>
      <c r="U4945">
        <v>0</v>
      </c>
      <c r="V4945">
        <v>0</v>
      </c>
      <c r="W4945">
        <v>0</v>
      </c>
      <c r="X4945">
        <v>0</v>
      </c>
      <c r="Y4945" t="s">
        <v>31</v>
      </c>
      <c r="Z4945">
        <v>55</v>
      </c>
      <c r="AA4945">
        <v>0</v>
      </c>
    </row>
    <row r="4946" spans="1:27" x14ac:dyDescent="0.2">
      <c r="A4946" t="s">
        <v>876</v>
      </c>
      <c r="B4946">
        <v>2024</v>
      </c>
      <c r="C4946">
        <v>41208061</v>
      </c>
      <c r="D4946" t="s">
        <v>1096</v>
      </c>
      <c r="E4946" t="s">
        <v>29</v>
      </c>
      <c r="F4946" t="s">
        <v>41</v>
      </c>
      <c r="G4946">
        <v>0</v>
      </c>
      <c r="H4946">
        <v>0</v>
      </c>
      <c r="I4946">
        <v>0</v>
      </c>
      <c r="J4946">
        <v>0</v>
      </c>
      <c r="K4946">
        <v>0</v>
      </c>
      <c r="L4946">
        <v>0</v>
      </c>
      <c r="M4946">
        <v>1</v>
      </c>
      <c r="N4946">
        <v>0</v>
      </c>
      <c r="O4946">
        <v>0</v>
      </c>
      <c r="P4946">
        <v>0</v>
      </c>
      <c r="Q4946">
        <v>0</v>
      </c>
      <c r="R4946">
        <v>0</v>
      </c>
      <c r="S4946">
        <v>1</v>
      </c>
      <c r="T4946">
        <v>0</v>
      </c>
      <c r="U4946">
        <v>0</v>
      </c>
      <c r="V4946">
        <v>0</v>
      </c>
      <c r="W4946">
        <v>0</v>
      </c>
      <c r="X4946">
        <v>0</v>
      </c>
      <c r="Y4946" t="s">
        <v>51</v>
      </c>
      <c r="Z4946">
        <v>45</v>
      </c>
      <c r="AA4946">
        <v>0</v>
      </c>
    </row>
    <row r="4947" spans="1:27" x14ac:dyDescent="0.2">
      <c r="A4947" t="s">
        <v>876</v>
      </c>
      <c r="B4947">
        <v>2024</v>
      </c>
      <c r="C4947">
        <v>41208061</v>
      </c>
      <c r="D4947" t="s">
        <v>1160</v>
      </c>
      <c r="E4947" t="s">
        <v>29</v>
      </c>
      <c r="F4947" t="s">
        <v>41</v>
      </c>
      <c r="G4947">
        <v>0</v>
      </c>
      <c r="H4947">
        <v>0</v>
      </c>
      <c r="I4947">
        <v>0</v>
      </c>
      <c r="J4947">
        <v>0</v>
      </c>
      <c r="K4947">
        <v>0</v>
      </c>
      <c r="L4947">
        <v>0</v>
      </c>
      <c r="M4947">
        <v>0</v>
      </c>
      <c r="N4947">
        <v>0</v>
      </c>
      <c r="O4947">
        <v>0</v>
      </c>
      <c r="P4947">
        <v>0</v>
      </c>
      <c r="Q4947">
        <v>1</v>
      </c>
      <c r="R4947">
        <v>0</v>
      </c>
      <c r="S4947">
        <v>0</v>
      </c>
      <c r="T4947">
        <v>0</v>
      </c>
      <c r="U4947">
        <v>0</v>
      </c>
      <c r="V4947">
        <v>0</v>
      </c>
      <c r="W4947">
        <v>1</v>
      </c>
      <c r="X4947">
        <v>0</v>
      </c>
      <c r="Y4947" t="s">
        <v>51</v>
      </c>
      <c r="Z4947">
        <v>45</v>
      </c>
      <c r="AA4947">
        <v>0</v>
      </c>
    </row>
    <row r="4948" spans="1:27" x14ac:dyDescent="0.2">
      <c r="A4948" t="s">
        <v>587</v>
      </c>
      <c r="B4948">
        <v>2024</v>
      </c>
      <c r="C4948" t="s">
        <v>588</v>
      </c>
      <c r="D4948" t="s">
        <v>589</v>
      </c>
      <c r="E4948" t="s">
        <v>29</v>
      </c>
      <c r="F4948" t="s">
        <v>41</v>
      </c>
      <c r="G4948">
        <v>2</v>
      </c>
      <c r="H4948">
        <v>0</v>
      </c>
      <c r="I4948">
        <v>0</v>
      </c>
      <c r="J4948">
        <v>0</v>
      </c>
      <c r="K4948">
        <v>2</v>
      </c>
      <c r="L4948">
        <v>0</v>
      </c>
      <c r="M4948">
        <v>2</v>
      </c>
      <c r="N4948">
        <v>0</v>
      </c>
      <c r="O4948">
        <v>0</v>
      </c>
      <c r="P4948">
        <v>0</v>
      </c>
      <c r="Q4948">
        <v>2</v>
      </c>
      <c r="R4948">
        <v>0</v>
      </c>
      <c r="S4948">
        <v>0</v>
      </c>
      <c r="T4948">
        <v>0</v>
      </c>
      <c r="U4948">
        <v>0</v>
      </c>
      <c r="V4948">
        <v>0</v>
      </c>
      <c r="W4948">
        <v>0</v>
      </c>
      <c r="X4948">
        <v>0</v>
      </c>
      <c r="Y4948" t="s">
        <v>51</v>
      </c>
      <c r="Z4948">
        <v>45</v>
      </c>
      <c r="AA4948">
        <v>0</v>
      </c>
    </row>
    <row r="4949" spans="1:27" x14ac:dyDescent="0.2">
      <c r="A4949" t="s">
        <v>27</v>
      </c>
      <c r="B4949">
        <v>2024</v>
      </c>
      <c r="C4949">
        <v>7209022008</v>
      </c>
      <c r="D4949" t="s">
        <v>6052</v>
      </c>
      <c r="E4949" t="s">
        <v>29</v>
      </c>
      <c r="F4949" t="s">
        <v>30</v>
      </c>
      <c r="G4949">
        <v>5</v>
      </c>
      <c r="H4949">
        <v>0</v>
      </c>
      <c r="I4949">
        <v>35</v>
      </c>
      <c r="J4949">
        <v>0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  <c r="Q4949">
        <v>0</v>
      </c>
      <c r="R4949">
        <v>0</v>
      </c>
      <c r="S4949">
        <v>0</v>
      </c>
      <c r="T4949">
        <v>0</v>
      </c>
      <c r="U4949">
        <v>0</v>
      </c>
      <c r="V4949">
        <v>0</v>
      </c>
      <c r="W4949">
        <v>0</v>
      </c>
      <c r="X4949">
        <v>0</v>
      </c>
      <c r="Y4949" t="s">
        <v>31</v>
      </c>
      <c r="Z4949">
        <v>55</v>
      </c>
      <c r="AA4949">
        <v>1</v>
      </c>
    </row>
    <row r="4950" spans="1:27" x14ac:dyDescent="0.2">
      <c r="A4950" t="s">
        <v>27</v>
      </c>
      <c r="B4950">
        <v>2024</v>
      </c>
      <c r="C4950">
        <v>7210013029</v>
      </c>
      <c r="D4950" t="s">
        <v>6053</v>
      </c>
      <c r="E4950" t="s">
        <v>29</v>
      </c>
      <c r="F4950" t="s">
        <v>30</v>
      </c>
      <c r="G4950">
        <v>0</v>
      </c>
      <c r="H4950">
        <v>0</v>
      </c>
      <c r="I4950">
        <v>0</v>
      </c>
      <c r="J4950">
        <v>0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0</v>
      </c>
      <c r="R4950">
        <v>0</v>
      </c>
      <c r="S4950">
        <v>34</v>
      </c>
      <c r="T4950">
        <v>0</v>
      </c>
      <c r="U4950">
        <v>33</v>
      </c>
      <c r="V4950">
        <v>0</v>
      </c>
      <c r="W4950">
        <v>0</v>
      </c>
      <c r="X4950">
        <v>0</v>
      </c>
      <c r="Y4950" t="s">
        <v>31</v>
      </c>
      <c r="Z4950">
        <v>55</v>
      </c>
      <c r="AA4950">
        <v>0</v>
      </c>
    </row>
    <row r="4951" spans="1:27" x14ac:dyDescent="0.2">
      <c r="A4951" t="s">
        <v>547</v>
      </c>
      <c r="B4951">
        <v>2024</v>
      </c>
      <c r="C4951">
        <v>5547004048</v>
      </c>
      <c r="D4951" t="s">
        <v>743</v>
      </c>
      <c r="E4951" t="s">
        <v>29</v>
      </c>
      <c r="F4951" t="s">
        <v>30</v>
      </c>
      <c r="G4951">
        <v>0</v>
      </c>
      <c r="H4951">
        <v>0</v>
      </c>
      <c r="I4951">
        <v>0</v>
      </c>
      <c r="J4951">
        <v>0</v>
      </c>
      <c r="K4951">
        <v>0</v>
      </c>
      <c r="L4951">
        <v>0</v>
      </c>
      <c r="M4951">
        <v>21</v>
      </c>
      <c r="N4951">
        <v>0</v>
      </c>
      <c r="O4951">
        <v>0</v>
      </c>
      <c r="P4951">
        <v>0</v>
      </c>
      <c r="Q4951">
        <v>0</v>
      </c>
      <c r="R4951">
        <v>0</v>
      </c>
      <c r="S4951">
        <v>21</v>
      </c>
      <c r="T4951">
        <v>0</v>
      </c>
      <c r="U4951">
        <v>0</v>
      </c>
      <c r="V4951">
        <v>0</v>
      </c>
      <c r="W4951">
        <v>0</v>
      </c>
      <c r="X4951">
        <v>0</v>
      </c>
      <c r="Y4951" t="s">
        <v>31</v>
      </c>
      <c r="Z4951">
        <v>55</v>
      </c>
      <c r="AA4951">
        <v>175</v>
      </c>
    </row>
    <row r="4952" spans="1:27" x14ac:dyDescent="0.2">
      <c r="A4952" t="s">
        <v>547</v>
      </c>
      <c r="B4952">
        <v>2024</v>
      </c>
      <c r="C4952">
        <v>4234015028</v>
      </c>
      <c r="D4952" t="s">
        <v>6054</v>
      </c>
      <c r="E4952" t="s">
        <v>29</v>
      </c>
      <c r="F4952" t="s">
        <v>30</v>
      </c>
      <c r="G4952">
        <v>0</v>
      </c>
      <c r="H4952">
        <v>0</v>
      </c>
      <c r="I4952">
        <v>0</v>
      </c>
      <c r="J4952">
        <v>0</v>
      </c>
      <c r="K4952">
        <v>0</v>
      </c>
      <c r="L4952">
        <v>0</v>
      </c>
      <c r="M4952">
        <v>4</v>
      </c>
      <c r="N4952">
        <v>0</v>
      </c>
      <c r="O4952">
        <v>0</v>
      </c>
      <c r="P4952">
        <v>0</v>
      </c>
      <c r="Q4952">
        <v>0</v>
      </c>
      <c r="R4952">
        <v>0</v>
      </c>
      <c r="S4952">
        <v>4</v>
      </c>
      <c r="T4952">
        <v>0</v>
      </c>
      <c r="U4952">
        <v>0</v>
      </c>
      <c r="V4952">
        <v>0</v>
      </c>
      <c r="W4952">
        <v>0</v>
      </c>
      <c r="X4952">
        <v>0</v>
      </c>
      <c r="Y4952" t="s">
        <v>31</v>
      </c>
      <c r="Z4952">
        <v>35</v>
      </c>
      <c r="AA4952">
        <v>35</v>
      </c>
    </row>
    <row r="4953" spans="1:27" x14ac:dyDescent="0.2">
      <c r="A4953" t="s">
        <v>547</v>
      </c>
      <c r="B4953">
        <v>2024</v>
      </c>
      <c r="C4953">
        <v>2353002012</v>
      </c>
      <c r="D4953" t="s">
        <v>2351</v>
      </c>
      <c r="E4953" t="s">
        <v>29</v>
      </c>
      <c r="F4953" t="s">
        <v>30</v>
      </c>
      <c r="G4953">
        <v>0</v>
      </c>
      <c r="H4953">
        <v>0</v>
      </c>
      <c r="I4953">
        <v>0</v>
      </c>
      <c r="J4953">
        <v>0</v>
      </c>
      <c r="K4953">
        <v>0</v>
      </c>
      <c r="L4953">
        <v>0</v>
      </c>
      <c r="M4953">
        <v>3</v>
      </c>
      <c r="N4953">
        <v>0</v>
      </c>
      <c r="O4953">
        <v>0</v>
      </c>
      <c r="P4953">
        <v>0</v>
      </c>
      <c r="Q4953">
        <v>0</v>
      </c>
      <c r="R4953">
        <v>0</v>
      </c>
      <c r="S4953">
        <v>3</v>
      </c>
      <c r="T4953">
        <v>0</v>
      </c>
      <c r="U4953">
        <v>0</v>
      </c>
      <c r="V4953">
        <v>0</v>
      </c>
      <c r="W4953">
        <v>0</v>
      </c>
      <c r="X4953">
        <v>0</v>
      </c>
      <c r="Y4953" t="s">
        <v>31</v>
      </c>
      <c r="Z4953">
        <v>55</v>
      </c>
      <c r="AA4953">
        <v>35</v>
      </c>
    </row>
    <row r="4954" spans="1:27" x14ac:dyDescent="0.2">
      <c r="A4954" t="s">
        <v>27</v>
      </c>
      <c r="B4954">
        <v>2024</v>
      </c>
      <c r="C4954">
        <v>7273014008</v>
      </c>
      <c r="D4954" t="s">
        <v>6055</v>
      </c>
      <c r="E4954" t="s">
        <v>29</v>
      </c>
      <c r="F4954" t="s">
        <v>30</v>
      </c>
      <c r="G4954">
        <v>16</v>
      </c>
      <c r="H4954">
        <v>0</v>
      </c>
      <c r="I4954">
        <v>0</v>
      </c>
      <c r="J4954">
        <v>0</v>
      </c>
      <c r="K4954">
        <v>0</v>
      </c>
      <c r="L4954">
        <v>0</v>
      </c>
      <c r="M4954">
        <v>0</v>
      </c>
      <c r="N4954">
        <v>0</v>
      </c>
      <c r="O4954">
        <v>0</v>
      </c>
      <c r="P4954">
        <v>0</v>
      </c>
      <c r="Q4954">
        <v>0</v>
      </c>
      <c r="R4954">
        <v>0</v>
      </c>
      <c r="S4954">
        <v>0</v>
      </c>
      <c r="T4954">
        <v>0</v>
      </c>
      <c r="U4954">
        <v>0</v>
      </c>
      <c r="V4954">
        <v>0</v>
      </c>
      <c r="W4954">
        <v>0</v>
      </c>
      <c r="X4954">
        <v>0</v>
      </c>
      <c r="Y4954" t="s">
        <v>51</v>
      </c>
      <c r="AA4954">
        <v>0</v>
      </c>
    </row>
    <row r="4955" spans="1:27" x14ac:dyDescent="0.2">
      <c r="A4955" t="s">
        <v>27</v>
      </c>
      <c r="B4955">
        <v>2024</v>
      </c>
      <c r="C4955">
        <v>7269026001</v>
      </c>
      <c r="D4955" t="s">
        <v>6056</v>
      </c>
      <c r="E4955" t="s">
        <v>29</v>
      </c>
      <c r="F4955" t="s">
        <v>30</v>
      </c>
      <c r="G4955">
        <v>0</v>
      </c>
      <c r="H4955">
        <v>0</v>
      </c>
      <c r="I4955">
        <v>0</v>
      </c>
      <c r="J4955">
        <v>0</v>
      </c>
      <c r="K4955">
        <v>0</v>
      </c>
      <c r="L4955">
        <v>0</v>
      </c>
      <c r="M4955">
        <v>18</v>
      </c>
      <c r="N4955">
        <v>0</v>
      </c>
      <c r="O4955">
        <v>143</v>
      </c>
      <c r="P4955">
        <v>0</v>
      </c>
      <c r="Q4955">
        <v>0</v>
      </c>
      <c r="R4955">
        <v>0</v>
      </c>
      <c r="S4955">
        <v>0</v>
      </c>
      <c r="T4955">
        <v>0</v>
      </c>
      <c r="U4955">
        <v>0</v>
      </c>
      <c r="V4955">
        <v>0</v>
      </c>
      <c r="W4955">
        <v>0</v>
      </c>
      <c r="X4955">
        <v>0</v>
      </c>
      <c r="Y4955" t="s">
        <v>31</v>
      </c>
      <c r="Z4955">
        <v>55</v>
      </c>
      <c r="AA4955">
        <v>0</v>
      </c>
    </row>
    <row r="4956" spans="1:27" x14ac:dyDescent="0.2">
      <c r="A4956" t="s">
        <v>1165</v>
      </c>
      <c r="B4956">
        <v>2024</v>
      </c>
      <c r="C4956" t="s">
        <v>6057</v>
      </c>
      <c r="D4956" t="s">
        <v>6058</v>
      </c>
      <c r="E4956" t="s">
        <v>29</v>
      </c>
      <c r="F4956" t="s">
        <v>41</v>
      </c>
      <c r="G4956">
        <v>0</v>
      </c>
      <c r="H4956">
        <v>0</v>
      </c>
      <c r="I4956">
        <v>0</v>
      </c>
      <c r="J4956">
        <v>0</v>
      </c>
      <c r="K4956">
        <v>2</v>
      </c>
      <c r="L4956">
        <v>0</v>
      </c>
      <c r="M4956">
        <v>0</v>
      </c>
      <c r="N4956">
        <v>0</v>
      </c>
      <c r="O4956">
        <v>0</v>
      </c>
      <c r="P4956">
        <v>0</v>
      </c>
      <c r="Q4956">
        <v>0</v>
      </c>
      <c r="R4956">
        <v>0</v>
      </c>
      <c r="S4956">
        <v>0</v>
      </c>
      <c r="T4956">
        <v>0</v>
      </c>
      <c r="U4956">
        <v>0</v>
      </c>
      <c r="V4956">
        <v>0</v>
      </c>
      <c r="W4956">
        <v>0</v>
      </c>
      <c r="X4956">
        <v>0</v>
      </c>
      <c r="Y4956" t="s">
        <v>31</v>
      </c>
      <c r="Z4956">
        <v>55</v>
      </c>
      <c r="AA4956" s="2" t="s">
        <v>2716</v>
      </c>
    </row>
    <row r="4957" spans="1:27" x14ac:dyDescent="0.2">
      <c r="A4957" t="s">
        <v>3785</v>
      </c>
      <c r="B4957">
        <v>2024</v>
      </c>
      <c r="C4957" t="s">
        <v>3786</v>
      </c>
      <c r="D4957" t="s">
        <v>6059</v>
      </c>
      <c r="E4957" t="s">
        <v>29</v>
      </c>
      <c r="F4957" t="s">
        <v>30</v>
      </c>
      <c r="G4957">
        <v>0</v>
      </c>
      <c r="H4957">
        <v>24</v>
      </c>
      <c r="I4957">
        <v>0</v>
      </c>
      <c r="J4957">
        <v>0</v>
      </c>
      <c r="K4957">
        <v>0</v>
      </c>
      <c r="L4957">
        <v>0</v>
      </c>
      <c r="M4957">
        <v>0</v>
      </c>
      <c r="N4957">
        <v>24</v>
      </c>
      <c r="O4957">
        <v>0</v>
      </c>
      <c r="P4957">
        <v>0</v>
      </c>
      <c r="Q4957">
        <v>0</v>
      </c>
      <c r="R4957">
        <v>0</v>
      </c>
      <c r="S4957">
        <v>0</v>
      </c>
      <c r="T4957">
        <v>24</v>
      </c>
      <c r="U4957">
        <v>0</v>
      </c>
      <c r="V4957">
        <v>0</v>
      </c>
      <c r="W4957">
        <v>0</v>
      </c>
      <c r="X4957">
        <v>0</v>
      </c>
      <c r="Y4957" t="s">
        <v>31</v>
      </c>
      <c r="Z4957">
        <v>55</v>
      </c>
      <c r="AA4957">
        <v>0</v>
      </c>
    </row>
    <row r="4958" spans="1:27" x14ac:dyDescent="0.2">
      <c r="A4958" t="s">
        <v>959</v>
      </c>
      <c r="B4958">
        <v>2024</v>
      </c>
      <c r="C4958">
        <v>6102006013</v>
      </c>
      <c r="D4958" t="s">
        <v>6060</v>
      </c>
      <c r="E4958" t="s">
        <v>29</v>
      </c>
      <c r="F4958" t="s">
        <v>30</v>
      </c>
      <c r="G4958">
        <v>0</v>
      </c>
      <c r="H4958">
        <v>0</v>
      </c>
      <c r="I4958">
        <v>0</v>
      </c>
      <c r="J4958">
        <v>0</v>
      </c>
      <c r="K4958">
        <v>0</v>
      </c>
      <c r="L4958">
        <v>0</v>
      </c>
      <c r="M4958">
        <v>7</v>
      </c>
      <c r="N4958">
        <v>0</v>
      </c>
      <c r="O4958">
        <v>0</v>
      </c>
      <c r="P4958">
        <v>0</v>
      </c>
      <c r="Q4958">
        <v>0</v>
      </c>
      <c r="R4958">
        <v>0</v>
      </c>
      <c r="S4958">
        <v>0</v>
      </c>
      <c r="T4958">
        <v>0</v>
      </c>
      <c r="U4958">
        <v>0</v>
      </c>
      <c r="V4958">
        <v>0</v>
      </c>
      <c r="W4958">
        <v>0</v>
      </c>
      <c r="X4958">
        <v>0</v>
      </c>
      <c r="Y4958" t="s">
        <v>31</v>
      </c>
      <c r="AA4958">
        <v>0.25</v>
      </c>
    </row>
    <row r="4959" spans="1:27" x14ac:dyDescent="0.2">
      <c r="A4959" t="s">
        <v>3785</v>
      </c>
      <c r="B4959">
        <v>2024</v>
      </c>
      <c r="C4959" t="s">
        <v>3786</v>
      </c>
      <c r="D4959" t="s">
        <v>6061</v>
      </c>
      <c r="E4959" t="s">
        <v>29</v>
      </c>
      <c r="F4959" t="s">
        <v>30</v>
      </c>
      <c r="G4959">
        <v>0</v>
      </c>
      <c r="H4959">
        <v>24</v>
      </c>
      <c r="I4959">
        <v>0</v>
      </c>
      <c r="J4959">
        <v>0</v>
      </c>
      <c r="K4959">
        <v>0</v>
      </c>
      <c r="L4959">
        <v>0</v>
      </c>
      <c r="M4959">
        <v>0</v>
      </c>
      <c r="N4959">
        <v>24</v>
      </c>
      <c r="O4959">
        <v>0</v>
      </c>
      <c r="P4959">
        <v>0</v>
      </c>
      <c r="Q4959">
        <v>0</v>
      </c>
      <c r="R4959">
        <v>0</v>
      </c>
      <c r="S4959">
        <v>0</v>
      </c>
      <c r="T4959">
        <v>24</v>
      </c>
      <c r="U4959">
        <v>0</v>
      </c>
      <c r="V4959">
        <v>0</v>
      </c>
      <c r="W4959">
        <v>0</v>
      </c>
      <c r="X4959">
        <v>0</v>
      </c>
      <c r="Y4959" t="s">
        <v>31</v>
      </c>
      <c r="Z4959">
        <v>55</v>
      </c>
      <c r="AA4959">
        <v>0</v>
      </c>
    </row>
    <row r="4960" spans="1:27" x14ac:dyDescent="0.2">
      <c r="A4960" t="s">
        <v>349</v>
      </c>
      <c r="B4960">
        <v>2024</v>
      </c>
      <c r="C4960" t="s">
        <v>350</v>
      </c>
      <c r="D4960" t="s">
        <v>351</v>
      </c>
      <c r="E4960" t="s">
        <v>29</v>
      </c>
      <c r="F4960" t="s">
        <v>30</v>
      </c>
      <c r="G4960">
        <v>25</v>
      </c>
      <c r="H4960">
        <v>0</v>
      </c>
      <c r="I4960">
        <v>10</v>
      </c>
      <c r="J4960">
        <v>0</v>
      </c>
      <c r="K4960">
        <v>0</v>
      </c>
      <c r="L4960">
        <v>0</v>
      </c>
      <c r="M4960">
        <v>25</v>
      </c>
      <c r="N4960">
        <v>0</v>
      </c>
      <c r="O4960">
        <v>10</v>
      </c>
      <c r="P4960">
        <v>0</v>
      </c>
      <c r="Q4960">
        <v>0</v>
      </c>
      <c r="R4960">
        <v>0</v>
      </c>
      <c r="S4960">
        <v>0</v>
      </c>
      <c r="T4960">
        <v>0</v>
      </c>
      <c r="U4960">
        <v>0</v>
      </c>
      <c r="V4960">
        <v>0</v>
      </c>
      <c r="W4960">
        <v>0</v>
      </c>
      <c r="X4960">
        <v>0</v>
      </c>
      <c r="Y4960" t="s">
        <v>51</v>
      </c>
      <c r="AA4960">
        <v>0</v>
      </c>
    </row>
    <row r="4961" spans="1:27" x14ac:dyDescent="0.2">
      <c r="A4961" t="s">
        <v>547</v>
      </c>
      <c r="B4961">
        <v>2023</v>
      </c>
      <c r="C4961">
        <v>5093023014</v>
      </c>
      <c r="D4961" t="s">
        <v>6062</v>
      </c>
      <c r="E4961" t="s">
        <v>29</v>
      </c>
      <c r="F4961" t="s">
        <v>30</v>
      </c>
      <c r="G4961">
        <v>9</v>
      </c>
      <c r="H4961">
        <v>0</v>
      </c>
      <c r="I4961">
        <v>108</v>
      </c>
      <c r="J4961">
        <v>0</v>
      </c>
      <c r="K4961">
        <v>27</v>
      </c>
      <c r="L4961">
        <v>0</v>
      </c>
      <c r="M4961">
        <v>0</v>
      </c>
      <c r="N4961">
        <v>0</v>
      </c>
      <c r="O4961">
        <v>0</v>
      </c>
      <c r="P4961">
        <v>0</v>
      </c>
      <c r="Q4961">
        <v>0</v>
      </c>
      <c r="R4961">
        <v>0</v>
      </c>
      <c r="S4961">
        <v>0</v>
      </c>
      <c r="T4961">
        <v>0</v>
      </c>
      <c r="U4961">
        <v>0</v>
      </c>
      <c r="V4961">
        <v>0</v>
      </c>
      <c r="W4961">
        <v>0</v>
      </c>
      <c r="X4961">
        <v>0</v>
      </c>
      <c r="Y4961" t="s">
        <v>31</v>
      </c>
      <c r="AA4961" s="2" t="s">
        <v>6063</v>
      </c>
    </row>
    <row r="4962" spans="1:27" x14ac:dyDescent="0.2">
      <c r="A4962" t="s">
        <v>547</v>
      </c>
      <c r="B4962">
        <v>2023</v>
      </c>
      <c r="C4962">
        <v>5174014902</v>
      </c>
      <c r="D4962" t="s">
        <v>6064</v>
      </c>
      <c r="E4962" t="s">
        <v>29</v>
      </c>
      <c r="F4962" t="s">
        <v>30</v>
      </c>
      <c r="G4962">
        <v>0</v>
      </c>
      <c r="H4962">
        <v>0</v>
      </c>
      <c r="I4962">
        <v>47</v>
      </c>
      <c r="J4962">
        <v>0</v>
      </c>
      <c r="K4962">
        <v>12</v>
      </c>
      <c r="L4962">
        <v>0</v>
      </c>
      <c r="M4962">
        <v>0</v>
      </c>
      <c r="N4962">
        <v>0</v>
      </c>
      <c r="O4962">
        <v>0</v>
      </c>
      <c r="P4962">
        <v>0</v>
      </c>
      <c r="Q4962">
        <v>0</v>
      </c>
      <c r="R4962">
        <v>0</v>
      </c>
      <c r="S4962">
        <v>0</v>
      </c>
      <c r="T4962">
        <v>0</v>
      </c>
      <c r="U4962">
        <v>0</v>
      </c>
      <c r="V4962">
        <v>0</v>
      </c>
      <c r="W4962">
        <v>0</v>
      </c>
      <c r="X4962">
        <v>0</v>
      </c>
      <c r="Y4962" t="s">
        <v>31</v>
      </c>
      <c r="AA4962" s="2" t="s">
        <v>3273</v>
      </c>
    </row>
    <row r="4963" spans="1:27" x14ac:dyDescent="0.2">
      <c r="A4963" t="s">
        <v>547</v>
      </c>
      <c r="B4963">
        <v>2023</v>
      </c>
      <c r="C4963">
        <v>5536011017</v>
      </c>
      <c r="D4963" t="s">
        <v>6065</v>
      </c>
      <c r="E4963" t="s">
        <v>29</v>
      </c>
      <c r="F4963" t="s">
        <v>30</v>
      </c>
      <c r="G4963">
        <v>8</v>
      </c>
      <c r="H4963">
        <v>0</v>
      </c>
      <c r="I4963">
        <v>0</v>
      </c>
      <c r="J4963">
        <v>0</v>
      </c>
      <c r="K4963">
        <v>0</v>
      </c>
      <c r="L4963">
        <v>0</v>
      </c>
      <c r="M4963">
        <v>0</v>
      </c>
      <c r="N4963">
        <v>0</v>
      </c>
      <c r="O4963">
        <v>0</v>
      </c>
      <c r="P4963">
        <v>0</v>
      </c>
      <c r="Q4963">
        <v>0</v>
      </c>
      <c r="R4963">
        <v>0</v>
      </c>
      <c r="S4963">
        <v>0</v>
      </c>
      <c r="T4963">
        <v>0</v>
      </c>
      <c r="U4963">
        <v>0</v>
      </c>
      <c r="V4963">
        <v>0</v>
      </c>
      <c r="W4963">
        <v>0</v>
      </c>
      <c r="X4963">
        <v>0</v>
      </c>
      <c r="Y4963" t="s">
        <v>31</v>
      </c>
      <c r="AA4963" s="2" t="s">
        <v>5536</v>
      </c>
    </row>
    <row r="4964" spans="1:27" x14ac:dyDescent="0.2">
      <c r="A4964" t="s">
        <v>547</v>
      </c>
      <c r="B4964">
        <v>2023</v>
      </c>
      <c r="C4964">
        <v>6017016001</v>
      </c>
      <c r="D4964" t="s">
        <v>6066</v>
      </c>
      <c r="E4964" t="s">
        <v>29</v>
      </c>
      <c r="F4964" t="s">
        <v>30</v>
      </c>
      <c r="G4964">
        <v>0</v>
      </c>
      <c r="H4964">
        <v>0</v>
      </c>
      <c r="I4964">
        <v>123</v>
      </c>
      <c r="J4964">
        <v>0</v>
      </c>
      <c r="K4964">
        <v>32</v>
      </c>
      <c r="L4964">
        <v>0</v>
      </c>
      <c r="M4964">
        <v>0</v>
      </c>
      <c r="N4964">
        <v>0</v>
      </c>
      <c r="O4964">
        <v>0</v>
      </c>
      <c r="P4964">
        <v>0</v>
      </c>
      <c r="Q4964">
        <v>0</v>
      </c>
      <c r="R4964">
        <v>0</v>
      </c>
      <c r="S4964">
        <v>0</v>
      </c>
      <c r="T4964">
        <v>0</v>
      </c>
      <c r="U4964">
        <v>0</v>
      </c>
      <c r="V4964">
        <v>0</v>
      </c>
      <c r="W4964">
        <v>0</v>
      </c>
      <c r="X4964">
        <v>0</v>
      </c>
      <c r="Y4964" t="s">
        <v>31</v>
      </c>
      <c r="AA4964" s="2" t="s">
        <v>6067</v>
      </c>
    </row>
    <row r="4965" spans="1:27" x14ac:dyDescent="0.2">
      <c r="A4965" t="s">
        <v>547</v>
      </c>
      <c r="B4965">
        <v>2023</v>
      </c>
      <c r="C4965">
        <v>6019011002</v>
      </c>
      <c r="D4965" t="s">
        <v>6068</v>
      </c>
      <c r="E4965" t="s">
        <v>29</v>
      </c>
      <c r="F4965" t="s">
        <v>30</v>
      </c>
      <c r="G4965">
        <v>0</v>
      </c>
      <c r="H4965">
        <v>0</v>
      </c>
      <c r="I4965">
        <v>13</v>
      </c>
      <c r="J4965">
        <v>0</v>
      </c>
      <c r="K4965">
        <v>0</v>
      </c>
      <c r="L4965">
        <v>0</v>
      </c>
      <c r="M4965">
        <v>0</v>
      </c>
      <c r="N4965">
        <v>0</v>
      </c>
      <c r="O4965">
        <v>0</v>
      </c>
      <c r="P4965">
        <v>0</v>
      </c>
      <c r="Q4965">
        <v>0</v>
      </c>
      <c r="R4965">
        <v>0</v>
      </c>
      <c r="S4965">
        <v>0</v>
      </c>
      <c r="T4965">
        <v>0</v>
      </c>
      <c r="U4965">
        <v>0</v>
      </c>
      <c r="V4965">
        <v>0</v>
      </c>
      <c r="W4965">
        <v>0</v>
      </c>
      <c r="X4965">
        <v>0</v>
      </c>
      <c r="Y4965" t="s">
        <v>31</v>
      </c>
      <c r="AA4965">
        <v>0</v>
      </c>
    </row>
    <row r="4966" spans="1:27" x14ac:dyDescent="0.2">
      <c r="A4966" t="s">
        <v>267</v>
      </c>
      <c r="B4966">
        <v>2024</v>
      </c>
      <c r="C4966">
        <v>2443001026</v>
      </c>
      <c r="D4966" t="s">
        <v>6069</v>
      </c>
      <c r="E4966" t="s">
        <v>29</v>
      </c>
      <c r="F4966" t="s">
        <v>30</v>
      </c>
      <c r="G4966">
        <v>0</v>
      </c>
      <c r="H4966">
        <v>0</v>
      </c>
      <c r="I4966">
        <v>0</v>
      </c>
      <c r="J4966">
        <v>0</v>
      </c>
      <c r="K4966">
        <v>0</v>
      </c>
      <c r="L4966">
        <v>0</v>
      </c>
      <c r="M4966">
        <v>10</v>
      </c>
      <c r="N4966">
        <v>0</v>
      </c>
      <c r="O4966">
        <v>0</v>
      </c>
      <c r="P4966">
        <v>0</v>
      </c>
      <c r="Q4966">
        <v>0</v>
      </c>
      <c r="R4966">
        <v>0</v>
      </c>
      <c r="S4966">
        <v>0</v>
      </c>
      <c r="T4966">
        <v>0</v>
      </c>
      <c r="U4966">
        <v>0</v>
      </c>
      <c r="V4966">
        <v>0</v>
      </c>
      <c r="W4966">
        <v>0</v>
      </c>
      <c r="X4966">
        <v>0</v>
      </c>
      <c r="Y4966" t="s">
        <v>31</v>
      </c>
      <c r="AA4966" s="2" t="s">
        <v>2716</v>
      </c>
    </row>
    <row r="4967" spans="1:27" x14ac:dyDescent="0.2">
      <c r="A4967" t="s">
        <v>271</v>
      </c>
      <c r="B4967">
        <v>2024</v>
      </c>
      <c r="C4967">
        <v>8633102</v>
      </c>
      <c r="D4967" t="s">
        <v>6070</v>
      </c>
      <c r="E4967" t="s">
        <v>29</v>
      </c>
      <c r="F4967" t="s">
        <v>30</v>
      </c>
      <c r="G4967">
        <v>0</v>
      </c>
      <c r="H4967">
        <v>0</v>
      </c>
      <c r="I4967">
        <v>5</v>
      </c>
      <c r="J4967">
        <v>0</v>
      </c>
      <c r="K4967">
        <v>4</v>
      </c>
      <c r="L4967">
        <v>0</v>
      </c>
      <c r="M4967">
        <v>0</v>
      </c>
      <c r="N4967">
        <v>0</v>
      </c>
      <c r="O4967">
        <v>0</v>
      </c>
      <c r="P4967">
        <v>0</v>
      </c>
      <c r="Q4967">
        <v>0</v>
      </c>
      <c r="R4967">
        <v>0</v>
      </c>
      <c r="S4967">
        <v>0</v>
      </c>
      <c r="T4967">
        <v>0</v>
      </c>
      <c r="U4967">
        <v>0</v>
      </c>
      <c r="V4967">
        <v>0</v>
      </c>
      <c r="W4967">
        <v>0</v>
      </c>
      <c r="X4967">
        <v>0</v>
      </c>
      <c r="Y4967" t="s">
        <v>51</v>
      </c>
      <c r="AA4967">
        <v>0</v>
      </c>
    </row>
    <row r="4968" spans="1:27" x14ac:dyDescent="0.2">
      <c r="A4968" t="s">
        <v>6071</v>
      </c>
      <c r="B4968">
        <v>2024</v>
      </c>
      <c r="C4968" t="s">
        <v>6072</v>
      </c>
      <c r="D4968" t="s">
        <v>6073</v>
      </c>
      <c r="E4968" t="s">
        <v>29</v>
      </c>
      <c r="F4968" t="s">
        <v>30</v>
      </c>
      <c r="G4968">
        <v>23</v>
      </c>
      <c r="H4968">
        <v>0</v>
      </c>
      <c r="I4968">
        <v>0</v>
      </c>
      <c r="J4968">
        <v>4</v>
      </c>
      <c r="K4968">
        <v>0</v>
      </c>
      <c r="L4968">
        <v>0</v>
      </c>
      <c r="M4968">
        <v>0</v>
      </c>
      <c r="N4968">
        <v>0</v>
      </c>
      <c r="O4968">
        <v>0</v>
      </c>
      <c r="P4968">
        <v>0</v>
      </c>
      <c r="Q4968">
        <v>0</v>
      </c>
      <c r="R4968">
        <v>0</v>
      </c>
      <c r="S4968">
        <v>0</v>
      </c>
      <c r="T4968">
        <v>0</v>
      </c>
      <c r="U4968">
        <v>0</v>
      </c>
      <c r="V4968">
        <v>0</v>
      </c>
      <c r="W4968">
        <v>0</v>
      </c>
      <c r="X4968">
        <v>0</v>
      </c>
      <c r="Y4968" t="s">
        <v>31</v>
      </c>
      <c r="AA4968">
        <v>0</v>
      </c>
    </row>
    <row r="4969" spans="1:27" x14ac:dyDescent="0.2">
      <c r="A4969" t="s">
        <v>1653</v>
      </c>
      <c r="B4969">
        <v>2024</v>
      </c>
      <c r="C4969">
        <v>19210009</v>
      </c>
      <c r="D4969" t="s">
        <v>6074</v>
      </c>
      <c r="E4969" t="s">
        <v>29</v>
      </c>
      <c r="F4969" t="s">
        <v>30</v>
      </c>
      <c r="G4969">
        <v>0</v>
      </c>
      <c r="H4969">
        <v>0</v>
      </c>
      <c r="I4969">
        <v>31</v>
      </c>
      <c r="J4969">
        <v>0</v>
      </c>
      <c r="K4969">
        <v>0</v>
      </c>
      <c r="L4969">
        <v>0</v>
      </c>
      <c r="M4969">
        <v>0</v>
      </c>
      <c r="N4969">
        <v>0</v>
      </c>
      <c r="O4969">
        <v>0</v>
      </c>
      <c r="P4969">
        <v>0</v>
      </c>
      <c r="Q4969">
        <v>0</v>
      </c>
      <c r="R4969">
        <v>0</v>
      </c>
      <c r="S4969">
        <v>0</v>
      </c>
      <c r="T4969">
        <v>0</v>
      </c>
      <c r="U4969">
        <v>0</v>
      </c>
      <c r="V4969">
        <v>0</v>
      </c>
      <c r="W4969">
        <v>0</v>
      </c>
      <c r="X4969">
        <v>0</v>
      </c>
      <c r="Y4969" t="s">
        <v>31</v>
      </c>
      <c r="Z4969">
        <v>55</v>
      </c>
      <c r="AA4969" s="2" t="s">
        <v>3514</v>
      </c>
    </row>
    <row r="4970" spans="1:27" x14ac:dyDescent="0.2">
      <c r="A4970" t="s">
        <v>792</v>
      </c>
      <c r="B4970">
        <v>2024</v>
      </c>
      <c r="C4970">
        <v>37529114</v>
      </c>
      <c r="D4970" t="s">
        <v>1893</v>
      </c>
      <c r="E4970" t="s">
        <v>29</v>
      </c>
      <c r="F4970" t="s">
        <v>30</v>
      </c>
      <c r="G4970">
        <v>0</v>
      </c>
      <c r="H4970">
        <v>0</v>
      </c>
      <c r="I4970">
        <v>0</v>
      </c>
      <c r="J4970">
        <v>0</v>
      </c>
      <c r="K4970">
        <v>0</v>
      </c>
      <c r="L4970">
        <v>0</v>
      </c>
      <c r="M4970">
        <v>0</v>
      </c>
      <c r="N4970">
        <v>0</v>
      </c>
      <c r="O4970">
        <v>0</v>
      </c>
      <c r="P4970">
        <v>0</v>
      </c>
      <c r="Q4970">
        <v>0</v>
      </c>
      <c r="R4970">
        <v>0</v>
      </c>
      <c r="S4970">
        <v>0</v>
      </c>
      <c r="T4970">
        <v>0</v>
      </c>
      <c r="U4970">
        <v>28</v>
      </c>
      <c r="V4970">
        <v>0</v>
      </c>
      <c r="W4970">
        <v>0</v>
      </c>
      <c r="X4970">
        <v>0</v>
      </c>
      <c r="Y4970" t="s">
        <v>31</v>
      </c>
      <c r="Z4970">
        <v>55</v>
      </c>
      <c r="AA4970">
        <v>0</v>
      </c>
    </row>
    <row r="4971" spans="1:27" x14ac:dyDescent="0.2">
      <c r="A4971" t="s">
        <v>792</v>
      </c>
      <c r="B4971">
        <v>2024</v>
      </c>
      <c r="C4971">
        <v>39032215</v>
      </c>
      <c r="D4971" t="s">
        <v>6075</v>
      </c>
      <c r="E4971" t="s">
        <v>29</v>
      </c>
      <c r="F4971" t="s">
        <v>30</v>
      </c>
      <c r="G4971">
        <v>0</v>
      </c>
      <c r="H4971">
        <v>0</v>
      </c>
      <c r="I4971">
        <v>0</v>
      </c>
      <c r="J4971">
        <v>0</v>
      </c>
      <c r="K4971">
        <v>0</v>
      </c>
      <c r="L4971">
        <v>0</v>
      </c>
      <c r="M4971">
        <v>0</v>
      </c>
      <c r="N4971">
        <v>0</v>
      </c>
      <c r="O4971">
        <v>59</v>
      </c>
      <c r="P4971">
        <v>0</v>
      </c>
      <c r="Q4971">
        <v>0</v>
      </c>
      <c r="R4971">
        <v>0</v>
      </c>
      <c r="S4971">
        <v>0</v>
      </c>
      <c r="T4971">
        <v>0</v>
      </c>
      <c r="U4971">
        <v>0</v>
      </c>
      <c r="V4971">
        <v>0</v>
      </c>
      <c r="W4971">
        <v>0</v>
      </c>
      <c r="X4971">
        <v>0</v>
      </c>
      <c r="Y4971" t="s">
        <v>31</v>
      </c>
      <c r="Z4971">
        <v>55</v>
      </c>
      <c r="AA4971" s="2" t="s">
        <v>3514</v>
      </c>
    </row>
    <row r="4972" spans="1:27" x14ac:dyDescent="0.2">
      <c r="A4972" t="s">
        <v>2604</v>
      </c>
      <c r="B4972">
        <v>2024</v>
      </c>
      <c r="C4972" t="s">
        <v>6076</v>
      </c>
      <c r="D4972" t="s">
        <v>6077</v>
      </c>
      <c r="E4972" t="s">
        <v>29</v>
      </c>
      <c r="F4972" t="s">
        <v>30</v>
      </c>
      <c r="G4972">
        <v>0</v>
      </c>
      <c r="H4972">
        <v>0</v>
      </c>
      <c r="I4972">
        <v>0</v>
      </c>
      <c r="J4972">
        <v>0</v>
      </c>
      <c r="K4972">
        <v>0</v>
      </c>
      <c r="L4972">
        <v>0</v>
      </c>
      <c r="M4972">
        <v>2</v>
      </c>
      <c r="N4972">
        <v>0</v>
      </c>
      <c r="O4972">
        <v>1</v>
      </c>
      <c r="P4972">
        <v>0</v>
      </c>
      <c r="Q4972">
        <v>0</v>
      </c>
      <c r="R4972">
        <v>0</v>
      </c>
      <c r="S4972">
        <v>0</v>
      </c>
      <c r="T4972">
        <v>0</v>
      </c>
      <c r="U4972">
        <v>0</v>
      </c>
      <c r="V4972">
        <v>0</v>
      </c>
      <c r="W4972">
        <v>0</v>
      </c>
      <c r="X4972">
        <v>0</v>
      </c>
      <c r="Y4972" t="s">
        <v>31</v>
      </c>
      <c r="Z4972">
        <v>55</v>
      </c>
      <c r="AA4972" s="2" t="s">
        <v>3299</v>
      </c>
    </row>
    <row r="4973" spans="1:27" x14ac:dyDescent="0.2">
      <c r="A4973" t="s">
        <v>1609</v>
      </c>
      <c r="B4973">
        <v>2024</v>
      </c>
      <c r="C4973">
        <v>1922641</v>
      </c>
      <c r="D4973" t="s">
        <v>1755</v>
      </c>
      <c r="E4973" t="s">
        <v>29</v>
      </c>
      <c r="F4973" t="s">
        <v>30</v>
      </c>
      <c r="G4973">
        <v>53</v>
      </c>
      <c r="H4973">
        <v>0</v>
      </c>
      <c r="I4973">
        <v>0</v>
      </c>
      <c r="J4973">
        <v>0</v>
      </c>
      <c r="K4973">
        <v>0</v>
      </c>
      <c r="L4973">
        <v>0</v>
      </c>
      <c r="M4973">
        <v>53</v>
      </c>
      <c r="N4973">
        <v>0</v>
      </c>
      <c r="O4973">
        <v>0</v>
      </c>
      <c r="P4973">
        <v>0</v>
      </c>
      <c r="Q4973">
        <v>0</v>
      </c>
      <c r="R4973">
        <v>0</v>
      </c>
      <c r="S4973">
        <v>53</v>
      </c>
      <c r="T4973">
        <v>0</v>
      </c>
      <c r="U4973">
        <v>0</v>
      </c>
      <c r="V4973">
        <v>0</v>
      </c>
      <c r="W4973">
        <v>0</v>
      </c>
      <c r="X4973">
        <v>0</v>
      </c>
      <c r="Y4973" t="s">
        <v>51</v>
      </c>
      <c r="Z4973">
        <v>55</v>
      </c>
      <c r="AA4973">
        <v>0</v>
      </c>
    </row>
    <row r="4974" spans="1:27" x14ac:dyDescent="0.2">
      <c r="A4974" t="s">
        <v>1609</v>
      </c>
      <c r="B4974">
        <v>2024</v>
      </c>
      <c r="C4974">
        <v>1649102</v>
      </c>
      <c r="D4974" t="s">
        <v>1904</v>
      </c>
      <c r="E4974" t="s">
        <v>29</v>
      </c>
      <c r="F4974" t="s">
        <v>30</v>
      </c>
      <c r="G4974">
        <v>72</v>
      </c>
      <c r="H4974">
        <v>0</v>
      </c>
      <c r="I4974">
        <v>0</v>
      </c>
      <c r="J4974">
        <v>0</v>
      </c>
      <c r="K4974">
        <v>0</v>
      </c>
      <c r="L4974">
        <v>0</v>
      </c>
      <c r="M4974">
        <v>72</v>
      </c>
      <c r="N4974">
        <v>0</v>
      </c>
      <c r="O4974">
        <v>0</v>
      </c>
      <c r="P4974">
        <v>0</v>
      </c>
      <c r="Q4974">
        <v>0</v>
      </c>
      <c r="R4974">
        <v>0</v>
      </c>
      <c r="S4974">
        <v>72</v>
      </c>
      <c r="T4974">
        <v>0</v>
      </c>
      <c r="U4974">
        <v>0</v>
      </c>
      <c r="V4974">
        <v>0</v>
      </c>
      <c r="W4974">
        <v>0</v>
      </c>
      <c r="X4974">
        <v>0</v>
      </c>
      <c r="Y4974" t="s">
        <v>31</v>
      </c>
      <c r="Z4974">
        <v>55</v>
      </c>
      <c r="AA4974" s="2" t="s">
        <v>6078</v>
      </c>
    </row>
    <row r="4975" spans="1:27" x14ac:dyDescent="0.2">
      <c r="A4975" t="s">
        <v>1609</v>
      </c>
      <c r="B4975">
        <v>2024</v>
      </c>
      <c r="C4975">
        <v>1824120</v>
      </c>
      <c r="D4975" t="s">
        <v>1903</v>
      </c>
      <c r="E4975" t="s">
        <v>29</v>
      </c>
      <c r="F4975" t="s">
        <v>30</v>
      </c>
      <c r="G4975">
        <v>10</v>
      </c>
      <c r="H4975">
        <v>0</v>
      </c>
      <c r="I4975">
        <v>0</v>
      </c>
      <c r="J4975">
        <v>0</v>
      </c>
      <c r="K4975">
        <v>0</v>
      </c>
      <c r="L4975">
        <v>0</v>
      </c>
      <c r="M4975">
        <v>10</v>
      </c>
      <c r="N4975">
        <v>0</v>
      </c>
      <c r="O4975">
        <v>0</v>
      </c>
      <c r="P4975">
        <v>0</v>
      </c>
      <c r="Q4975">
        <v>0</v>
      </c>
      <c r="R4975">
        <v>0</v>
      </c>
      <c r="S4975">
        <v>0</v>
      </c>
      <c r="T4975">
        <v>0</v>
      </c>
      <c r="U4975">
        <v>0</v>
      </c>
      <c r="V4975">
        <v>0</v>
      </c>
      <c r="W4975">
        <v>0</v>
      </c>
      <c r="X4975">
        <v>0</v>
      </c>
      <c r="Y4975" t="s">
        <v>51</v>
      </c>
      <c r="AA4975">
        <v>0</v>
      </c>
    </row>
    <row r="4976" spans="1:27" x14ac:dyDescent="0.2">
      <c r="A4976" t="s">
        <v>376</v>
      </c>
      <c r="B4976">
        <v>2024</v>
      </c>
      <c r="C4976" t="s">
        <v>558</v>
      </c>
      <c r="D4976" t="s">
        <v>6079</v>
      </c>
      <c r="E4976" t="s">
        <v>29</v>
      </c>
      <c r="F4976" t="s">
        <v>30</v>
      </c>
      <c r="G4976">
        <v>0</v>
      </c>
      <c r="H4976">
        <v>0</v>
      </c>
      <c r="I4976">
        <v>0</v>
      </c>
      <c r="J4976">
        <v>0</v>
      </c>
      <c r="K4976">
        <v>0</v>
      </c>
      <c r="L4976">
        <v>0</v>
      </c>
      <c r="M4976">
        <v>78</v>
      </c>
      <c r="N4976">
        <v>0</v>
      </c>
      <c r="O4976">
        <v>0</v>
      </c>
      <c r="P4976">
        <v>0</v>
      </c>
      <c r="Q4976">
        <v>0</v>
      </c>
      <c r="R4976">
        <v>0</v>
      </c>
      <c r="S4976">
        <v>0</v>
      </c>
      <c r="T4976">
        <v>0</v>
      </c>
      <c r="U4976">
        <v>0</v>
      </c>
      <c r="V4976">
        <v>0</v>
      </c>
      <c r="W4976">
        <v>0</v>
      </c>
      <c r="X4976">
        <v>0</v>
      </c>
      <c r="Y4976" t="s">
        <v>31</v>
      </c>
      <c r="Z4976">
        <v>55</v>
      </c>
      <c r="AA4976" s="2" t="s">
        <v>3394</v>
      </c>
    </row>
    <row r="4977" spans="1:27" x14ac:dyDescent="0.2">
      <c r="A4977" t="s">
        <v>321</v>
      </c>
      <c r="B4977">
        <v>2024</v>
      </c>
      <c r="C4977" t="s">
        <v>6080</v>
      </c>
      <c r="D4977" t="s">
        <v>6081</v>
      </c>
      <c r="E4977" t="s">
        <v>29</v>
      </c>
      <c r="F4977" t="s">
        <v>30</v>
      </c>
      <c r="G4977">
        <v>5</v>
      </c>
      <c r="H4977">
        <v>0</v>
      </c>
      <c r="I4977">
        <v>5</v>
      </c>
      <c r="J4977">
        <v>0</v>
      </c>
      <c r="K4977">
        <v>5</v>
      </c>
      <c r="L4977">
        <v>0</v>
      </c>
      <c r="M4977">
        <v>0</v>
      </c>
      <c r="N4977">
        <v>0</v>
      </c>
      <c r="O4977">
        <v>0</v>
      </c>
      <c r="P4977">
        <v>0</v>
      </c>
      <c r="Q4977">
        <v>0</v>
      </c>
      <c r="R4977">
        <v>0</v>
      </c>
      <c r="S4977">
        <v>0</v>
      </c>
      <c r="T4977">
        <v>0</v>
      </c>
      <c r="U4977">
        <v>0</v>
      </c>
      <c r="V4977">
        <v>0</v>
      </c>
      <c r="W4977">
        <v>0</v>
      </c>
      <c r="X4977">
        <v>0</v>
      </c>
      <c r="Y4977" t="s">
        <v>31</v>
      </c>
      <c r="Z4977">
        <v>55</v>
      </c>
      <c r="AA4977" s="2" t="s">
        <v>3730</v>
      </c>
    </row>
    <row r="4978" spans="1:27" x14ac:dyDescent="0.2">
      <c r="A4978" t="s">
        <v>321</v>
      </c>
      <c r="B4978">
        <v>2024</v>
      </c>
      <c r="C4978" t="s">
        <v>6082</v>
      </c>
      <c r="D4978" t="s">
        <v>6083</v>
      </c>
      <c r="E4978" t="s">
        <v>29</v>
      </c>
      <c r="F4978" t="s">
        <v>30</v>
      </c>
      <c r="G4978">
        <v>0</v>
      </c>
      <c r="H4978">
        <v>0</v>
      </c>
      <c r="I4978">
        <v>0</v>
      </c>
      <c r="J4978">
        <v>0</v>
      </c>
      <c r="K4978">
        <v>0</v>
      </c>
      <c r="L4978">
        <v>0</v>
      </c>
      <c r="M4978">
        <v>0</v>
      </c>
      <c r="N4978">
        <v>0</v>
      </c>
      <c r="O4978">
        <v>0</v>
      </c>
      <c r="P4978">
        <v>0</v>
      </c>
      <c r="Q4978">
        <v>0</v>
      </c>
      <c r="R4978">
        <v>0</v>
      </c>
      <c r="S4978">
        <v>0</v>
      </c>
      <c r="T4978">
        <v>0</v>
      </c>
      <c r="U4978">
        <v>1</v>
      </c>
      <c r="V4978">
        <v>0</v>
      </c>
      <c r="W4978">
        <v>0</v>
      </c>
      <c r="X4978">
        <v>0</v>
      </c>
      <c r="Y4978" t="s">
        <v>51</v>
      </c>
      <c r="AA4978">
        <v>0</v>
      </c>
    </row>
    <row r="4979" spans="1:27" x14ac:dyDescent="0.2">
      <c r="A4979" t="s">
        <v>1075</v>
      </c>
      <c r="B4979">
        <v>2024</v>
      </c>
      <c r="C4979">
        <v>44923202</v>
      </c>
      <c r="D4979" t="s">
        <v>3231</v>
      </c>
      <c r="E4979" t="s">
        <v>29</v>
      </c>
      <c r="F4979" t="s">
        <v>30</v>
      </c>
      <c r="G4979">
        <v>0</v>
      </c>
      <c r="H4979">
        <v>0</v>
      </c>
      <c r="I4979">
        <v>0</v>
      </c>
      <c r="J4979">
        <v>0</v>
      </c>
      <c r="K4979">
        <v>0</v>
      </c>
      <c r="L4979">
        <v>0</v>
      </c>
      <c r="M4979">
        <v>3</v>
      </c>
      <c r="N4979">
        <v>0</v>
      </c>
      <c r="O4979">
        <v>13</v>
      </c>
      <c r="P4979">
        <v>0</v>
      </c>
      <c r="Q4979">
        <v>0</v>
      </c>
      <c r="R4979">
        <v>0</v>
      </c>
      <c r="S4979">
        <v>0</v>
      </c>
      <c r="T4979">
        <v>0</v>
      </c>
      <c r="U4979">
        <v>0</v>
      </c>
      <c r="V4979">
        <v>0</v>
      </c>
      <c r="W4979">
        <v>0</v>
      </c>
      <c r="X4979">
        <v>0</v>
      </c>
      <c r="Y4979" t="s">
        <v>31</v>
      </c>
      <c r="Z4979">
        <v>55</v>
      </c>
      <c r="AA4979" s="2" t="s">
        <v>3514</v>
      </c>
    </row>
    <row r="4980" spans="1:27" x14ac:dyDescent="0.2">
      <c r="A4980" t="s">
        <v>670</v>
      </c>
      <c r="B4980">
        <v>2024</v>
      </c>
      <c r="C4980">
        <v>4021035024</v>
      </c>
      <c r="D4980" t="s">
        <v>6084</v>
      </c>
      <c r="E4980" t="s">
        <v>29</v>
      </c>
      <c r="F4980" t="s">
        <v>30</v>
      </c>
      <c r="G4980">
        <v>1</v>
      </c>
      <c r="H4980">
        <v>0</v>
      </c>
      <c r="I4980">
        <v>0</v>
      </c>
      <c r="J4980">
        <v>0</v>
      </c>
      <c r="K4980">
        <v>0</v>
      </c>
      <c r="L4980">
        <v>0</v>
      </c>
      <c r="M4980">
        <v>0</v>
      </c>
      <c r="N4980">
        <v>0</v>
      </c>
      <c r="O4980">
        <v>0</v>
      </c>
      <c r="P4980">
        <v>0</v>
      </c>
      <c r="Q4980">
        <v>0</v>
      </c>
      <c r="R4980">
        <v>0</v>
      </c>
      <c r="S4980">
        <v>0</v>
      </c>
      <c r="T4980">
        <v>0</v>
      </c>
      <c r="U4980">
        <v>0</v>
      </c>
      <c r="V4980">
        <v>0</v>
      </c>
      <c r="W4980">
        <v>0</v>
      </c>
      <c r="X4980">
        <v>0</v>
      </c>
      <c r="Y4980" t="s">
        <v>31</v>
      </c>
      <c r="AA4980">
        <v>0.11</v>
      </c>
    </row>
    <row r="4981" spans="1:27" x14ac:dyDescent="0.2">
      <c r="A4981" t="s">
        <v>1999</v>
      </c>
      <c r="B4981">
        <v>2024</v>
      </c>
      <c r="C4981" t="s">
        <v>6085</v>
      </c>
      <c r="D4981" t="s">
        <v>6086</v>
      </c>
      <c r="E4981" t="s">
        <v>29</v>
      </c>
      <c r="F4981" t="s">
        <v>30</v>
      </c>
      <c r="G4981">
        <v>21</v>
      </c>
      <c r="H4981">
        <v>0</v>
      </c>
      <c r="I4981">
        <v>0</v>
      </c>
      <c r="J4981">
        <v>0</v>
      </c>
      <c r="K4981">
        <v>0</v>
      </c>
      <c r="L4981">
        <v>0</v>
      </c>
      <c r="M4981">
        <v>0</v>
      </c>
      <c r="N4981">
        <v>0</v>
      </c>
      <c r="O4981">
        <v>0</v>
      </c>
      <c r="P4981">
        <v>0</v>
      </c>
      <c r="Q4981">
        <v>0</v>
      </c>
      <c r="R4981">
        <v>0</v>
      </c>
      <c r="S4981">
        <v>0</v>
      </c>
      <c r="T4981">
        <v>0</v>
      </c>
      <c r="U4981">
        <v>0</v>
      </c>
      <c r="V4981">
        <v>0</v>
      </c>
      <c r="W4981">
        <v>0</v>
      </c>
      <c r="X4981">
        <v>0</v>
      </c>
      <c r="Y4981" t="s">
        <v>51</v>
      </c>
      <c r="AA4981">
        <v>0</v>
      </c>
    </row>
    <row r="4982" spans="1:27" ht="85" x14ac:dyDescent="0.2">
      <c r="A4982" t="s">
        <v>2561</v>
      </c>
      <c r="B4982">
        <v>2024</v>
      </c>
      <c r="C4982">
        <v>2754606100</v>
      </c>
      <c r="D4982" s="1" t="s">
        <v>6087</v>
      </c>
      <c r="E4982" t="s">
        <v>29</v>
      </c>
      <c r="F4982" t="s">
        <v>41</v>
      </c>
      <c r="G4982">
        <v>0</v>
      </c>
      <c r="H4982">
        <v>0</v>
      </c>
      <c r="I4982">
        <v>60</v>
      </c>
      <c r="J4982">
        <v>0</v>
      </c>
      <c r="K4982">
        <v>0</v>
      </c>
      <c r="L4982">
        <v>0</v>
      </c>
      <c r="M4982">
        <v>0</v>
      </c>
      <c r="N4982">
        <v>0</v>
      </c>
      <c r="O4982">
        <v>0</v>
      </c>
      <c r="P4982">
        <v>0</v>
      </c>
      <c r="Q4982">
        <v>0</v>
      </c>
      <c r="R4982">
        <v>0</v>
      </c>
      <c r="S4982">
        <v>0</v>
      </c>
      <c r="T4982">
        <v>0</v>
      </c>
      <c r="U4982">
        <v>0</v>
      </c>
      <c r="V4982">
        <v>0</v>
      </c>
      <c r="W4982">
        <v>0</v>
      </c>
      <c r="X4982">
        <v>0</v>
      </c>
      <c r="Y4982" t="s">
        <v>51</v>
      </c>
      <c r="AA4982">
        <v>0</v>
      </c>
    </row>
    <row r="4983" spans="1:27" x14ac:dyDescent="0.2">
      <c r="A4983" t="s">
        <v>3510</v>
      </c>
      <c r="B4983">
        <v>2023</v>
      </c>
      <c r="C4983">
        <v>4343003011</v>
      </c>
      <c r="D4983" t="s">
        <v>6088</v>
      </c>
      <c r="E4983" t="s">
        <v>29</v>
      </c>
      <c r="F4983" t="s">
        <v>30</v>
      </c>
      <c r="G4983">
        <v>1</v>
      </c>
      <c r="H4983">
        <v>0</v>
      </c>
      <c r="I4983">
        <v>0</v>
      </c>
      <c r="J4983">
        <v>0</v>
      </c>
      <c r="K4983">
        <v>0</v>
      </c>
      <c r="L4983">
        <v>0</v>
      </c>
      <c r="M4983">
        <v>0</v>
      </c>
      <c r="N4983">
        <v>0</v>
      </c>
      <c r="O4983">
        <v>0</v>
      </c>
      <c r="P4983">
        <v>0</v>
      </c>
      <c r="Q4983">
        <v>0</v>
      </c>
      <c r="R4983">
        <v>0</v>
      </c>
      <c r="S4983">
        <v>0</v>
      </c>
      <c r="T4983">
        <v>0</v>
      </c>
      <c r="U4983">
        <v>0</v>
      </c>
      <c r="V4983">
        <v>0</v>
      </c>
      <c r="W4983">
        <v>0</v>
      </c>
      <c r="X4983">
        <v>0</v>
      </c>
      <c r="Y4983" t="s">
        <v>31</v>
      </c>
      <c r="Z4983">
        <v>55</v>
      </c>
      <c r="AA4983" s="2" t="s">
        <v>6089</v>
      </c>
    </row>
    <row r="4984" spans="1:27" ht="102" x14ac:dyDescent="0.2">
      <c r="A4984" t="s">
        <v>2486</v>
      </c>
      <c r="B4984">
        <v>2024</v>
      </c>
      <c r="C4984" t="s">
        <v>5783</v>
      </c>
      <c r="D4984" s="1" t="s">
        <v>5784</v>
      </c>
      <c r="E4984" t="s">
        <v>29</v>
      </c>
      <c r="F4984" t="s">
        <v>30</v>
      </c>
      <c r="G4984">
        <v>0</v>
      </c>
      <c r="H4984">
        <v>0</v>
      </c>
      <c r="I4984">
        <v>11</v>
      </c>
      <c r="J4984">
        <v>0</v>
      </c>
      <c r="K4984">
        <v>0</v>
      </c>
      <c r="L4984">
        <v>0</v>
      </c>
      <c r="M4984">
        <v>0</v>
      </c>
      <c r="N4984">
        <v>0</v>
      </c>
      <c r="O4984">
        <v>0</v>
      </c>
      <c r="P4984">
        <v>0</v>
      </c>
      <c r="Q4984">
        <v>0</v>
      </c>
      <c r="R4984">
        <v>0</v>
      </c>
      <c r="S4984">
        <v>0</v>
      </c>
      <c r="T4984">
        <v>0</v>
      </c>
      <c r="U4984">
        <v>0</v>
      </c>
      <c r="V4984">
        <v>0</v>
      </c>
      <c r="W4984">
        <v>0</v>
      </c>
      <c r="X4984">
        <v>0</v>
      </c>
      <c r="Y4984" t="s">
        <v>31</v>
      </c>
      <c r="AA4984">
        <v>0.5</v>
      </c>
    </row>
    <row r="4985" spans="1:27" x14ac:dyDescent="0.2">
      <c r="A4985" t="s">
        <v>219</v>
      </c>
      <c r="B4985">
        <v>2024</v>
      </c>
      <c r="C4985" t="s">
        <v>4985</v>
      </c>
      <c r="D4985" t="s">
        <v>6090</v>
      </c>
      <c r="E4985" t="s">
        <v>29</v>
      </c>
      <c r="F4985" t="s">
        <v>30</v>
      </c>
      <c r="G4985">
        <v>0</v>
      </c>
      <c r="H4985">
        <v>0</v>
      </c>
      <c r="I4985">
        <v>0</v>
      </c>
      <c r="J4985">
        <v>0</v>
      </c>
      <c r="K4985">
        <v>0</v>
      </c>
      <c r="L4985">
        <v>0</v>
      </c>
      <c r="M4985">
        <v>0</v>
      </c>
      <c r="N4985">
        <v>0</v>
      </c>
      <c r="O4985">
        <v>0</v>
      </c>
      <c r="P4985">
        <v>0</v>
      </c>
      <c r="Q4985">
        <v>0</v>
      </c>
      <c r="R4985">
        <v>0</v>
      </c>
      <c r="S4985">
        <v>63</v>
      </c>
      <c r="T4985">
        <v>0</v>
      </c>
      <c r="U4985">
        <v>0</v>
      </c>
      <c r="V4985">
        <v>0</v>
      </c>
      <c r="W4985">
        <v>0</v>
      </c>
      <c r="X4985">
        <v>0</v>
      </c>
      <c r="Y4985" t="s">
        <v>51</v>
      </c>
      <c r="Z4985">
        <v>55</v>
      </c>
      <c r="AA4985">
        <v>0</v>
      </c>
    </row>
    <row r="4986" spans="1:27" x14ac:dyDescent="0.2">
      <c r="A4986" t="s">
        <v>6091</v>
      </c>
      <c r="B4986">
        <v>2023</v>
      </c>
      <c r="C4986">
        <v>2855016049</v>
      </c>
      <c r="D4986" t="s">
        <v>6092</v>
      </c>
      <c r="E4986" t="s">
        <v>29</v>
      </c>
      <c r="F4986" t="s">
        <v>30</v>
      </c>
      <c r="G4986">
        <v>2</v>
      </c>
      <c r="H4986">
        <v>0</v>
      </c>
      <c r="I4986">
        <v>0</v>
      </c>
      <c r="J4986">
        <v>0</v>
      </c>
      <c r="K4986">
        <v>0</v>
      </c>
      <c r="L4986">
        <v>0</v>
      </c>
      <c r="M4986">
        <v>0</v>
      </c>
      <c r="N4986">
        <v>0</v>
      </c>
      <c r="O4986">
        <v>0</v>
      </c>
      <c r="P4986">
        <v>0</v>
      </c>
      <c r="Q4986">
        <v>0</v>
      </c>
      <c r="R4986">
        <v>0</v>
      </c>
      <c r="S4986">
        <v>0</v>
      </c>
      <c r="T4986">
        <v>0</v>
      </c>
      <c r="U4986">
        <v>0</v>
      </c>
      <c r="V4986">
        <v>0</v>
      </c>
      <c r="W4986">
        <v>0</v>
      </c>
      <c r="X4986">
        <v>0</v>
      </c>
      <c r="Y4986" t="s">
        <v>31</v>
      </c>
      <c r="AA4986" s="2" t="s">
        <v>4011</v>
      </c>
    </row>
    <row r="4987" spans="1:27" x14ac:dyDescent="0.2">
      <c r="A4987" t="s">
        <v>321</v>
      </c>
      <c r="B4987">
        <v>2024</v>
      </c>
      <c r="C4987" s="3">
        <v>33538</v>
      </c>
      <c r="D4987" t="s">
        <v>4891</v>
      </c>
      <c r="E4987" t="s">
        <v>29</v>
      </c>
      <c r="F4987" t="s">
        <v>30</v>
      </c>
      <c r="G4987">
        <v>6</v>
      </c>
      <c r="H4987">
        <v>0</v>
      </c>
      <c r="I4987">
        <v>6</v>
      </c>
      <c r="J4987">
        <v>0</v>
      </c>
      <c r="K4987">
        <v>6</v>
      </c>
      <c r="L4987">
        <v>0</v>
      </c>
      <c r="M4987">
        <v>0</v>
      </c>
      <c r="N4987">
        <v>0</v>
      </c>
      <c r="O4987">
        <v>0</v>
      </c>
      <c r="P4987">
        <v>0</v>
      </c>
      <c r="Q4987">
        <v>0</v>
      </c>
      <c r="R4987">
        <v>0</v>
      </c>
      <c r="S4987">
        <v>0</v>
      </c>
      <c r="T4987">
        <v>0</v>
      </c>
      <c r="U4987">
        <v>0</v>
      </c>
      <c r="V4987">
        <v>0</v>
      </c>
      <c r="W4987">
        <v>0</v>
      </c>
      <c r="X4987">
        <v>0</v>
      </c>
      <c r="Y4987" t="s">
        <v>31</v>
      </c>
      <c r="Z4987">
        <v>55</v>
      </c>
      <c r="AA4987">
        <v>0.5</v>
      </c>
    </row>
    <row r="4988" spans="1:27" x14ac:dyDescent="0.2">
      <c r="A4988" t="s">
        <v>321</v>
      </c>
      <c r="B4988">
        <v>2024</v>
      </c>
      <c r="C4988" t="s">
        <v>6093</v>
      </c>
      <c r="D4988" t="s">
        <v>3263</v>
      </c>
      <c r="E4988" t="s">
        <v>29</v>
      </c>
      <c r="F4988" t="s">
        <v>41</v>
      </c>
      <c r="G4988">
        <v>0</v>
      </c>
      <c r="H4988">
        <v>0</v>
      </c>
      <c r="I4988">
        <v>0</v>
      </c>
      <c r="J4988">
        <v>0</v>
      </c>
      <c r="K4988">
        <v>0</v>
      </c>
      <c r="L4988">
        <v>0</v>
      </c>
      <c r="M4988">
        <v>0</v>
      </c>
      <c r="N4988">
        <v>0</v>
      </c>
      <c r="O4988">
        <v>0</v>
      </c>
      <c r="P4988">
        <v>0</v>
      </c>
      <c r="Q4988">
        <v>0</v>
      </c>
      <c r="R4988">
        <v>0</v>
      </c>
      <c r="S4988">
        <v>0</v>
      </c>
      <c r="T4988">
        <v>0</v>
      </c>
      <c r="U4988">
        <v>0</v>
      </c>
      <c r="V4988">
        <v>0</v>
      </c>
      <c r="W4988">
        <v>1</v>
      </c>
      <c r="X4988">
        <v>0</v>
      </c>
      <c r="Y4988" t="s">
        <v>51</v>
      </c>
      <c r="Z4988">
        <v>55</v>
      </c>
      <c r="AA4988">
        <v>0</v>
      </c>
    </row>
    <row r="4989" spans="1:27" x14ac:dyDescent="0.2">
      <c r="A4989" t="s">
        <v>321</v>
      </c>
      <c r="B4989">
        <v>2024</v>
      </c>
      <c r="C4989" s="3">
        <v>27641</v>
      </c>
      <c r="D4989" t="s">
        <v>6094</v>
      </c>
      <c r="E4989" t="s">
        <v>29</v>
      </c>
      <c r="F4989" t="s">
        <v>30</v>
      </c>
      <c r="G4989">
        <v>0</v>
      </c>
      <c r="H4989">
        <v>0</v>
      </c>
      <c r="I4989">
        <v>10</v>
      </c>
      <c r="J4989">
        <v>0</v>
      </c>
      <c r="K4989">
        <v>0</v>
      </c>
      <c r="L4989">
        <v>0</v>
      </c>
      <c r="M4989">
        <v>0</v>
      </c>
      <c r="N4989">
        <v>0</v>
      </c>
      <c r="O4989">
        <v>0</v>
      </c>
      <c r="P4989">
        <v>0</v>
      </c>
      <c r="Q4989">
        <v>0</v>
      </c>
      <c r="R4989">
        <v>0</v>
      </c>
      <c r="S4989">
        <v>0</v>
      </c>
      <c r="T4989">
        <v>0</v>
      </c>
      <c r="U4989">
        <v>0</v>
      </c>
      <c r="V4989">
        <v>0</v>
      </c>
      <c r="W4989">
        <v>0</v>
      </c>
      <c r="X4989">
        <v>0</v>
      </c>
      <c r="Y4989" t="s">
        <v>51</v>
      </c>
      <c r="Z4989">
        <v>55</v>
      </c>
      <c r="AA4989">
        <v>0</v>
      </c>
    </row>
    <row r="4990" spans="1:27" x14ac:dyDescent="0.2">
      <c r="A4990" t="s">
        <v>1127</v>
      </c>
      <c r="B4990">
        <v>2022</v>
      </c>
      <c r="C4990" t="s">
        <v>1128</v>
      </c>
      <c r="D4990" t="s">
        <v>1129</v>
      </c>
      <c r="E4990" t="s">
        <v>29</v>
      </c>
      <c r="F4990" t="s">
        <v>30</v>
      </c>
      <c r="G4990">
        <v>0</v>
      </c>
      <c r="H4990">
        <v>0</v>
      </c>
      <c r="I4990">
        <v>4</v>
      </c>
      <c r="J4990">
        <v>0</v>
      </c>
      <c r="K4990">
        <v>4</v>
      </c>
      <c r="L4990">
        <v>0</v>
      </c>
      <c r="M4990">
        <v>0</v>
      </c>
      <c r="N4990">
        <v>0</v>
      </c>
      <c r="O4990">
        <v>0</v>
      </c>
      <c r="P4990">
        <v>0</v>
      </c>
      <c r="Q4990">
        <v>0</v>
      </c>
      <c r="R4990">
        <v>0</v>
      </c>
      <c r="S4990">
        <v>0</v>
      </c>
      <c r="T4990">
        <v>0</v>
      </c>
      <c r="U4990">
        <v>0</v>
      </c>
      <c r="V4990">
        <v>0</v>
      </c>
      <c r="W4990">
        <v>0</v>
      </c>
      <c r="X4990">
        <v>0</v>
      </c>
      <c r="Y4990" t="s">
        <v>31</v>
      </c>
      <c r="AA4990" s="2" t="s">
        <v>4024</v>
      </c>
    </row>
    <row r="4991" spans="1:27" x14ac:dyDescent="0.2">
      <c r="A4991" t="s">
        <v>547</v>
      </c>
      <c r="B4991">
        <v>2023</v>
      </c>
      <c r="C4991">
        <v>6031007024</v>
      </c>
      <c r="D4991" t="s">
        <v>6095</v>
      </c>
      <c r="E4991" t="s">
        <v>29</v>
      </c>
      <c r="F4991" t="s">
        <v>30</v>
      </c>
      <c r="G4991">
        <v>4</v>
      </c>
      <c r="H4991">
        <v>0</v>
      </c>
      <c r="I4991">
        <v>30</v>
      </c>
      <c r="J4991">
        <v>0</v>
      </c>
      <c r="K4991">
        <v>0</v>
      </c>
      <c r="L4991">
        <v>0</v>
      </c>
      <c r="M4991">
        <v>14</v>
      </c>
      <c r="N4991">
        <v>0</v>
      </c>
      <c r="O4991">
        <v>2</v>
      </c>
      <c r="P4991">
        <v>0</v>
      </c>
      <c r="Q4991">
        <v>0</v>
      </c>
      <c r="R4991">
        <v>0</v>
      </c>
      <c r="S4991">
        <v>0</v>
      </c>
      <c r="T4991">
        <v>0</v>
      </c>
      <c r="U4991">
        <v>0</v>
      </c>
      <c r="V4991">
        <v>0</v>
      </c>
      <c r="W4991">
        <v>0</v>
      </c>
      <c r="X4991">
        <v>0</v>
      </c>
      <c r="Y4991" t="s">
        <v>51</v>
      </c>
      <c r="Z4991">
        <v>55</v>
      </c>
      <c r="AA4991">
        <v>0</v>
      </c>
    </row>
    <row r="4992" spans="1:27" x14ac:dyDescent="0.2">
      <c r="A4992" t="s">
        <v>547</v>
      </c>
      <c r="B4992">
        <v>2023</v>
      </c>
      <c r="C4992">
        <v>4313019047</v>
      </c>
      <c r="D4992" t="s">
        <v>6096</v>
      </c>
      <c r="E4992" t="s">
        <v>29</v>
      </c>
      <c r="F4992" t="s">
        <v>30</v>
      </c>
      <c r="G4992">
        <v>5</v>
      </c>
      <c r="H4992">
        <v>0</v>
      </c>
      <c r="I4992">
        <v>0</v>
      </c>
      <c r="J4992">
        <v>0</v>
      </c>
      <c r="K4992">
        <v>0</v>
      </c>
      <c r="L4992">
        <v>0</v>
      </c>
      <c r="M4992">
        <v>0</v>
      </c>
      <c r="N4992">
        <v>0</v>
      </c>
      <c r="O4992">
        <v>0</v>
      </c>
      <c r="P4992">
        <v>0</v>
      </c>
      <c r="Q4992">
        <v>0</v>
      </c>
      <c r="R4992">
        <v>0</v>
      </c>
      <c r="S4992">
        <v>0</v>
      </c>
      <c r="T4992">
        <v>0</v>
      </c>
      <c r="U4992">
        <v>0</v>
      </c>
      <c r="V4992">
        <v>0</v>
      </c>
      <c r="W4992">
        <v>0</v>
      </c>
      <c r="X4992">
        <v>0</v>
      </c>
      <c r="Y4992" t="s">
        <v>31</v>
      </c>
      <c r="Z4992">
        <v>55</v>
      </c>
      <c r="AA4992" s="2" t="s">
        <v>5712</v>
      </c>
    </row>
    <row r="4993" spans="1:27" x14ac:dyDescent="0.2">
      <c r="A4993" t="s">
        <v>387</v>
      </c>
      <c r="B4993">
        <v>2024</v>
      </c>
      <c r="C4993" t="s">
        <v>6097</v>
      </c>
      <c r="D4993" t="s">
        <v>6098</v>
      </c>
      <c r="E4993" t="s">
        <v>29</v>
      </c>
      <c r="F4993" t="s">
        <v>30</v>
      </c>
      <c r="G4993">
        <v>25</v>
      </c>
      <c r="H4993">
        <v>0</v>
      </c>
      <c r="I4993">
        <v>0</v>
      </c>
      <c r="J4993">
        <v>0</v>
      </c>
      <c r="K4993">
        <v>12</v>
      </c>
      <c r="L4993">
        <v>0</v>
      </c>
      <c r="M4993">
        <v>0</v>
      </c>
      <c r="N4993">
        <v>0</v>
      </c>
      <c r="O4993">
        <v>0</v>
      </c>
      <c r="P4993">
        <v>0</v>
      </c>
      <c r="Q4993">
        <v>0</v>
      </c>
      <c r="R4993">
        <v>0</v>
      </c>
      <c r="S4993">
        <v>0</v>
      </c>
      <c r="T4993">
        <v>0</v>
      </c>
      <c r="U4993">
        <v>0</v>
      </c>
      <c r="V4993">
        <v>0</v>
      </c>
      <c r="W4993">
        <v>0</v>
      </c>
      <c r="X4993">
        <v>0</v>
      </c>
      <c r="Y4993" t="s">
        <v>31</v>
      </c>
      <c r="Z4993">
        <v>1000</v>
      </c>
      <c r="AA4993">
        <v>1</v>
      </c>
    </row>
    <row r="4994" spans="1:27" x14ac:dyDescent="0.2">
      <c r="A4994" t="s">
        <v>547</v>
      </c>
      <c r="B4994">
        <v>2024</v>
      </c>
      <c r="C4994">
        <v>2654013007</v>
      </c>
      <c r="D4994" t="s">
        <v>6099</v>
      </c>
      <c r="E4994" t="s">
        <v>29</v>
      </c>
      <c r="F4994" t="s">
        <v>30</v>
      </c>
      <c r="G4994">
        <v>0</v>
      </c>
      <c r="H4994">
        <v>0</v>
      </c>
      <c r="I4994">
        <v>0</v>
      </c>
      <c r="J4994">
        <v>0</v>
      </c>
      <c r="K4994">
        <v>0</v>
      </c>
      <c r="L4994">
        <v>0</v>
      </c>
      <c r="M4994">
        <v>40</v>
      </c>
      <c r="N4994">
        <v>0</v>
      </c>
      <c r="O4994">
        <v>0</v>
      </c>
      <c r="P4994">
        <v>0</v>
      </c>
      <c r="Q4994">
        <v>312</v>
      </c>
      <c r="R4994">
        <v>0</v>
      </c>
      <c r="S4994">
        <v>40</v>
      </c>
      <c r="T4994">
        <v>0</v>
      </c>
      <c r="U4994">
        <v>0</v>
      </c>
      <c r="V4994">
        <v>0</v>
      </c>
      <c r="W4994">
        <v>312</v>
      </c>
      <c r="X4994">
        <v>0</v>
      </c>
      <c r="Y4994" t="s">
        <v>31</v>
      </c>
      <c r="Z4994">
        <v>55</v>
      </c>
      <c r="AA4994">
        <v>0</v>
      </c>
    </row>
    <row r="4995" spans="1:27" x14ac:dyDescent="0.2">
      <c r="A4995" t="s">
        <v>1075</v>
      </c>
      <c r="B4995">
        <v>2024</v>
      </c>
      <c r="C4995">
        <v>44623117</v>
      </c>
      <c r="D4995" t="s">
        <v>2474</v>
      </c>
      <c r="E4995" t="s">
        <v>29</v>
      </c>
      <c r="F4995" t="s">
        <v>30</v>
      </c>
      <c r="G4995">
        <v>5</v>
      </c>
      <c r="H4995">
        <v>0</v>
      </c>
      <c r="I4995">
        <v>0</v>
      </c>
      <c r="J4995">
        <v>0</v>
      </c>
      <c r="K4995">
        <v>0</v>
      </c>
      <c r="L4995">
        <v>0</v>
      </c>
      <c r="M4995">
        <v>0</v>
      </c>
      <c r="N4995">
        <v>0</v>
      </c>
      <c r="O4995">
        <v>0</v>
      </c>
      <c r="P4995">
        <v>0</v>
      </c>
      <c r="Q4995">
        <v>0</v>
      </c>
      <c r="R4995">
        <v>0</v>
      </c>
      <c r="S4995">
        <v>36</v>
      </c>
      <c r="T4995">
        <v>0</v>
      </c>
      <c r="U4995">
        <v>4</v>
      </c>
      <c r="V4995">
        <v>0</v>
      </c>
      <c r="W4995">
        <v>0</v>
      </c>
      <c r="X4995">
        <v>0</v>
      </c>
      <c r="Y4995" t="s">
        <v>31</v>
      </c>
      <c r="Z4995">
        <v>55</v>
      </c>
      <c r="AA4995" s="2" t="s">
        <v>6100</v>
      </c>
    </row>
    <row r="4996" spans="1:27" x14ac:dyDescent="0.2">
      <c r="A4996" t="s">
        <v>547</v>
      </c>
      <c r="B4996">
        <v>2024</v>
      </c>
      <c r="C4996">
        <v>2236022012</v>
      </c>
      <c r="D4996" t="s">
        <v>6101</v>
      </c>
      <c r="E4996" t="s">
        <v>29</v>
      </c>
      <c r="F4996" t="s">
        <v>30</v>
      </c>
      <c r="G4996">
        <v>2</v>
      </c>
      <c r="H4996">
        <v>0</v>
      </c>
      <c r="I4996">
        <v>37</v>
      </c>
      <c r="J4996">
        <v>0</v>
      </c>
      <c r="K4996">
        <v>8</v>
      </c>
      <c r="L4996">
        <v>0</v>
      </c>
      <c r="M4996">
        <v>0</v>
      </c>
      <c r="N4996">
        <v>0</v>
      </c>
      <c r="O4996">
        <v>0</v>
      </c>
      <c r="P4996">
        <v>0</v>
      </c>
      <c r="Q4996">
        <v>0</v>
      </c>
      <c r="R4996">
        <v>0</v>
      </c>
      <c r="S4996">
        <v>0</v>
      </c>
      <c r="T4996">
        <v>0</v>
      </c>
      <c r="U4996">
        <v>0</v>
      </c>
      <c r="V4996">
        <v>0</v>
      </c>
      <c r="W4996">
        <v>0</v>
      </c>
      <c r="X4996">
        <v>0</v>
      </c>
      <c r="Y4996" t="s">
        <v>31</v>
      </c>
      <c r="Z4996">
        <v>55</v>
      </c>
      <c r="AA4996">
        <v>5</v>
      </c>
    </row>
    <row r="4997" spans="1:27" x14ac:dyDescent="0.2">
      <c r="A4997" t="s">
        <v>547</v>
      </c>
      <c r="B4997">
        <v>2024</v>
      </c>
      <c r="C4997">
        <v>2414004019</v>
      </c>
      <c r="D4997" t="s">
        <v>6102</v>
      </c>
      <c r="E4997" t="s">
        <v>29</v>
      </c>
      <c r="F4997" t="s">
        <v>30</v>
      </c>
      <c r="G4997">
        <v>3</v>
      </c>
      <c r="H4997">
        <v>0</v>
      </c>
      <c r="I4997">
        <v>0</v>
      </c>
      <c r="J4997">
        <v>0</v>
      </c>
      <c r="K4997">
        <v>0</v>
      </c>
      <c r="L4997">
        <v>0</v>
      </c>
      <c r="M4997">
        <v>0</v>
      </c>
      <c r="N4997">
        <v>0</v>
      </c>
      <c r="O4997">
        <v>0</v>
      </c>
      <c r="P4997">
        <v>0</v>
      </c>
      <c r="Q4997">
        <v>0</v>
      </c>
      <c r="R4997">
        <v>0</v>
      </c>
      <c r="S4997">
        <v>0</v>
      </c>
      <c r="T4997">
        <v>0</v>
      </c>
      <c r="U4997">
        <v>0</v>
      </c>
      <c r="V4997">
        <v>0</v>
      </c>
      <c r="W4997">
        <v>0</v>
      </c>
      <c r="X4997">
        <v>0</v>
      </c>
      <c r="Y4997" t="s">
        <v>31</v>
      </c>
      <c r="Z4997">
        <v>55</v>
      </c>
      <c r="AA4997">
        <v>400</v>
      </c>
    </row>
    <row r="4998" spans="1:27" x14ac:dyDescent="0.2">
      <c r="A4998" t="s">
        <v>547</v>
      </c>
      <c r="B4998">
        <v>2024</v>
      </c>
      <c r="C4998">
        <v>4125012016</v>
      </c>
      <c r="D4998" t="s">
        <v>6103</v>
      </c>
      <c r="E4998" t="s">
        <v>29</v>
      </c>
      <c r="F4998" t="s">
        <v>30</v>
      </c>
      <c r="G4998">
        <v>0</v>
      </c>
      <c r="H4998">
        <v>0</v>
      </c>
      <c r="I4998">
        <v>60</v>
      </c>
      <c r="J4998">
        <v>0</v>
      </c>
      <c r="K4998">
        <v>16</v>
      </c>
      <c r="L4998">
        <v>0</v>
      </c>
      <c r="M4998">
        <v>0</v>
      </c>
      <c r="N4998">
        <v>0</v>
      </c>
      <c r="O4998">
        <v>0</v>
      </c>
      <c r="P4998">
        <v>0</v>
      </c>
      <c r="Q4998">
        <v>0</v>
      </c>
      <c r="R4998">
        <v>0</v>
      </c>
      <c r="S4998">
        <v>0</v>
      </c>
      <c r="T4998">
        <v>0</v>
      </c>
      <c r="U4998">
        <v>0</v>
      </c>
      <c r="V4998">
        <v>0</v>
      </c>
      <c r="W4998">
        <v>0</v>
      </c>
      <c r="X4998">
        <v>0</v>
      </c>
      <c r="Y4998" t="s">
        <v>31</v>
      </c>
      <c r="Z4998">
        <v>55</v>
      </c>
      <c r="AA4998">
        <v>3750</v>
      </c>
    </row>
    <row r="4999" spans="1:27" x14ac:dyDescent="0.2">
      <c r="A4999" t="s">
        <v>547</v>
      </c>
      <c r="B4999">
        <v>2024</v>
      </c>
      <c r="C4999">
        <v>4306008024</v>
      </c>
      <c r="D4999" t="s">
        <v>6104</v>
      </c>
      <c r="E4999" t="s">
        <v>29</v>
      </c>
      <c r="F4999" t="s">
        <v>30</v>
      </c>
      <c r="G4999">
        <v>2</v>
      </c>
      <c r="H4999">
        <v>0</v>
      </c>
      <c r="I4999">
        <v>0</v>
      </c>
      <c r="J4999">
        <v>0</v>
      </c>
      <c r="K4999">
        <v>0</v>
      </c>
      <c r="L4999">
        <v>0</v>
      </c>
      <c r="M4999">
        <v>0</v>
      </c>
      <c r="N4999">
        <v>0</v>
      </c>
      <c r="O4999">
        <v>0</v>
      </c>
      <c r="P4999">
        <v>0</v>
      </c>
      <c r="Q4999">
        <v>0</v>
      </c>
      <c r="R4999">
        <v>0</v>
      </c>
      <c r="S4999">
        <v>0</v>
      </c>
      <c r="T4999">
        <v>0</v>
      </c>
      <c r="U4999">
        <v>0</v>
      </c>
      <c r="V4999">
        <v>0</v>
      </c>
      <c r="W4999">
        <v>0</v>
      </c>
      <c r="X4999">
        <v>0</v>
      </c>
      <c r="Y4999" t="s">
        <v>31</v>
      </c>
      <c r="Z4999">
        <v>55</v>
      </c>
      <c r="AA4999">
        <v>444</v>
      </c>
    </row>
    <row r="5000" spans="1:27" x14ac:dyDescent="0.2">
      <c r="A5000" t="s">
        <v>547</v>
      </c>
      <c r="B5000">
        <v>2024</v>
      </c>
      <c r="C5000">
        <v>5020016011</v>
      </c>
      <c r="D5000" t="s">
        <v>6105</v>
      </c>
      <c r="E5000" t="s">
        <v>29</v>
      </c>
      <c r="F5000" t="s">
        <v>30</v>
      </c>
      <c r="G5000">
        <v>2</v>
      </c>
      <c r="H5000">
        <v>0</v>
      </c>
      <c r="I5000">
        <v>12</v>
      </c>
      <c r="J5000">
        <v>0</v>
      </c>
      <c r="K5000">
        <v>2</v>
      </c>
      <c r="L5000">
        <v>0</v>
      </c>
      <c r="M5000">
        <v>0</v>
      </c>
      <c r="N5000">
        <v>0</v>
      </c>
      <c r="O5000">
        <v>0</v>
      </c>
      <c r="P5000">
        <v>0</v>
      </c>
      <c r="Q5000">
        <v>0</v>
      </c>
      <c r="R5000">
        <v>0</v>
      </c>
      <c r="S5000">
        <v>0</v>
      </c>
      <c r="T5000">
        <v>0</v>
      </c>
      <c r="U5000">
        <v>0</v>
      </c>
      <c r="V5000">
        <v>0</v>
      </c>
      <c r="W5000">
        <v>0</v>
      </c>
      <c r="X5000">
        <v>0</v>
      </c>
      <c r="Y5000" t="s">
        <v>31</v>
      </c>
      <c r="Z5000">
        <v>55</v>
      </c>
      <c r="AA5000">
        <v>88</v>
      </c>
    </row>
    <row r="5001" spans="1:27" x14ac:dyDescent="0.2">
      <c r="A5001" t="s">
        <v>547</v>
      </c>
      <c r="B5001">
        <v>2024</v>
      </c>
      <c r="C5001">
        <v>5113005001</v>
      </c>
      <c r="D5001" t="s">
        <v>6106</v>
      </c>
      <c r="E5001" t="s">
        <v>29</v>
      </c>
      <c r="F5001" t="s">
        <v>30</v>
      </c>
      <c r="G5001">
        <v>0</v>
      </c>
      <c r="H5001">
        <v>0</v>
      </c>
      <c r="I5001">
        <v>37</v>
      </c>
      <c r="J5001">
        <v>0</v>
      </c>
      <c r="K5001">
        <v>10</v>
      </c>
      <c r="L5001">
        <v>0</v>
      </c>
      <c r="M5001">
        <v>0</v>
      </c>
      <c r="N5001">
        <v>0</v>
      </c>
      <c r="O5001">
        <v>0</v>
      </c>
      <c r="P5001">
        <v>0</v>
      </c>
      <c r="Q5001">
        <v>0</v>
      </c>
      <c r="R5001">
        <v>0</v>
      </c>
      <c r="S5001">
        <v>0</v>
      </c>
      <c r="T5001">
        <v>0</v>
      </c>
      <c r="U5001">
        <v>0</v>
      </c>
      <c r="V5001">
        <v>0</v>
      </c>
      <c r="W5001">
        <v>0</v>
      </c>
      <c r="X5001">
        <v>0</v>
      </c>
      <c r="Y5001" t="s">
        <v>31</v>
      </c>
      <c r="Z5001">
        <v>55</v>
      </c>
      <c r="AA5001">
        <v>118</v>
      </c>
    </row>
    <row r="5002" spans="1:27" x14ac:dyDescent="0.2">
      <c r="A5002" t="s">
        <v>547</v>
      </c>
      <c r="B5002">
        <v>2024</v>
      </c>
      <c r="C5002">
        <v>5447031020</v>
      </c>
      <c r="D5002" t="s">
        <v>6107</v>
      </c>
      <c r="E5002" t="s">
        <v>29</v>
      </c>
      <c r="F5002" t="s">
        <v>30</v>
      </c>
      <c r="G5002">
        <v>0</v>
      </c>
      <c r="H5002">
        <v>0</v>
      </c>
      <c r="I5002">
        <v>35</v>
      </c>
      <c r="J5002">
        <v>0</v>
      </c>
      <c r="K5002">
        <v>10</v>
      </c>
      <c r="L5002">
        <v>0</v>
      </c>
      <c r="M5002">
        <v>0</v>
      </c>
      <c r="N5002">
        <v>0</v>
      </c>
      <c r="O5002">
        <v>0</v>
      </c>
      <c r="P5002">
        <v>0</v>
      </c>
      <c r="Q5002">
        <v>0</v>
      </c>
      <c r="R5002">
        <v>0</v>
      </c>
      <c r="S5002">
        <v>0</v>
      </c>
      <c r="T5002">
        <v>0</v>
      </c>
      <c r="U5002">
        <v>0</v>
      </c>
      <c r="V5002">
        <v>0</v>
      </c>
      <c r="W5002">
        <v>0</v>
      </c>
      <c r="X5002">
        <v>0</v>
      </c>
      <c r="Y5002" t="s">
        <v>31</v>
      </c>
      <c r="Z5002">
        <v>55</v>
      </c>
      <c r="AA5002">
        <v>666</v>
      </c>
    </row>
    <row r="5003" spans="1:27" x14ac:dyDescent="0.2">
      <c r="A5003" t="s">
        <v>547</v>
      </c>
      <c r="B5003">
        <v>2024</v>
      </c>
      <c r="C5003">
        <v>5543024017</v>
      </c>
      <c r="D5003" t="s">
        <v>6108</v>
      </c>
      <c r="E5003" t="s">
        <v>29</v>
      </c>
      <c r="F5003" t="s">
        <v>30</v>
      </c>
      <c r="G5003">
        <v>0</v>
      </c>
      <c r="H5003">
        <v>0</v>
      </c>
      <c r="I5003">
        <v>56</v>
      </c>
      <c r="J5003">
        <v>0</v>
      </c>
      <c r="K5003">
        <v>15</v>
      </c>
      <c r="L5003">
        <v>0</v>
      </c>
      <c r="M5003">
        <v>0</v>
      </c>
      <c r="N5003">
        <v>0</v>
      </c>
      <c r="O5003">
        <v>0</v>
      </c>
      <c r="P5003">
        <v>0</v>
      </c>
      <c r="Q5003">
        <v>0</v>
      </c>
      <c r="R5003">
        <v>0</v>
      </c>
      <c r="S5003">
        <v>0</v>
      </c>
      <c r="T5003">
        <v>0</v>
      </c>
      <c r="U5003">
        <v>0</v>
      </c>
      <c r="V5003">
        <v>0</v>
      </c>
      <c r="W5003">
        <v>0</v>
      </c>
      <c r="X5003">
        <v>0</v>
      </c>
      <c r="Y5003" t="s">
        <v>31</v>
      </c>
      <c r="Z5003">
        <v>55</v>
      </c>
      <c r="AA5003">
        <v>13</v>
      </c>
    </row>
    <row r="5004" spans="1:27" x14ac:dyDescent="0.2">
      <c r="A5004" t="s">
        <v>547</v>
      </c>
      <c r="B5004">
        <v>2024</v>
      </c>
      <c r="C5004">
        <v>7449014014</v>
      </c>
      <c r="D5004" t="s">
        <v>6109</v>
      </c>
      <c r="E5004" t="s">
        <v>29</v>
      </c>
      <c r="F5004" t="s">
        <v>30</v>
      </c>
      <c r="G5004">
        <v>0</v>
      </c>
      <c r="H5004">
        <v>0</v>
      </c>
      <c r="I5004">
        <v>36</v>
      </c>
      <c r="J5004">
        <v>0</v>
      </c>
      <c r="K5004">
        <v>10</v>
      </c>
      <c r="L5004">
        <v>0</v>
      </c>
      <c r="M5004">
        <v>0</v>
      </c>
      <c r="N5004">
        <v>0</v>
      </c>
      <c r="O5004">
        <v>0</v>
      </c>
      <c r="P5004">
        <v>0</v>
      </c>
      <c r="Q5004">
        <v>0</v>
      </c>
      <c r="R5004">
        <v>0</v>
      </c>
      <c r="S5004">
        <v>0</v>
      </c>
      <c r="T5004">
        <v>0</v>
      </c>
      <c r="U5004">
        <v>0</v>
      </c>
      <c r="V5004">
        <v>0</v>
      </c>
      <c r="W5004">
        <v>0</v>
      </c>
      <c r="X5004">
        <v>0</v>
      </c>
      <c r="Y5004" t="s">
        <v>51</v>
      </c>
      <c r="Z5004">
        <v>55</v>
      </c>
      <c r="AA5004">
        <v>0</v>
      </c>
    </row>
    <row r="5005" spans="1:27" x14ac:dyDescent="0.2">
      <c r="A5005" t="s">
        <v>547</v>
      </c>
      <c r="B5005">
        <v>2024</v>
      </c>
      <c r="C5005">
        <v>2233010008</v>
      </c>
      <c r="D5005" t="s">
        <v>6110</v>
      </c>
      <c r="E5005" t="s">
        <v>29</v>
      </c>
      <c r="F5005" t="s">
        <v>30</v>
      </c>
      <c r="G5005">
        <v>2</v>
      </c>
      <c r="H5005">
        <v>0</v>
      </c>
      <c r="I5005">
        <v>48</v>
      </c>
      <c r="J5005">
        <v>0</v>
      </c>
      <c r="K5005">
        <v>10</v>
      </c>
      <c r="L5005">
        <v>0</v>
      </c>
      <c r="M5005">
        <v>0</v>
      </c>
      <c r="N5005">
        <v>0</v>
      </c>
      <c r="O5005">
        <v>0</v>
      </c>
      <c r="P5005">
        <v>0</v>
      </c>
      <c r="Q5005">
        <v>0</v>
      </c>
      <c r="R5005">
        <v>0</v>
      </c>
      <c r="S5005">
        <v>0</v>
      </c>
      <c r="T5005">
        <v>0</v>
      </c>
      <c r="U5005">
        <v>0</v>
      </c>
      <c r="V5005">
        <v>0</v>
      </c>
      <c r="W5005">
        <v>0</v>
      </c>
      <c r="X5005">
        <v>0</v>
      </c>
      <c r="Y5005" t="s">
        <v>31</v>
      </c>
      <c r="Z5005">
        <v>55</v>
      </c>
      <c r="AA5005">
        <v>771</v>
      </c>
    </row>
    <row r="5006" spans="1:27" x14ac:dyDescent="0.2">
      <c r="A5006" t="s">
        <v>547</v>
      </c>
      <c r="B5006">
        <v>2024</v>
      </c>
      <c r="C5006">
        <v>2241022027</v>
      </c>
      <c r="D5006" t="s">
        <v>6111</v>
      </c>
      <c r="E5006" t="s">
        <v>29</v>
      </c>
      <c r="F5006" t="s">
        <v>30</v>
      </c>
      <c r="G5006">
        <v>0</v>
      </c>
      <c r="H5006">
        <v>0</v>
      </c>
      <c r="I5006">
        <v>55</v>
      </c>
      <c r="J5006">
        <v>0</v>
      </c>
      <c r="K5006">
        <v>15</v>
      </c>
      <c r="L5006">
        <v>0</v>
      </c>
      <c r="M5006">
        <v>0</v>
      </c>
      <c r="N5006">
        <v>0</v>
      </c>
      <c r="O5006">
        <v>0</v>
      </c>
      <c r="P5006">
        <v>0</v>
      </c>
      <c r="Q5006">
        <v>0</v>
      </c>
      <c r="R5006">
        <v>0</v>
      </c>
      <c r="S5006">
        <v>0</v>
      </c>
      <c r="T5006">
        <v>0</v>
      </c>
      <c r="U5006">
        <v>0</v>
      </c>
      <c r="V5006">
        <v>0</v>
      </c>
      <c r="W5006">
        <v>0</v>
      </c>
      <c r="X5006">
        <v>0</v>
      </c>
      <c r="Y5006" t="s">
        <v>31</v>
      </c>
      <c r="Z5006">
        <v>55</v>
      </c>
      <c r="AA5006">
        <v>446</v>
      </c>
    </row>
    <row r="5007" spans="1:27" x14ac:dyDescent="0.2">
      <c r="A5007" t="s">
        <v>48</v>
      </c>
      <c r="B5007">
        <v>2024</v>
      </c>
      <c r="C5007" t="s">
        <v>6112</v>
      </c>
      <c r="D5007" t="s">
        <v>6113</v>
      </c>
      <c r="E5007" t="s">
        <v>29</v>
      </c>
      <c r="F5007" t="s">
        <v>30</v>
      </c>
      <c r="G5007">
        <v>1</v>
      </c>
      <c r="H5007">
        <v>0</v>
      </c>
      <c r="I5007">
        <v>0</v>
      </c>
      <c r="J5007">
        <v>0</v>
      </c>
      <c r="K5007">
        <v>0</v>
      </c>
      <c r="L5007">
        <v>0</v>
      </c>
      <c r="M5007">
        <v>0</v>
      </c>
      <c r="N5007">
        <v>0</v>
      </c>
      <c r="O5007">
        <v>0</v>
      </c>
      <c r="P5007">
        <v>0</v>
      </c>
      <c r="Q5007">
        <v>0</v>
      </c>
      <c r="R5007">
        <v>0</v>
      </c>
      <c r="S5007">
        <v>0</v>
      </c>
      <c r="T5007">
        <v>0</v>
      </c>
      <c r="U5007">
        <v>0</v>
      </c>
      <c r="V5007">
        <v>0</v>
      </c>
      <c r="W5007">
        <v>0</v>
      </c>
      <c r="X5007">
        <v>0</v>
      </c>
      <c r="Y5007" t="s">
        <v>31</v>
      </c>
      <c r="AA5007" s="2" t="s">
        <v>3299</v>
      </c>
    </row>
    <row r="5008" spans="1:27" x14ac:dyDescent="0.2">
      <c r="A5008" t="s">
        <v>547</v>
      </c>
      <c r="B5008">
        <v>2023</v>
      </c>
      <c r="C5008">
        <v>5442024045</v>
      </c>
      <c r="D5008" t="s">
        <v>6114</v>
      </c>
      <c r="E5008" t="s">
        <v>29</v>
      </c>
      <c r="F5008" t="s">
        <v>30</v>
      </c>
      <c r="G5008">
        <v>0</v>
      </c>
      <c r="H5008">
        <v>0</v>
      </c>
      <c r="I5008">
        <v>0</v>
      </c>
      <c r="J5008">
        <v>0</v>
      </c>
      <c r="K5008">
        <v>0</v>
      </c>
      <c r="L5008">
        <v>0</v>
      </c>
      <c r="M5008">
        <v>5</v>
      </c>
      <c r="N5008">
        <v>0</v>
      </c>
      <c r="O5008">
        <v>0</v>
      </c>
      <c r="P5008">
        <v>0</v>
      </c>
      <c r="Q5008">
        <v>0</v>
      </c>
      <c r="R5008">
        <v>0</v>
      </c>
      <c r="S5008">
        <v>5</v>
      </c>
      <c r="T5008">
        <v>0</v>
      </c>
      <c r="U5008">
        <v>0</v>
      </c>
      <c r="V5008">
        <v>0</v>
      </c>
      <c r="W5008">
        <v>0</v>
      </c>
      <c r="X5008">
        <v>0</v>
      </c>
      <c r="Y5008" t="s">
        <v>31</v>
      </c>
      <c r="Z5008">
        <v>55</v>
      </c>
      <c r="AA5008" s="2" t="s">
        <v>3600</v>
      </c>
    </row>
    <row r="5009" spans="1:27" x14ac:dyDescent="0.2">
      <c r="A5009" t="s">
        <v>547</v>
      </c>
      <c r="B5009">
        <v>2023</v>
      </c>
      <c r="C5009">
        <v>4260004030</v>
      </c>
      <c r="D5009" t="s">
        <v>6115</v>
      </c>
      <c r="E5009" t="s">
        <v>29</v>
      </c>
      <c r="F5009" t="s">
        <v>30</v>
      </c>
      <c r="G5009">
        <v>0</v>
      </c>
      <c r="H5009">
        <v>0</v>
      </c>
      <c r="I5009">
        <v>0</v>
      </c>
      <c r="J5009">
        <v>0</v>
      </c>
      <c r="K5009">
        <v>0</v>
      </c>
      <c r="L5009">
        <v>0</v>
      </c>
      <c r="M5009">
        <v>0</v>
      </c>
      <c r="N5009">
        <v>0</v>
      </c>
      <c r="O5009">
        <v>0</v>
      </c>
      <c r="P5009">
        <v>0</v>
      </c>
      <c r="Q5009">
        <v>0</v>
      </c>
      <c r="R5009">
        <v>0</v>
      </c>
      <c r="S5009">
        <v>7</v>
      </c>
      <c r="T5009">
        <v>0</v>
      </c>
      <c r="U5009">
        <v>0</v>
      </c>
      <c r="V5009">
        <v>0</v>
      </c>
      <c r="W5009">
        <v>0</v>
      </c>
      <c r="X5009">
        <v>0</v>
      </c>
      <c r="Y5009" t="s">
        <v>31</v>
      </c>
      <c r="Z5009">
        <v>55</v>
      </c>
      <c r="AA5009" s="2" t="s">
        <v>3316</v>
      </c>
    </row>
    <row r="5010" spans="1:27" x14ac:dyDescent="0.2">
      <c r="A5010" t="s">
        <v>547</v>
      </c>
      <c r="B5010">
        <v>2023</v>
      </c>
      <c r="C5010">
        <v>5522003007</v>
      </c>
      <c r="D5010" t="s">
        <v>6116</v>
      </c>
      <c r="E5010" t="s">
        <v>29</v>
      </c>
      <c r="F5010" t="s">
        <v>30</v>
      </c>
      <c r="G5010">
        <v>0</v>
      </c>
      <c r="H5010">
        <v>0</v>
      </c>
      <c r="I5010">
        <v>0</v>
      </c>
      <c r="J5010">
        <v>0</v>
      </c>
      <c r="K5010">
        <v>0</v>
      </c>
      <c r="L5010">
        <v>0</v>
      </c>
      <c r="M5010">
        <v>0</v>
      </c>
      <c r="N5010">
        <v>0</v>
      </c>
      <c r="O5010">
        <v>0</v>
      </c>
      <c r="P5010">
        <v>0</v>
      </c>
      <c r="Q5010">
        <v>0</v>
      </c>
      <c r="R5010">
        <v>0</v>
      </c>
      <c r="S5010">
        <v>3</v>
      </c>
      <c r="T5010">
        <v>0</v>
      </c>
      <c r="U5010">
        <v>0</v>
      </c>
      <c r="V5010">
        <v>0</v>
      </c>
      <c r="W5010">
        <v>0</v>
      </c>
      <c r="X5010">
        <v>0</v>
      </c>
      <c r="Y5010" t="s">
        <v>31</v>
      </c>
      <c r="Z5010">
        <v>55</v>
      </c>
      <c r="AA5010" s="2" t="s">
        <v>3316</v>
      </c>
    </row>
    <row r="5011" spans="1:27" x14ac:dyDescent="0.2">
      <c r="A5011" t="s">
        <v>69</v>
      </c>
      <c r="B5011">
        <v>2024</v>
      </c>
      <c r="C5011" t="s">
        <v>6117</v>
      </c>
      <c r="D5011" t="s">
        <v>6118</v>
      </c>
      <c r="E5011" t="s">
        <v>29</v>
      </c>
      <c r="F5011" t="s">
        <v>30</v>
      </c>
      <c r="G5011">
        <v>1</v>
      </c>
      <c r="H5011">
        <v>0</v>
      </c>
      <c r="I5011">
        <v>2</v>
      </c>
      <c r="J5011">
        <v>0</v>
      </c>
      <c r="K5011">
        <v>1</v>
      </c>
      <c r="L5011">
        <v>0</v>
      </c>
      <c r="M5011">
        <v>0</v>
      </c>
      <c r="N5011">
        <v>0</v>
      </c>
      <c r="O5011">
        <v>0</v>
      </c>
      <c r="P5011">
        <v>0</v>
      </c>
      <c r="Q5011">
        <v>0</v>
      </c>
      <c r="R5011">
        <v>0</v>
      </c>
      <c r="S5011">
        <v>0</v>
      </c>
      <c r="T5011">
        <v>0</v>
      </c>
      <c r="U5011">
        <v>0</v>
      </c>
      <c r="V5011">
        <v>0</v>
      </c>
      <c r="W5011">
        <v>0</v>
      </c>
      <c r="X5011">
        <v>0</v>
      </c>
      <c r="Y5011" t="s">
        <v>51</v>
      </c>
      <c r="Z5011">
        <v>55</v>
      </c>
      <c r="AA5011">
        <v>0</v>
      </c>
    </row>
    <row r="5012" spans="1:27" x14ac:dyDescent="0.2">
      <c r="A5012" t="s">
        <v>547</v>
      </c>
      <c r="B5012">
        <v>2024</v>
      </c>
      <c r="C5012">
        <v>2337006010</v>
      </c>
      <c r="D5012" t="s">
        <v>6119</v>
      </c>
      <c r="E5012" t="s">
        <v>29</v>
      </c>
      <c r="F5012" t="s">
        <v>30</v>
      </c>
      <c r="G5012">
        <v>0</v>
      </c>
      <c r="H5012">
        <v>0</v>
      </c>
      <c r="I5012">
        <v>52</v>
      </c>
      <c r="J5012">
        <v>0</v>
      </c>
      <c r="K5012">
        <v>0</v>
      </c>
      <c r="L5012">
        <v>0</v>
      </c>
      <c r="M5012">
        <v>0</v>
      </c>
      <c r="N5012">
        <v>0</v>
      </c>
      <c r="O5012">
        <v>0</v>
      </c>
      <c r="P5012">
        <v>0</v>
      </c>
      <c r="Q5012">
        <v>0</v>
      </c>
      <c r="R5012">
        <v>0</v>
      </c>
      <c r="S5012">
        <v>0</v>
      </c>
      <c r="T5012">
        <v>0</v>
      </c>
      <c r="U5012">
        <v>0</v>
      </c>
      <c r="V5012">
        <v>0</v>
      </c>
      <c r="W5012">
        <v>0</v>
      </c>
      <c r="X5012">
        <v>0</v>
      </c>
      <c r="Y5012" t="s">
        <v>31</v>
      </c>
      <c r="Z5012">
        <v>55</v>
      </c>
      <c r="AA5012">
        <v>657</v>
      </c>
    </row>
    <row r="5013" spans="1:27" x14ac:dyDescent="0.2">
      <c r="A5013" t="s">
        <v>547</v>
      </c>
      <c r="B5013">
        <v>2024</v>
      </c>
      <c r="C5013">
        <v>2337015010</v>
      </c>
      <c r="D5013" t="s">
        <v>6120</v>
      </c>
      <c r="E5013" t="s">
        <v>29</v>
      </c>
      <c r="F5013" t="s">
        <v>30</v>
      </c>
      <c r="G5013">
        <v>1</v>
      </c>
      <c r="H5013">
        <v>0</v>
      </c>
      <c r="I5013">
        <v>59</v>
      </c>
      <c r="J5013">
        <v>0</v>
      </c>
      <c r="K5013">
        <v>15</v>
      </c>
      <c r="L5013">
        <v>0</v>
      </c>
      <c r="M5013">
        <v>0</v>
      </c>
      <c r="N5013">
        <v>0</v>
      </c>
      <c r="O5013">
        <v>0</v>
      </c>
      <c r="P5013">
        <v>0</v>
      </c>
      <c r="Q5013">
        <v>0</v>
      </c>
      <c r="R5013">
        <v>0</v>
      </c>
      <c r="S5013">
        <v>0</v>
      </c>
      <c r="T5013">
        <v>0</v>
      </c>
      <c r="U5013">
        <v>0</v>
      </c>
      <c r="V5013">
        <v>0</v>
      </c>
      <c r="W5013">
        <v>0</v>
      </c>
      <c r="X5013">
        <v>0</v>
      </c>
      <c r="Y5013" t="s">
        <v>31</v>
      </c>
      <c r="Z5013">
        <v>55</v>
      </c>
      <c r="AA5013">
        <v>660</v>
      </c>
    </row>
    <row r="5014" spans="1:27" x14ac:dyDescent="0.2">
      <c r="A5014" t="s">
        <v>547</v>
      </c>
      <c r="B5014">
        <v>2024</v>
      </c>
      <c r="C5014">
        <v>2354008030</v>
      </c>
      <c r="D5014" t="s">
        <v>6121</v>
      </c>
      <c r="E5014" t="s">
        <v>29</v>
      </c>
      <c r="F5014" t="s">
        <v>30</v>
      </c>
      <c r="G5014">
        <v>0</v>
      </c>
      <c r="H5014">
        <v>0</v>
      </c>
      <c r="I5014">
        <v>46</v>
      </c>
      <c r="J5014">
        <v>0</v>
      </c>
      <c r="K5014">
        <v>11</v>
      </c>
      <c r="L5014">
        <v>0</v>
      </c>
      <c r="M5014">
        <v>0</v>
      </c>
      <c r="N5014">
        <v>0</v>
      </c>
      <c r="O5014">
        <v>0</v>
      </c>
      <c r="P5014">
        <v>0</v>
      </c>
      <c r="Q5014">
        <v>0</v>
      </c>
      <c r="R5014">
        <v>0</v>
      </c>
      <c r="S5014">
        <v>0</v>
      </c>
      <c r="T5014">
        <v>0</v>
      </c>
      <c r="U5014">
        <v>0</v>
      </c>
      <c r="V5014">
        <v>0</v>
      </c>
      <c r="W5014">
        <v>0</v>
      </c>
      <c r="X5014">
        <v>0</v>
      </c>
      <c r="Y5014" t="s">
        <v>31</v>
      </c>
      <c r="Z5014">
        <v>55</v>
      </c>
      <c r="AA5014">
        <v>35</v>
      </c>
    </row>
    <row r="5015" spans="1:27" x14ac:dyDescent="0.2">
      <c r="A5015" t="s">
        <v>547</v>
      </c>
      <c r="B5015">
        <v>2024</v>
      </c>
      <c r="C5015">
        <v>2409003016</v>
      </c>
      <c r="D5015" t="s">
        <v>6122</v>
      </c>
      <c r="E5015" t="s">
        <v>29</v>
      </c>
      <c r="F5015" t="s">
        <v>30</v>
      </c>
      <c r="G5015">
        <v>0</v>
      </c>
      <c r="H5015">
        <v>0</v>
      </c>
      <c r="I5015">
        <v>95</v>
      </c>
      <c r="J5015">
        <v>0</v>
      </c>
      <c r="K5015">
        <v>0</v>
      </c>
      <c r="L5015">
        <v>0</v>
      </c>
      <c r="M5015">
        <v>0</v>
      </c>
      <c r="N5015">
        <v>0</v>
      </c>
      <c r="O5015">
        <v>0</v>
      </c>
      <c r="P5015">
        <v>0</v>
      </c>
      <c r="Q5015">
        <v>0</v>
      </c>
      <c r="R5015">
        <v>0</v>
      </c>
      <c r="S5015">
        <v>0</v>
      </c>
      <c r="T5015">
        <v>0</v>
      </c>
      <c r="U5015">
        <v>0</v>
      </c>
      <c r="V5015">
        <v>0</v>
      </c>
      <c r="W5015">
        <v>0</v>
      </c>
      <c r="X5015">
        <v>0</v>
      </c>
      <c r="Y5015" t="s">
        <v>31</v>
      </c>
      <c r="Z5015">
        <v>55</v>
      </c>
      <c r="AA5015">
        <v>0</v>
      </c>
    </row>
    <row r="5016" spans="1:27" x14ac:dyDescent="0.2">
      <c r="A5016" t="s">
        <v>876</v>
      </c>
      <c r="B5016">
        <v>2024</v>
      </c>
      <c r="C5016">
        <v>41208065</v>
      </c>
      <c r="D5016" t="s">
        <v>877</v>
      </c>
      <c r="E5016" t="s">
        <v>29</v>
      </c>
      <c r="F5016" t="s">
        <v>30</v>
      </c>
      <c r="G5016">
        <v>0</v>
      </c>
      <c r="H5016">
        <v>0</v>
      </c>
      <c r="I5016">
        <v>0</v>
      </c>
      <c r="J5016">
        <v>0</v>
      </c>
      <c r="K5016">
        <v>0</v>
      </c>
      <c r="L5016">
        <v>0</v>
      </c>
      <c r="M5016">
        <v>0</v>
      </c>
      <c r="N5016">
        <v>0</v>
      </c>
      <c r="O5016">
        <v>0</v>
      </c>
      <c r="P5016">
        <v>0</v>
      </c>
      <c r="Q5016">
        <v>0</v>
      </c>
      <c r="R5016">
        <v>0</v>
      </c>
      <c r="S5016">
        <v>7</v>
      </c>
      <c r="T5016">
        <v>0</v>
      </c>
      <c r="U5016">
        <v>0</v>
      </c>
      <c r="V5016">
        <v>0</v>
      </c>
      <c r="W5016">
        <v>0</v>
      </c>
      <c r="X5016">
        <v>0</v>
      </c>
      <c r="Y5016" t="s">
        <v>31</v>
      </c>
      <c r="Z5016">
        <v>55</v>
      </c>
      <c r="AA5016">
        <v>0.25</v>
      </c>
    </row>
    <row r="5017" spans="1:27" x14ac:dyDescent="0.2">
      <c r="A5017" t="s">
        <v>547</v>
      </c>
      <c r="B5017">
        <v>2024</v>
      </c>
      <c r="C5017">
        <v>2654020046</v>
      </c>
      <c r="D5017" t="s">
        <v>6123</v>
      </c>
      <c r="E5017" t="s">
        <v>29</v>
      </c>
      <c r="F5017" t="s">
        <v>30</v>
      </c>
      <c r="G5017">
        <v>0</v>
      </c>
      <c r="H5017">
        <v>0</v>
      </c>
      <c r="I5017">
        <v>195</v>
      </c>
      <c r="J5017">
        <v>0</v>
      </c>
      <c r="K5017">
        <v>49</v>
      </c>
      <c r="L5017">
        <v>0</v>
      </c>
      <c r="M5017">
        <v>0</v>
      </c>
      <c r="N5017">
        <v>0</v>
      </c>
      <c r="O5017">
        <v>0</v>
      </c>
      <c r="P5017">
        <v>0</v>
      </c>
      <c r="Q5017">
        <v>0</v>
      </c>
      <c r="R5017">
        <v>0</v>
      </c>
      <c r="S5017">
        <v>0</v>
      </c>
      <c r="T5017">
        <v>0</v>
      </c>
      <c r="U5017">
        <v>0</v>
      </c>
      <c r="V5017">
        <v>0</v>
      </c>
      <c r="W5017">
        <v>0</v>
      </c>
      <c r="X5017">
        <v>0</v>
      </c>
      <c r="Y5017" t="s">
        <v>31</v>
      </c>
      <c r="Z5017">
        <v>55</v>
      </c>
      <c r="AA5017">
        <v>166</v>
      </c>
    </row>
    <row r="5018" spans="1:27" x14ac:dyDescent="0.2">
      <c r="A5018" t="s">
        <v>876</v>
      </c>
      <c r="B5018">
        <v>2024</v>
      </c>
      <c r="C5018">
        <v>30517017</v>
      </c>
      <c r="D5018" t="s">
        <v>6124</v>
      </c>
      <c r="E5018" t="s">
        <v>29</v>
      </c>
      <c r="F5018" t="s">
        <v>41</v>
      </c>
      <c r="G5018">
        <v>0</v>
      </c>
      <c r="H5018">
        <v>0</v>
      </c>
      <c r="I5018">
        <v>6</v>
      </c>
      <c r="J5018">
        <v>0</v>
      </c>
      <c r="K5018">
        <v>8</v>
      </c>
      <c r="L5018">
        <v>0</v>
      </c>
      <c r="M5018">
        <v>0</v>
      </c>
      <c r="N5018">
        <v>0</v>
      </c>
      <c r="O5018">
        <v>0</v>
      </c>
      <c r="P5018">
        <v>0</v>
      </c>
      <c r="Q5018">
        <v>0</v>
      </c>
      <c r="R5018">
        <v>0</v>
      </c>
      <c r="S5018">
        <v>0</v>
      </c>
      <c r="T5018">
        <v>0</v>
      </c>
      <c r="U5018">
        <v>0</v>
      </c>
      <c r="V5018">
        <v>0</v>
      </c>
      <c r="W5018">
        <v>0</v>
      </c>
      <c r="X5018">
        <v>0</v>
      </c>
      <c r="Y5018" t="s">
        <v>31</v>
      </c>
      <c r="Z5018">
        <v>55</v>
      </c>
      <c r="AA5018">
        <v>0</v>
      </c>
    </row>
    <row r="5019" spans="1:27" x14ac:dyDescent="0.2">
      <c r="A5019" t="s">
        <v>547</v>
      </c>
      <c r="B5019">
        <v>2024</v>
      </c>
      <c r="C5019">
        <v>5019006001</v>
      </c>
      <c r="D5019" t="s">
        <v>6125</v>
      </c>
      <c r="E5019" t="s">
        <v>29</v>
      </c>
      <c r="F5019" t="s">
        <v>30</v>
      </c>
      <c r="G5019">
        <v>2</v>
      </c>
      <c r="H5019">
        <v>0</v>
      </c>
      <c r="I5019">
        <v>72</v>
      </c>
      <c r="J5019">
        <v>0</v>
      </c>
      <c r="K5019">
        <v>15</v>
      </c>
      <c r="L5019">
        <v>0</v>
      </c>
      <c r="M5019">
        <v>0</v>
      </c>
      <c r="N5019">
        <v>0</v>
      </c>
      <c r="O5019">
        <v>0</v>
      </c>
      <c r="P5019">
        <v>0</v>
      </c>
      <c r="Q5019">
        <v>0</v>
      </c>
      <c r="R5019">
        <v>0</v>
      </c>
      <c r="S5019">
        <v>0</v>
      </c>
      <c r="T5019">
        <v>0</v>
      </c>
      <c r="U5019">
        <v>0</v>
      </c>
      <c r="V5019">
        <v>0</v>
      </c>
      <c r="W5019">
        <v>0</v>
      </c>
      <c r="X5019">
        <v>0</v>
      </c>
      <c r="Y5019" t="s">
        <v>31</v>
      </c>
      <c r="Z5019">
        <v>55</v>
      </c>
      <c r="AA5019">
        <v>2150</v>
      </c>
    </row>
    <row r="5020" spans="1:27" x14ac:dyDescent="0.2">
      <c r="A5020" t="s">
        <v>547</v>
      </c>
      <c r="B5020">
        <v>2024</v>
      </c>
      <c r="C5020">
        <v>5062006027</v>
      </c>
      <c r="D5020" t="s">
        <v>6126</v>
      </c>
      <c r="E5020" t="s">
        <v>29</v>
      </c>
      <c r="F5020" t="s">
        <v>30</v>
      </c>
      <c r="G5020">
        <v>0</v>
      </c>
      <c r="H5020">
        <v>0</v>
      </c>
      <c r="I5020">
        <v>98</v>
      </c>
      <c r="J5020">
        <v>0</v>
      </c>
      <c r="K5020">
        <v>25</v>
      </c>
      <c r="L5020">
        <v>0</v>
      </c>
      <c r="M5020">
        <v>0</v>
      </c>
      <c r="N5020">
        <v>0</v>
      </c>
      <c r="O5020">
        <v>0</v>
      </c>
      <c r="P5020">
        <v>0</v>
      </c>
      <c r="Q5020">
        <v>0</v>
      </c>
      <c r="R5020">
        <v>0</v>
      </c>
      <c r="S5020">
        <v>0</v>
      </c>
      <c r="T5020">
        <v>0</v>
      </c>
      <c r="U5020">
        <v>0</v>
      </c>
      <c r="V5020">
        <v>0</v>
      </c>
      <c r="W5020">
        <v>0</v>
      </c>
      <c r="X5020">
        <v>0</v>
      </c>
      <c r="Y5020" t="s">
        <v>31</v>
      </c>
      <c r="Z5020">
        <v>55</v>
      </c>
      <c r="AA5020">
        <v>97</v>
      </c>
    </row>
    <row r="5021" spans="1:27" x14ac:dyDescent="0.2">
      <c r="A5021" t="s">
        <v>547</v>
      </c>
      <c r="B5021">
        <v>2024</v>
      </c>
      <c r="C5021">
        <v>5065006017</v>
      </c>
      <c r="D5021" t="s">
        <v>6127</v>
      </c>
      <c r="E5021" t="s">
        <v>29</v>
      </c>
      <c r="F5021" t="s">
        <v>30</v>
      </c>
      <c r="G5021">
        <v>0</v>
      </c>
      <c r="H5021">
        <v>0</v>
      </c>
      <c r="I5021">
        <v>55</v>
      </c>
      <c r="J5021">
        <v>0</v>
      </c>
      <c r="K5021">
        <v>14</v>
      </c>
      <c r="L5021">
        <v>0</v>
      </c>
      <c r="M5021">
        <v>0</v>
      </c>
      <c r="N5021">
        <v>0</v>
      </c>
      <c r="O5021">
        <v>0</v>
      </c>
      <c r="P5021">
        <v>0</v>
      </c>
      <c r="Q5021">
        <v>0</v>
      </c>
      <c r="R5021">
        <v>0</v>
      </c>
      <c r="S5021">
        <v>0</v>
      </c>
      <c r="T5021">
        <v>0</v>
      </c>
      <c r="U5021">
        <v>0</v>
      </c>
      <c r="V5021">
        <v>0</v>
      </c>
      <c r="W5021">
        <v>0</v>
      </c>
      <c r="X5021">
        <v>0</v>
      </c>
      <c r="Y5021" t="s">
        <v>31</v>
      </c>
      <c r="Z5021">
        <v>55</v>
      </c>
      <c r="AA5021">
        <v>775</v>
      </c>
    </row>
    <row r="5022" spans="1:27" x14ac:dyDescent="0.2">
      <c r="A5022" t="s">
        <v>1075</v>
      </c>
      <c r="B5022">
        <v>2024</v>
      </c>
      <c r="C5022" t="s">
        <v>2291</v>
      </c>
      <c r="D5022" t="s">
        <v>3385</v>
      </c>
      <c r="E5022" t="s">
        <v>29</v>
      </c>
      <c r="F5022" t="s">
        <v>30</v>
      </c>
      <c r="G5022">
        <v>0</v>
      </c>
      <c r="H5022">
        <v>0</v>
      </c>
      <c r="I5022">
        <v>0</v>
      </c>
      <c r="J5022">
        <v>0</v>
      </c>
      <c r="K5022">
        <v>0</v>
      </c>
      <c r="L5022">
        <v>0</v>
      </c>
      <c r="M5022">
        <v>0</v>
      </c>
      <c r="N5022">
        <v>0</v>
      </c>
      <c r="O5022">
        <v>0</v>
      </c>
      <c r="P5022">
        <v>0</v>
      </c>
      <c r="Q5022">
        <v>0</v>
      </c>
      <c r="R5022">
        <v>0</v>
      </c>
      <c r="S5022">
        <v>7</v>
      </c>
      <c r="T5022">
        <v>0</v>
      </c>
      <c r="U5022">
        <v>5</v>
      </c>
      <c r="V5022">
        <v>0</v>
      </c>
      <c r="W5022">
        <v>0</v>
      </c>
      <c r="X5022">
        <v>0</v>
      </c>
      <c r="Y5022" t="s">
        <v>31</v>
      </c>
      <c r="Z5022">
        <v>55</v>
      </c>
      <c r="AA5022" s="2" t="s">
        <v>3920</v>
      </c>
    </row>
    <row r="5023" spans="1:27" x14ac:dyDescent="0.2">
      <c r="A5023" t="s">
        <v>69</v>
      </c>
      <c r="B5023">
        <v>2024</v>
      </c>
      <c r="C5023" t="s">
        <v>6128</v>
      </c>
      <c r="D5023" t="s">
        <v>6129</v>
      </c>
      <c r="E5023" t="s">
        <v>29</v>
      </c>
      <c r="F5023" t="s">
        <v>30</v>
      </c>
      <c r="G5023">
        <v>0</v>
      </c>
      <c r="H5023">
        <v>0</v>
      </c>
      <c r="I5023">
        <v>0</v>
      </c>
      <c r="J5023">
        <v>0</v>
      </c>
      <c r="K5023">
        <v>0</v>
      </c>
      <c r="L5023">
        <v>0</v>
      </c>
      <c r="M5023">
        <v>0</v>
      </c>
      <c r="N5023">
        <v>0</v>
      </c>
      <c r="O5023">
        <v>0</v>
      </c>
      <c r="P5023">
        <v>0</v>
      </c>
      <c r="Q5023">
        <v>0</v>
      </c>
      <c r="R5023">
        <v>0</v>
      </c>
      <c r="S5023">
        <v>0</v>
      </c>
      <c r="T5023">
        <v>0</v>
      </c>
      <c r="U5023">
        <v>0</v>
      </c>
      <c r="V5023">
        <v>0</v>
      </c>
      <c r="W5023">
        <v>2</v>
      </c>
      <c r="X5023">
        <v>0</v>
      </c>
      <c r="Y5023" t="s">
        <v>51</v>
      </c>
      <c r="Z5023">
        <v>45</v>
      </c>
      <c r="AA5023">
        <v>0</v>
      </c>
    </row>
    <row r="5024" spans="1:27" x14ac:dyDescent="0.2">
      <c r="A5024" t="s">
        <v>547</v>
      </c>
      <c r="B5024">
        <v>2024</v>
      </c>
      <c r="C5024">
        <v>5157018009</v>
      </c>
      <c r="D5024" t="s">
        <v>6130</v>
      </c>
      <c r="E5024" t="s">
        <v>29</v>
      </c>
      <c r="F5024" t="s">
        <v>30</v>
      </c>
      <c r="G5024">
        <v>0</v>
      </c>
      <c r="H5024">
        <v>0</v>
      </c>
      <c r="I5024">
        <v>31</v>
      </c>
      <c r="J5024">
        <v>0</v>
      </c>
      <c r="K5024">
        <v>0</v>
      </c>
      <c r="L5024">
        <v>0</v>
      </c>
      <c r="M5024">
        <v>0</v>
      </c>
      <c r="N5024">
        <v>0</v>
      </c>
      <c r="O5024">
        <v>0</v>
      </c>
      <c r="P5024">
        <v>0</v>
      </c>
      <c r="Q5024">
        <v>0</v>
      </c>
      <c r="R5024">
        <v>0</v>
      </c>
      <c r="S5024">
        <v>0</v>
      </c>
      <c r="T5024">
        <v>0</v>
      </c>
      <c r="U5024">
        <v>0</v>
      </c>
      <c r="V5024">
        <v>0</v>
      </c>
      <c r="W5024">
        <v>0</v>
      </c>
      <c r="X5024">
        <v>0</v>
      </c>
      <c r="Y5024" t="s">
        <v>31</v>
      </c>
      <c r="Z5024">
        <v>55</v>
      </c>
      <c r="AA5024">
        <v>430</v>
      </c>
    </row>
    <row r="5025" spans="1:27" x14ac:dyDescent="0.2">
      <c r="A5025" t="s">
        <v>547</v>
      </c>
      <c r="B5025">
        <v>2024</v>
      </c>
      <c r="C5025">
        <v>5427007005</v>
      </c>
      <c r="D5025" t="s">
        <v>6131</v>
      </c>
      <c r="E5025" t="s">
        <v>29</v>
      </c>
      <c r="F5025" t="s">
        <v>30</v>
      </c>
      <c r="G5025">
        <v>3</v>
      </c>
      <c r="H5025">
        <v>0</v>
      </c>
      <c r="I5025">
        <v>49</v>
      </c>
      <c r="J5025">
        <v>0</v>
      </c>
      <c r="K5025">
        <v>12</v>
      </c>
      <c r="L5025">
        <v>0</v>
      </c>
      <c r="M5025">
        <v>0</v>
      </c>
      <c r="N5025">
        <v>0</v>
      </c>
      <c r="O5025">
        <v>0</v>
      </c>
      <c r="P5025">
        <v>0</v>
      </c>
      <c r="Q5025">
        <v>0</v>
      </c>
      <c r="R5025">
        <v>0</v>
      </c>
      <c r="S5025">
        <v>0</v>
      </c>
      <c r="T5025">
        <v>0</v>
      </c>
      <c r="U5025">
        <v>0</v>
      </c>
      <c r="V5025">
        <v>0</v>
      </c>
      <c r="W5025">
        <v>0</v>
      </c>
      <c r="X5025">
        <v>0</v>
      </c>
      <c r="Y5025" t="s">
        <v>31</v>
      </c>
      <c r="Z5025">
        <v>55</v>
      </c>
      <c r="AA5025">
        <v>1500</v>
      </c>
    </row>
    <row r="5026" spans="1:27" x14ac:dyDescent="0.2">
      <c r="A5026" t="s">
        <v>3491</v>
      </c>
      <c r="B5026">
        <v>2024</v>
      </c>
      <c r="C5026">
        <v>5360045060</v>
      </c>
      <c r="D5026" t="s">
        <v>3492</v>
      </c>
      <c r="E5026" t="s">
        <v>29</v>
      </c>
      <c r="F5026" t="s">
        <v>41</v>
      </c>
      <c r="G5026">
        <v>0</v>
      </c>
      <c r="H5026">
        <v>0</v>
      </c>
      <c r="I5026">
        <v>0</v>
      </c>
      <c r="J5026">
        <v>8</v>
      </c>
      <c r="K5026">
        <v>0</v>
      </c>
      <c r="L5026">
        <v>0</v>
      </c>
      <c r="M5026">
        <v>0</v>
      </c>
      <c r="N5026">
        <v>0</v>
      </c>
      <c r="O5026">
        <v>0</v>
      </c>
      <c r="P5026">
        <v>8</v>
      </c>
      <c r="Q5026">
        <v>0</v>
      </c>
      <c r="R5026">
        <v>0</v>
      </c>
      <c r="S5026">
        <v>0</v>
      </c>
      <c r="T5026">
        <v>0</v>
      </c>
      <c r="U5026">
        <v>0</v>
      </c>
      <c r="V5026">
        <v>0</v>
      </c>
      <c r="W5026">
        <v>0</v>
      </c>
      <c r="X5026">
        <v>0</v>
      </c>
      <c r="Y5026" t="s">
        <v>31</v>
      </c>
      <c r="AA5026" s="2" t="s">
        <v>3358</v>
      </c>
    </row>
    <row r="5027" spans="1:27" x14ac:dyDescent="0.2">
      <c r="A5027" t="s">
        <v>547</v>
      </c>
      <c r="B5027">
        <v>2024</v>
      </c>
      <c r="C5027">
        <v>5518026004</v>
      </c>
      <c r="D5027" t="s">
        <v>6132</v>
      </c>
      <c r="E5027" t="s">
        <v>29</v>
      </c>
      <c r="F5027" t="s">
        <v>30</v>
      </c>
      <c r="G5027">
        <v>1</v>
      </c>
      <c r="H5027">
        <v>0</v>
      </c>
      <c r="I5027">
        <v>40</v>
      </c>
      <c r="J5027">
        <v>0</v>
      </c>
      <c r="K5027">
        <v>10</v>
      </c>
      <c r="L5027">
        <v>0</v>
      </c>
      <c r="M5027">
        <v>0</v>
      </c>
      <c r="N5027">
        <v>0</v>
      </c>
      <c r="O5027">
        <v>0</v>
      </c>
      <c r="P5027">
        <v>0</v>
      </c>
      <c r="Q5027">
        <v>0</v>
      </c>
      <c r="R5027">
        <v>0</v>
      </c>
      <c r="S5027">
        <v>0</v>
      </c>
      <c r="T5027">
        <v>0</v>
      </c>
      <c r="U5027">
        <v>0</v>
      </c>
      <c r="V5027">
        <v>0</v>
      </c>
      <c r="W5027">
        <v>0</v>
      </c>
      <c r="X5027">
        <v>0</v>
      </c>
      <c r="Y5027" t="s">
        <v>31</v>
      </c>
      <c r="Z5027">
        <v>55</v>
      </c>
      <c r="AA5027">
        <v>478</v>
      </c>
    </row>
    <row r="5028" spans="1:27" x14ac:dyDescent="0.2">
      <c r="A5028" t="s">
        <v>547</v>
      </c>
      <c r="B5028">
        <v>2024</v>
      </c>
      <c r="C5028">
        <v>5551027006</v>
      </c>
      <c r="D5028" t="s">
        <v>6133</v>
      </c>
      <c r="E5028" t="s">
        <v>29</v>
      </c>
      <c r="F5028" t="s">
        <v>30</v>
      </c>
      <c r="G5028">
        <v>0</v>
      </c>
      <c r="H5028">
        <v>0</v>
      </c>
      <c r="I5028">
        <v>20</v>
      </c>
      <c r="J5028">
        <v>0</v>
      </c>
      <c r="K5028">
        <v>5</v>
      </c>
      <c r="L5028">
        <v>0</v>
      </c>
      <c r="M5028">
        <v>0</v>
      </c>
      <c r="N5028">
        <v>0</v>
      </c>
      <c r="O5028">
        <v>0</v>
      </c>
      <c r="P5028">
        <v>0</v>
      </c>
      <c r="Q5028">
        <v>0</v>
      </c>
      <c r="R5028">
        <v>0</v>
      </c>
      <c r="S5028">
        <v>0</v>
      </c>
      <c r="T5028">
        <v>0</v>
      </c>
      <c r="U5028">
        <v>0</v>
      </c>
      <c r="V5028">
        <v>0</v>
      </c>
      <c r="W5028">
        <v>0</v>
      </c>
      <c r="X5028">
        <v>0</v>
      </c>
      <c r="Y5028" t="s">
        <v>31</v>
      </c>
      <c r="Z5028">
        <v>55</v>
      </c>
      <c r="AA5028">
        <v>352</v>
      </c>
    </row>
    <row r="5029" spans="1:27" x14ac:dyDescent="0.2">
      <c r="A5029" t="s">
        <v>547</v>
      </c>
      <c r="B5029">
        <v>2024</v>
      </c>
      <c r="C5029">
        <v>5589033009</v>
      </c>
      <c r="D5029" t="s">
        <v>6134</v>
      </c>
      <c r="E5029" t="s">
        <v>29</v>
      </c>
      <c r="F5029" t="s">
        <v>30</v>
      </c>
      <c r="G5029">
        <v>0</v>
      </c>
      <c r="H5029">
        <v>0</v>
      </c>
      <c r="I5029">
        <v>54</v>
      </c>
      <c r="J5029">
        <v>0</v>
      </c>
      <c r="K5029">
        <v>13</v>
      </c>
      <c r="L5029">
        <v>0</v>
      </c>
      <c r="M5029">
        <v>0</v>
      </c>
      <c r="N5029">
        <v>0</v>
      </c>
      <c r="O5029">
        <v>0</v>
      </c>
      <c r="P5029">
        <v>0</v>
      </c>
      <c r="Q5029">
        <v>0</v>
      </c>
      <c r="R5029">
        <v>0</v>
      </c>
      <c r="S5029">
        <v>0</v>
      </c>
      <c r="T5029">
        <v>0</v>
      </c>
      <c r="U5029">
        <v>0</v>
      </c>
      <c r="V5029">
        <v>0</v>
      </c>
      <c r="W5029">
        <v>0</v>
      </c>
      <c r="X5029">
        <v>0</v>
      </c>
      <c r="Y5029" t="s">
        <v>31</v>
      </c>
      <c r="Z5029">
        <v>55</v>
      </c>
      <c r="AA5029">
        <v>1280</v>
      </c>
    </row>
    <row r="5030" spans="1:27" x14ac:dyDescent="0.2">
      <c r="A5030" t="s">
        <v>547</v>
      </c>
      <c r="B5030">
        <v>2023</v>
      </c>
      <c r="C5030">
        <v>5516022013</v>
      </c>
      <c r="D5030" t="s">
        <v>6135</v>
      </c>
      <c r="E5030" t="s">
        <v>29</v>
      </c>
      <c r="F5030" t="s">
        <v>30</v>
      </c>
      <c r="G5030">
        <v>0</v>
      </c>
      <c r="H5030">
        <v>0</v>
      </c>
      <c r="I5030">
        <v>0</v>
      </c>
      <c r="J5030">
        <v>0</v>
      </c>
      <c r="K5030">
        <v>0</v>
      </c>
      <c r="L5030">
        <v>0</v>
      </c>
      <c r="M5030">
        <v>3</v>
      </c>
      <c r="N5030">
        <v>0</v>
      </c>
      <c r="O5030">
        <v>0</v>
      </c>
      <c r="P5030">
        <v>0</v>
      </c>
      <c r="Q5030">
        <v>0</v>
      </c>
      <c r="R5030">
        <v>0</v>
      </c>
      <c r="S5030">
        <v>0</v>
      </c>
      <c r="T5030">
        <v>0</v>
      </c>
      <c r="U5030">
        <v>0</v>
      </c>
      <c r="V5030">
        <v>0</v>
      </c>
      <c r="W5030">
        <v>0</v>
      </c>
      <c r="X5030">
        <v>0</v>
      </c>
      <c r="Y5030" t="s">
        <v>51</v>
      </c>
      <c r="Z5030">
        <v>55</v>
      </c>
      <c r="AA5030">
        <v>0</v>
      </c>
    </row>
    <row r="5031" spans="1:27" x14ac:dyDescent="0.2">
      <c r="A5031" t="s">
        <v>547</v>
      </c>
      <c r="B5031">
        <v>2024</v>
      </c>
      <c r="C5031">
        <v>6088003004</v>
      </c>
      <c r="D5031" t="s">
        <v>6136</v>
      </c>
      <c r="E5031" t="s">
        <v>29</v>
      </c>
      <c r="F5031" t="s">
        <v>30</v>
      </c>
      <c r="G5031">
        <v>2</v>
      </c>
      <c r="H5031">
        <v>0</v>
      </c>
      <c r="I5031">
        <v>36</v>
      </c>
      <c r="J5031">
        <v>0</v>
      </c>
      <c r="K5031">
        <v>8</v>
      </c>
      <c r="L5031">
        <v>0</v>
      </c>
      <c r="M5031">
        <v>0</v>
      </c>
      <c r="N5031">
        <v>0</v>
      </c>
      <c r="O5031">
        <v>0</v>
      </c>
      <c r="P5031">
        <v>0</v>
      </c>
      <c r="Q5031">
        <v>0</v>
      </c>
      <c r="R5031">
        <v>0</v>
      </c>
      <c r="S5031">
        <v>0</v>
      </c>
      <c r="T5031">
        <v>0</v>
      </c>
      <c r="U5031">
        <v>0</v>
      </c>
      <c r="V5031">
        <v>0</v>
      </c>
      <c r="W5031">
        <v>0</v>
      </c>
      <c r="X5031">
        <v>0</v>
      </c>
      <c r="Y5031" t="s">
        <v>31</v>
      </c>
      <c r="Z5031">
        <v>55</v>
      </c>
      <c r="AA5031">
        <v>96</v>
      </c>
    </row>
    <row r="5032" spans="1:27" x14ac:dyDescent="0.2">
      <c r="A5032" t="s">
        <v>547</v>
      </c>
      <c r="B5032">
        <v>2023</v>
      </c>
      <c r="C5032">
        <v>2224010009</v>
      </c>
      <c r="D5032" t="s">
        <v>6137</v>
      </c>
      <c r="E5032" t="s">
        <v>29</v>
      </c>
      <c r="F5032" t="s">
        <v>30</v>
      </c>
      <c r="G5032">
        <v>2</v>
      </c>
      <c r="H5032">
        <v>0</v>
      </c>
      <c r="I5032">
        <v>0</v>
      </c>
      <c r="J5032">
        <v>0</v>
      </c>
      <c r="K5032">
        <v>0</v>
      </c>
      <c r="L5032">
        <v>0</v>
      </c>
      <c r="M5032">
        <v>0</v>
      </c>
      <c r="N5032">
        <v>0</v>
      </c>
      <c r="O5032">
        <v>0</v>
      </c>
      <c r="P5032">
        <v>0</v>
      </c>
      <c r="Q5032">
        <v>0</v>
      </c>
      <c r="R5032">
        <v>0</v>
      </c>
      <c r="S5032">
        <v>0</v>
      </c>
      <c r="T5032">
        <v>0</v>
      </c>
      <c r="U5032">
        <v>0</v>
      </c>
      <c r="V5032">
        <v>0</v>
      </c>
      <c r="W5032">
        <v>0</v>
      </c>
      <c r="X5032">
        <v>0</v>
      </c>
      <c r="Y5032" t="s">
        <v>31</v>
      </c>
      <c r="AA5032">
        <v>0.22</v>
      </c>
    </row>
    <row r="5033" spans="1:27" x14ac:dyDescent="0.2">
      <c r="A5033" t="s">
        <v>547</v>
      </c>
      <c r="B5033">
        <v>2023</v>
      </c>
      <c r="C5033">
        <v>2233028024</v>
      </c>
      <c r="D5033" t="s">
        <v>6138</v>
      </c>
      <c r="E5033" t="s">
        <v>29</v>
      </c>
      <c r="F5033" t="s">
        <v>30</v>
      </c>
      <c r="G5033">
        <v>0</v>
      </c>
      <c r="H5033">
        <v>0</v>
      </c>
      <c r="I5033">
        <v>29</v>
      </c>
      <c r="J5033">
        <v>0</v>
      </c>
      <c r="K5033">
        <v>6</v>
      </c>
      <c r="L5033">
        <v>0</v>
      </c>
      <c r="M5033">
        <v>0</v>
      </c>
      <c r="N5033">
        <v>0</v>
      </c>
      <c r="O5033">
        <v>0</v>
      </c>
      <c r="P5033">
        <v>0</v>
      </c>
      <c r="Q5033">
        <v>0</v>
      </c>
      <c r="R5033">
        <v>0</v>
      </c>
      <c r="S5033">
        <v>0</v>
      </c>
      <c r="T5033">
        <v>0</v>
      </c>
      <c r="U5033">
        <v>0</v>
      </c>
      <c r="V5033">
        <v>0</v>
      </c>
      <c r="W5033">
        <v>0</v>
      </c>
      <c r="X5033">
        <v>0</v>
      </c>
      <c r="Y5033" t="s">
        <v>31</v>
      </c>
      <c r="AA5033">
        <v>3.5</v>
      </c>
    </row>
    <row r="5034" spans="1:27" x14ac:dyDescent="0.2">
      <c r="A5034" t="s">
        <v>547</v>
      </c>
      <c r="B5034">
        <v>2023</v>
      </c>
      <c r="C5034">
        <v>2355005056</v>
      </c>
      <c r="D5034" t="s">
        <v>6139</v>
      </c>
      <c r="E5034" t="s">
        <v>29</v>
      </c>
      <c r="F5034" t="s">
        <v>30</v>
      </c>
      <c r="G5034">
        <v>3</v>
      </c>
      <c r="H5034">
        <v>0</v>
      </c>
      <c r="I5034">
        <v>1</v>
      </c>
      <c r="J5034">
        <v>0</v>
      </c>
      <c r="K5034">
        <v>0</v>
      </c>
      <c r="L5034">
        <v>0</v>
      </c>
      <c r="M5034">
        <v>0</v>
      </c>
      <c r="N5034">
        <v>0</v>
      </c>
      <c r="O5034">
        <v>0</v>
      </c>
      <c r="P5034">
        <v>0</v>
      </c>
      <c r="Q5034">
        <v>0</v>
      </c>
      <c r="R5034">
        <v>0</v>
      </c>
      <c r="S5034">
        <v>0</v>
      </c>
      <c r="T5034">
        <v>0</v>
      </c>
      <c r="U5034">
        <v>0</v>
      </c>
      <c r="V5034">
        <v>0</v>
      </c>
      <c r="W5034">
        <v>0</v>
      </c>
      <c r="X5034">
        <v>0</v>
      </c>
      <c r="Y5034" t="s">
        <v>31</v>
      </c>
      <c r="AA5034" s="2" t="s">
        <v>3316</v>
      </c>
    </row>
    <row r="5035" spans="1:27" x14ac:dyDescent="0.2">
      <c r="A5035" t="s">
        <v>547</v>
      </c>
      <c r="B5035">
        <v>2024</v>
      </c>
      <c r="C5035">
        <v>2745001012</v>
      </c>
      <c r="D5035" t="s">
        <v>6140</v>
      </c>
      <c r="E5035" t="s">
        <v>29</v>
      </c>
      <c r="F5035" t="s">
        <v>30</v>
      </c>
      <c r="G5035">
        <v>0</v>
      </c>
      <c r="H5035">
        <v>0</v>
      </c>
      <c r="I5035">
        <v>0</v>
      </c>
      <c r="J5035">
        <v>0</v>
      </c>
      <c r="K5035">
        <v>0</v>
      </c>
      <c r="L5035">
        <v>0</v>
      </c>
      <c r="M5035">
        <v>54</v>
      </c>
      <c r="N5035">
        <v>0</v>
      </c>
      <c r="O5035">
        <v>0</v>
      </c>
      <c r="P5035">
        <v>0</v>
      </c>
      <c r="Q5035">
        <v>0</v>
      </c>
      <c r="R5035">
        <v>0</v>
      </c>
      <c r="S5035">
        <v>54</v>
      </c>
      <c r="T5035">
        <v>0</v>
      </c>
      <c r="U5035">
        <v>0</v>
      </c>
      <c r="V5035">
        <v>0</v>
      </c>
      <c r="W5035">
        <v>0</v>
      </c>
      <c r="X5035">
        <v>0</v>
      </c>
      <c r="Y5035" t="s">
        <v>31</v>
      </c>
      <c r="Z5035">
        <v>55</v>
      </c>
      <c r="AA5035">
        <v>111.5</v>
      </c>
    </row>
    <row r="5036" spans="1:27" x14ac:dyDescent="0.2">
      <c r="A5036" t="s">
        <v>547</v>
      </c>
      <c r="B5036">
        <v>2023</v>
      </c>
      <c r="C5036">
        <v>2509013027</v>
      </c>
      <c r="D5036" t="s">
        <v>6141</v>
      </c>
      <c r="E5036" t="s">
        <v>29</v>
      </c>
      <c r="F5036" t="s">
        <v>30</v>
      </c>
      <c r="G5036">
        <v>2</v>
      </c>
      <c r="H5036">
        <v>0</v>
      </c>
      <c r="I5036">
        <v>0</v>
      </c>
      <c r="J5036">
        <v>0</v>
      </c>
      <c r="K5036">
        <v>0</v>
      </c>
      <c r="L5036">
        <v>0</v>
      </c>
      <c r="M5036">
        <v>0</v>
      </c>
      <c r="N5036">
        <v>0</v>
      </c>
      <c r="O5036">
        <v>0</v>
      </c>
      <c r="P5036">
        <v>0</v>
      </c>
      <c r="Q5036">
        <v>0</v>
      </c>
      <c r="R5036">
        <v>0</v>
      </c>
      <c r="S5036">
        <v>0</v>
      </c>
      <c r="T5036">
        <v>0</v>
      </c>
      <c r="U5036">
        <v>0</v>
      </c>
      <c r="V5036">
        <v>0</v>
      </c>
      <c r="W5036">
        <v>0</v>
      </c>
      <c r="X5036">
        <v>0</v>
      </c>
      <c r="Y5036" t="s">
        <v>31</v>
      </c>
      <c r="AA5036">
        <v>0.5</v>
      </c>
    </row>
    <row r="5037" spans="1:27" x14ac:dyDescent="0.2">
      <c r="A5037" t="s">
        <v>547</v>
      </c>
      <c r="B5037">
        <v>2023</v>
      </c>
      <c r="C5037">
        <v>4324008010</v>
      </c>
      <c r="D5037" t="s">
        <v>6142</v>
      </c>
      <c r="E5037" t="s">
        <v>29</v>
      </c>
      <c r="F5037" t="s">
        <v>30</v>
      </c>
      <c r="G5037">
        <v>5</v>
      </c>
      <c r="H5037">
        <v>0</v>
      </c>
      <c r="I5037">
        <v>2</v>
      </c>
      <c r="J5037">
        <v>0</v>
      </c>
      <c r="K5037">
        <v>0</v>
      </c>
      <c r="L5037">
        <v>0</v>
      </c>
      <c r="M5037">
        <v>0</v>
      </c>
      <c r="N5037">
        <v>0</v>
      </c>
      <c r="O5037">
        <v>0</v>
      </c>
      <c r="P5037">
        <v>0</v>
      </c>
      <c r="Q5037">
        <v>0</v>
      </c>
      <c r="R5037">
        <v>0</v>
      </c>
      <c r="S5037">
        <v>0</v>
      </c>
      <c r="T5037">
        <v>0</v>
      </c>
      <c r="U5037">
        <v>0</v>
      </c>
      <c r="V5037">
        <v>0</v>
      </c>
      <c r="W5037">
        <v>0</v>
      </c>
      <c r="X5037">
        <v>0</v>
      </c>
      <c r="Y5037" t="s">
        <v>31</v>
      </c>
      <c r="AA5037">
        <v>0</v>
      </c>
    </row>
    <row r="5038" spans="1:27" x14ac:dyDescent="0.2">
      <c r="A5038" t="s">
        <v>547</v>
      </c>
      <c r="B5038">
        <v>2023</v>
      </c>
      <c r="C5038">
        <v>5019006004</v>
      </c>
      <c r="D5038" t="s">
        <v>5945</v>
      </c>
      <c r="E5038" t="s">
        <v>29</v>
      </c>
      <c r="F5038" t="s">
        <v>30</v>
      </c>
      <c r="G5038">
        <v>3</v>
      </c>
      <c r="H5038">
        <v>0</v>
      </c>
      <c r="I5038">
        <v>70</v>
      </c>
      <c r="J5038">
        <v>0</v>
      </c>
      <c r="K5038">
        <v>19</v>
      </c>
      <c r="L5038">
        <v>0</v>
      </c>
      <c r="M5038">
        <v>0</v>
      </c>
      <c r="N5038">
        <v>0</v>
      </c>
      <c r="O5038">
        <v>0</v>
      </c>
      <c r="P5038">
        <v>0</v>
      </c>
      <c r="Q5038">
        <v>0</v>
      </c>
      <c r="R5038">
        <v>0</v>
      </c>
      <c r="S5038">
        <v>0</v>
      </c>
      <c r="T5038">
        <v>0</v>
      </c>
      <c r="U5038">
        <v>0</v>
      </c>
      <c r="V5038">
        <v>0</v>
      </c>
      <c r="W5038">
        <v>0</v>
      </c>
      <c r="X5038">
        <v>0</v>
      </c>
      <c r="Y5038" t="s">
        <v>31</v>
      </c>
      <c r="AA5038">
        <v>2.75</v>
      </c>
    </row>
    <row r="5039" spans="1:27" x14ac:dyDescent="0.2">
      <c r="A5039" t="s">
        <v>547</v>
      </c>
      <c r="B5039">
        <v>2023</v>
      </c>
      <c r="C5039">
        <v>5049032051</v>
      </c>
      <c r="D5039" t="s">
        <v>6143</v>
      </c>
      <c r="E5039" t="s">
        <v>29</v>
      </c>
      <c r="F5039" t="s">
        <v>30</v>
      </c>
      <c r="G5039">
        <v>0</v>
      </c>
      <c r="H5039">
        <v>0</v>
      </c>
      <c r="I5039">
        <v>26</v>
      </c>
      <c r="J5039">
        <v>0</v>
      </c>
      <c r="K5039">
        <v>7</v>
      </c>
      <c r="L5039">
        <v>0</v>
      </c>
      <c r="M5039">
        <v>0</v>
      </c>
      <c r="N5039">
        <v>0</v>
      </c>
      <c r="O5039">
        <v>0</v>
      </c>
      <c r="P5039">
        <v>0</v>
      </c>
      <c r="Q5039">
        <v>0</v>
      </c>
      <c r="R5039">
        <v>0</v>
      </c>
      <c r="S5039">
        <v>0</v>
      </c>
      <c r="T5039">
        <v>0</v>
      </c>
      <c r="U5039">
        <v>0</v>
      </c>
      <c r="V5039">
        <v>0</v>
      </c>
      <c r="W5039">
        <v>0</v>
      </c>
      <c r="X5039">
        <v>0</v>
      </c>
      <c r="Y5039" t="s">
        <v>31</v>
      </c>
      <c r="AA5039" s="2" t="s">
        <v>5882</v>
      </c>
    </row>
    <row r="5040" spans="1:27" x14ac:dyDescent="0.2">
      <c r="A5040" t="s">
        <v>27</v>
      </c>
      <c r="B5040">
        <v>2024</v>
      </c>
      <c r="C5040">
        <v>7281023013</v>
      </c>
      <c r="D5040" t="s">
        <v>6144</v>
      </c>
      <c r="E5040" t="s">
        <v>29</v>
      </c>
      <c r="F5040" t="s">
        <v>30</v>
      </c>
      <c r="G5040">
        <v>13</v>
      </c>
      <c r="H5040">
        <v>0</v>
      </c>
      <c r="I5040">
        <v>0</v>
      </c>
      <c r="J5040">
        <v>0</v>
      </c>
      <c r="K5040">
        <v>0</v>
      </c>
      <c r="L5040">
        <v>0</v>
      </c>
      <c r="M5040">
        <v>0</v>
      </c>
      <c r="N5040">
        <v>0</v>
      </c>
      <c r="O5040">
        <v>0</v>
      </c>
      <c r="P5040">
        <v>0</v>
      </c>
      <c r="Q5040">
        <v>0</v>
      </c>
      <c r="R5040">
        <v>0</v>
      </c>
      <c r="S5040">
        <v>0</v>
      </c>
      <c r="T5040">
        <v>0</v>
      </c>
      <c r="U5040">
        <v>0</v>
      </c>
      <c r="V5040">
        <v>0</v>
      </c>
      <c r="W5040">
        <v>0</v>
      </c>
      <c r="X5040">
        <v>0</v>
      </c>
      <c r="Y5040" t="s">
        <v>51</v>
      </c>
      <c r="AA5040">
        <v>0</v>
      </c>
    </row>
    <row r="5041" spans="1:27" x14ac:dyDescent="0.2">
      <c r="A5041" t="s">
        <v>547</v>
      </c>
      <c r="B5041">
        <v>2024</v>
      </c>
      <c r="C5041">
        <v>2249005017</v>
      </c>
      <c r="D5041" t="s">
        <v>6145</v>
      </c>
      <c r="E5041" t="s">
        <v>29</v>
      </c>
      <c r="F5041" t="s">
        <v>30</v>
      </c>
      <c r="G5041">
        <v>0</v>
      </c>
      <c r="H5041">
        <v>0</v>
      </c>
      <c r="I5041">
        <v>0</v>
      </c>
      <c r="J5041">
        <v>0</v>
      </c>
      <c r="K5041">
        <v>0</v>
      </c>
      <c r="L5041">
        <v>0</v>
      </c>
      <c r="M5041">
        <v>2</v>
      </c>
      <c r="N5041">
        <v>0</v>
      </c>
      <c r="O5041">
        <v>18</v>
      </c>
      <c r="P5041">
        <v>0</v>
      </c>
      <c r="Q5041">
        <v>2</v>
      </c>
      <c r="R5041">
        <v>0</v>
      </c>
      <c r="S5041">
        <v>0</v>
      </c>
      <c r="T5041">
        <v>0</v>
      </c>
      <c r="U5041">
        <v>0</v>
      </c>
      <c r="V5041">
        <v>0</v>
      </c>
      <c r="W5041">
        <v>0</v>
      </c>
      <c r="X5041">
        <v>0</v>
      </c>
      <c r="Y5041" t="s">
        <v>31</v>
      </c>
      <c r="Z5041">
        <v>55</v>
      </c>
      <c r="AA5041">
        <v>360</v>
      </c>
    </row>
    <row r="5042" spans="1:27" x14ac:dyDescent="0.2">
      <c r="A5042" t="s">
        <v>219</v>
      </c>
      <c r="B5042">
        <v>2024</v>
      </c>
      <c r="C5042" t="s">
        <v>4985</v>
      </c>
      <c r="D5042" t="s">
        <v>6146</v>
      </c>
      <c r="E5042" t="s">
        <v>29</v>
      </c>
      <c r="F5042" t="s">
        <v>30</v>
      </c>
      <c r="G5042">
        <v>0</v>
      </c>
      <c r="H5042">
        <v>0</v>
      </c>
      <c r="I5042">
        <v>0</v>
      </c>
      <c r="J5042">
        <v>0</v>
      </c>
      <c r="K5042">
        <v>0</v>
      </c>
      <c r="L5042">
        <v>0</v>
      </c>
      <c r="M5042">
        <v>0</v>
      </c>
      <c r="N5042">
        <v>0</v>
      </c>
      <c r="O5042">
        <v>0</v>
      </c>
      <c r="P5042">
        <v>0</v>
      </c>
      <c r="Q5042">
        <v>0</v>
      </c>
      <c r="R5042">
        <v>0</v>
      </c>
      <c r="S5042">
        <v>0</v>
      </c>
      <c r="T5042">
        <v>0</v>
      </c>
      <c r="U5042">
        <v>21</v>
      </c>
      <c r="V5042">
        <v>0</v>
      </c>
      <c r="W5042">
        <v>0</v>
      </c>
      <c r="X5042">
        <v>0</v>
      </c>
      <c r="Y5042" t="s">
        <v>51</v>
      </c>
      <c r="Z5042">
        <v>55</v>
      </c>
      <c r="AA5042">
        <v>0</v>
      </c>
    </row>
    <row r="5043" spans="1:27" x14ac:dyDescent="0.2">
      <c r="A5043" t="s">
        <v>547</v>
      </c>
      <c r="B5043">
        <v>2023</v>
      </c>
      <c r="C5043">
        <v>5538001002</v>
      </c>
      <c r="D5043" t="s">
        <v>6147</v>
      </c>
      <c r="E5043" t="s">
        <v>29</v>
      </c>
      <c r="F5043" t="s">
        <v>30</v>
      </c>
      <c r="G5043">
        <v>6</v>
      </c>
      <c r="H5043">
        <v>0</v>
      </c>
      <c r="I5043">
        <v>0</v>
      </c>
      <c r="J5043">
        <v>0</v>
      </c>
      <c r="K5043">
        <v>0</v>
      </c>
      <c r="L5043">
        <v>0</v>
      </c>
      <c r="M5043">
        <v>0</v>
      </c>
      <c r="N5043">
        <v>0</v>
      </c>
      <c r="O5043">
        <v>0</v>
      </c>
      <c r="P5043">
        <v>0</v>
      </c>
      <c r="Q5043">
        <v>0</v>
      </c>
      <c r="R5043">
        <v>0</v>
      </c>
      <c r="S5043">
        <v>0</v>
      </c>
      <c r="T5043">
        <v>0</v>
      </c>
      <c r="U5043">
        <v>0</v>
      </c>
      <c r="V5043">
        <v>0</v>
      </c>
      <c r="W5043">
        <v>0</v>
      </c>
      <c r="X5043">
        <v>0</v>
      </c>
      <c r="Y5043" t="s">
        <v>31</v>
      </c>
      <c r="AA5043" s="2" t="s">
        <v>3316</v>
      </c>
    </row>
    <row r="5044" spans="1:27" x14ac:dyDescent="0.2">
      <c r="A5044" t="s">
        <v>547</v>
      </c>
      <c r="B5044">
        <v>2023</v>
      </c>
      <c r="C5044">
        <v>5547007015</v>
      </c>
      <c r="D5044" t="s">
        <v>6148</v>
      </c>
      <c r="E5044" t="s">
        <v>29</v>
      </c>
      <c r="F5044" t="s">
        <v>30</v>
      </c>
      <c r="G5044">
        <v>0</v>
      </c>
      <c r="H5044">
        <v>0</v>
      </c>
      <c r="I5044">
        <v>51</v>
      </c>
      <c r="J5044">
        <v>0</v>
      </c>
      <c r="K5044">
        <v>13</v>
      </c>
      <c r="L5044">
        <v>0</v>
      </c>
      <c r="M5044">
        <v>0</v>
      </c>
      <c r="N5044">
        <v>0</v>
      </c>
      <c r="O5044">
        <v>0</v>
      </c>
      <c r="P5044">
        <v>0</v>
      </c>
      <c r="Q5044">
        <v>0</v>
      </c>
      <c r="R5044">
        <v>0</v>
      </c>
      <c r="S5044">
        <v>0</v>
      </c>
      <c r="T5044">
        <v>0</v>
      </c>
      <c r="U5044">
        <v>0</v>
      </c>
      <c r="V5044">
        <v>0</v>
      </c>
      <c r="W5044">
        <v>0</v>
      </c>
      <c r="X5044">
        <v>0</v>
      </c>
      <c r="Y5044" t="s">
        <v>31</v>
      </c>
      <c r="AA5044" s="2" t="s">
        <v>3299</v>
      </c>
    </row>
    <row r="5045" spans="1:27" x14ac:dyDescent="0.2">
      <c r="A5045" t="s">
        <v>547</v>
      </c>
      <c r="B5045">
        <v>2023</v>
      </c>
      <c r="C5045">
        <v>6006029900</v>
      </c>
      <c r="D5045" t="s">
        <v>6149</v>
      </c>
      <c r="E5045" t="s">
        <v>29</v>
      </c>
      <c r="F5045" t="s">
        <v>30</v>
      </c>
      <c r="G5045">
        <v>18</v>
      </c>
      <c r="H5045">
        <v>0</v>
      </c>
      <c r="I5045">
        <v>0</v>
      </c>
      <c r="J5045">
        <v>0</v>
      </c>
      <c r="K5045">
        <v>0</v>
      </c>
      <c r="L5045">
        <v>0</v>
      </c>
      <c r="M5045">
        <v>0</v>
      </c>
      <c r="N5045">
        <v>0</v>
      </c>
      <c r="O5045">
        <v>0</v>
      </c>
      <c r="P5045">
        <v>0</v>
      </c>
      <c r="Q5045">
        <v>0</v>
      </c>
      <c r="R5045">
        <v>0</v>
      </c>
      <c r="S5045">
        <v>0</v>
      </c>
      <c r="T5045">
        <v>0</v>
      </c>
      <c r="U5045">
        <v>0</v>
      </c>
      <c r="V5045">
        <v>0</v>
      </c>
      <c r="W5045">
        <v>0</v>
      </c>
      <c r="X5045">
        <v>0</v>
      </c>
      <c r="Y5045" t="s">
        <v>31</v>
      </c>
      <c r="AA5045">
        <v>0</v>
      </c>
    </row>
    <row r="5046" spans="1:27" x14ac:dyDescent="0.2">
      <c r="A5046" t="s">
        <v>547</v>
      </c>
      <c r="B5046">
        <v>2023</v>
      </c>
      <c r="C5046">
        <v>5074012019</v>
      </c>
      <c r="D5046" t="s">
        <v>6150</v>
      </c>
      <c r="E5046" t="s">
        <v>29</v>
      </c>
      <c r="F5046" t="s">
        <v>30</v>
      </c>
      <c r="G5046">
        <v>0</v>
      </c>
      <c r="H5046">
        <v>0</v>
      </c>
      <c r="I5046">
        <v>45</v>
      </c>
      <c r="J5046">
        <v>0</v>
      </c>
      <c r="K5046">
        <v>12</v>
      </c>
      <c r="L5046">
        <v>0</v>
      </c>
      <c r="M5046">
        <v>0</v>
      </c>
      <c r="N5046">
        <v>0</v>
      </c>
      <c r="O5046">
        <v>0</v>
      </c>
      <c r="P5046">
        <v>0</v>
      </c>
      <c r="Q5046">
        <v>0</v>
      </c>
      <c r="R5046">
        <v>0</v>
      </c>
      <c r="S5046">
        <v>0</v>
      </c>
      <c r="T5046">
        <v>0</v>
      </c>
      <c r="U5046">
        <v>0</v>
      </c>
      <c r="V5046">
        <v>0</v>
      </c>
      <c r="W5046">
        <v>0</v>
      </c>
      <c r="X5046">
        <v>0</v>
      </c>
      <c r="Y5046" t="s">
        <v>31</v>
      </c>
      <c r="Z5046">
        <v>55</v>
      </c>
      <c r="AA5046" s="2" t="s">
        <v>5903</v>
      </c>
    </row>
    <row r="5047" spans="1:27" x14ac:dyDescent="0.2">
      <c r="A5047" t="s">
        <v>547</v>
      </c>
      <c r="B5047">
        <v>2023</v>
      </c>
      <c r="C5047">
        <v>6031035018</v>
      </c>
      <c r="D5047" t="s">
        <v>6151</v>
      </c>
      <c r="E5047" t="s">
        <v>29</v>
      </c>
      <c r="F5047" t="s">
        <v>30</v>
      </c>
      <c r="G5047">
        <v>0</v>
      </c>
      <c r="H5047">
        <v>0</v>
      </c>
      <c r="I5047">
        <v>23</v>
      </c>
      <c r="J5047">
        <v>0</v>
      </c>
      <c r="K5047">
        <v>6</v>
      </c>
      <c r="L5047">
        <v>0</v>
      </c>
      <c r="M5047">
        <v>0</v>
      </c>
      <c r="N5047">
        <v>0</v>
      </c>
      <c r="O5047">
        <v>0</v>
      </c>
      <c r="P5047">
        <v>0</v>
      </c>
      <c r="Q5047">
        <v>0</v>
      </c>
      <c r="R5047">
        <v>0</v>
      </c>
      <c r="S5047">
        <v>0</v>
      </c>
      <c r="T5047">
        <v>0</v>
      </c>
      <c r="U5047">
        <v>0</v>
      </c>
      <c r="V5047">
        <v>0</v>
      </c>
      <c r="W5047">
        <v>0</v>
      </c>
      <c r="X5047">
        <v>0</v>
      </c>
      <c r="Y5047" t="s">
        <v>31</v>
      </c>
      <c r="AA5047">
        <v>1</v>
      </c>
    </row>
    <row r="5048" spans="1:27" x14ac:dyDescent="0.2">
      <c r="A5048" t="s">
        <v>1601</v>
      </c>
      <c r="B5048">
        <v>2024</v>
      </c>
      <c r="C5048" t="s">
        <v>6152</v>
      </c>
      <c r="D5048" t="s">
        <v>6153</v>
      </c>
      <c r="E5048" t="s">
        <v>29</v>
      </c>
      <c r="F5048" t="s">
        <v>41</v>
      </c>
      <c r="G5048">
        <v>0</v>
      </c>
      <c r="H5048">
        <v>0</v>
      </c>
      <c r="I5048">
        <v>50</v>
      </c>
      <c r="J5048">
        <v>0</v>
      </c>
      <c r="K5048">
        <v>0</v>
      </c>
      <c r="L5048">
        <v>0</v>
      </c>
      <c r="M5048">
        <v>0</v>
      </c>
      <c r="N5048">
        <v>0</v>
      </c>
      <c r="O5048">
        <v>0</v>
      </c>
      <c r="P5048">
        <v>0</v>
      </c>
      <c r="Q5048">
        <v>0</v>
      </c>
      <c r="R5048">
        <v>0</v>
      </c>
      <c r="S5048">
        <v>0</v>
      </c>
      <c r="T5048">
        <v>0</v>
      </c>
      <c r="U5048">
        <v>0</v>
      </c>
      <c r="V5048">
        <v>0</v>
      </c>
      <c r="W5048">
        <v>0</v>
      </c>
      <c r="X5048">
        <v>0</v>
      </c>
      <c r="Y5048" t="s">
        <v>31</v>
      </c>
      <c r="AA5048" s="2" t="s">
        <v>5598</v>
      </c>
    </row>
    <row r="5049" spans="1:27" x14ac:dyDescent="0.2">
      <c r="A5049" t="s">
        <v>547</v>
      </c>
      <c r="B5049">
        <v>2024</v>
      </c>
      <c r="C5049">
        <v>2233028024</v>
      </c>
      <c r="D5049" t="s">
        <v>6154</v>
      </c>
      <c r="E5049" t="s">
        <v>29</v>
      </c>
      <c r="F5049" t="s">
        <v>30</v>
      </c>
      <c r="G5049">
        <v>0</v>
      </c>
      <c r="H5049">
        <v>0</v>
      </c>
      <c r="I5049">
        <v>0</v>
      </c>
      <c r="J5049">
        <v>0</v>
      </c>
      <c r="K5049">
        <v>0</v>
      </c>
      <c r="L5049">
        <v>0</v>
      </c>
      <c r="M5049">
        <v>1</v>
      </c>
      <c r="N5049">
        <v>0</v>
      </c>
      <c r="O5049">
        <v>28</v>
      </c>
      <c r="P5049">
        <v>0</v>
      </c>
      <c r="Q5049">
        <v>7</v>
      </c>
      <c r="R5049">
        <v>0</v>
      </c>
      <c r="S5049">
        <v>0</v>
      </c>
      <c r="T5049">
        <v>0</v>
      </c>
      <c r="U5049">
        <v>0</v>
      </c>
      <c r="V5049">
        <v>0</v>
      </c>
      <c r="W5049">
        <v>0</v>
      </c>
      <c r="X5049">
        <v>0</v>
      </c>
      <c r="Y5049" t="s">
        <v>31</v>
      </c>
      <c r="Z5049">
        <v>55</v>
      </c>
      <c r="AA5049">
        <v>362</v>
      </c>
    </row>
    <row r="5050" spans="1:27" x14ac:dyDescent="0.2">
      <c r="A5050" t="s">
        <v>547</v>
      </c>
      <c r="B5050">
        <v>2024</v>
      </c>
      <c r="C5050">
        <v>4103021029</v>
      </c>
      <c r="D5050" t="s">
        <v>2124</v>
      </c>
      <c r="E5050" t="s">
        <v>29</v>
      </c>
      <c r="F5050" t="s">
        <v>30</v>
      </c>
      <c r="G5050">
        <v>0</v>
      </c>
      <c r="H5050">
        <v>0</v>
      </c>
      <c r="I5050">
        <v>0</v>
      </c>
      <c r="J5050">
        <v>0</v>
      </c>
      <c r="K5050">
        <v>0</v>
      </c>
      <c r="L5050">
        <v>0</v>
      </c>
      <c r="M5050">
        <v>2</v>
      </c>
      <c r="N5050">
        <v>0</v>
      </c>
      <c r="O5050">
        <v>0</v>
      </c>
      <c r="P5050">
        <v>0</v>
      </c>
      <c r="Q5050">
        <v>0</v>
      </c>
      <c r="R5050">
        <v>0</v>
      </c>
      <c r="S5050">
        <v>2</v>
      </c>
      <c r="T5050">
        <v>0</v>
      </c>
      <c r="U5050">
        <v>0</v>
      </c>
      <c r="V5050">
        <v>0</v>
      </c>
      <c r="W5050">
        <v>0</v>
      </c>
      <c r="X5050">
        <v>0</v>
      </c>
      <c r="Y5050" t="s">
        <v>31</v>
      </c>
      <c r="Z5050">
        <v>55</v>
      </c>
      <c r="AA5050">
        <v>35</v>
      </c>
    </row>
    <row r="5051" spans="1:27" x14ac:dyDescent="0.2">
      <c r="A5051" t="s">
        <v>547</v>
      </c>
      <c r="B5051">
        <v>2023</v>
      </c>
      <c r="C5051">
        <v>5101032003</v>
      </c>
      <c r="D5051" t="s">
        <v>6155</v>
      </c>
      <c r="E5051" t="s">
        <v>29</v>
      </c>
      <c r="F5051" t="s">
        <v>30</v>
      </c>
      <c r="G5051">
        <v>3</v>
      </c>
      <c r="H5051">
        <v>0</v>
      </c>
      <c r="I5051">
        <v>27</v>
      </c>
      <c r="J5051">
        <v>0</v>
      </c>
      <c r="K5051">
        <v>0</v>
      </c>
      <c r="L5051">
        <v>0</v>
      </c>
      <c r="M5051">
        <v>0</v>
      </c>
      <c r="N5051">
        <v>0</v>
      </c>
      <c r="O5051">
        <v>0</v>
      </c>
      <c r="P5051">
        <v>0</v>
      </c>
      <c r="Q5051">
        <v>0</v>
      </c>
      <c r="R5051">
        <v>0</v>
      </c>
      <c r="S5051">
        <v>0</v>
      </c>
      <c r="T5051">
        <v>0</v>
      </c>
      <c r="U5051">
        <v>0</v>
      </c>
      <c r="V5051">
        <v>0</v>
      </c>
      <c r="W5051">
        <v>0</v>
      </c>
      <c r="X5051">
        <v>0</v>
      </c>
      <c r="Y5051" t="s">
        <v>31</v>
      </c>
      <c r="Z5051">
        <v>55</v>
      </c>
      <c r="AA5051" s="2" t="s">
        <v>6156</v>
      </c>
    </row>
    <row r="5052" spans="1:27" x14ac:dyDescent="0.2">
      <c r="A5052" t="s">
        <v>547</v>
      </c>
      <c r="B5052">
        <v>2023</v>
      </c>
      <c r="C5052">
        <v>5178003034</v>
      </c>
      <c r="D5052" t="s">
        <v>6157</v>
      </c>
      <c r="E5052" t="s">
        <v>29</v>
      </c>
      <c r="F5052" t="s">
        <v>30</v>
      </c>
      <c r="G5052">
        <v>0</v>
      </c>
      <c r="H5052">
        <v>0</v>
      </c>
      <c r="I5052">
        <v>40</v>
      </c>
      <c r="J5052">
        <v>0</v>
      </c>
      <c r="K5052">
        <v>11</v>
      </c>
      <c r="L5052">
        <v>0</v>
      </c>
      <c r="M5052">
        <v>0</v>
      </c>
      <c r="N5052">
        <v>0</v>
      </c>
      <c r="O5052">
        <v>0</v>
      </c>
      <c r="P5052">
        <v>0</v>
      </c>
      <c r="Q5052">
        <v>0</v>
      </c>
      <c r="R5052">
        <v>0</v>
      </c>
      <c r="S5052">
        <v>0</v>
      </c>
      <c r="T5052">
        <v>0</v>
      </c>
      <c r="U5052">
        <v>0</v>
      </c>
      <c r="V5052">
        <v>0</v>
      </c>
      <c r="W5052">
        <v>0</v>
      </c>
      <c r="X5052">
        <v>0</v>
      </c>
      <c r="Y5052" t="s">
        <v>31</v>
      </c>
      <c r="Z5052">
        <v>55</v>
      </c>
      <c r="AA5052" s="2" t="s">
        <v>6158</v>
      </c>
    </row>
    <row r="5053" spans="1:27" x14ac:dyDescent="0.2">
      <c r="A5053" t="s">
        <v>547</v>
      </c>
      <c r="B5053">
        <v>2024</v>
      </c>
      <c r="C5053">
        <v>6032010015</v>
      </c>
      <c r="D5053" t="s">
        <v>6159</v>
      </c>
      <c r="E5053" t="s">
        <v>29</v>
      </c>
      <c r="F5053" t="s">
        <v>30</v>
      </c>
      <c r="G5053">
        <v>0</v>
      </c>
      <c r="H5053">
        <v>0</v>
      </c>
      <c r="I5053">
        <v>0</v>
      </c>
      <c r="J5053">
        <v>0</v>
      </c>
      <c r="K5053">
        <v>0</v>
      </c>
      <c r="L5053">
        <v>0</v>
      </c>
      <c r="M5053">
        <v>0</v>
      </c>
      <c r="N5053">
        <v>0</v>
      </c>
      <c r="O5053">
        <v>55</v>
      </c>
      <c r="P5053">
        <v>0</v>
      </c>
      <c r="Q5053">
        <v>14</v>
      </c>
      <c r="R5053">
        <v>0</v>
      </c>
      <c r="S5053">
        <v>0</v>
      </c>
      <c r="T5053">
        <v>0</v>
      </c>
      <c r="U5053">
        <v>0</v>
      </c>
      <c r="V5053">
        <v>0</v>
      </c>
      <c r="W5053">
        <v>0</v>
      </c>
      <c r="X5053">
        <v>0</v>
      </c>
      <c r="Y5053" t="s">
        <v>31</v>
      </c>
      <c r="Z5053">
        <v>55</v>
      </c>
      <c r="AA5053">
        <v>112</v>
      </c>
    </row>
    <row r="5054" spans="1:27" x14ac:dyDescent="0.2">
      <c r="A5054" t="s">
        <v>547</v>
      </c>
      <c r="B5054">
        <v>2024</v>
      </c>
      <c r="C5054">
        <v>2233014007</v>
      </c>
      <c r="D5054" t="s">
        <v>6160</v>
      </c>
      <c r="E5054" t="s">
        <v>29</v>
      </c>
      <c r="F5054" t="s">
        <v>30</v>
      </c>
      <c r="G5054">
        <v>3</v>
      </c>
      <c r="H5054">
        <v>0</v>
      </c>
      <c r="I5054">
        <v>75</v>
      </c>
      <c r="J5054">
        <v>0</v>
      </c>
      <c r="K5054">
        <v>20</v>
      </c>
      <c r="L5054">
        <v>0</v>
      </c>
      <c r="M5054">
        <v>0</v>
      </c>
      <c r="N5054">
        <v>0</v>
      </c>
      <c r="O5054">
        <v>0</v>
      </c>
      <c r="P5054">
        <v>0</v>
      </c>
      <c r="Q5054">
        <v>0</v>
      </c>
      <c r="R5054">
        <v>0</v>
      </c>
      <c r="S5054">
        <v>0</v>
      </c>
      <c r="T5054">
        <v>0</v>
      </c>
      <c r="U5054">
        <v>0</v>
      </c>
      <c r="V5054">
        <v>0</v>
      </c>
      <c r="W5054">
        <v>0</v>
      </c>
      <c r="X5054">
        <v>0</v>
      </c>
      <c r="Y5054" t="s">
        <v>31</v>
      </c>
      <c r="Z5054">
        <v>55</v>
      </c>
      <c r="AA5054">
        <v>809</v>
      </c>
    </row>
    <row r="5055" spans="1:27" x14ac:dyDescent="0.2">
      <c r="A5055" t="s">
        <v>547</v>
      </c>
      <c r="B5055">
        <v>2024</v>
      </c>
      <c r="C5055">
        <v>4252008020</v>
      </c>
      <c r="D5055" t="s">
        <v>6161</v>
      </c>
      <c r="E5055" t="s">
        <v>29</v>
      </c>
      <c r="F5055" t="s">
        <v>30</v>
      </c>
      <c r="G5055">
        <v>0</v>
      </c>
      <c r="H5055">
        <v>0</v>
      </c>
      <c r="I5055">
        <v>56</v>
      </c>
      <c r="J5055">
        <v>0</v>
      </c>
      <c r="K5055">
        <v>15</v>
      </c>
      <c r="L5055">
        <v>0</v>
      </c>
      <c r="M5055">
        <v>0</v>
      </c>
      <c r="N5055">
        <v>0</v>
      </c>
      <c r="O5055">
        <v>0</v>
      </c>
      <c r="P5055">
        <v>0</v>
      </c>
      <c r="Q5055">
        <v>0</v>
      </c>
      <c r="R5055">
        <v>0</v>
      </c>
      <c r="S5055">
        <v>0</v>
      </c>
      <c r="T5055">
        <v>0</v>
      </c>
      <c r="U5055">
        <v>0</v>
      </c>
      <c r="V5055">
        <v>0</v>
      </c>
      <c r="W5055">
        <v>0</v>
      </c>
      <c r="X5055">
        <v>0</v>
      </c>
      <c r="Y5055" t="s">
        <v>31</v>
      </c>
      <c r="Z5055">
        <v>55</v>
      </c>
      <c r="AA5055">
        <v>620</v>
      </c>
    </row>
    <row r="5056" spans="1:27" x14ac:dyDescent="0.2">
      <c r="A5056" t="s">
        <v>547</v>
      </c>
      <c r="B5056">
        <v>2024</v>
      </c>
      <c r="C5056">
        <v>5065012072</v>
      </c>
      <c r="D5056" t="s">
        <v>6162</v>
      </c>
      <c r="E5056" t="s">
        <v>29</v>
      </c>
      <c r="F5056" t="s">
        <v>30</v>
      </c>
      <c r="G5056">
        <v>1</v>
      </c>
      <c r="H5056">
        <v>0</v>
      </c>
      <c r="I5056">
        <v>47</v>
      </c>
      <c r="J5056">
        <v>0</v>
      </c>
      <c r="K5056">
        <v>12</v>
      </c>
      <c r="L5056">
        <v>0</v>
      </c>
      <c r="M5056">
        <v>0</v>
      </c>
      <c r="N5056">
        <v>0</v>
      </c>
      <c r="O5056">
        <v>0</v>
      </c>
      <c r="P5056">
        <v>0</v>
      </c>
      <c r="Q5056">
        <v>0</v>
      </c>
      <c r="R5056">
        <v>0</v>
      </c>
      <c r="S5056">
        <v>0</v>
      </c>
      <c r="T5056">
        <v>0</v>
      </c>
      <c r="U5056">
        <v>0</v>
      </c>
      <c r="V5056">
        <v>0</v>
      </c>
      <c r="W5056">
        <v>0</v>
      </c>
      <c r="X5056">
        <v>0</v>
      </c>
      <c r="Y5056" t="s">
        <v>31</v>
      </c>
      <c r="Z5056">
        <v>55</v>
      </c>
      <c r="AA5056">
        <v>1120</v>
      </c>
    </row>
    <row r="5057" spans="1:27" x14ac:dyDescent="0.2">
      <c r="A5057" t="s">
        <v>547</v>
      </c>
      <c r="B5057">
        <v>2024</v>
      </c>
      <c r="C5057">
        <v>5068018008</v>
      </c>
      <c r="D5057" t="s">
        <v>6163</v>
      </c>
      <c r="E5057" t="s">
        <v>29</v>
      </c>
      <c r="F5057" t="s">
        <v>30</v>
      </c>
      <c r="G5057">
        <v>0</v>
      </c>
      <c r="H5057">
        <v>0</v>
      </c>
      <c r="I5057">
        <v>39</v>
      </c>
      <c r="J5057">
        <v>0</v>
      </c>
      <c r="K5057">
        <v>10</v>
      </c>
      <c r="L5057">
        <v>0</v>
      </c>
      <c r="M5057">
        <v>0</v>
      </c>
      <c r="N5057">
        <v>0</v>
      </c>
      <c r="O5057">
        <v>0</v>
      </c>
      <c r="P5057">
        <v>0</v>
      </c>
      <c r="Q5057">
        <v>0</v>
      </c>
      <c r="R5057">
        <v>0</v>
      </c>
      <c r="S5057">
        <v>0</v>
      </c>
      <c r="T5057">
        <v>0</v>
      </c>
      <c r="U5057">
        <v>0</v>
      </c>
      <c r="V5057">
        <v>0</v>
      </c>
      <c r="W5057">
        <v>0</v>
      </c>
      <c r="X5057">
        <v>0</v>
      </c>
      <c r="Y5057" t="s">
        <v>31</v>
      </c>
      <c r="Z5057">
        <v>55</v>
      </c>
      <c r="AA5057">
        <v>5000</v>
      </c>
    </row>
    <row r="5058" spans="1:27" x14ac:dyDescent="0.2">
      <c r="A5058" t="s">
        <v>547</v>
      </c>
      <c r="B5058">
        <v>2024</v>
      </c>
      <c r="C5058">
        <v>5154004016</v>
      </c>
      <c r="D5058" t="s">
        <v>6164</v>
      </c>
      <c r="E5058" t="s">
        <v>29</v>
      </c>
      <c r="F5058" t="s">
        <v>30</v>
      </c>
      <c r="G5058">
        <v>1</v>
      </c>
      <c r="H5058">
        <v>0</v>
      </c>
      <c r="I5058">
        <v>11</v>
      </c>
      <c r="J5058">
        <v>0</v>
      </c>
      <c r="K5058">
        <v>3</v>
      </c>
      <c r="L5058">
        <v>0</v>
      </c>
      <c r="M5058">
        <v>0</v>
      </c>
      <c r="N5058">
        <v>0</v>
      </c>
      <c r="O5058">
        <v>0</v>
      </c>
      <c r="P5058">
        <v>0</v>
      </c>
      <c r="Q5058">
        <v>0</v>
      </c>
      <c r="R5058">
        <v>0</v>
      </c>
      <c r="S5058">
        <v>0</v>
      </c>
      <c r="T5058">
        <v>0</v>
      </c>
      <c r="U5058">
        <v>0</v>
      </c>
      <c r="V5058">
        <v>0</v>
      </c>
      <c r="W5058">
        <v>0</v>
      </c>
      <c r="X5058">
        <v>0</v>
      </c>
      <c r="Y5058" t="s">
        <v>31</v>
      </c>
      <c r="Z5058">
        <v>55</v>
      </c>
      <c r="AA5058">
        <v>214</v>
      </c>
    </row>
    <row r="5059" spans="1:27" x14ac:dyDescent="0.2">
      <c r="A5059" t="s">
        <v>547</v>
      </c>
      <c r="B5059">
        <v>2024</v>
      </c>
      <c r="C5059">
        <v>5160014012</v>
      </c>
      <c r="D5059" t="s">
        <v>6165</v>
      </c>
      <c r="E5059" t="s">
        <v>29</v>
      </c>
      <c r="F5059" t="s">
        <v>30</v>
      </c>
      <c r="G5059">
        <v>0</v>
      </c>
      <c r="H5059">
        <v>0</v>
      </c>
      <c r="I5059">
        <v>99</v>
      </c>
      <c r="J5059">
        <v>0</v>
      </c>
      <c r="K5059">
        <v>24</v>
      </c>
      <c r="L5059">
        <v>0</v>
      </c>
      <c r="M5059">
        <v>0</v>
      </c>
      <c r="N5059">
        <v>0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0</v>
      </c>
      <c r="U5059">
        <v>0</v>
      </c>
      <c r="V5059">
        <v>0</v>
      </c>
      <c r="W5059">
        <v>0</v>
      </c>
      <c r="X5059">
        <v>0</v>
      </c>
      <c r="Y5059" t="s">
        <v>31</v>
      </c>
      <c r="Z5059">
        <v>55</v>
      </c>
      <c r="AA5059">
        <v>407</v>
      </c>
    </row>
    <row r="5060" spans="1:27" x14ac:dyDescent="0.2">
      <c r="A5060" t="s">
        <v>547</v>
      </c>
      <c r="B5060">
        <v>2024</v>
      </c>
      <c r="C5060">
        <v>5534018018</v>
      </c>
      <c r="D5060" t="s">
        <v>6166</v>
      </c>
      <c r="E5060" t="s">
        <v>29</v>
      </c>
      <c r="F5060" t="s">
        <v>30</v>
      </c>
      <c r="G5060">
        <v>3</v>
      </c>
      <c r="H5060">
        <v>0</v>
      </c>
      <c r="I5060">
        <v>77</v>
      </c>
      <c r="J5060">
        <v>0</v>
      </c>
      <c r="K5060">
        <v>16</v>
      </c>
      <c r="L5060">
        <v>0</v>
      </c>
      <c r="M5060">
        <v>0</v>
      </c>
      <c r="N5060">
        <v>0</v>
      </c>
      <c r="O5060">
        <v>0</v>
      </c>
      <c r="P5060">
        <v>0</v>
      </c>
      <c r="Q5060">
        <v>0</v>
      </c>
      <c r="R5060">
        <v>0</v>
      </c>
      <c r="S5060">
        <v>0</v>
      </c>
      <c r="T5060">
        <v>0</v>
      </c>
      <c r="U5060">
        <v>0</v>
      </c>
      <c r="V5060">
        <v>0</v>
      </c>
      <c r="W5060">
        <v>0</v>
      </c>
      <c r="X5060">
        <v>0</v>
      </c>
      <c r="Y5060" t="s">
        <v>31</v>
      </c>
      <c r="Z5060">
        <v>55</v>
      </c>
      <c r="AA5060">
        <v>410</v>
      </c>
    </row>
    <row r="5061" spans="1:27" x14ac:dyDescent="0.2">
      <c r="A5061" t="s">
        <v>547</v>
      </c>
      <c r="B5061">
        <v>2024</v>
      </c>
      <c r="C5061">
        <v>6039018067</v>
      </c>
      <c r="D5061" t="s">
        <v>6167</v>
      </c>
      <c r="E5061" t="s">
        <v>29</v>
      </c>
      <c r="F5061" t="s">
        <v>30</v>
      </c>
      <c r="G5061">
        <v>0</v>
      </c>
      <c r="H5061">
        <v>0</v>
      </c>
      <c r="I5061">
        <v>16</v>
      </c>
      <c r="J5061">
        <v>0</v>
      </c>
      <c r="K5061">
        <v>5</v>
      </c>
      <c r="L5061">
        <v>0</v>
      </c>
      <c r="M5061">
        <v>0</v>
      </c>
      <c r="N5061">
        <v>0</v>
      </c>
      <c r="O5061">
        <v>0</v>
      </c>
      <c r="P5061">
        <v>0</v>
      </c>
      <c r="Q5061">
        <v>0</v>
      </c>
      <c r="R5061">
        <v>0</v>
      </c>
      <c r="S5061">
        <v>0</v>
      </c>
      <c r="T5061">
        <v>0</v>
      </c>
      <c r="U5061">
        <v>0</v>
      </c>
      <c r="V5061">
        <v>0</v>
      </c>
      <c r="W5061">
        <v>0</v>
      </c>
      <c r="X5061">
        <v>0</v>
      </c>
      <c r="Y5061" t="s">
        <v>31</v>
      </c>
      <c r="Z5061">
        <v>55</v>
      </c>
      <c r="AA5061">
        <v>1700</v>
      </c>
    </row>
    <row r="5062" spans="1:27" x14ac:dyDescent="0.2">
      <c r="A5062" t="s">
        <v>547</v>
      </c>
      <c r="B5062">
        <v>2024</v>
      </c>
      <c r="C5062">
        <v>6058024009</v>
      </c>
      <c r="D5062" t="s">
        <v>6168</v>
      </c>
      <c r="E5062" t="s">
        <v>29</v>
      </c>
      <c r="F5062" t="s">
        <v>30</v>
      </c>
      <c r="G5062">
        <v>0</v>
      </c>
      <c r="H5062">
        <v>0</v>
      </c>
      <c r="I5062">
        <v>83</v>
      </c>
      <c r="J5062">
        <v>0</v>
      </c>
      <c r="K5062">
        <v>22</v>
      </c>
      <c r="L5062">
        <v>0</v>
      </c>
      <c r="M5062">
        <v>0</v>
      </c>
      <c r="N5062">
        <v>0</v>
      </c>
      <c r="O5062">
        <v>0</v>
      </c>
      <c r="P5062">
        <v>0</v>
      </c>
      <c r="Q5062">
        <v>0</v>
      </c>
      <c r="R5062">
        <v>0</v>
      </c>
      <c r="S5062">
        <v>0</v>
      </c>
      <c r="T5062">
        <v>0</v>
      </c>
      <c r="U5062">
        <v>0</v>
      </c>
      <c r="V5062">
        <v>0</v>
      </c>
      <c r="W5062">
        <v>0</v>
      </c>
      <c r="X5062">
        <v>0</v>
      </c>
      <c r="Y5062" t="s">
        <v>31</v>
      </c>
      <c r="Z5062">
        <v>55</v>
      </c>
      <c r="AA5062">
        <v>186</v>
      </c>
    </row>
    <row r="5063" spans="1:27" x14ac:dyDescent="0.2">
      <c r="A5063" t="s">
        <v>547</v>
      </c>
      <c r="B5063">
        <v>2024</v>
      </c>
      <c r="C5063">
        <v>2125004014</v>
      </c>
      <c r="D5063" t="s">
        <v>6169</v>
      </c>
      <c r="E5063" t="s">
        <v>29</v>
      </c>
      <c r="F5063" t="s">
        <v>30</v>
      </c>
      <c r="G5063">
        <v>0</v>
      </c>
      <c r="H5063">
        <v>0</v>
      </c>
      <c r="I5063">
        <v>38</v>
      </c>
      <c r="J5063">
        <v>0</v>
      </c>
      <c r="K5063">
        <v>10</v>
      </c>
      <c r="L5063">
        <v>0</v>
      </c>
      <c r="M5063">
        <v>0</v>
      </c>
      <c r="N5063">
        <v>0</v>
      </c>
      <c r="O5063">
        <v>0</v>
      </c>
      <c r="P5063">
        <v>0</v>
      </c>
      <c r="Q5063">
        <v>0</v>
      </c>
      <c r="R5063">
        <v>0</v>
      </c>
      <c r="S5063">
        <v>0</v>
      </c>
      <c r="T5063">
        <v>0</v>
      </c>
      <c r="U5063">
        <v>0</v>
      </c>
      <c r="V5063">
        <v>0</v>
      </c>
      <c r="W5063">
        <v>0</v>
      </c>
      <c r="X5063">
        <v>0</v>
      </c>
      <c r="Y5063" t="s">
        <v>31</v>
      </c>
      <c r="Z5063">
        <v>55</v>
      </c>
      <c r="AA5063">
        <v>390</v>
      </c>
    </row>
    <row r="5064" spans="1:27" x14ac:dyDescent="0.2">
      <c r="A5064" t="s">
        <v>547</v>
      </c>
      <c r="B5064">
        <v>2024</v>
      </c>
      <c r="C5064">
        <v>2324006055</v>
      </c>
      <c r="D5064" t="s">
        <v>6170</v>
      </c>
      <c r="E5064" t="s">
        <v>29</v>
      </c>
      <c r="F5064" t="s">
        <v>30</v>
      </c>
      <c r="G5064">
        <v>1</v>
      </c>
      <c r="H5064">
        <v>0</v>
      </c>
      <c r="I5064">
        <v>51</v>
      </c>
      <c r="J5064">
        <v>0</v>
      </c>
      <c r="K5064">
        <v>13</v>
      </c>
      <c r="L5064">
        <v>0</v>
      </c>
      <c r="M5064">
        <v>0</v>
      </c>
      <c r="N5064">
        <v>0</v>
      </c>
      <c r="O5064">
        <v>0</v>
      </c>
      <c r="P5064">
        <v>0</v>
      </c>
      <c r="Q5064">
        <v>0</v>
      </c>
      <c r="R5064">
        <v>0</v>
      </c>
      <c r="S5064">
        <v>0</v>
      </c>
      <c r="T5064">
        <v>0</v>
      </c>
      <c r="U5064">
        <v>0</v>
      </c>
      <c r="V5064">
        <v>0</v>
      </c>
      <c r="W5064">
        <v>0</v>
      </c>
      <c r="X5064">
        <v>0</v>
      </c>
      <c r="Y5064" t="s">
        <v>31</v>
      </c>
      <c r="Z5064">
        <v>55</v>
      </c>
      <c r="AA5064">
        <v>1000</v>
      </c>
    </row>
    <row r="5065" spans="1:27" x14ac:dyDescent="0.2">
      <c r="A5065" t="s">
        <v>547</v>
      </c>
      <c r="B5065">
        <v>2024</v>
      </c>
      <c r="C5065">
        <v>2695003002</v>
      </c>
      <c r="D5065" t="s">
        <v>6171</v>
      </c>
      <c r="E5065" t="s">
        <v>29</v>
      </c>
      <c r="F5065" t="s">
        <v>30</v>
      </c>
      <c r="G5065">
        <v>0</v>
      </c>
      <c r="H5065">
        <v>0</v>
      </c>
      <c r="I5065">
        <v>54</v>
      </c>
      <c r="J5065">
        <v>0</v>
      </c>
      <c r="K5065">
        <v>14</v>
      </c>
      <c r="L5065">
        <v>0</v>
      </c>
      <c r="M5065">
        <v>0</v>
      </c>
      <c r="N5065">
        <v>0</v>
      </c>
      <c r="O5065">
        <v>0</v>
      </c>
      <c r="P5065">
        <v>0</v>
      </c>
      <c r="Q5065">
        <v>0</v>
      </c>
      <c r="R5065">
        <v>0</v>
      </c>
      <c r="S5065">
        <v>0</v>
      </c>
      <c r="T5065">
        <v>0</v>
      </c>
      <c r="U5065">
        <v>0</v>
      </c>
      <c r="V5065">
        <v>0</v>
      </c>
      <c r="W5065">
        <v>0</v>
      </c>
      <c r="X5065">
        <v>0</v>
      </c>
      <c r="Y5065" t="s">
        <v>31</v>
      </c>
      <c r="Z5065">
        <v>55</v>
      </c>
      <c r="AA5065">
        <v>666</v>
      </c>
    </row>
    <row r="5066" spans="1:27" x14ac:dyDescent="0.2">
      <c r="A5066" t="s">
        <v>547</v>
      </c>
      <c r="B5066">
        <v>2024</v>
      </c>
      <c r="C5066">
        <v>4321008047</v>
      </c>
      <c r="D5066" t="s">
        <v>6172</v>
      </c>
      <c r="E5066" t="s">
        <v>29</v>
      </c>
      <c r="F5066" t="s">
        <v>30</v>
      </c>
      <c r="G5066">
        <v>0</v>
      </c>
      <c r="H5066">
        <v>0</v>
      </c>
      <c r="I5066">
        <v>49</v>
      </c>
      <c r="J5066">
        <v>0</v>
      </c>
      <c r="K5066">
        <v>13</v>
      </c>
      <c r="L5066">
        <v>0</v>
      </c>
      <c r="M5066">
        <v>0</v>
      </c>
      <c r="N5066">
        <v>0</v>
      </c>
      <c r="O5066">
        <v>0</v>
      </c>
      <c r="P5066">
        <v>0</v>
      </c>
      <c r="Q5066">
        <v>0</v>
      </c>
      <c r="R5066">
        <v>0</v>
      </c>
      <c r="S5066">
        <v>0</v>
      </c>
      <c r="T5066">
        <v>0</v>
      </c>
      <c r="U5066">
        <v>0</v>
      </c>
      <c r="V5066">
        <v>0</v>
      </c>
      <c r="W5066">
        <v>0</v>
      </c>
      <c r="X5066">
        <v>0</v>
      </c>
      <c r="Y5066" t="s">
        <v>31</v>
      </c>
      <c r="Z5066">
        <v>55</v>
      </c>
      <c r="AA5066">
        <v>1525</v>
      </c>
    </row>
    <row r="5067" spans="1:27" x14ac:dyDescent="0.2">
      <c r="A5067" t="s">
        <v>547</v>
      </c>
      <c r="B5067">
        <v>2024</v>
      </c>
      <c r="C5067">
        <v>5005024001</v>
      </c>
      <c r="D5067" t="s">
        <v>6173</v>
      </c>
      <c r="E5067" t="s">
        <v>29</v>
      </c>
      <c r="F5067" t="s">
        <v>30</v>
      </c>
      <c r="G5067">
        <v>0</v>
      </c>
      <c r="H5067">
        <v>0</v>
      </c>
      <c r="I5067">
        <v>67</v>
      </c>
      <c r="J5067">
        <v>0</v>
      </c>
      <c r="K5067">
        <v>11</v>
      </c>
      <c r="L5067">
        <v>0</v>
      </c>
      <c r="M5067">
        <v>0</v>
      </c>
      <c r="N5067">
        <v>0</v>
      </c>
      <c r="O5067">
        <v>0</v>
      </c>
      <c r="P5067">
        <v>0</v>
      </c>
      <c r="Q5067">
        <v>0</v>
      </c>
      <c r="R5067">
        <v>0</v>
      </c>
      <c r="S5067">
        <v>0</v>
      </c>
      <c r="T5067">
        <v>0</v>
      </c>
      <c r="U5067">
        <v>0</v>
      </c>
      <c r="V5067">
        <v>0</v>
      </c>
      <c r="W5067">
        <v>0</v>
      </c>
      <c r="X5067">
        <v>0</v>
      </c>
      <c r="Y5067" t="s">
        <v>31</v>
      </c>
      <c r="Z5067">
        <v>55</v>
      </c>
      <c r="AA5067">
        <v>187</v>
      </c>
    </row>
    <row r="5068" spans="1:27" x14ac:dyDescent="0.2">
      <c r="A5068" t="s">
        <v>547</v>
      </c>
      <c r="B5068">
        <v>2024</v>
      </c>
      <c r="C5068">
        <v>5006003025</v>
      </c>
      <c r="D5068" t="s">
        <v>6174</v>
      </c>
      <c r="E5068" t="s">
        <v>29</v>
      </c>
      <c r="F5068" t="s">
        <v>30</v>
      </c>
      <c r="G5068">
        <v>0</v>
      </c>
      <c r="H5068">
        <v>0</v>
      </c>
      <c r="I5068">
        <v>59</v>
      </c>
      <c r="J5068">
        <v>0</v>
      </c>
      <c r="K5068">
        <v>15</v>
      </c>
      <c r="L5068">
        <v>0</v>
      </c>
      <c r="M5068">
        <v>0</v>
      </c>
      <c r="N5068">
        <v>0</v>
      </c>
      <c r="O5068">
        <v>0</v>
      </c>
      <c r="P5068">
        <v>0</v>
      </c>
      <c r="Q5068">
        <v>0</v>
      </c>
      <c r="R5068">
        <v>0</v>
      </c>
      <c r="S5068">
        <v>0</v>
      </c>
      <c r="T5068">
        <v>0</v>
      </c>
      <c r="U5068">
        <v>0</v>
      </c>
      <c r="V5068">
        <v>0</v>
      </c>
      <c r="W5068">
        <v>0</v>
      </c>
      <c r="X5068">
        <v>0</v>
      </c>
      <c r="Y5068" t="s">
        <v>31</v>
      </c>
      <c r="Z5068">
        <v>55</v>
      </c>
      <c r="AA5068">
        <v>114</v>
      </c>
    </row>
    <row r="5069" spans="1:27" x14ac:dyDescent="0.2">
      <c r="A5069" t="s">
        <v>547</v>
      </c>
      <c r="B5069">
        <v>2024</v>
      </c>
      <c r="C5069">
        <v>5017025003</v>
      </c>
      <c r="D5069" t="s">
        <v>6175</v>
      </c>
      <c r="E5069" t="s">
        <v>29</v>
      </c>
      <c r="F5069" t="s">
        <v>30</v>
      </c>
      <c r="G5069">
        <v>1</v>
      </c>
      <c r="H5069">
        <v>0</v>
      </c>
      <c r="I5069">
        <v>28</v>
      </c>
      <c r="J5069">
        <v>0</v>
      </c>
      <c r="K5069">
        <v>7</v>
      </c>
      <c r="L5069">
        <v>0</v>
      </c>
      <c r="M5069">
        <v>0</v>
      </c>
      <c r="N5069">
        <v>0</v>
      </c>
      <c r="O5069">
        <v>0</v>
      </c>
      <c r="P5069">
        <v>0</v>
      </c>
      <c r="Q5069">
        <v>0</v>
      </c>
      <c r="R5069">
        <v>0</v>
      </c>
      <c r="S5069">
        <v>0</v>
      </c>
      <c r="T5069">
        <v>0</v>
      </c>
      <c r="U5069">
        <v>0</v>
      </c>
      <c r="V5069">
        <v>0</v>
      </c>
      <c r="W5069">
        <v>0</v>
      </c>
      <c r="X5069">
        <v>0</v>
      </c>
      <c r="Y5069" t="s">
        <v>31</v>
      </c>
      <c r="Z5069">
        <v>55</v>
      </c>
      <c r="AA5069">
        <v>105</v>
      </c>
    </row>
    <row r="5070" spans="1:27" x14ac:dyDescent="0.2">
      <c r="A5070" t="s">
        <v>547</v>
      </c>
      <c r="B5070">
        <v>2024</v>
      </c>
      <c r="C5070">
        <v>5046001004</v>
      </c>
      <c r="D5070" t="s">
        <v>6176</v>
      </c>
      <c r="E5070" t="s">
        <v>29</v>
      </c>
      <c r="F5070" t="s">
        <v>30</v>
      </c>
      <c r="G5070">
        <v>1</v>
      </c>
      <c r="H5070">
        <v>0</v>
      </c>
      <c r="I5070">
        <v>45</v>
      </c>
      <c r="J5070">
        <v>0</v>
      </c>
      <c r="K5070">
        <v>11</v>
      </c>
      <c r="L5070">
        <v>0</v>
      </c>
      <c r="M5070">
        <v>0</v>
      </c>
      <c r="N5070">
        <v>0</v>
      </c>
      <c r="O5070">
        <v>0</v>
      </c>
      <c r="P5070">
        <v>0</v>
      </c>
      <c r="Q5070">
        <v>0</v>
      </c>
      <c r="R5070">
        <v>0</v>
      </c>
      <c r="S5070">
        <v>0</v>
      </c>
      <c r="T5070">
        <v>0</v>
      </c>
      <c r="U5070">
        <v>0</v>
      </c>
      <c r="V5070">
        <v>0</v>
      </c>
      <c r="W5070">
        <v>0</v>
      </c>
      <c r="X5070">
        <v>0</v>
      </c>
      <c r="Y5070" t="s">
        <v>31</v>
      </c>
      <c r="Z5070">
        <v>55</v>
      </c>
      <c r="AA5070">
        <v>383</v>
      </c>
    </row>
    <row r="5071" spans="1:27" x14ac:dyDescent="0.2">
      <c r="A5071" t="s">
        <v>547</v>
      </c>
      <c r="B5071">
        <v>2024</v>
      </c>
      <c r="C5071">
        <v>5052023039</v>
      </c>
      <c r="D5071" t="s">
        <v>6177</v>
      </c>
      <c r="E5071" t="s">
        <v>29</v>
      </c>
      <c r="F5071" t="s">
        <v>30</v>
      </c>
      <c r="G5071">
        <v>0</v>
      </c>
      <c r="H5071">
        <v>0</v>
      </c>
      <c r="I5071">
        <v>79</v>
      </c>
      <c r="J5071">
        <v>0</v>
      </c>
      <c r="K5071">
        <v>20</v>
      </c>
      <c r="L5071">
        <v>0</v>
      </c>
      <c r="M5071">
        <v>0</v>
      </c>
      <c r="N5071">
        <v>0</v>
      </c>
      <c r="O5071">
        <v>0</v>
      </c>
      <c r="P5071">
        <v>0</v>
      </c>
      <c r="Q5071">
        <v>0</v>
      </c>
      <c r="R5071">
        <v>0</v>
      </c>
      <c r="S5071">
        <v>0</v>
      </c>
      <c r="T5071">
        <v>0</v>
      </c>
      <c r="U5071">
        <v>0</v>
      </c>
      <c r="V5071">
        <v>0</v>
      </c>
      <c r="W5071">
        <v>0</v>
      </c>
      <c r="X5071">
        <v>0</v>
      </c>
      <c r="Y5071" t="s">
        <v>31</v>
      </c>
      <c r="Z5071">
        <v>55</v>
      </c>
      <c r="AA5071">
        <v>567</v>
      </c>
    </row>
    <row r="5072" spans="1:27" x14ac:dyDescent="0.2">
      <c r="A5072" t="s">
        <v>547</v>
      </c>
      <c r="B5072">
        <v>2024</v>
      </c>
      <c r="C5072">
        <v>5183014033</v>
      </c>
      <c r="D5072" t="s">
        <v>6178</v>
      </c>
      <c r="E5072" t="s">
        <v>29</v>
      </c>
      <c r="F5072" t="s">
        <v>30</v>
      </c>
      <c r="G5072">
        <v>0</v>
      </c>
      <c r="H5072">
        <v>0</v>
      </c>
      <c r="I5072">
        <v>137</v>
      </c>
      <c r="J5072">
        <v>0</v>
      </c>
      <c r="K5072">
        <v>0</v>
      </c>
      <c r="L5072">
        <v>0</v>
      </c>
      <c r="M5072">
        <v>0</v>
      </c>
      <c r="N5072">
        <v>0</v>
      </c>
      <c r="O5072">
        <v>0</v>
      </c>
      <c r="P5072">
        <v>0</v>
      </c>
      <c r="Q5072">
        <v>0</v>
      </c>
      <c r="R5072">
        <v>0</v>
      </c>
      <c r="S5072">
        <v>0</v>
      </c>
      <c r="T5072">
        <v>0</v>
      </c>
      <c r="U5072">
        <v>0</v>
      </c>
      <c r="V5072">
        <v>0</v>
      </c>
      <c r="W5072">
        <v>0</v>
      </c>
      <c r="X5072">
        <v>0</v>
      </c>
      <c r="Y5072" t="s">
        <v>31</v>
      </c>
      <c r="Z5072">
        <v>55</v>
      </c>
      <c r="AA5072">
        <v>283</v>
      </c>
    </row>
    <row r="5073" spans="1:27" x14ac:dyDescent="0.2">
      <c r="A5073" t="s">
        <v>547</v>
      </c>
      <c r="B5073">
        <v>2024</v>
      </c>
      <c r="C5073">
        <v>5468013005</v>
      </c>
      <c r="D5073" t="s">
        <v>6179</v>
      </c>
      <c r="E5073" t="s">
        <v>29</v>
      </c>
      <c r="F5073" t="s">
        <v>30</v>
      </c>
      <c r="G5073">
        <v>0</v>
      </c>
      <c r="H5073">
        <v>0</v>
      </c>
      <c r="I5073">
        <v>19</v>
      </c>
      <c r="J5073">
        <v>0</v>
      </c>
      <c r="K5073">
        <v>5</v>
      </c>
      <c r="L5073">
        <v>0</v>
      </c>
      <c r="M5073">
        <v>0</v>
      </c>
      <c r="N5073">
        <v>0</v>
      </c>
      <c r="O5073">
        <v>0</v>
      </c>
      <c r="P5073">
        <v>0</v>
      </c>
      <c r="Q5073">
        <v>0</v>
      </c>
      <c r="R5073">
        <v>0</v>
      </c>
      <c r="S5073">
        <v>0</v>
      </c>
      <c r="T5073">
        <v>0</v>
      </c>
      <c r="U5073">
        <v>0</v>
      </c>
      <c r="V5073">
        <v>0</v>
      </c>
      <c r="W5073">
        <v>0</v>
      </c>
      <c r="X5073">
        <v>0</v>
      </c>
      <c r="Y5073" t="s">
        <v>31</v>
      </c>
      <c r="Z5073">
        <v>55</v>
      </c>
      <c r="AA5073">
        <v>316</v>
      </c>
    </row>
    <row r="5074" spans="1:27" x14ac:dyDescent="0.2">
      <c r="A5074" t="s">
        <v>547</v>
      </c>
      <c r="B5074">
        <v>2024</v>
      </c>
      <c r="C5074">
        <v>5517008002</v>
      </c>
      <c r="D5074" t="s">
        <v>6180</v>
      </c>
      <c r="E5074" t="s">
        <v>29</v>
      </c>
      <c r="F5074" t="s">
        <v>30</v>
      </c>
      <c r="G5074">
        <v>0</v>
      </c>
      <c r="H5074">
        <v>0</v>
      </c>
      <c r="I5074">
        <v>33</v>
      </c>
      <c r="J5074">
        <v>0</v>
      </c>
      <c r="K5074">
        <v>9</v>
      </c>
      <c r="L5074">
        <v>0</v>
      </c>
      <c r="M5074">
        <v>0</v>
      </c>
      <c r="N5074">
        <v>0</v>
      </c>
      <c r="O5074">
        <v>0</v>
      </c>
      <c r="P5074">
        <v>0</v>
      </c>
      <c r="Q5074">
        <v>0</v>
      </c>
      <c r="R5074">
        <v>0</v>
      </c>
      <c r="S5074">
        <v>0</v>
      </c>
      <c r="T5074">
        <v>0</v>
      </c>
      <c r="U5074">
        <v>0</v>
      </c>
      <c r="V5074">
        <v>0</v>
      </c>
      <c r="W5074">
        <v>0</v>
      </c>
      <c r="X5074">
        <v>0</v>
      </c>
      <c r="Y5074" t="s">
        <v>31</v>
      </c>
      <c r="Z5074">
        <v>55</v>
      </c>
      <c r="AA5074">
        <v>387</v>
      </c>
    </row>
    <row r="5075" spans="1:27" x14ac:dyDescent="0.2">
      <c r="A5075" t="s">
        <v>547</v>
      </c>
      <c r="B5075">
        <v>2024</v>
      </c>
      <c r="C5075">
        <v>5520017018</v>
      </c>
      <c r="D5075" t="s">
        <v>6181</v>
      </c>
      <c r="E5075" t="s">
        <v>29</v>
      </c>
      <c r="F5075" t="s">
        <v>30</v>
      </c>
      <c r="G5075">
        <v>1</v>
      </c>
      <c r="H5075">
        <v>0</v>
      </c>
      <c r="I5075">
        <v>54</v>
      </c>
      <c r="J5075">
        <v>0</v>
      </c>
      <c r="K5075">
        <v>13</v>
      </c>
      <c r="L5075">
        <v>0</v>
      </c>
      <c r="M5075">
        <v>0</v>
      </c>
      <c r="N5075">
        <v>0</v>
      </c>
      <c r="O5075">
        <v>0</v>
      </c>
      <c r="P5075">
        <v>0</v>
      </c>
      <c r="Q5075">
        <v>0</v>
      </c>
      <c r="R5075">
        <v>0</v>
      </c>
      <c r="S5075">
        <v>0</v>
      </c>
      <c r="T5075">
        <v>0</v>
      </c>
      <c r="U5075">
        <v>0</v>
      </c>
      <c r="V5075">
        <v>0</v>
      </c>
      <c r="W5075">
        <v>0</v>
      </c>
      <c r="X5075">
        <v>0</v>
      </c>
      <c r="Y5075" t="s">
        <v>31</v>
      </c>
      <c r="Z5075">
        <v>55</v>
      </c>
      <c r="AA5075">
        <v>388</v>
      </c>
    </row>
    <row r="5076" spans="1:27" x14ac:dyDescent="0.2">
      <c r="A5076" t="s">
        <v>547</v>
      </c>
      <c r="B5076">
        <v>2024</v>
      </c>
      <c r="C5076">
        <v>5534017013</v>
      </c>
      <c r="D5076" t="s">
        <v>6182</v>
      </c>
      <c r="E5076" t="s">
        <v>29</v>
      </c>
      <c r="F5076" t="s">
        <v>30</v>
      </c>
      <c r="G5076">
        <v>2</v>
      </c>
      <c r="H5076">
        <v>0</v>
      </c>
      <c r="I5076">
        <v>34</v>
      </c>
      <c r="J5076">
        <v>0</v>
      </c>
      <c r="K5076">
        <v>6</v>
      </c>
      <c r="L5076">
        <v>0</v>
      </c>
      <c r="M5076">
        <v>0</v>
      </c>
      <c r="N5076">
        <v>0</v>
      </c>
      <c r="O5076">
        <v>0</v>
      </c>
      <c r="P5076">
        <v>0</v>
      </c>
      <c r="Q5076">
        <v>0</v>
      </c>
      <c r="R5076">
        <v>0</v>
      </c>
      <c r="S5076">
        <v>0</v>
      </c>
      <c r="T5076">
        <v>0</v>
      </c>
      <c r="U5076">
        <v>0</v>
      </c>
      <c r="V5076">
        <v>0</v>
      </c>
      <c r="W5076">
        <v>0</v>
      </c>
      <c r="X5076">
        <v>0</v>
      </c>
      <c r="Y5076" t="s">
        <v>31</v>
      </c>
      <c r="Z5076">
        <v>55</v>
      </c>
      <c r="AA5076">
        <v>330</v>
      </c>
    </row>
    <row r="5077" spans="1:27" x14ac:dyDescent="0.2">
      <c r="A5077" t="s">
        <v>547</v>
      </c>
      <c r="B5077">
        <v>2024</v>
      </c>
      <c r="C5077">
        <v>5544030008</v>
      </c>
      <c r="D5077" t="s">
        <v>6183</v>
      </c>
      <c r="E5077" t="s">
        <v>29</v>
      </c>
      <c r="F5077" t="s">
        <v>30</v>
      </c>
      <c r="G5077">
        <v>6</v>
      </c>
      <c r="H5077">
        <v>0</v>
      </c>
      <c r="I5077">
        <v>408</v>
      </c>
      <c r="J5077">
        <v>0</v>
      </c>
      <c r="K5077">
        <v>104</v>
      </c>
      <c r="L5077">
        <v>0</v>
      </c>
      <c r="M5077">
        <v>0</v>
      </c>
      <c r="N5077">
        <v>0</v>
      </c>
      <c r="O5077">
        <v>0</v>
      </c>
      <c r="P5077">
        <v>0</v>
      </c>
      <c r="Q5077">
        <v>0</v>
      </c>
      <c r="R5077">
        <v>0</v>
      </c>
      <c r="S5077">
        <v>0</v>
      </c>
      <c r="T5077">
        <v>0</v>
      </c>
      <c r="U5077">
        <v>0</v>
      </c>
      <c r="V5077">
        <v>0</v>
      </c>
      <c r="W5077">
        <v>0</v>
      </c>
      <c r="X5077">
        <v>0</v>
      </c>
      <c r="Y5077" t="s">
        <v>31</v>
      </c>
      <c r="Z5077">
        <v>55</v>
      </c>
      <c r="AA5077">
        <v>1208</v>
      </c>
    </row>
    <row r="5078" spans="1:27" x14ac:dyDescent="0.2">
      <c r="A5078" t="s">
        <v>547</v>
      </c>
      <c r="B5078">
        <v>2024</v>
      </c>
      <c r="C5078">
        <v>6031033018</v>
      </c>
      <c r="D5078" t="s">
        <v>6184</v>
      </c>
      <c r="E5078" t="s">
        <v>29</v>
      </c>
      <c r="F5078" t="s">
        <v>30</v>
      </c>
      <c r="G5078">
        <v>2</v>
      </c>
      <c r="H5078">
        <v>0</v>
      </c>
      <c r="I5078">
        <v>23</v>
      </c>
      <c r="J5078">
        <v>0</v>
      </c>
      <c r="K5078">
        <v>5</v>
      </c>
      <c r="L5078">
        <v>0</v>
      </c>
      <c r="M5078">
        <v>0</v>
      </c>
      <c r="N5078">
        <v>0</v>
      </c>
      <c r="O5078">
        <v>0</v>
      </c>
      <c r="P5078">
        <v>0</v>
      </c>
      <c r="Q5078">
        <v>0</v>
      </c>
      <c r="R5078">
        <v>0</v>
      </c>
      <c r="S5078">
        <v>0</v>
      </c>
      <c r="T5078">
        <v>0</v>
      </c>
      <c r="U5078">
        <v>0</v>
      </c>
      <c r="V5078">
        <v>0</v>
      </c>
      <c r="W5078">
        <v>0</v>
      </c>
      <c r="X5078">
        <v>0</v>
      </c>
      <c r="Y5078" t="s">
        <v>31</v>
      </c>
      <c r="Z5078">
        <v>55</v>
      </c>
      <c r="AA5078">
        <v>138</v>
      </c>
    </row>
    <row r="5079" spans="1:27" x14ac:dyDescent="0.2">
      <c r="A5079" t="s">
        <v>547</v>
      </c>
      <c r="B5079">
        <v>2024</v>
      </c>
      <c r="C5079">
        <v>6043007033</v>
      </c>
      <c r="D5079" t="s">
        <v>6185</v>
      </c>
      <c r="E5079" t="s">
        <v>29</v>
      </c>
      <c r="F5079" t="s">
        <v>30</v>
      </c>
      <c r="G5079">
        <v>0</v>
      </c>
      <c r="H5079">
        <v>0</v>
      </c>
      <c r="I5079">
        <v>28</v>
      </c>
      <c r="J5079">
        <v>0</v>
      </c>
      <c r="K5079">
        <v>8</v>
      </c>
      <c r="L5079">
        <v>0</v>
      </c>
      <c r="M5079">
        <v>0</v>
      </c>
      <c r="N5079">
        <v>0</v>
      </c>
      <c r="O5079">
        <v>0</v>
      </c>
      <c r="P5079">
        <v>0</v>
      </c>
      <c r="Q5079">
        <v>0</v>
      </c>
      <c r="R5079">
        <v>0</v>
      </c>
      <c r="S5079">
        <v>0</v>
      </c>
      <c r="T5079">
        <v>0</v>
      </c>
      <c r="U5079">
        <v>0</v>
      </c>
      <c r="V5079">
        <v>0</v>
      </c>
      <c r="W5079">
        <v>0</v>
      </c>
      <c r="X5079">
        <v>0</v>
      </c>
      <c r="Y5079" t="s">
        <v>31</v>
      </c>
      <c r="Z5079">
        <v>55</v>
      </c>
      <c r="AA5079">
        <v>76</v>
      </c>
    </row>
    <row r="5080" spans="1:27" x14ac:dyDescent="0.2">
      <c r="A5080" t="s">
        <v>547</v>
      </c>
      <c r="B5080">
        <v>2024</v>
      </c>
      <c r="C5080">
        <v>6055025032</v>
      </c>
      <c r="D5080" t="s">
        <v>6186</v>
      </c>
      <c r="E5080" t="s">
        <v>29</v>
      </c>
      <c r="F5080" t="s">
        <v>30</v>
      </c>
      <c r="G5080">
        <v>0</v>
      </c>
      <c r="H5080">
        <v>0</v>
      </c>
      <c r="I5080">
        <v>27</v>
      </c>
      <c r="J5080">
        <v>0</v>
      </c>
      <c r="K5080">
        <v>8</v>
      </c>
      <c r="L5080">
        <v>0</v>
      </c>
      <c r="M5080">
        <v>0</v>
      </c>
      <c r="N5080">
        <v>0</v>
      </c>
      <c r="O5080">
        <v>0</v>
      </c>
      <c r="P5080">
        <v>0</v>
      </c>
      <c r="Q5080">
        <v>0</v>
      </c>
      <c r="R5080">
        <v>0</v>
      </c>
      <c r="S5080">
        <v>0</v>
      </c>
      <c r="T5080">
        <v>0</v>
      </c>
      <c r="U5080">
        <v>0</v>
      </c>
      <c r="V5080">
        <v>0</v>
      </c>
      <c r="W5080">
        <v>0</v>
      </c>
      <c r="X5080">
        <v>0</v>
      </c>
      <c r="Y5080" t="s">
        <v>31</v>
      </c>
      <c r="Z5080">
        <v>55</v>
      </c>
      <c r="AA5080">
        <v>112</v>
      </c>
    </row>
    <row r="5081" spans="1:27" x14ac:dyDescent="0.2">
      <c r="A5081" t="s">
        <v>547</v>
      </c>
      <c r="B5081">
        <v>2024</v>
      </c>
      <c r="C5081">
        <v>6117001020</v>
      </c>
      <c r="D5081" t="s">
        <v>6187</v>
      </c>
      <c r="E5081" t="s">
        <v>29</v>
      </c>
      <c r="F5081" t="s">
        <v>30</v>
      </c>
      <c r="G5081">
        <v>0</v>
      </c>
      <c r="H5081">
        <v>0</v>
      </c>
      <c r="I5081">
        <v>39</v>
      </c>
      <c r="J5081">
        <v>0</v>
      </c>
      <c r="K5081">
        <v>10</v>
      </c>
      <c r="L5081">
        <v>0</v>
      </c>
      <c r="M5081">
        <v>0</v>
      </c>
      <c r="N5081">
        <v>0</v>
      </c>
      <c r="O5081">
        <v>0</v>
      </c>
      <c r="P5081">
        <v>0</v>
      </c>
      <c r="Q5081">
        <v>0</v>
      </c>
      <c r="R5081">
        <v>0</v>
      </c>
      <c r="S5081">
        <v>0</v>
      </c>
      <c r="T5081">
        <v>0</v>
      </c>
      <c r="U5081">
        <v>0</v>
      </c>
      <c r="V5081">
        <v>0</v>
      </c>
      <c r="W5081">
        <v>0</v>
      </c>
      <c r="X5081">
        <v>0</v>
      </c>
      <c r="Y5081" t="s">
        <v>31</v>
      </c>
      <c r="Z5081">
        <v>55</v>
      </c>
      <c r="AA5081">
        <v>733</v>
      </c>
    </row>
    <row r="5082" spans="1:27" x14ac:dyDescent="0.2">
      <c r="A5082" t="s">
        <v>547</v>
      </c>
      <c r="B5082">
        <v>2024</v>
      </c>
      <c r="C5082">
        <v>7462005027</v>
      </c>
      <c r="D5082" t="s">
        <v>6188</v>
      </c>
      <c r="E5082" t="s">
        <v>29</v>
      </c>
      <c r="F5082" t="s">
        <v>30</v>
      </c>
      <c r="G5082">
        <v>1</v>
      </c>
      <c r="H5082">
        <v>0</v>
      </c>
      <c r="I5082">
        <v>19</v>
      </c>
      <c r="J5082">
        <v>0</v>
      </c>
      <c r="K5082">
        <v>5</v>
      </c>
      <c r="L5082">
        <v>0</v>
      </c>
      <c r="M5082">
        <v>0</v>
      </c>
      <c r="N5082">
        <v>0</v>
      </c>
      <c r="O5082">
        <v>0</v>
      </c>
      <c r="P5082">
        <v>0</v>
      </c>
      <c r="Q5082">
        <v>0</v>
      </c>
      <c r="R5082">
        <v>0</v>
      </c>
      <c r="S5082">
        <v>0</v>
      </c>
      <c r="T5082">
        <v>0</v>
      </c>
      <c r="U5082">
        <v>0</v>
      </c>
      <c r="V5082">
        <v>0</v>
      </c>
      <c r="W5082">
        <v>0</v>
      </c>
      <c r="X5082">
        <v>0</v>
      </c>
      <c r="Y5082" t="s">
        <v>31</v>
      </c>
      <c r="Z5082">
        <v>55</v>
      </c>
      <c r="AA5082">
        <v>85</v>
      </c>
    </row>
    <row r="5083" spans="1:27" x14ac:dyDescent="0.2">
      <c r="A5083" t="s">
        <v>547</v>
      </c>
      <c r="B5083">
        <v>2024</v>
      </c>
      <c r="C5083">
        <v>5101030016</v>
      </c>
      <c r="D5083" t="s">
        <v>6189</v>
      </c>
      <c r="E5083" t="s">
        <v>29</v>
      </c>
      <c r="F5083" t="s">
        <v>30</v>
      </c>
      <c r="G5083">
        <v>0</v>
      </c>
      <c r="H5083">
        <v>0</v>
      </c>
      <c r="I5083">
        <v>0</v>
      </c>
      <c r="J5083">
        <v>0</v>
      </c>
      <c r="K5083">
        <v>0</v>
      </c>
      <c r="L5083">
        <v>0</v>
      </c>
      <c r="M5083">
        <v>56</v>
      </c>
      <c r="N5083">
        <v>0</v>
      </c>
      <c r="O5083">
        <v>0</v>
      </c>
      <c r="P5083">
        <v>0</v>
      </c>
      <c r="Q5083">
        <v>0</v>
      </c>
      <c r="R5083">
        <v>0</v>
      </c>
      <c r="S5083">
        <v>56</v>
      </c>
      <c r="T5083">
        <v>0</v>
      </c>
      <c r="U5083">
        <v>0</v>
      </c>
      <c r="V5083">
        <v>0</v>
      </c>
      <c r="W5083">
        <v>0</v>
      </c>
      <c r="X5083">
        <v>0</v>
      </c>
      <c r="Y5083" t="s">
        <v>31</v>
      </c>
      <c r="Z5083">
        <v>55</v>
      </c>
      <c r="AA5083">
        <v>27</v>
      </c>
    </row>
    <row r="5084" spans="1:27" x14ac:dyDescent="0.2">
      <c r="A5084" t="s">
        <v>547</v>
      </c>
      <c r="B5084">
        <v>2024</v>
      </c>
      <c r="C5084">
        <v>2537001033</v>
      </c>
      <c r="D5084" t="s">
        <v>6190</v>
      </c>
      <c r="E5084" t="s">
        <v>29</v>
      </c>
      <c r="F5084" t="s">
        <v>30</v>
      </c>
      <c r="G5084">
        <v>0</v>
      </c>
      <c r="H5084">
        <v>0</v>
      </c>
      <c r="I5084">
        <v>0</v>
      </c>
      <c r="J5084">
        <v>0</v>
      </c>
      <c r="K5084">
        <v>0</v>
      </c>
      <c r="L5084">
        <v>0</v>
      </c>
      <c r="M5084">
        <v>0</v>
      </c>
      <c r="N5084">
        <v>0</v>
      </c>
      <c r="O5084">
        <v>79</v>
      </c>
      <c r="P5084">
        <v>0</v>
      </c>
      <c r="Q5084">
        <v>20</v>
      </c>
      <c r="R5084">
        <v>0</v>
      </c>
      <c r="S5084">
        <v>0</v>
      </c>
      <c r="T5084">
        <v>0</v>
      </c>
      <c r="U5084">
        <v>0</v>
      </c>
      <c r="V5084">
        <v>0</v>
      </c>
      <c r="W5084">
        <v>0</v>
      </c>
      <c r="X5084">
        <v>0</v>
      </c>
      <c r="Y5084" t="s">
        <v>31</v>
      </c>
      <c r="Z5084">
        <v>55</v>
      </c>
      <c r="AA5084">
        <v>245</v>
      </c>
    </row>
    <row r="5085" spans="1:27" x14ac:dyDescent="0.2">
      <c r="A5085" t="s">
        <v>547</v>
      </c>
      <c r="B5085">
        <v>2024</v>
      </c>
      <c r="C5085">
        <v>5040024023</v>
      </c>
      <c r="D5085" t="s">
        <v>6191</v>
      </c>
      <c r="E5085" t="s">
        <v>29</v>
      </c>
      <c r="F5085" t="s">
        <v>30</v>
      </c>
      <c r="G5085">
        <v>0</v>
      </c>
      <c r="H5085">
        <v>0</v>
      </c>
      <c r="I5085">
        <v>0</v>
      </c>
      <c r="J5085">
        <v>0</v>
      </c>
      <c r="K5085">
        <v>0</v>
      </c>
      <c r="L5085">
        <v>0</v>
      </c>
      <c r="M5085">
        <v>3</v>
      </c>
      <c r="N5085">
        <v>0</v>
      </c>
      <c r="O5085">
        <v>0</v>
      </c>
      <c r="P5085">
        <v>0</v>
      </c>
      <c r="Q5085">
        <v>0</v>
      </c>
      <c r="R5085">
        <v>0</v>
      </c>
      <c r="S5085">
        <v>3</v>
      </c>
      <c r="T5085">
        <v>0</v>
      </c>
      <c r="U5085">
        <v>0</v>
      </c>
      <c r="V5085">
        <v>0</v>
      </c>
      <c r="W5085">
        <v>0</v>
      </c>
      <c r="X5085">
        <v>0</v>
      </c>
      <c r="Y5085" t="s">
        <v>31</v>
      </c>
      <c r="Z5085">
        <v>55</v>
      </c>
      <c r="AA5085">
        <v>28</v>
      </c>
    </row>
    <row r="5086" spans="1:27" x14ac:dyDescent="0.2">
      <c r="A5086" t="s">
        <v>547</v>
      </c>
      <c r="B5086">
        <v>2024</v>
      </c>
      <c r="C5086">
        <v>2509003201</v>
      </c>
      <c r="D5086" t="s">
        <v>6192</v>
      </c>
      <c r="E5086" t="s">
        <v>29</v>
      </c>
      <c r="F5086" t="s">
        <v>30</v>
      </c>
      <c r="G5086">
        <v>0</v>
      </c>
      <c r="H5086">
        <v>0</v>
      </c>
      <c r="I5086">
        <v>142</v>
      </c>
      <c r="J5086">
        <v>0</v>
      </c>
      <c r="K5086">
        <v>36</v>
      </c>
      <c r="L5086">
        <v>0</v>
      </c>
      <c r="M5086">
        <v>0</v>
      </c>
      <c r="N5086">
        <v>0</v>
      </c>
      <c r="O5086">
        <v>72</v>
      </c>
      <c r="P5086">
        <v>0</v>
      </c>
      <c r="Q5086">
        <v>18</v>
      </c>
      <c r="R5086">
        <v>0</v>
      </c>
      <c r="S5086">
        <v>0</v>
      </c>
      <c r="T5086">
        <v>0</v>
      </c>
      <c r="U5086">
        <v>0</v>
      </c>
      <c r="V5086">
        <v>0</v>
      </c>
      <c r="W5086">
        <v>0</v>
      </c>
      <c r="X5086">
        <v>0</v>
      </c>
      <c r="Y5086" t="s">
        <v>31</v>
      </c>
      <c r="Z5086">
        <v>55</v>
      </c>
      <c r="AA5086">
        <v>0</v>
      </c>
    </row>
    <row r="5087" spans="1:27" x14ac:dyDescent="0.2">
      <c r="A5087" t="s">
        <v>547</v>
      </c>
      <c r="B5087">
        <v>2023</v>
      </c>
      <c r="C5087">
        <v>5550023024</v>
      </c>
      <c r="D5087" t="s">
        <v>6193</v>
      </c>
      <c r="E5087" t="s">
        <v>29</v>
      </c>
      <c r="F5087" t="s">
        <v>30</v>
      </c>
      <c r="G5087">
        <v>3</v>
      </c>
      <c r="H5087">
        <v>0</v>
      </c>
      <c r="I5087">
        <v>1</v>
      </c>
      <c r="J5087">
        <v>0</v>
      </c>
      <c r="K5087">
        <v>0</v>
      </c>
      <c r="L5087">
        <v>0</v>
      </c>
      <c r="M5087">
        <v>3</v>
      </c>
      <c r="N5087">
        <v>0</v>
      </c>
      <c r="O5087">
        <v>1</v>
      </c>
      <c r="P5087">
        <v>0</v>
      </c>
      <c r="Q5087">
        <v>0</v>
      </c>
      <c r="R5087">
        <v>0</v>
      </c>
      <c r="S5087">
        <v>0</v>
      </c>
      <c r="T5087">
        <v>0</v>
      </c>
      <c r="U5087">
        <v>0</v>
      </c>
      <c r="V5087">
        <v>0</v>
      </c>
      <c r="W5087">
        <v>0</v>
      </c>
      <c r="X5087">
        <v>0</v>
      </c>
      <c r="Y5087" t="s">
        <v>31</v>
      </c>
      <c r="Z5087">
        <v>55</v>
      </c>
      <c r="AA5087" s="2" t="s">
        <v>3316</v>
      </c>
    </row>
    <row r="5088" spans="1:27" x14ac:dyDescent="0.2">
      <c r="A5088" t="s">
        <v>267</v>
      </c>
      <c r="B5088">
        <v>2024</v>
      </c>
      <c r="C5088">
        <v>2443004017</v>
      </c>
      <c r="D5088" t="s">
        <v>6194</v>
      </c>
      <c r="E5088" t="s">
        <v>29</v>
      </c>
      <c r="F5088" t="s">
        <v>30</v>
      </c>
      <c r="G5088">
        <v>3</v>
      </c>
      <c r="H5088">
        <v>0</v>
      </c>
      <c r="I5088">
        <v>0</v>
      </c>
      <c r="J5088">
        <v>0</v>
      </c>
      <c r="K5088">
        <v>3</v>
      </c>
      <c r="L5088">
        <v>0</v>
      </c>
      <c r="M5088">
        <v>0</v>
      </c>
      <c r="N5088">
        <v>0</v>
      </c>
      <c r="O5088">
        <v>0</v>
      </c>
      <c r="P5088">
        <v>0</v>
      </c>
      <c r="Q5088">
        <v>0</v>
      </c>
      <c r="R5088">
        <v>0</v>
      </c>
      <c r="S5088">
        <v>0</v>
      </c>
      <c r="T5088">
        <v>0</v>
      </c>
      <c r="U5088">
        <v>0</v>
      </c>
      <c r="V5088">
        <v>0</v>
      </c>
      <c r="W5088">
        <v>0</v>
      </c>
      <c r="X5088">
        <v>0</v>
      </c>
      <c r="Y5088" t="s">
        <v>31</v>
      </c>
      <c r="AA5088">
        <v>1</v>
      </c>
    </row>
    <row r="5089" spans="1:27" x14ac:dyDescent="0.2">
      <c r="A5089" t="s">
        <v>670</v>
      </c>
      <c r="B5089">
        <v>2024</v>
      </c>
      <c r="C5089">
        <v>4020013003</v>
      </c>
      <c r="D5089" t="s">
        <v>6195</v>
      </c>
      <c r="E5089" t="s">
        <v>29</v>
      </c>
      <c r="F5089" t="s">
        <v>30</v>
      </c>
      <c r="G5089">
        <v>1</v>
      </c>
      <c r="H5089">
        <v>0</v>
      </c>
      <c r="I5089">
        <v>0</v>
      </c>
      <c r="J5089">
        <v>0</v>
      </c>
      <c r="K5089">
        <v>0</v>
      </c>
      <c r="L5089">
        <v>0</v>
      </c>
      <c r="M5089">
        <v>0</v>
      </c>
      <c r="N5089">
        <v>0</v>
      </c>
      <c r="O5089">
        <v>0</v>
      </c>
      <c r="P5089">
        <v>0</v>
      </c>
      <c r="Q5089">
        <v>0</v>
      </c>
      <c r="R5089">
        <v>0</v>
      </c>
      <c r="S5089">
        <v>0</v>
      </c>
      <c r="T5089">
        <v>0</v>
      </c>
      <c r="U5089">
        <v>0</v>
      </c>
      <c r="V5089">
        <v>0</v>
      </c>
      <c r="W5089">
        <v>0</v>
      </c>
      <c r="X5089">
        <v>0</v>
      </c>
      <c r="Y5089" t="s">
        <v>31</v>
      </c>
      <c r="AA5089" s="2" t="s">
        <v>3779</v>
      </c>
    </row>
    <row r="5090" spans="1:27" x14ac:dyDescent="0.2">
      <c r="A5090" t="s">
        <v>670</v>
      </c>
      <c r="B5090">
        <v>2024</v>
      </c>
      <c r="C5090">
        <v>4015009027</v>
      </c>
      <c r="D5090" t="s">
        <v>6196</v>
      </c>
      <c r="E5090" t="s">
        <v>29</v>
      </c>
      <c r="F5090" t="s">
        <v>30</v>
      </c>
      <c r="G5090">
        <v>120</v>
      </c>
      <c r="H5090">
        <v>0</v>
      </c>
      <c r="I5090">
        <v>0</v>
      </c>
      <c r="J5090">
        <v>0</v>
      </c>
      <c r="K5090">
        <v>0</v>
      </c>
      <c r="L5090">
        <v>0</v>
      </c>
      <c r="M5090">
        <v>0</v>
      </c>
      <c r="N5090">
        <v>0</v>
      </c>
      <c r="O5090">
        <v>0</v>
      </c>
      <c r="P5090">
        <v>0</v>
      </c>
      <c r="Q5090">
        <v>0</v>
      </c>
      <c r="R5090">
        <v>0</v>
      </c>
      <c r="S5090">
        <v>0</v>
      </c>
      <c r="T5090">
        <v>0</v>
      </c>
      <c r="U5090">
        <v>0</v>
      </c>
      <c r="V5090">
        <v>0</v>
      </c>
      <c r="W5090">
        <v>0</v>
      </c>
      <c r="X5090">
        <v>0</v>
      </c>
      <c r="Y5090" t="s">
        <v>31</v>
      </c>
      <c r="AA5090">
        <v>1</v>
      </c>
    </row>
    <row r="5091" spans="1:27" x14ac:dyDescent="0.2">
      <c r="A5091" t="s">
        <v>3776</v>
      </c>
      <c r="B5091">
        <v>2024</v>
      </c>
      <c r="C5091" s="2" t="s">
        <v>3777</v>
      </c>
      <c r="D5091" t="s">
        <v>6197</v>
      </c>
      <c r="E5091" t="s">
        <v>29</v>
      </c>
      <c r="F5091" t="s">
        <v>30</v>
      </c>
      <c r="G5091">
        <v>20</v>
      </c>
      <c r="H5091">
        <v>0</v>
      </c>
      <c r="I5091">
        <v>0</v>
      </c>
      <c r="J5091">
        <v>0</v>
      </c>
      <c r="K5091">
        <v>0</v>
      </c>
      <c r="L5091">
        <v>0</v>
      </c>
      <c r="M5091">
        <v>20</v>
      </c>
      <c r="N5091">
        <v>0</v>
      </c>
      <c r="O5091">
        <v>0</v>
      </c>
      <c r="P5091">
        <v>0</v>
      </c>
      <c r="Q5091">
        <v>0</v>
      </c>
      <c r="R5091">
        <v>0</v>
      </c>
      <c r="S5091">
        <v>0</v>
      </c>
      <c r="T5091">
        <v>0</v>
      </c>
      <c r="U5091">
        <v>0</v>
      </c>
      <c r="V5091">
        <v>0</v>
      </c>
      <c r="W5091">
        <v>0</v>
      </c>
      <c r="X5091">
        <v>0</v>
      </c>
      <c r="Y5091" t="s">
        <v>31</v>
      </c>
      <c r="AA5091" s="2" t="s">
        <v>3779</v>
      </c>
    </row>
    <row r="5092" spans="1:27" x14ac:dyDescent="0.2">
      <c r="A5092" t="s">
        <v>3776</v>
      </c>
      <c r="B5092">
        <v>2024</v>
      </c>
      <c r="C5092" s="2" t="s">
        <v>3777</v>
      </c>
      <c r="D5092" t="s">
        <v>6198</v>
      </c>
      <c r="E5092" t="s">
        <v>29</v>
      </c>
      <c r="F5092" t="s">
        <v>30</v>
      </c>
      <c r="G5092">
        <v>20</v>
      </c>
      <c r="H5092">
        <v>0</v>
      </c>
      <c r="I5092">
        <v>0</v>
      </c>
      <c r="J5092">
        <v>0</v>
      </c>
      <c r="K5092">
        <v>0</v>
      </c>
      <c r="L5092">
        <v>0</v>
      </c>
      <c r="M5092">
        <v>20</v>
      </c>
      <c r="N5092">
        <v>0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0</v>
      </c>
      <c r="V5092">
        <v>0</v>
      </c>
      <c r="W5092">
        <v>0</v>
      </c>
      <c r="X5092">
        <v>0</v>
      </c>
      <c r="Y5092" t="s">
        <v>31</v>
      </c>
      <c r="AA5092" s="2" t="s">
        <v>3779</v>
      </c>
    </row>
    <row r="5093" spans="1:27" x14ac:dyDescent="0.2">
      <c r="A5093" t="s">
        <v>547</v>
      </c>
      <c r="B5093">
        <v>2024</v>
      </c>
      <c r="C5093">
        <v>5511003024</v>
      </c>
      <c r="D5093" t="s">
        <v>6199</v>
      </c>
      <c r="E5093" t="s">
        <v>29</v>
      </c>
      <c r="F5093" t="s">
        <v>30</v>
      </c>
      <c r="G5093">
        <v>0</v>
      </c>
      <c r="H5093">
        <v>0</v>
      </c>
      <c r="I5093">
        <v>0</v>
      </c>
      <c r="J5093">
        <v>0</v>
      </c>
      <c r="K5093">
        <v>0</v>
      </c>
      <c r="L5093">
        <v>0</v>
      </c>
      <c r="M5093">
        <v>6</v>
      </c>
      <c r="N5093">
        <v>0</v>
      </c>
      <c r="O5093">
        <v>0</v>
      </c>
      <c r="P5093">
        <v>0</v>
      </c>
      <c r="Q5093">
        <v>2</v>
      </c>
      <c r="R5093">
        <v>0</v>
      </c>
      <c r="S5093">
        <v>0</v>
      </c>
      <c r="T5093">
        <v>0</v>
      </c>
      <c r="U5093">
        <v>0</v>
      </c>
      <c r="V5093">
        <v>0</v>
      </c>
      <c r="W5093">
        <v>0</v>
      </c>
      <c r="X5093">
        <v>0</v>
      </c>
      <c r="Y5093" t="s">
        <v>31</v>
      </c>
      <c r="Z5093">
        <v>55</v>
      </c>
      <c r="AA5093">
        <v>45</v>
      </c>
    </row>
    <row r="5094" spans="1:27" x14ac:dyDescent="0.2">
      <c r="A5094" t="s">
        <v>547</v>
      </c>
      <c r="B5094">
        <v>2024</v>
      </c>
      <c r="C5094">
        <v>5166033004</v>
      </c>
      <c r="D5094" t="s">
        <v>6200</v>
      </c>
      <c r="E5094" t="s">
        <v>29</v>
      </c>
      <c r="F5094" t="s">
        <v>30</v>
      </c>
      <c r="G5094">
        <v>0</v>
      </c>
      <c r="H5094">
        <v>0</v>
      </c>
      <c r="I5094">
        <v>0</v>
      </c>
      <c r="J5094">
        <v>0</v>
      </c>
      <c r="K5094">
        <v>0</v>
      </c>
      <c r="L5094">
        <v>0</v>
      </c>
      <c r="M5094">
        <v>14</v>
      </c>
      <c r="N5094">
        <v>0</v>
      </c>
      <c r="O5094">
        <v>0</v>
      </c>
      <c r="P5094">
        <v>0</v>
      </c>
      <c r="Q5094">
        <v>0</v>
      </c>
      <c r="R5094">
        <v>0</v>
      </c>
      <c r="S5094">
        <v>0</v>
      </c>
      <c r="T5094">
        <v>0</v>
      </c>
      <c r="U5094">
        <v>0</v>
      </c>
      <c r="V5094">
        <v>0</v>
      </c>
      <c r="W5094">
        <v>0</v>
      </c>
      <c r="X5094">
        <v>0</v>
      </c>
      <c r="Y5094" t="s">
        <v>31</v>
      </c>
      <c r="Z5094">
        <v>55</v>
      </c>
      <c r="AA5094">
        <v>69</v>
      </c>
    </row>
    <row r="5095" spans="1:27" x14ac:dyDescent="0.2">
      <c r="A5095" t="s">
        <v>547</v>
      </c>
      <c r="B5095">
        <v>2024</v>
      </c>
      <c r="C5095">
        <v>2135038011</v>
      </c>
      <c r="D5095" t="s">
        <v>2482</v>
      </c>
      <c r="E5095" t="s">
        <v>29</v>
      </c>
      <c r="F5095" t="s">
        <v>30</v>
      </c>
      <c r="G5095">
        <v>0</v>
      </c>
      <c r="H5095">
        <v>0</v>
      </c>
      <c r="I5095">
        <v>0</v>
      </c>
      <c r="J5095">
        <v>0</v>
      </c>
      <c r="K5095">
        <v>0</v>
      </c>
      <c r="L5095">
        <v>0</v>
      </c>
      <c r="M5095">
        <v>10</v>
      </c>
      <c r="N5095">
        <v>0</v>
      </c>
      <c r="O5095">
        <v>0</v>
      </c>
      <c r="P5095">
        <v>0</v>
      </c>
      <c r="Q5095">
        <v>79</v>
      </c>
      <c r="R5095">
        <v>0</v>
      </c>
      <c r="S5095">
        <v>10</v>
      </c>
      <c r="T5095">
        <v>0</v>
      </c>
      <c r="U5095">
        <v>0</v>
      </c>
      <c r="V5095">
        <v>0</v>
      </c>
      <c r="W5095">
        <v>79</v>
      </c>
      <c r="X5095">
        <v>0</v>
      </c>
      <c r="Y5095" t="s">
        <v>31</v>
      </c>
      <c r="Z5095">
        <v>55</v>
      </c>
      <c r="AA5095">
        <v>0</v>
      </c>
    </row>
    <row r="5096" spans="1:27" x14ac:dyDescent="0.2">
      <c r="A5096" t="s">
        <v>547</v>
      </c>
      <c r="B5096">
        <v>2023</v>
      </c>
      <c r="C5096">
        <v>4217018016</v>
      </c>
      <c r="D5096" t="s">
        <v>6201</v>
      </c>
      <c r="E5096" t="s">
        <v>29</v>
      </c>
      <c r="F5096" t="s">
        <v>30</v>
      </c>
      <c r="G5096">
        <v>3</v>
      </c>
      <c r="H5096">
        <v>0</v>
      </c>
      <c r="I5096">
        <v>0</v>
      </c>
      <c r="J5096">
        <v>0</v>
      </c>
      <c r="K5096">
        <v>0</v>
      </c>
      <c r="L5096">
        <v>0</v>
      </c>
      <c r="M5096">
        <v>0</v>
      </c>
      <c r="N5096">
        <v>0</v>
      </c>
      <c r="O5096">
        <v>0</v>
      </c>
      <c r="P5096">
        <v>0</v>
      </c>
      <c r="Q5096">
        <v>0</v>
      </c>
      <c r="R5096">
        <v>0</v>
      </c>
      <c r="S5096">
        <v>0</v>
      </c>
      <c r="T5096">
        <v>0</v>
      </c>
      <c r="U5096">
        <v>0</v>
      </c>
      <c r="V5096">
        <v>0</v>
      </c>
      <c r="W5096">
        <v>0</v>
      </c>
      <c r="X5096">
        <v>0</v>
      </c>
      <c r="Y5096" t="s">
        <v>31</v>
      </c>
      <c r="Z5096">
        <v>55</v>
      </c>
      <c r="AA5096">
        <v>0.22</v>
      </c>
    </row>
    <row r="5097" spans="1:27" x14ac:dyDescent="0.2">
      <c r="A5097" t="s">
        <v>547</v>
      </c>
      <c r="B5097">
        <v>2023</v>
      </c>
      <c r="C5097">
        <v>6054032001</v>
      </c>
      <c r="D5097" t="s">
        <v>6202</v>
      </c>
      <c r="E5097" t="s">
        <v>29</v>
      </c>
      <c r="F5097" t="s">
        <v>30</v>
      </c>
      <c r="G5097">
        <v>9</v>
      </c>
      <c r="H5097">
        <v>0</v>
      </c>
      <c r="I5097">
        <v>0</v>
      </c>
      <c r="J5097">
        <v>0</v>
      </c>
      <c r="K5097">
        <v>0</v>
      </c>
      <c r="L5097">
        <v>0</v>
      </c>
      <c r="M5097">
        <v>0</v>
      </c>
      <c r="N5097">
        <v>0</v>
      </c>
      <c r="O5097">
        <v>0</v>
      </c>
      <c r="P5097">
        <v>0</v>
      </c>
      <c r="Q5097">
        <v>0</v>
      </c>
      <c r="R5097">
        <v>0</v>
      </c>
      <c r="S5097">
        <v>0</v>
      </c>
      <c r="T5097">
        <v>0</v>
      </c>
      <c r="U5097">
        <v>0</v>
      </c>
      <c r="V5097">
        <v>0</v>
      </c>
      <c r="W5097">
        <v>0</v>
      </c>
      <c r="X5097">
        <v>0</v>
      </c>
      <c r="Y5097" t="s">
        <v>31</v>
      </c>
      <c r="Z5097">
        <v>55</v>
      </c>
      <c r="AA5097">
        <v>0.25</v>
      </c>
    </row>
    <row r="5098" spans="1:27" x14ac:dyDescent="0.2">
      <c r="A5098" t="s">
        <v>547</v>
      </c>
      <c r="B5098">
        <v>2023</v>
      </c>
      <c r="C5098">
        <v>6063029021</v>
      </c>
      <c r="D5098" t="s">
        <v>6203</v>
      </c>
      <c r="E5098" t="s">
        <v>29</v>
      </c>
      <c r="F5098" t="s">
        <v>30</v>
      </c>
      <c r="G5098">
        <v>0</v>
      </c>
      <c r="H5098">
        <v>0</v>
      </c>
      <c r="I5098">
        <v>54</v>
      </c>
      <c r="J5098">
        <v>0</v>
      </c>
      <c r="K5098">
        <v>14</v>
      </c>
      <c r="L5098">
        <v>0</v>
      </c>
      <c r="M5098">
        <v>0</v>
      </c>
      <c r="N5098">
        <v>0</v>
      </c>
      <c r="O5098">
        <v>0</v>
      </c>
      <c r="P5098">
        <v>0</v>
      </c>
      <c r="Q5098">
        <v>0</v>
      </c>
      <c r="R5098">
        <v>0</v>
      </c>
      <c r="S5098">
        <v>0</v>
      </c>
      <c r="T5098">
        <v>0</v>
      </c>
      <c r="U5098">
        <v>0</v>
      </c>
      <c r="V5098">
        <v>0</v>
      </c>
      <c r="W5098">
        <v>0</v>
      </c>
      <c r="X5098">
        <v>0</v>
      </c>
      <c r="Y5098" t="s">
        <v>31</v>
      </c>
      <c r="Z5098">
        <v>55</v>
      </c>
      <c r="AA5098" s="2" t="s">
        <v>5380</v>
      </c>
    </row>
    <row r="5099" spans="1:27" x14ac:dyDescent="0.2">
      <c r="A5099" t="s">
        <v>547</v>
      </c>
      <c r="B5099">
        <v>2024</v>
      </c>
      <c r="C5099">
        <v>5183013001</v>
      </c>
      <c r="D5099" t="s">
        <v>6204</v>
      </c>
      <c r="E5099" t="s">
        <v>29</v>
      </c>
      <c r="F5099" t="s">
        <v>30</v>
      </c>
      <c r="G5099">
        <v>2</v>
      </c>
      <c r="H5099">
        <v>0</v>
      </c>
      <c r="I5099">
        <v>42</v>
      </c>
      <c r="J5099">
        <v>0</v>
      </c>
      <c r="K5099">
        <v>8</v>
      </c>
      <c r="L5099">
        <v>0</v>
      </c>
      <c r="M5099">
        <v>4</v>
      </c>
      <c r="N5099">
        <v>0</v>
      </c>
      <c r="O5099">
        <v>45</v>
      </c>
      <c r="P5099">
        <v>0</v>
      </c>
      <c r="Q5099">
        <v>3</v>
      </c>
      <c r="R5099">
        <v>0</v>
      </c>
      <c r="S5099">
        <v>0</v>
      </c>
      <c r="T5099">
        <v>0</v>
      </c>
      <c r="U5099">
        <v>0</v>
      </c>
      <c r="V5099">
        <v>0</v>
      </c>
      <c r="W5099">
        <v>0</v>
      </c>
      <c r="X5099">
        <v>0</v>
      </c>
      <c r="Y5099" t="s">
        <v>31</v>
      </c>
      <c r="Z5099">
        <v>55</v>
      </c>
      <c r="AA5099">
        <v>783</v>
      </c>
    </row>
    <row r="5100" spans="1:27" x14ac:dyDescent="0.2">
      <c r="A5100" t="s">
        <v>1316</v>
      </c>
      <c r="B5100">
        <v>2024</v>
      </c>
      <c r="C5100" t="s">
        <v>1796</v>
      </c>
      <c r="D5100" t="s">
        <v>6205</v>
      </c>
      <c r="E5100" t="s">
        <v>29</v>
      </c>
      <c r="F5100" t="s">
        <v>30</v>
      </c>
      <c r="G5100">
        <v>47</v>
      </c>
      <c r="H5100">
        <v>0</v>
      </c>
      <c r="I5100">
        <v>0</v>
      </c>
      <c r="J5100">
        <v>0</v>
      </c>
      <c r="K5100">
        <v>22</v>
      </c>
      <c r="L5100">
        <v>0</v>
      </c>
      <c r="M5100">
        <v>0</v>
      </c>
      <c r="N5100">
        <v>0</v>
      </c>
      <c r="O5100">
        <v>0</v>
      </c>
      <c r="P5100">
        <v>0</v>
      </c>
      <c r="Q5100">
        <v>0</v>
      </c>
      <c r="R5100">
        <v>0</v>
      </c>
      <c r="S5100">
        <v>0</v>
      </c>
      <c r="T5100">
        <v>0</v>
      </c>
      <c r="U5100">
        <v>0</v>
      </c>
      <c r="V5100">
        <v>0</v>
      </c>
      <c r="W5100">
        <v>0</v>
      </c>
      <c r="X5100">
        <v>0</v>
      </c>
      <c r="Y5100" t="s">
        <v>31</v>
      </c>
      <c r="AA5100" s="2" t="s">
        <v>3299</v>
      </c>
    </row>
    <row r="5101" spans="1:27" x14ac:dyDescent="0.2">
      <c r="A5101" t="s">
        <v>514</v>
      </c>
      <c r="B5101">
        <v>2023</v>
      </c>
      <c r="C5101" s="2" t="s">
        <v>515</v>
      </c>
      <c r="D5101" t="s">
        <v>6206</v>
      </c>
      <c r="E5101" t="s">
        <v>29</v>
      </c>
      <c r="F5101" t="s">
        <v>30</v>
      </c>
      <c r="G5101">
        <v>0</v>
      </c>
      <c r="H5101">
        <v>0</v>
      </c>
      <c r="I5101">
        <v>0</v>
      </c>
      <c r="J5101">
        <v>0</v>
      </c>
      <c r="K5101">
        <v>0</v>
      </c>
      <c r="L5101">
        <v>0</v>
      </c>
      <c r="M5101">
        <v>0</v>
      </c>
      <c r="N5101">
        <v>0</v>
      </c>
      <c r="O5101">
        <v>0</v>
      </c>
      <c r="P5101">
        <v>0</v>
      </c>
      <c r="Q5101">
        <v>0</v>
      </c>
      <c r="R5101">
        <v>0</v>
      </c>
      <c r="S5101">
        <v>0</v>
      </c>
      <c r="T5101">
        <v>0</v>
      </c>
      <c r="U5101">
        <v>25</v>
      </c>
      <c r="V5101">
        <v>0</v>
      </c>
      <c r="W5101">
        <v>0</v>
      </c>
      <c r="X5101">
        <v>0</v>
      </c>
      <c r="Y5101" t="s">
        <v>31</v>
      </c>
      <c r="AA5101" s="2" t="s">
        <v>3299</v>
      </c>
    </row>
    <row r="5102" spans="1:27" x14ac:dyDescent="0.2">
      <c r="A5102" t="s">
        <v>547</v>
      </c>
      <c r="B5102">
        <v>2024</v>
      </c>
      <c r="C5102">
        <v>5544006051</v>
      </c>
      <c r="D5102" t="s">
        <v>6207</v>
      </c>
      <c r="E5102" t="s">
        <v>29</v>
      </c>
      <c r="F5102" t="s">
        <v>30</v>
      </c>
      <c r="G5102">
        <v>0</v>
      </c>
      <c r="H5102">
        <v>0</v>
      </c>
      <c r="I5102">
        <v>0</v>
      </c>
      <c r="J5102">
        <v>0</v>
      </c>
      <c r="K5102">
        <v>0</v>
      </c>
      <c r="L5102">
        <v>0</v>
      </c>
      <c r="M5102">
        <v>11</v>
      </c>
      <c r="N5102">
        <v>0</v>
      </c>
      <c r="O5102">
        <v>0</v>
      </c>
      <c r="P5102">
        <v>0</v>
      </c>
      <c r="Q5102">
        <v>0</v>
      </c>
      <c r="R5102">
        <v>0</v>
      </c>
      <c r="S5102">
        <v>11</v>
      </c>
      <c r="T5102">
        <v>0</v>
      </c>
      <c r="U5102">
        <v>0</v>
      </c>
      <c r="V5102">
        <v>0</v>
      </c>
      <c r="W5102">
        <v>0</v>
      </c>
      <c r="X5102">
        <v>0</v>
      </c>
      <c r="Y5102" t="s">
        <v>31</v>
      </c>
      <c r="Z5102">
        <v>55</v>
      </c>
      <c r="AA5102">
        <v>58</v>
      </c>
    </row>
    <row r="5103" spans="1:27" x14ac:dyDescent="0.2">
      <c r="A5103" t="s">
        <v>547</v>
      </c>
      <c r="B5103">
        <v>2024</v>
      </c>
      <c r="C5103">
        <v>5105012026</v>
      </c>
      <c r="D5103" t="s">
        <v>6208</v>
      </c>
      <c r="E5103" t="s">
        <v>29</v>
      </c>
      <c r="F5103" t="s">
        <v>30</v>
      </c>
      <c r="G5103">
        <v>0</v>
      </c>
      <c r="H5103">
        <v>0</v>
      </c>
      <c r="I5103">
        <v>0</v>
      </c>
      <c r="J5103">
        <v>0</v>
      </c>
      <c r="K5103">
        <v>0</v>
      </c>
      <c r="L5103">
        <v>0</v>
      </c>
      <c r="M5103">
        <v>0</v>
      </c>
      <c r="N5103">
        <v>0</v>
      </c>
      <c r="O5103">
        <v>0</v>
      </c>
      <c r="P5103">
        <v>0</v>
      </c>
      <c r="Q5103">
        <v>0</v>
      </c>
      <c r="R5103">
        <v>0</v>
      </c>
      <c r="S5103">
        <v>0</v>
      </c>
      <c r="T5103">
        <v>0</v>
      </c>
      <c r="U5103">
        <v>0</v>
      </c>
      <c r="V5103">
        <v>0</v>
      </c>
      <c r="W5103">
        <v>0</v>
      </c>
      <c r="X5103">
        <v>0</v>
      </c>
      <c r="Y5103" t="s">
        <v>51</v>
      </c>
      <c r="Z5103">
        <v>55</v>
      </c>
      <c r="AA5103">
        <v>0</v>
      </c>
    </row>
    <row r="5104" spans="1:27" x14ac:dyDescent="0.2">
      <c r="A5104" t="s">
        <v>547</v>
      </c>
      <c r="B5104">
        <v>2024</v>
      </c>
      <c r="C5104">
        <v>5534019030</v>
      </c>
      <c r="D5104" t="s">
        <v>1030</v>
      </c>
      <c r="E5104" t="s">
        <v>29</v>
      </c>
      <c r="F5104" t="s">
        <v>30</v>
      </c>
      <c r="G5104">
        <v>0</v>
      </c>
      <c r="H5104">
        <v>0</v>
      </c>
      <c r="I5104">
        <v>0</v>
      </c>
      <c r="J5104">
        <v>0</v>
      </c>
      <c r="K5104">
        <v>0</v>
      </c>
      <c r="L5104">
        <v>0</v>
      </c>
      <c r="M5104">
        <v>2</v>
      </c>
      <c r="N5104">
        <v>0</v>
      </c>
      <c r="O5104">
        <v>1</v>
      </c>
      <c r="P5104">
        <v>0</v>
      </c>
      <c r="Q5104">
        <v>0</v>
      </c>
      <c r="R5104">
        <v>0</v>
      </c>
      <c r="S5104">
        <v>2</v>
      </c>
      <c r="T5104">
        <v>0</v>
      </c>
      <c r="U5104">
        <v>1</v>
      </c>
      <c r="V5104">
        <v>0</v>
      </c>
      <c r="W5104">
        <v>0</v>
      </c>
      <c r="X5104">
        <v>0</v>
      </c>
      <c r="Y5104" t="s">
        <v>31</v>
      </c>
      <c r="Z5104">
        <v>55</v>
      </c>
      <c r="AA5104">
        <v>25</v>
      </c>
    </row>
    <row r="5105" spans="1:27" x14ac:dyDescent="0.2">
      <c r="A5105" t="s">
        <v>5933</v>
      </c>
      <c r="B5105">
        <v>2024</v>
      </c>
      <c r="C5105" t="s">
        <v>6209</v>
      </c>
      <c r="D5105" t="s">
        <v>6210</v>
      </c>
      <c r="E5105" t="s">
        <v>29</v>
      </c>
      <c r="F5105" t="s">
        <v>30</v>
      </c>
      <c r="G5105">
        <v>0</v>
      </c>
      <c r="H5105">
        <v>0</v>
      </c>
      <c r="I5105">
        <v>93</v>
      </c>
      <c r="J5105">
        <v>0</v>
      </c>
      <c r="K5105">
        <v>0</v>
      </c>
      <c r="L5105">
        <v>0</v>
      </c>
      <c r="M5105">
        <v>0</v>
      </c>
      <c r="N5105">
        <v>0</v>
      </c>
      <c r="O5105">
        <v>0</v>
      </c>
      <c r="P5105">
        <v>0</v>
      </c>
      <c r="Q5105">
        <v>0</v>
      </c>
      <c r="R5105">
        <v>0</v>
      </c>
      <c r="S5105">
        <v>0</v>
      </c>
      <c r="T5105">
        <v>0</v>
      </c>
      <c r="U5105">
        <v>0</v>
      </c>
      <c r="V5105">
        <v>0</v>
      </c>
      <c r="W5105">
        <v>0</v>
      </c>
      <c r="X5105">
        <v>0</v>
      </c>
      <c r="Y5105" t="s">
        <v>31</v>
      </c>
      <c r="AA5105" s="2" t="s">
        <v>5712</v>
      </c>
    </row>
    <row r="5106" spans="1:27" x14ac:dyDescent="0.2">
      <c r="A5106" t="s">
        <v>547</v>
      </c>
      <c r="B5106">
        <v>2024</v>
      </c>
      <c r="C5106">
        <v>2264003039</v>
      </c>
      <c r="D5106" t="s">
        <v>723</v>
      </c>
      <c r="E5106" t="s">
        <v>29</v>
      </c>
      <c r="F5106" t="s">
        <v>30</v>
      </c>
      <c r="G5106">
        <v>0</v>
      </c>
      <c r="H5106">
        <v>0</v>
      </c>
      <c r="I5106">
        <v>0</v>
      </c>
      <c r="J5106">
        <v>0</v>
      </c>
      <c r="K5106">
        <v>0</v>
      </c>
      <c r="L5106">
        <v>0</v>
      </c>
      <c r="M5106">
        <v>3</v>
      </c>
      <c r="N5106">
        <v>0</v>
      </c>
      <c r="O5106">
        <v>1</v>
      </c>
      <c r="P5106">
        <v>0</v>
      </c>
      <c r="Q5106">
        <v>0</v>
      </c>
      <c r="R5106">
        <v>0</v>
      </c>
      <c r="S5106">
        <v>3</v>
      </c>
      <c r="T5106">
        <v>0</v>
      </c>
      <c r="U5106">
        <v>1</v>
      </c>
      <c r="V5106">
        <v>0</v>
      </c>
      <c r="W5106">
        <v>0</v>
      </c>
      <c r="X5106">
        <v>0</v>
      </c>
      <c r="Y5106" t="s">
        <v>31</v>
      </c>
      <c r="Z5106">
        <v>55</v>
      </c>
      <c r="AA5106">
        <v>35</v>
      </c>
    </row>
    <row r="5107" spans="1:27" x14ac:dyDescent="0.2">
      <c r="A5107" t="s">
        <v>547</v>
      </c>
      <c r="B5107">
        <v>2024</v>
      </c>
      <c r="C5107">
        <v>2355005056</v>
      </c>
      <c r="D5107" t="s">
        <v>6211</v>
      </c>
      <c r="E5107" t="s">
        <v>29</v>
      </c>
      <c r="F5107" t="s">
        <v>30</v>
      </c>
      <c r="G5107">
        <v>0</v>
      </c>
      <c r="H5107">
        <v>0</v>
      </c>
      <c r="I5107">
        <v>0</v>
      </c>
      <c r="J5107">
        <v>0</v>
      </c>
      <c r="K5107">
        <v>0</v>
      </c>
      <c r="L5107">
        <v>0</v>
      </c>
      <c r="M5107">
        <v>3</v>
      </c>
      <c r="N5107">
        <v>0</v>
      </c>
      <c r="O5107">
        <v>1</v>
      </c>
      <c r="P5107">
        <v>0</v>
      </c>
      <c r="Q5107">
        <v>0</v>
      </c>
      <c r="R5107">
        <v>0</v>
      </c>
      <c r="S5107">
        <v>0</v>
      </c>
      <c r="T5107">
        <v>0</v>
      </c>
      <c r="U5107">
        <v>0</v>
      </c>
      <c r="V5107">
        <v>0</v>
      </c>
      <c r="W5107">
        <v>0</v>
      </c>
      <c r="X5107">
        <v>0</v>
      </c>
      <c r="Y5107" t="s">
        <v>31</v>
      </c>
      <c r="Z5107">
        <v>55</v>
      </c>
      <c r="AA5107">
        <v>35</v>
      </c>
    </row>
    <row r="5108" spans="1:27" x14ac:dyDescent="0.2">
      <c r="A5108" t="s">
        <v>547</v>
      </c>
      <c r="B5108">
        <v>2024</v>
      </c>
      <c r="C5108">
        <v>5534006006</v>
      </c>
      <c r="D5108" t="s">
        <v>6212</v>
      </c>
      <c r="E5108" t="s">
        <v>29</v>
      </c>
      <c r="F5108" t="s">
        <v>30</v>
      </c>
      <c r="G5108">
        <v>0</v>
      </c>
      <c r="H5108">
        <v>0</v>
      </c>
      <c r="I5108">
        <v>0</v>
      </c>
      <c r="J5108">
        <v>0</v>
      </c>
      <c r="K5108">
        <v>0</v>
      </c>
      <c r="L5108">
        <v>0</v>
      </c>
      <c r="M5108">
        <v>5</v>
      </c>
      <c r="N5108">
        <v>0</v>
      </c>
      <c r="O5108">
        <v>53</v>
      </c>
      <c r="P5108">
        <v>0</v>
      </c>
      <c r="Q5108">
        <v>5</v>
      </c>
      <c r="R5108">
        <v>0</v>
      </c>
      <c r="S5108">
        <v>0</v>
      </c>
      <c r="T5108">
        <v>0</v>
      </c>
      <c r="U5108">
        <v>0</v>
      </c>
      <c r="V5108">
        <v>0</v>
      </c>
      <c r="W5108">
        <v>0</v>
      </c>
      <c r="X5108">
        <v>0</v>
      </c>
      <c r="Y5108" t="s">
        <v>31</v>
      </c>
      <c r="Z5108">
        <v>55</v>
      </c>
      <c r="AA5108">
        <v>611</v>
      </c>
    </row>
    <row r="5109" spans="1:27" x14ac:dyDescent="0.2">
      <c r="A5109" t="s">
        <v>600</v>
      </c>
      <c r="B5109">
        <v>2024</v>
      </c>
      <c r="C5109">
        <v>7295004</v>
      </c>
      <c r="D5109" t="s">
        <v>6213</v>
      </c>
      <c r="E5109" t="s">
        <v>29</v>
      </c>
      <c r="F5109" t="s">
        <v>30</v>
      </c>
      <c r="G5109">
        <v>0</v>
      </c>
      <c r="H5109">
        <v>0</v>
      </c>
      <c r="I5109">
        <v>0</v>
      </c>
      <c r="J5109">
        <v>0</v>
      </c>
      <c r="K5109">
        <v>698</v>
      </c>
      <c r="L5109">
        <v>0</v>
      </c>
      <c r="M5109">
        <v>0</v>
      </c>
      <c r="N5109">
        <v>0</v>
      </c>
      <c r="O5109">
        <v>0</v>
      </c>
      <c r="P5109">
        <v>0</v>
      </c>
      <c r="Q5109">
        <v>0</v>
      </c>
      <c r="R5109">
        <v>0</v>
      </c>
      <c r="S5109">
        <v>0</v>
      </c>
      <c r="T5109">
        <v>0</v>
      </c>
      <c r="U5109">
        <v>0</v>
      </c>
      <c r="V5109">
        <v>0</v>
      </c>
      <c r="W5109">
        <v>0</v>
      </c>
      <c r="X5109">
        <v>0</v>
      </c>
      <c r="Y5109" t="s">
        <v>51</v>
      </c>
      <c r="Z5109">
        <v>99</v>
      </c>
      <c r="AA5109">
        <v>0</v>
      </c>
    </row>
    <row r="5110" spans="1:27" x14ac:dyDescent="0.2">
      <c r="A5110" t="s">
        <v>600</v>
      </c>
      <c r="B5110">
        <v>2024</v>
      </c>
      <c r="C5110">
        <v>6571008</v>
      </c>
      <c r="D5110" t="s">
        <v>6214</v>
      </c>
      <c r="E5110" t="s">
        <v>29</v>
      </c>
      <c r="F5110" t="s">
        <v>30</v>
      </c>
      <c r="G5110">
        <v>109</v>
      </c>
      <c r="H5110">
        <v>0</v>
      </c>
      <c r="I5110">
        <v>46</v>
      </c>
      <c r="J5110">
        <v>0</v>
      </c>
      <c r="K5110">
        <v>12</v>
      </c>
      <c r="L5110">
        <v>0</v>
      </c>
      <c r="M5110">
        <v>0</v>
      </c>
      <c r="N5110">
        <v>0</v>
      </c>
      <c r="O5110">
        <v>0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0</v>
      </c>
      <c r="V5110">
        <v>0</v>
      </c>
      <c r="W5110">
        <v>0</v>
      </c>
      <c r="X5110">
        <v>0</v>
      </c>
      <c r="Y5110" t="s">
        <v>31</v>
      </c>
      <c r="Z5110">
        <v>99</v>
      </c>
      <c r="AA5110" s="2" t="s">
        <v>3600</v>
      </c>
    </row>
    <row r="5111" spans="1:27" x14ac:dyDescent="0.2">
      <c r="A5111" t="s">
        <v>600</v>
      </c>
      <c r="B5111">
        <v>2024</v>
      </c>
      <c r="C5111">
        <v>6635001</v>
      </c>
      <c r="D5111" t="s">
        <v>6215</v>
      </c>
      <c r="E5111" t="s">
        <v>29</v>
      </c>
      <c r="F5111" t="s">
        <v>30</v>
      </c>
      <c r="G5111">
        <v>0</v>
      </c>
      <c r="H5111">
        <v>0</v>
      </c>
      <c r="I5111">
        <v>35</v>
      </c>
      <c r="J5111">
        <v>0</v>
      </c>
      <c r="K5111">
        <v>0</v>
      </c>
      <c r="L5111">
        <v>0</v>
      </c>
      <c r="M5111">
        <v>0</v>
      </c>
      <c r="N5111">
        <v>0</v>
      </c>
      <c r="O5111">
        <v>0</v>
      </c>
      <c r="P5111">
        <v>0</v>
      </c>
      <c r="Q5111">
        <v>0</v>
      </c>
      <c r="R5111">
        <v>0</v>
      </c>
      <c r="S5111">
        <v>0</v>
      </c>
      <c r="T5111">
        <v>0</v>
      </c>
      <c r="U5111">
        <v>0</v>
      </c>
      <c r="V5111">
        <v>0</v>
      </c>
      <c r="W5111">
        <v>0</v>
      </c>
      <c r="X5111">
        <v>0</v>
      </c>
      <c r="Y5111" t="s">
        <v>31</v>
      </c>
      <c r="Z5111">
        <v>99</v>
      </c>
      <c r="AA5111">
        <v>1</v>
      </c>
    </row>
    <row r="5112" spans="1:27" x14ac:dyDescent="0.2">
      <c r="A5112" t="s">
        <v>219</v>
      </c>
      <c r="B5112">
        <v>2024</v>
      </c>
      <c r="C5112" t="s">
        <v>4647</v>
      </c>
      <c r="D5112" t="s">
        <v>6216</v>
      </c>
      <c r="E5112" t="s">
        <v>29</v>
      </c>
      <c r="F5112" t="s">
        <v>30</v>
      </c>
      <c r="G5112">
        <v>0</v>
      </c>
      <c r="H5112">
        <v>0</v>
      </c>
      <c r="I5112">
        <v>0</v>
      </c>
      <c r="J5112">
        <v>0</v>
      </c>
      <c r="K5112">
        <v>0</v>
      </c>
      <c r="L5112">
        <v>0</v>
      </c>
      <c r="M5112">
        <v>0</v>
      </c>
      <c r="N5112">
        <v>0</v>
      </c>
      <c r="O5112">
        <v>0</v>
      </c>
      <c r="P5112">
        <v>0</v>
      </c>
      <c r="Q5112">
        <v>0</v>
      </c>
      <c r="R5112">
        <v>0</v>
      </c>
      <c r="S5112">
        <v>85</v>
      </c>
      <c r="T5112">
        <v>0</v>
      </c>
      <c r="U5112">
        <v>0</v>
      </c>
      <c r="V5112">
        <v>0</v>
      </c>
      <c r="W5112">
        <v>0</v>
      </c>
      <c r="X5112">
        <v>0</v>
      </c>
      <c r="Y5112" t="s">
        <v>51</v>
      </c>
      <c r="Z5112">
        <v>55</v>
      </c>
      <c r="AA5112">
        <v>0</v>
      </c>
    </row>
    <row r="5113" spans="1:27" x14ac:dyDescent="0.2">
      <c r="A5113" t="s">
        <v>6091</v>
      </c>
      <c r="B5113">
        <v>2023</v>
      </c>
      <c r="C5113">
        <v>2844041002</v>
      </c>
      <c r="D5113" t="s">
        <v>6217</v>
      </c>
      <c r="E5113" t="s">
        <v>29</v>
      </c>
      <c r="F5113" t="s">
        <v>30</v>
      </c>
      <c r="G5113">
        <v>26</v>
      </c>
      <c r="H5113">
        <v>0</v>
      </c>
      <c r="I5113">
        <v>102</v>
      </c>
      <c r="J5113">
        <v>0</v>
      </c>
      <c r="K5113">
        <v>0</v>
      </c>
      <c r="L5113">
        <v>0</v>
      </c>
      <c r="M5113">
        <v>0</v>
      </c>
      <c r="N5113">
        <v>0</v>
      </c>
      <c r="O5113">
        <v>0</v>
      </c>
      <c r="P5113">
        <v>0</v>
      </c>
      <c r="Q5113">
        <v>0</v>
      </c>
      <c r="R5113">
        <v>0</v>
      </c>
      <c r="S5113">
        <v>0</v>
      </c>
      <c r="T5113">
        <v>0</v>
      </c>
      <c r="U5113">
        <v>0</v>
      </c>
      <c r="V5113">
        <v>0</v>
      </c>
      <c r="W5113">
        <v>0</v>
      </c>
      <c r="X5113">
        <v>0</v>
      </c>
      <c r="Y5113" t="s">
        <v>31</v>
      </c>
      <c r="Z5113">
        <v>55</v>
      </c>
      <c r="AA5113" s="2" t="s">
        <v>3514</v>
      </c>
    </row>
    <row r="5114" spans="1:27" x14ac:dyDescent="0.2">
      <c r="A5114" t="s">
        <v>6091</v>
      </c>
      <c r="B5114">
        <v>2023</v>
      </c>
      <c r="C5114">
        <v>2831003027</v>
      </c>
      <c r="D5114" t="s">
        <v>6218</v>
      </c>
      <c r="E5114" t="s">
        <v>29</v>
      </c>
      <c r="F5114" t="s">
        <v>30</v>
      </c>
      <c r="G5114">
        <v>1</v>
      </c>
      <c r="H5114">
        <v>0</v>
      </c>
      <c r="I5114">
        <v>0</v>
      </c>
      <c r="J5114">
        <v>0</v>
      </c>
      <c r="K5114">
        <v>0</v>
      </c>
      <c r="L5114">
        <v>0</v>
      </c>
      <c r="M5114">
        <v>0</v>
      </c>
      <c r="N5114">
        <v>0</v>
      </c>
      <c r="O5114">
        <v>0</v>
      </c>
      <c r="P5114">
        <v>0</v>
      </c>
      <c r="Q5114">
        <v>0</v>
      </c>
      <c r="R5114">
        <v>0</v>
      </c>
      <c r="S5114">
        <v>0</v>
      </c>
      <c r="T5114">
        <v>0</v>
      </c>
      <c r="U5114">
        <v>0</v>
      </c>
      <c r="V5114">
        <v>0</v>
      </c>
      <c r="W5114">
        <v>0</v>
      </c>
      <c r="X5114">
        <v>0</v>
      </c>
      <c r="Y5114" t="s">
        <v>31</v>
      </c>
      <c r="AA5114" s="2" t="s">
        <v>4011</v>
      </c>
    </row>
    <row r="5115" spans="1:27" x14ac:dyDescent="0.2">
      <c r="A5115" t="s">
        <v>547</v>
      </c>
      <c r="B5115">
        <v>2024</v>
      </c>
      <c r="C5115">
        <v>6012004047</v>
      </c>
      <c r="D5115" t="s">
        <v>6219</v>
      </c>
      <c r="E5115" t="s">
        <v>29</v>
      </c>
      <c r="F5115" t="s">
        <v>30</v>
      </c>
      <c r="G5115">
        <v>0</v>
      </c>
      <c r="H5115">
        <v>0</v>
      </c>
      <c r="I5115">
        <v>0</v>
      </c>
      <c r="J5115">
        <v>0</v>
      </c>
      <c r="K5115">
        <v>0</v>
      </c>
      <c r="L5115">
        <v>0</v>
      </c>
      <c r="M5115">
        <v>0</v>
      </c>
      <c r="N5115">
        <v>0</v>
      </c>
      <c r="O5115">
        <v>39</v>
      </c>
      <c r="P5115">
        <v>0</v>
      </c>
      <c r="Q5115">
        <v>11</v>
      </c>
      <c r="R5115">
        <v>0</v>
      </c>
      <c r="S5115">
        <v>0</v>
      </c>
      <c r="T5115">
        <v>0</v>
      </c>
      <c r="U5115">
        <v>39</v>
      </c>
      <c r="V5115">
        <v>0</v>
      </c>
      <c r="W5115">
        <v>11</v>
      </c>
      <c r="X5115">
        <v>0</v>
      </c>
      <c r="Y5115" t="s">
        <v>31</v>
      </c>
      <c r="Z5115">
        <v>55</v>
      </c>
      <c r="AA5115">
        <v>75</v>
      </c>
    </row>
    <row r="5116" spans="1:27" x14ac:dyDescent="0.2">
      <c r="A5116" t="s">
        <v>600</v>
      </c>
      <c r="B5116">
        <v>2024</v>
      </c>
      <c r="C5116">
        <v>6574068</v>
      </c>
      <c r="D5116" t="s">
        <v>6220</v>
      </c>
      <c r="E5116" t="s">
        <v>29</v>
      </c>
      <c r="F5116" t="s">
        <v>30</v>
      </c>
      <c r="G5116">
        <v>0</v>
      </c>
      <c r="H5116">
        <v>0</v>
      </c>
      <c r="I5116">
        <v>0</v>
      </c>
      <c r="J5116">
        <v>0</v>
      </c>
      <c r="K5116">
        <v>0</v>
      </c>
      <c r="L5116">
        <v>0</v>
      </c>
      <c r="M5116">
        <v>145</v>
      </c>
      <c r="N5116">
        <v>0</v>
      </c>
      <c r="O5116">
        <v>0</v>
      </c>
      <c r="P5116">
        <v>0</v>
      </c>
      <c r="Q5116">
        <v>0</v>
      </c>
      <c r="R5116">
        <v>0</v>
      </c>
      <c r="S5116">
        <v>0</v>
      </c>
      <c r="T5116">
        <v>0</v>
      </c>
      <c r="U5116">
        <v>0</v>
      </c>
      <c r="V5116">
        <v>0</v>
      </c>
      <c r="W5116">
        <v>0</v>
      </c>
      <c r="X5116">
        <v>0</v>
      </c>
      <c r="Y5116" t="s">
        <v>31</v>
      </c>
      <c r="Z5116">
        <v>99</v>
      </c>
      <c r="AA5116">
        <v>1.46</v>
      </c>
    </row>
    <row r="5117" spans="1:27" x14ac:dyDescent="0.2">
      <c r="A5117" t="s">
        <v>600</v>
      </c>
      <c r="B5117">
        <v>2024</v>
      </c>
      <c r="C5117">
        <v>1018020</v>
      </c>
      <c r="D5117" t="s">
        <v>6221</v>
      </c>
      <c r="E5117" t="s">
        <v>29</v>
      </c>
      <c r="F5117" t="s">
        <v>30</v>
      </c>
      <c r="G5117">
        <v>0</v>
      </c>
      <c r="H5117">
        <v>0</v>
      </c>
      <c r="I5117">
        <v>0</v>
      </c>
      <c r="J5117">
        <v>0</v>
      </c>
      <c r="K5117">
        <v>0</v>
      </c>
      <c r="L5117">
        <v>0</v>
      </c>
      <c r="M5117">
        <v>0</v>
      </c>
      <c r="N5117">
        <v>0</v>
      </c>
      <c r="O5117">
        <v>0</v>
      </c>
      <c r="P5117">
        <v>0</v>
      </c>
      <c r="Q5117">
        <v>0</v>
      </c>
      <c r="R5117">
        <v>0</v>
      </c>
      <c r="S5117">
        <v>0</v>
      </c>
      <c r="T5117">
        <v>0</v>
      </c>
      <c r="U5117">
        <v>0</v>
      </c>
      <c r="V5117">
        <v>0</v>
      </c>
      <c r="W5117">
        <v>0</v>
      </c>
      <c r="X5117">
        <v>0</v>
      </c>
      <c r="Y5117" t="s">
        <v>51</v>
      </c>
      <c r="AA5117">
        <v>0</v>
      </c>
    </row>
    <row r="5118" spans="1:27" x14ac:dyDescent="0.2">
      <c r="A5118" t="s">
        <v>600</v>
      </c>
      <c r="B5118">
        <v>2024</v>
      </c>
      <c r="C5118">
        <v>8901002</v>
      </c>
      <c r="D5118" t="s">
        <v>1819</v>
      </c>
      <c r="E5118" t="s">
        <v>29</v>
      </c>
      <c r="F5118" t="s">
        <v>30</v>
      </c>
      <c r="G5118">
        <v>0</v>
      </c>
      <c r="H5118">
        <v>0</v>
      </c>
      <c r="I5118">
        <v>0</v>
      </c>
      <c r="J5118">
        <v>0</v>
      </c>
      <c r="K5118">
        <v>0</v>
      </c>
      <c r="L5118">
        <v>0</v>
      </c>
      <c r="M5118">
        <v>0</v>
      </c>
      <c r="N5118">
        <v>0</v>
      </c>
      <c r="O5118">
        <v>0</v>
      </c>
      <c r="P5118">
        <v>0</v>
      </c>
      <c r="Q5118">
        <v>0</v>
      </c>
      <c r="R5118">
        <v>0</v>
      </c>
      <c r="S5118">
        <v>0</v>
      </c>
      <c r="T5118">
        <v>0</v>
      </c>
      <c r="U5118">
        <v>24</v>
      </c>
      <c r="V5118">
        <v>0</v>
      </c>
      <c r="W5118">
        <v>0</v>
      </c>
      <c r="X5118">
        <v>0</v>
      </c>
      <c r="Y5118" t="s">
        <v>51</v>
      </c>
      <c r="Z5118">
        <v>99</v>
      </c>
      <c r="AA5118">
        <v>0</v>
      </c>
    </row>
    <row r="5119" spans="1:27" x14ac:dyDescent="0.2">
      <c r="A5119" t="s">
        <v>600</v>
      </c>
      <c r="B5119">
        <v>2024</v>
      </c>
      <c r="C5119">
        <v>3783010</v>
      </c>
      <c r="D5119" t="s">
        <v>1685</v>
      </c>
      <c r="E5119" t="s">
        <v>29</v>
      </c>
      <c r="F5119" t="s">
        <v>30</v>
      </c>
      <c r="G5119">
        <v>0</v>
      </c>
      <c r="H5119">
        <v>0</v>
      </c>
      <c r="I5119">
        <v>0</v>
      </c>
      <c r="J5119">
        <v>0</v>
      </c>
      <c r="K5119">
        <v>0</v>
      </c>
      <c r="L5119">
        <v>0</v>
      </c>
      <c r="M5119">
        <v>0</v>
      </c>
      <c r="N5119">
        <v>0</v>
      </c>
      <c r="O5119">
        <v>0</v>
      </c>
      <c r="P5119">
        <v>0</v>
      </c>
      <c r="Q5119">
        <v>0</v>
      </c>
      <c r="R5119">
        <v>0</v>
      </c>
      <c r="S5119">
        <v>143</v>
      </c>
      <c r="T5119">
        <v>0</v>
      </c>
      <c r="U5119">
        <v>72</v>
      </c>
      <c r="V5119">
        <v>0</v>
      </c>
      <c r="W5119">
        <v>0</v>
      </c>
      <c r="X5119">
        <v>0</v>
      </c>
      <c r="Y5119" t="s">
        <v>31</v>
      </c>
      <c r="Z5119">
        <v>99</v>
      </c>
      <c r="AA5119">
        <v>0.5</v>
      </c>
    </row>
    <row r="5120" spans="1:27" x14ac:dyDescent="0.2">
      <c r="A5120" t="s">
        <v>600</v>
      </c>
      <c r="B5120">
        <v>2024</v>
      </c>
      <c r="C5120">
        <v>8901002</v>
      </c>
      <c r="D5120" t="s">
        <v>1819</v>
      </c>
      <c r="E5120" t="s">
        <v>29</v>
      </c>
      <c r="F5120" t="s">
        <v>30</v>
      </c>
      <c r="G5120">
        <v>0</v>
      </c>
      <c r="H5120">
        <v>0</v>
      </c>
      <c r="I5120">
        <v>0</v>
      </c>
      <c r="J5120">
        <v>0</v>
      </c>
      <c r="K5120">
        <v>0</v>
      </c>
      <c r="L5120">
        <v>0</v>
      </c>
      <c r="M5120">
        <v>0</v>
      </c>
      <c r="N5120">
        <v>0</v>
      </c>
      <c r="O5120">
        <v>0</v>
      </c>
      <c r="P5120">
        <v>0</v>
      </c>
      <c r="Q5120">
        <v>0</v>
      </c>
      <c r="R5120">
        <v>0</v>
      </c>
      <c r="S5120">
        <v>71</v>
      </c>
      <c r="T5120">
        <v>0</v>
      </c>
      <c r="U5120">
        <v>31</v>
      </c>
      <c r="V5120">
        <v>0</v>
      </c>
      <c r="W5120">
        <v>12</v>
      </c>
      <c r="X5120">
        <v>0</v>
      </c>
      <c r="Y5120" t="s">
        <v>51</v>
      </c>
      <c r="Z5120">
        <v>99</v>
      </c>
      <c r="AA5120">
        <v>0</v>
      </c>
    </row>
    <row r="5121" spans="1:27" x14ac:dyDescent="0.2">
      <c r="A5121" t="s">
        <v>2614</v>
      </c>
      <c r="B5121">
        <v>2021</v>
      </c>
      <c r="C5121" t="s">
        <v>6222</v>
      </c>
      <c r="D5121" t="s">
        <v>6223</v>
      </c>
      <c r="E5121" t="s">
        <v>29</v>
      </c>
      <c r="F5121" t="s">
        <v>30</v>
      </c>
      <c r="G5121">
        <v>0</v>
      </c>
      <c r="H5121">
        <v>0</v>
      </c>
      <c r="I5121">
        <v>21</v>
      </c>
      <c r="J5121">
        <v>0</v>
      </c>
      <c r="K5121">
        <v>0</v>
      </c>
      <c r="L5121">
        <v>0</v>
      </c>
      <c r="M5121">
        <v>0</v>
      </c>
      <c r="N5121">
        <v>0</v>
      </c>
      <c r="O5121">
        <v>0</v>
      </c>
      <c r="P5121">
        <v>0</v>
      </c>
      <c r="Q5121">
        <v>0</v>
      </c>
      <c r="R5121">
        <v>0</v>
      </c>
      <c r="S5121">
        <v>0</v>
      </c>
      <c r="T5121">
        <v>0</v>
      </c>
      <c r="U5121">
        <v>0</v>
      </c>
      <c r="V5121">
        <v>0</v>
      </c>
      <c r="W5121">
        <v>0</v>
      </c>
      <c r="X5121">
        <v>0</v>
      </c>
      <c r="Y5121" t="s">
        <v>31</v>
      </c>
      <c r="Z5121">
        <v>55</v>
      </c>
      <c r="AA5121" s="2" t="s">
        <v>3316</v>
      </c>
    </row>
    <row r="5122" spans="1:27" x14ac:dyDescent="0.2">
      <c r="A5122" t="s">
        <v>547</v>
      </c>
      <c r="B5122">
        <v>2024</v>
      </c>
      <c r="C5122">
        <v>5503028022</v>
      </c>
      <c r="D5122" t="s">
        <v>6224</v>
      </c>
      <c r="E5122" t="s">
        <v>29</v>
      </c>
      <c r="F5122" t="s">
        <v>30</v>
      </c>
      <c r="G5122">
        <v>0</v>
      </c>
      <c r="H5122">
        <v>0</v>
      </c>
      <c r="I5122">
        <v>64</v>
      </c>
      <c r="J5122">
        <v>0</v>
      </c>
      <c r="K5122">
        <v>15</v>
      </c>
      <c r="L5122">
        <v>0</v>
      </c>
      <c r="M5122">
        <v>0</v>
      </c>
      <c r="N5122">
        <v>0</v>
      </c>
      <c r="O5122">
        <v>64</v>
      </c>
      <c r="P5122">
        <v>0</v>
      </c>
      <c r="Q5122">
        <v>15</v>
      </c>
      <c r="R5122">
        <v>0</v>
      </c>
      <c r="S5122">
        <v>0</v>
      </c>
      <c r="T5122">
        <v>0</v>
      </c>
      <c r="U5122">
        <v>0</v>
      </c>
      <c r="V5122">
        <v>0</v>
      </c>
      <c r="W5122">
        <v>0</v>
      </c>
      <c r="X5122">
        <v>0</v>
      </c>
      <c r="Y5122" t="s">
        <v>31</v>
      </c>
      <c r="Z5122">
        <v>55</v>
      </c>
      <c r="AA5122">
        <v>74</v>
      </c>
    </row>
    <row r="5123" spans="1:27" x14ac:dyDescent="0.2">
      <c r="A5123" t="s">
        <v>1226</v>
      </c>
      <c r="B5123">
        <v>2024</v>
      </c>
      <c r="C5123">
        <v>507251015</v>
      </c>
      <c r="D5123" t="s">
        <v>6225</v>
      </c>
      <c r="E5123" t="s">
        <v>29</v>
      </c>
      <c r="F5123" t="s">
        <v>41</v>
      </c>
      <c r="G5123">
        <v>0</v>
      </c>
      <c r="H5123">
        <v>0</v>
      </c>
      <c r="I5123">
        <v>0</v>
      </c>
      <c r="J5123">
        <v>0</v>
      </c>
      <c r="K5123">
        <v>0</v>
      </c>
      <c r="L5123">
        <v>0</v>
      </c>
      <c r="M5123">
        <v>0</v>
      </c>
      <c r="N5123">
        <v>0</v>
      </c>
      <c r="O5123">
        <v>0</v>
      </c>
      <c r="P5123">
        <v>0</v>
      </c>
      <c r="Q5123">
        <v>1</v>
      </c>
      <c r="R5123">
        <v>0</v>
      </c>
      <c r="S5123">
        <v>0</v>
      </c>
      <c r="T5123">
        <v>0</v>
      </c>
      <c r="U5123">
        <v>0</v>
      </c>
      <c r="V5123">
        <v>0</v>
      </c>
      <c r="W5123">
        <v>0</v>
      </c>
      <c r="X5123">
        <v>0</v>
      </c>
      <c r="Y5123" t="s">
        <v>51</v>
      </c>
      <c r="AA5123">
        <v>0</v>
      </c>
    </row>
    <row r="5124" spans="1:27" x14ac:dyDescent="0.2">
      <c r="A5124" t="s">
        <v>3510</v>
      </c>
      <c r="B5124">
        <v>2022</v>
      </c>
      <c r="C5124" t="s">
        <v>6226</v>
      </c>
      <c r="D5124" t="s">
        <v>6227</v>
      </c>
      <c r="E5124" t="s">
        <v>29</v>
      </c>
      <c r="F5124" t="s">
        <v>30</v>
      </c>
      <c r="G5124">
        <v>4</v>
      </c>
      <c r="H5124">
        <v>0</v>
      </c>
      <c r="I5124">
        <v>2</v>
      </c>
      <c r="J5124">
        <v>0</v>
      </c>
      <c r="K5124">
        <v>0</v>
      </c>
      <c r="L5124">
        <v>0</v>
      </c>
      <c r="M5124">
        <v>0</v>
      </c>
      <c r="N5124">
        <v>0</v>
      </c>
      <c r="O5124">
        <v>0</v>
      </c>
      <c r="P5124">
        <v>0</v>
      </c>
      <c r="Q5124">
        <v>0</v>
      </c>
      <c r="R5124">
        <v>0</v>
      </c>
      <c r="S5124">
        <v>0</v>
      </c>
      <c r="T5124">
        <v>0</v>
      </c>
      <c r="U5124">
        <v>0</v>
      </c>
      <c r="V5124">
        <v>0</v>
      </c>
      <c r="W5124">
        <v>0</v>
      </c>
      <c r="X5124">
        <v>0</v>
      </c>
      <c r="Y5124" t="s">
        <v>31</v>
      </c>
      <c r="Z5124">
        <v>55</v>
      </c>
      <c r="AA5124">
        <v>0.5</v>
      </c>
    </row>
    <row r="5125" spans="1:27" x14ac:dyDescent="0.2">
      <c r="A5125" t="s">
        <v>547</v>
      </c>
      <c r="B5125">
        <v>2023</v>
      </c>
      <c r="C5125">
        <v>5520017010</v>
      </c>
      <c r="D5125" t="s">
        <v>6228</v>
      </c>
      <c r="E5125" t="s">
        <v>29</v>
      </c>
      <c r="F5125" t="s">
        <v>30</v>
      </c>
      <c r="G5125">
        <v>0</v>
      </c>
      <c r="H5125">
        <v>0</v>
      </c>
      <c r="I5125">
        <v>0</v>
      </c>
      <c r="J5125">
        <v>0</v>
      </c>
      <c r="K5125">
        <v>0</v>
      </c>
      <c r="L5125">
        <v>0</v>
      </c>
      <c r="M5125">
        <v>10</v>
      </c>
      <c r="N5125">
        <v>0</v>
      </c>
      <c r="O5125">
        <v>4</v>
      </c>
      <c r="P5125">
        <v>0</v>
      </c>
      <c r="Q5125">
        <v>0</v>
      </c>
      <c r="R5125">
        <v>0</v>
      </c>
      <c r="S5125">
        <v>10</v>
      </c>
      <c r="T5125">
        <v>0</v>
      </c>
      <c r="U5125">
        <v>4</v>
      </c>
      <c r="V5125">
        <v>0</v>
      </c>
      <c r="W5125">
        <v>0</v>
      </c>
      <c r="X5125">
        <v>0</v>
      </c>
      <c r="Y5125" t="s">
        <v>31</v>
      </c>
      <c r="Z5125">
        <v>55</v>
      </c>
      <c r="AA5125" s="2" t="s">
        <v>6229</v>
      </c>
    </row>
    <row r="5126" spans="1:27" x14ac:dyDescent="0.2">
      <c r="A5126" t="s">
        <v>547</v>
      </c>
      <c r="B5126">
        <v>2023</v>
      </c>
      <c r="C5126">
        <v>2350012031</v>
      </c>
      <c r="D5126" t="s">
        <v>2845</v>
      </c>
      <c r="E5126" t="s">
        <v>29</v>
      </c>
      <c r="F5126" t="s">
        <v>30</v>
      </c>
      <c r="G5126">
        <v>0</v>
      </c>
      <c r="H5126">
        <v>0</v>
      </c>
      <c r="I5126">
        <v>0</v>
      </c>
      <c r="J5126">
        <v>0</v>
      </c>
      <c r="K5126">
        <v>0</v>
      </c>
      <c r="L5126">
        <v>0</v>
      </c>
      <c r="M5126">
        <v>0</v>
      </c>
      <c r="N5126">
        <v>0</v>
      </c>
      <c r="O5126">
        <v>0</v>
      </c>
      <c r="P5126">
        <v>0</v>
      </c>
      <c r="Q5126">
        <v>0</v>
      </c>
      <c r="R5126">
        <v>0</v>
      </c>
      <c r="S5126">
        <v>11</v>
      </c>
      <c r="T5126">
        <v>0</v>
      </c>
      <c r="U5126">
        <v>0</v>
      </c>
      <c r="V5126">
        <v>0</v>
      </c>
      <c r="W5126">
        <v>0</v>
      </c>
      <c r="X5126">
        <v>0</v>
      </c>
      <c r="Y5126" t="s">
        <v>31</v>
      </c>
      <c r="Z5126">
        <v>55</v>
      </c>
      <c r="AA5126" s="2" t="s">
        <v>3394</v>
      </c>
    </row>
    <row r="5127" spans="1:27" x14ac:dyDescent="0.2">
      <c r="A5127" t="s">
        <v>547</v>
      </c>
      <c r="B5127">
        <v>2023</v>
      </c>
      <c r="C5127">
        <v>5423005006</v>
      </c>
      <c r="D5127" t="s">
        <v>6230</v>
      </c>
      <c r="E5127" t="s">
        <v>29</v>
      </c>
      <c r="F5127" t="s">
        <v>30</v>
      </c>
      <c r="G5127">
        <v>0</v>
      </c>
      <c r="H5127">
        <v>0</v>
      </c>
      <c r="I5127">
        <v>0</v>
      </c>
      <c r="J5127">
        <v>0</v>
      </c>
      <c r="K5127">
        <v>0</v>
      </c>
      <c r="L5127">
        <v>0</v>
      </c>
      <c r="M5127">
        <v>0</v>
      </c>
      <c r="N5127">
        <v>0</v>
      </c>
      <c r="O5127">
        <v>0</v>
      </c>
      <c r="P5127">
        <v>0</v>
      </c>
      <c r="Q5127">
        <v>0</v>
      </c>
      <c r="R5127">
        <v>0</v>
      </c>
      <c r="S5127">
        <v>8</v>
      </c>
      <c r="T5127">
        <v>0</v>
      </c>
      <c r="U5127">
        <v>0</v>
      </c>
      <c r="V5127">
        <v>0</v>
      </c>
      <c r="W5127">
        <v>0</v>
      </c>
      <c r="X5127">
        <v>0</v>
      </c>
      <c r="Y5127" t="s">
        <v>31</v>
      </c>
      <c r="Z5127">
        <v>55</v>
      </c>
      <c r="AA5127" s="2" t="s">
        <v>3316</v>
      </c>
    </row>
    <row r="5128" spans="1:27" x14ac:dyDescent="0.2">
      <c r="A5128" t="s">
        <v>547</v>
      </c>
      <c r="B5128">
        <v>2023</v>
      </c>
      <c r="C5128">
        <v>4314011050</v>
      </c>
      <c r="D5128" t="s">
        <v>6231</v>
      </c>
      <c r="E5128" t="s">
        <v>29</v>
      </c>
      <c r="F5128" t="s">
        <v>30</v>
      </c>
      <c r="G5128">
        <v>0</v>
      </c>
      <c r="H5128">
        <v>0</v>
      </c>
      <c r="I5128">
        <v>0</v>
      </c>
      <c r="J5128">
        <v>0</v>
      </c>
      <c r="K5128">
        <v>0</v>
      </c>
      <c r="L5128">
        <v>0</v>
      </c>
      <c r="M5128">
        <v>0</v>
      </c>
      <c r="N5128">
        <v>0</v>
      </c>
      <c r="O5128">
        <v>0</v>
      </c>
      <c r="P5128">
        <v>0</v>
      </c>
      <c r="Q5128">
        <v>0</v>
      </c>
      <c r="R5128">
        <v>0</v>
      </c>
      <c r="S5128">
        <v>6</v>
      </c>
      <c r="T5128">
        <v>0</v>
      </c>
      <c r="U5128">
        <v>0</v>
      </c>
      <c r="V5128">
        <v>0</v>
      </c>
      <c r="W5128">
        <v>0</v>
      </c>
      <c r="X5128">
        <v>0</v>
      </c>
      <c r="Y5128" t="s">
        <v>31</v>
      </c>
      <c r="Z5128">
        <v>55</v>
      </c>
      <c r="AA5128" s="2" t="s">
        <v>3244</v>
      </c>
    </row>
    <row r="5129" spans="1:27" x14ac:dyDescent="0.2">
      <c r="A5129" t="s">
        <v>1048</v>
      </c>
      <c r="B5129">
        <v>2024</v>
      </c>
      <c r="C5129" t="s">
        <v>5486</v>
      </c>
      <c r="D5129" t="s">
        <v>5643</v>
      </c>
      <c r="E5129" t="s">
        <v>29</v>
      </c>
      <c r="F5129" t="s">
        <v>30</v>
      </c>
      <c r="G5129">
        <v>0</v>
      </c>
      <c r="H5129">
        <v>0</v>
      </c>
      <c r="I5129">
        <v>65</v>
      </c>
      <c r="J5129">
        <v>0</v>
      </c>
      <c r="K5129">
        <v>0</v>
      </c>
      <c r="L5129">
        <v>0</v>
      </c>
      <c r="M5129">
        <v>0</v>
      </c>
      <c r="N5129">
        <v>0</v>
      </c>
      <c r="O5129">
        <v>0</v>
      </c>
      <c r="P5129">
        <v>0</v>
      </c>
      <c r="Q5129">
        <v>0</v>
      </c>
      <c r="R5129">
        <v>0</v>
      </c>
      <c r="S5129">
        <v>0</v>
      </c>
      <c r="T5129">
        <v>0</v>
      </c>
      <c r="U5129">
        <v>0</v>
      </c>
      <c r="V5129">
        <v>0</v>
      </c>
      <c r="W5129">
        <v>0</v>
      </c>
      <c r="X5129">
        <v>0</v>
      </c>
      <c r="Y5129" t="s">
        <v>31</v>
      </c>
      <c r="AA5129" s="2" t="s">
        <v>4011</v>
      </c>
    </row>
    <row r="5130" spans="1:27" x14ac:dyDescent="0.2">
      <c r="A5130" t="s">
        <v>547</v>
      </c>
      <c r="B5130">
        <v>2024</v>
      </c>
      <c r="C5130">
        <v>4261028003</v>
      </c>
      <c r="D5130" t="s">
        <v>6232</v>
      </c>
      <c r="E5130" t="s">
        <v>29</v>
      </c>
      <c r="F5130" t="s">
        <v>30</v>
      </c>
      <c r="G5130">
        <v>0</v>
      </c>
      <c r="H5130">
        <v>0</v>
      </c>
      <c r="I5130">
        <v>0</v>
      </c>
      <c r="J5130">
        <v>0</v>
      </c>
      <c r="K5130">
        <v>0</v>
      </c>
      <c r="L5130">
        <v>0</v>
      </c>
      <c r="M5130">
        <v>1</v>
      </c>
      <c r="N5130">
        <v>0</v>
      </c>
      <c r="O5130">
        <v>35</v>
      </c>
      <c r="P5130">
        <v>0</v>
      </c>
      <c r="Q5130">
        <v>7</v>
      </c>
      <c r="R5130">
        <v>0</v>
      </c>
      <c r="S5130">
        <v>0</v>
      </c>
      <c r="T5130">
        <v>0</v>
      </c>
      <c r="U5130">
        <v>0</v>
      </c>
      <c r="V5130">
        <v>0</v>
      </c>
      <c r="W5130">
        <v>0</v>
      </c>
      <c r="X5130">
        <v>0</v>
      </c>
      <c r="Y5130" t="s">
        <v>31</v>
      </c>
      <c r="Z5130">
        <v>55</v>
      </c>
      <c r="AA5130">
        <v>688</v>
      </c>
    </row>
    <row r="5131" spans="1:27" x14ac:dyDescent="0.2">
      <c r="A5131" t="s">
        <v>547</v>
      </c>
      <c r="B5131">
        <v>2023</v>
      </c>
      <c r="C5131">
        <v>2241007004</v>
      </c>
      <c r="D5131" t="s">
        <v>6233</v>
      </c>
      <c r="E5131" t="s">
        <v>29</v>
      </c>
      <c r="F5131" t="s">
        <v>30</v>
      </c>
      <c r="G5131">
        <v>0</v>
      </c>
      <c r="H5131">
        <v>0</v>
      </c>
      <c r="I5131">
        <v>49</v>
      </c>
      <c r="J5131">
        <v>0</v>
      </c>
      <c r="K5131">
        <v>7</v>
      </c>
      <c r="L5131">
        <v>0</v>
      </c>
      <c r="M5131">
        <v>0</v>
      </c>
      <c r="N5131">
        <v>0</v>
      </c>
      <c r="O5131">
        <v>0</v>
      </c>
      <c r="P5131">
        <v>0</v>
      </c>
      <c r="Q5131">
        <v>0</v>
      </c>
      <c r="R5131">
        <v>0</v>
      </c>
      <c r="S5131">
        <v>0</v>
      </c>
      <c r="T5131">
        <v>0</v>
      </c>
      <c r="U5131">
        <v>0</v>
      </c>
      <c r="V5131">
        <v>0</v>
      </c>
      <c r="W5131">
        <v>0</v>
      </c>
      <c r="X5131">
        <v>0</v>
      </c>
      <c r="Y5131" t="s">
        <v>31</v>
      </c>
      <c r="Z5131">
        <v>55</v>
      </c>
      <c r="AA5131" s="2" t="s">
        <v>3316</v>
      </c>
    </row>
    <row r="5132" spans="1:27" x14ac:dyDescent="0.2">
      <c r="A5132" t="s">
        <v>547</v>
      </c>
      <c r="B5132">
        <v>2024</v>
      </c>
      <c r="C5132">
        <v>2337029022</v>
      </c>
      <c r="D5132" t="s">
        <v>6234</v>
      </c>
      <c r="E5132" t="s">
        <v>29</v>
      </c>
      <c r="F5132" t="s">
        <v>30</v>
      </c>
      <c r="G5132">
        <v>0</v>
      </c>
      <c r="H5132">
        <v>0</v>
      </c>
      <c r="I5132">
        <v>55</v>
      </c>
      <c r="J5132">
        <v>0</v>
      </c>
      <c r="K5132">
        <v>14</v>
      </c>
      <c r="L5132">
        <v>0</v>
      </c>
      <c r="M5132">
        <v>0</v>
      </c>
      <c r="N5132">
        <v>0</v>
      </c>
      <c r="O5132">
        <v>0</v>
      </c>
      <c r="P5132">
        <v>0</v>
      </c>
      <c r="Q5132">
        <v>0</v>
      </c>
      <c r="R5132">
        <v>0</v>
      </c>
      <c r="S5132">
        <v>0</v>
      </c>
      <c r="T5132">
        <v>0</v>
      </c>
      <c r="U5132">
        <v>0</v>
      </c>
      <c r="V5132">
        <v>0</v>
      </c>
      <c r="W5132">
        <v>0</v>
      </c>
      <c r="X5132">
        <v>0</v>
      </c>
      <c r="Y5132" t="s">
        <v>31</v>
      </c>
      <c r="Z5132">
        <v>55</v>
      </c>
      <c r="AA5132">
        <v>536</v>
      </c>
    </row>
    <row r="5133" spans="1:27" x14ac:dyDescent="0.2">
      <c r="A5133" t="s">
        <v>547</v>
      </c>
      <c r="B5133">
        <v>2024</v>
      </c>
      <c r="C5133">
        <v>5036015001</v>
      </c>
      <c r="D5133" t="s">
        <v>6235</v>
      </c>
      <c r="E5133" t="s">
        <v>29</v>
      </c>
      <c r="F5133" t="s">
        <v>30</v>
      </c>
      <c r="G5133">
        <v>0</v>
      </c>
      <c r="H5133">
        <v>0</v>
      </c>
      <c r="I5133">
        <v>10</v>
      </c>
      <c r="J5133">
        <v>0</v>
      </c>
      <c r="K5133">
        <v>0</v>
      </c>
      <c r="L5133">
        <v>0</v>
      </c>
      <c r="M5133">
        <v>0</v>
      </c>
      <c r="N5133">
        <v>0</v>
      </c>
      <c r="O5133">
        <v>0</v>
      </c>
      <c r="P5133">
        <v>0</v>
      </c>
      <c r="Q5133">
        <v>0</v>
      </c>
      <c r="R5133">
        <v>0</v>
      </c>
      <c r="S5133">
        <v>0</v>
      </c>
      <c r="T5133">
        <v>0</v>
      </c>
      <c r="U5133">
        <v>0</v>
      </c>
      <c r="V5133">
        <v>0</v>
      </c>
      <c r="W5133">
        <v>0</v>
      </c>
      <c r="X5133">
        <v>0</v>
      </c>
      <c r="Y5133" t="s">
        <v>31</v>
      </c>
      <c r="Z5133">
        <v>55</v>
      </c>
      <c r="AA5133">
        <v>163</v>
      </c>
    </row>
    <row r="5134" spans="1:27" x14ac:dyDescent="0.2">
      <c r="A5134" t="s">
        <v>547</v>
      </c>
      <c r="B5134">
        <v>2024</v>
      </c>
      <c r="C5134">
        <v>6032006020</v>
      </c>
      <c r="D5134" t="s">
        <v>6236</v>
      </c>
      <c r="E5134" t="s">
        <v>29</v>
      </c>
      <c r="F5134" t="s">
        <v>30</v>
      </c>
      <c r="G5134">
        <v>1</v>
      </c>
      <c r="H5134">
        <v>0</v>
      </c>
      <c r="I5134">
        <v>72</v>
      </c>
      <c r="J5134">
        <v>0</v>
      </c>
      <c r="K5134">
        <v>14</v>
      </c>
      <c r="L5134">
        <v>0</v>
      </c>
      <c r="M5134">
        <v>0</v>
      </c>
      <c r="N5134">
        <v>0</v>
      </c>
      <c r="O5134">
        <v>0</v>
      </c>
      <c r="P5134">
        <v>0</v>
      </c>
      <c r="Q5134">
        <v>0</v>
      </c>
      <c r="R5134">
        <v>0</v>
      </c>
      <c r="S5134">
        <v>0</v>
      </c>
      <c r="T5134">
        <v>0</v>
      </c>
      <c r="U5134">
        <v>0</v>
      </c>
      <c r="V5134">
        <v>0</v>
      </c>
      <c r="W5134">
        <v>0</v>
      </c>
      <c r="X5134">
        <v>0</v>
      </c>
      <c r="Y5134" t="s">
        <v>31</v>
      </c>
      <c r="Z5134">
        <v>55</v>
      </c>
      <c r="AA5134">
        <v>576</v>
      </c>
    </row>
    <row r="5135" spans="1:27" x14ac:dyDescent="0.2">
      <c r="A5135" t="s">
        <v>547</v>
      </c>
      <c r="B5135">
        <v>2024</v>
      </c>
      <c r="C5135">
        <v>2233006017</v>
      </c>
      <c r="D5135" t="s">
        <v>6237</v>
      </c>
      <c r="E5135" t="s">
        <v>29</v>
      </c>
      <c r="F5135" t="s">
        <v>30</v>
      </c>
      <c r="G5135">
        <v>1</v>
      </c>
      <c r="H5135">
        <v>0</v>
      </c>
      <c r="I5135">
        <v>0</v>
      </c>
      <c r="J5135">
        <v>0</v>
      </c>
      <c r="K5135">
        <v>0</v>
      </c>
      <c r="L5135">
        <v>0</v>
      </c>
      <c r="M5135">
        <v>0</v>
      </c>
      <c r="N5135">
        <v>0</v>
      </c>
      <c r="O5135">
        <v>0</v>
      </c>
      <c r="P5135">
        <v>0</v>
      </c>
      <c r="Q5135">
        <v>0</v>
      </c>
      <c r="R5135">
        <v>0</v>
      </c>
      <c r="S5135">
        <v>0</v>
      </c>
      <c r="T5135">
        <v>0</v>
      </c>
      <c r="U5135">
        <v>0</v>
      </c>
      <c r="V5135">
        <v>0</v>
      </c>
      <c r="W5135">
        <v>0</v>
      </c>
      <c r="X5135">
        <v>0</v>
      </c>
      <c r="Y5135" t="s">
        <v>31</v>
      </c>
      <c r="Z5135">
        <v>55</v>
      </c>
      <c r="AA5135">
        <v>8</v>
      </c>
    </row>
    <row r="5136" spans="1:27" x14ac:dyDescent="0.2">
      <c r="A5136" t="s">
        <v>547</v>
      </c>
      <c r="B5136">
        <v>2024</v>
      </c>
      <c r="C5136">
        <v>2237019009</v>
      </c>
      <c r="D5136" t="s">
        <v>6238</v>
      </c>
      <c r="E5136" t="s">
        <v>29</v>
      </c>
      <c r="F5136" t="s">
        <v>30</v>
      </c>
      <c r="G5136">
        <v>0</v>
      </c>
      <c r="H5136">
        <v>0</v>
      </c>
      <c r="I5136">
        <v>38</v>
      </c>
      <c r="J5136">
        <v>0</v>
      </c>
      <c r="K5136">
        <v>10</v>
      </c>
      <c r="L5136">
        <v>0</v>
      </c>
      <c r="M5136">
        <v>0</v>
      </c>
      <c r="N5136">
        <v>0</v>
      </c>
      <c r="O5136">
        <v>0</v>
      </c>
      <c r="P5136">
        <v>0</v>
      </c>
      <c r="Q5136">
        <v>0</v>
      </c>
      <c r="R5136">
        <v>0</v>
      </c>
      <c r="S5136">
        <v>0</v>
      </c>
      <c r="T5136">
        <v>0</v>
      </c>
      <c r="U5136">
        <v>0</v>
      </c>
      <c r="V5136">
        <v>0</v>
      </c>
      <c r="W5136">
        <v>0</v>
      </c>
      <c r="X5136">
        <v>0</v>
      </c>
      <c r="Y5136" t="s">
        <v>31</v>
      </c>
      <c r="Z5136">
        <v>55</v>
      </c>
      <c r="AA5136">
        <v>444</v>
      </c>
    </row>
    <row r="5137" spans="1:27" x14ac:dyDescent="0.2">
      <c r="A5137" t="s">
        <v>547</v>
      </c>
      <c r="B5137">
        <v>2024</v>
      </c>
      <c r="C5137">
        <v>2263037004</v>
      </c>
      <c r="D5137" t="s">
        <v>6239</v>
      </c>
      <c r="E5137" t="s">
        <v>29</v>
      </c>
      <c r="F5137" t="s">
        <v>30</v>
      </c>
      <c r="G5137">
        <v>1</v>
      </c>
      <c r="H5137">
        <v>0</v>
      </c>
      <c r="I5137">
        <v>38</v>
      </c>
      <c r="J5137">
        <v>0</v>
      </c>
      <c r="K5137">
        <v>10</v>
      </c>
      <c r="L5137">
        <v>0</v>
      </c>
      <c r="M5137">
        <v>0</v>
      </c>
      <c r="N5137">
        <v>0</v>
      </c>
      <c r="O5137">
        <v>0</v>
      </c>
      <c r="P5137">
        <v>0</v>
      </c>
      <c r="Q5137">
        <v>0</v>
      </c>
      <c r="R5137">
        <v>0</v>
      </c>
      <c r="S5137">
        <v>0</v>
      </c>
      <c r="T5137">
        <v>0</v>
      </c>
      <c r="U5137">
        <v>0</v>
      </c>
      <c r="V5137">
        <v>0</v>
      </c>
      <c r="W5137">
        <v>0</v>
      </c>
      <c r="X5137">
        <v>0</v>
      </c>
      <c r="Y5137" t="s">
        <v>31</v>
      </c>
      <c r="Z5137">
        <v>55</v>
      </c>
      <c r="AA5137">
        <v>4900</v>
      </c>
    </row>
    <row r="5138" spans="1:27" x14ac:dyDescent="0.2">
      <c r="A5138" t="s">
        <v>547</v>
      </c>
      <c r="B5138">
        <v>2024</v>
      </c>
      <c r="C5138">
        <v>2350009047</v>
      </c>
      <c r="D5138" t="s">
        <v>6240</v>
      </c>
      <c r="E5138" t="s">
        <v>29</v>
      </c>
      <c r="F5138" t="s">
        <v>30</v>
      </c>
      <c r="G5138">
        <v>2</v>
      </c>
      <c r="H5138">
        <v>0</v>
      </c>
      <c r="I5138">
        <v>35</v>
      </c>
      <c r="J5138">
        <v>0</v>
      </c>
      <c r="K5138">
        <v>8</v>
      </c>
      <c r="L5138">
        <v>0</v>
      </c>
      <c r="M5138">
        <v>0</v>
      </c>
      <c r="N5138">
        <v>0</v>
      </c>
      <c r="O5138">
        <v>0</v>
      </c>
      <c r="P5138">
        <v>0</v>
      </c>
      <c r="Q5138">
        <v>0</v>
      </c>
      <c r="R5138">
        <v>0</v>
      </c>
      <c r="S5138">
        <v>0</v>
      </c>
      <c r="T5138">
        <v>0</v>
      </c>
      <c r="U5138">
        <v>0</v>
      </c>
      <c r="V5138">
        <v>0</v>
      </c>
      <c r="W5138">
        <v>0</v>
      </c>
      <c r="X5138">
        <v>0</v>
      </c>
      <c r="Y5138" t="s">
        <v>31</v>
      </c>
      <c r="Z5138">
        <v>55</v>
      </c>
      <c r="AA5138">
        <v>860</v>
      </c>
    </row>
    <row r="5139" spans="1:27" x14ac:dyDescent="0.2">
      <c r="A5139" t="s">
        <v>547</v>
      </c>
      <c r="B5139">
        <v>2024</v>
      </c>
      <c r="C5139">
        <v>4005017030</v>
      </c>
      <c r="D5139" t="s">
        <v>6241</v>
      </c>
      <c r="E5139" t="s">
        <v>29</v>
      </c>
      <c r="F5139" t="s">
        <v>30</v>
      </c>
      <c r="G5139">
        <v>0</v>
      </c>
      <c r="H5139">
        <v>0</v>
      </c>
      <c r="I5139">
        <v>45</v>
      </c>
      <c r="J5139">
        <v>0</v>
      </c>
      <c r="K5139">
        <v>12</v>
      </c>
      <c r="L5139">
        <v>0</v>
      </c>
      <c r="M5139">
        <v>0</v>
      </c>
      <c r="N5139">
        <v>0</v>
      </c>
      <c r="O5139">
        <v>0</v>
      </c>
      <c r="P5139">
        <v>0</v>
      </c>
      <c r="Q5139">
        <v>0</v>
      </c>
      <c r="R5139">
        <v>0</v>
      </c>
      <c r="S5139">
        <v>0</v>
      </c>
      <c r="T5139">
        <v>0</v>
      </c>
      <c r="U5139">
        <v>0</v>
      </c>
      <c r="V5139">
        <v>0</v>
      </c>
      <c r="W5139">
        <v>0</v>
      </c>
      <c r="X5139">
        <v>0</v>
      </c>
      <c r="Y5139" t="s">
        <v>31</v>
      </c>
      <c r="Z5139">
        <v>55</v>
      </c>
      <c r="AA5139">
        <v>142</v>
      </c>
    </row>
    <row r="5140" spans="1:27" x14ac:dyDescent="0.2">
      <c r="A5140" t="s">
        <v>547</v>
      </c>
      <c r="B5140">
        <v>2024</v>
      </c>
      <c r="C5140">
        <v>4261014117</v>
      </c>
      <c r="D5140" t="s">
        <v>6242</v>
      </c>
      <c r="E5140" t="s">
        <v>29</v>
      </c>
      <c r="F5140" t="s">
        <v>30</v>
      </c>
      <c r="G5140">
        <v>4</v>
      </c>
      <c r="H5140">
        <v>0</v>
      </c>
      <c r="I5140">
        <v>109</v>
      </c>
      <c r="J5140">
        <v>0</v>
      </c>
      <c r="K5140">
        <v>29</v>
      </c>
      <c r="L5140">
        <v>0</v>
      </c>
      <c r="M5140">
        <v>0</v>
      </c>
      <c r="N5140">
        <v>0</v>
      </c>
      <c r="O5140">
        <v>0</v>
      </c>
      <c r="P5140">
        <v>0</v>
      </c>
      <c r="Q5140">
        <v>0</v>
      </c>
      <c r="R5140">
        <v>0</v>
      </c>
      <c r="S5140">
        <v>0</v>
      </c>
      <c r="T5140">
        <v>0</v>
      </c>
      <c r="U5140">
        <v>0</v>
      </c>
      <c r="V5140">
        <v>0</v>
      </c>
      <c r="W5140">
        <v>0</v>
      </c>
      <c r="X5140">
        <v>0</v>
      </c>
      <c r="Y5140" t="s">
        <v>31</v>
      </c>
      <c r="Z5140">
        <v>55</v>
      </c>
      <c r="AA5140">
        <v>496</v>
      </c>
    </row>
    <row r="5141" spans="1:27" x14ac:dyDescent="0.2">
      <c r="A5141" t="s">
        <v>547</v>
      </c>
      <c r="B5141">
        <v>2024</v>
      </c>
      <c r="C5141">
        <v>4302025011</v>
      </c>
      <c r="D5141" t="s">
        <v>6243</v>
      </c>
      <c r="E5141" t="s">
        <v>29</v>
      </c>
      <c r="F5141" t="s">
        <v>30</v>
      </c>
      <c r="G5141">
        <v>0</v>
      </c>
      <c r="H5141">
        <v>0</v>
      </c>
      <c r="I5141">
        <v>41</v>
      </c>
      <c r="J5141">
        <v>0</v>
      </c>
      <c r="K5141">
        <v>11</v>
      </c>
      <c r="L5141">
        <v>0</v>
      </c>
      <c r="M5141">
        <v>0</v>
      </c>
      <c r="N5141">
        <v>0</v>
      </c>
      <c r="O5141">
        <v>0</v>
      </c>
      <c r="P5141">
        <v>0</v>
      </c>
      <c r="Q5141">
        <v>0</v>
      </c>
      <c r="R5141">
        <v>0</v>
      </c>
      <c r="S5141">
        <v>0</v>
      </c>
      <c r="T5141">
        <v>0</v>
      </c>
      <c r="U5141">
        <v>0</v>
      </c>
      <c r="V5141">
        <v>0</v>
      </c>
      <c r="W5141">
        <v>0</v>
      </c>
      <c r="X5141">
        <v>0</v>
      </c>
      <c r="Y5141" t="s">
        <v>31</v>
      </c>
      <c r="Z5141">
        <v>55</v>
      </c>
      <c r="AA5141">
        <v>783</v>
      </c>
    </row>
    <row r="5142" spans="1:27" x14ac:dyDescent="0.2">
      <c r="A5142" t="s">
        <v>547</v>
      </c>
      <c r="B5142">
        <v>2024</v>
      </c>
      <c r="C5142">
        <v>4325019001</v>
      </c>
      <c r="D5142" t="s">
        <v>6244</v>
      </c>
      <c r="E5142" t="s">
        <v>29</v>
      </c>
      <c r="F5142" t="s">
        <v>30</v>
      </c>
      <c r="G5142">
        <v>2</v>
      </c>
      <c r="H5142">
        <v>0</v>
      </c>
      <c r="I5142">
        <v>0</v>
      </c>
      <c r="J5142">
        <v>0</v>
      </c>
      <c r="K5142">
        <v>0</v>
      </c>
      <c r="L5142">
        <v>0</v>
      </c>
      <c r="M5142">
        <v>0</v>
      </c>
      <c r="N5142">
        <v>0</v>
      </c>
      <c r="O5142">
        <v>0</v>
      </c>
      <c r="P5142">
        <v>0</v>
      </c>
      <c r="Q5142">
        <v>0</v>
      </c>
      <c r="R5142">
        <v>0</v>
      </c>
      <c r="S5142">
        <v>0</v>
      </c>
      <c r="T5142">
        <v>0</v>
      </c>
      <c r="U5142">
        <v>0</v>
      </c>
      <c r="V5142">
        <v>0</v>
      </c>
      <c r="W5142">
        <v>0</v>
      </c>
      <c r="X5142">
        <v>0</v>
      </c>
      <c r="Y5142" t="s">
        <v>31</v>
      </c>
      <c r="Z5142">
        <v>55</v>
      </c>
      <c r="AA5142">
        <v>103</v>
      </c>
    </row>
    <row r="5143" spans="1:27" x14ac:dyDescent="0.2">
      <c r="A5143" t="s">
        <v>547</v>
      </c>
      <c r="B5143">
        <v>2024</v>
      </c>
      <c r="C5143">
        <v>4334015038</v>
      </c>
      <c r="D5143" t="s">
        <v>6245</v>
      </c>
      <c r="E5143" t="s">
        <v>29</v>
      </c>
      <c r="F5143" t="s">
        <v>30</v>
      </c>
      <c r="G5143">
        <v>0</v>
      </c>
      <c r="H5143">
        <v>0</v>
      </c>
      <c r="I5143">
        <v>68</v>
      </c>
      <c r="J5143">
        <v>0</v>
      </c>
      <c r="K5143">
        <v>17</v>
      </c>
      <c r="L5143">
        <v>0</v>
      </c>
      <c r="M5143">
        <v>0</v>
      </c>
      <c r="N5143">
        <v>0</v>
      </c>
      <c r="O5143">
        <v>0</v>
      </c>
      <c r="P5143">
        <v>0</v>
      </c>
      <c r="Q5143">
        <v>0</v>
      </c>
      <c r="R5143">
        <v>0</v>
      </c>
      <c r="S5143">
        <v>0</v>
      </c>
      <c r="T5143">
        <v>0</v>
      </c>
      <c r="U5143">
        <v>0</v>
      </c>
      <c r="V5143">
        <v>0</v>
      </c>
      <c r="W5143">
        <v>0</v>
      </c>
      <c r="X5143">
        <v>0</v>
      </c>
      <c r="Y5143" t="s">
        <v>31</v>
      </c>
      <c r="Z5143">
        <v>55</v>
      </c>
      <c r="AA5143">
        <v>361</v>
      </c>
    </row>
    <row r="5144" spans="1:27" x14ac:dyDescent="0.2">
      <c r="A5144" t="s">
        <v>547</v>
      </c>
      <c r="B5144">
        <v>2024</v>
      </c>
      <c r="C5144">
        <v>5007021011</v>
      </c>
      <c r="D5144" t="s">
        <v>6246</v>
      </c>
      <c r="E5144" t="s">
        <v>29</v>
      </c>
      <c r="F5144" t="s">
        <v>30</v>
      </c>
      <c r="G5144">
        <v>2</v>
      </c>
      <c r="H5144">
        <v>0</v>
      </c>
      <c r="I5144">
        <v>42</v>
      </c>
      <c r="J5144">
        <v>0</v>
      </c>
      <c r="K5144">
        <v>8</v>
      </c>
      <c r="L5144">
        <v>0</v>
      </c>
      <c r="M5144">
        <v>0</v>
      </c>
      <c r="N5144">
        <v>0</v>
      </c>
      <c r="O5144">
        <v>0</v>
      </c>
      <c r="P5144">
        <v>0</v>
      </c>
      <c r="Q5144">
        <v>0</v>
      </c>
      <c r="R5144">
        <v>0</v>
      </c>
      <c r="S5144">
        <v>0</v>
      </c>
      <c r="T5144">
        <v>0</v>
      </c>
      <c r="U5144">
        <v>0</v>
      </c>
      <c r="V5144">
        <v>0</v>
      </c>
      <c r="W5144">
        <v>0</v>
      </c>
      <c r="X5144">
        <v>0</v>
      </c>
      <c r="Y5144" t="s">
        <v>31</v>
      </c>
      <c r="Z5144">
        <v>55</v>
      </c>
      <c r="AA5144">
        <v>47</v>
      </c>
    </row>
    <row r="5145" spans="1:27" x14ac:dyDescent="0.2">
      <c r="A5145" t="s">
        <v>547</v>
      </c>
      <c r="B5145">
        <v>2024</v>
      </c>
      <c r="C5145">
        <v>5040003014</v>
      </c>
      <c r="D5145" t="s">
        <v>6247</v>
      </c>
      <c r="E5145" t="s">
        <v>29</v>
      </c>
      <c r="F5145" t="s">
        <v>30</v>
      </c>
      <c r="G5145">
        <v>3</v>
      </c>
      <c r="H5145">
        <v>0</v>
      </c>
      <c r="I5145">
        <v>95</v>
      </c>
      <c r="J5145">
        <v>0</v>
      </c>
      <c r="K5145">
        <v>24</v>
      </c>
      <c r="L5145">
        <v>0</v>
      </c>
      <c r="M5145">
        <v>0</v>
      </c>
      <c r="N5145">
        <v>0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0</v>
      </c>
      <c r="U5145">
        <v>0</v>
      </c>
      <c r="V5145">
        <v>0</v>
      </c>
      <c r="W5145">
        <v>0</v>
      </c>
      <c r="X5145">
        <v>0</v>
      </c>
      <c r="Y5145" t="s">
        <v>31</v>
      </c>
      <c r="Z5145">
        <v>55</v>
      </c>
      <c r="AA5145">
        <v>130</v>
      </c>
    </row>
    <row r="5146" spans="1:27" x14ac:dyDescent="0.2">
      <c r="A5146" t="s">
        <v>547</v>
      </c>
      <c r="B5146">
        <v>2024</v>
      </c>
      <c r="C5146">
        <v>5054016018</v>
      </c>
      <c r="D5146" t="s">
        <v>6248</v>
      </c>
      <c r="E5146" t="s">
        <v>29</v>
      </c>
      <c r="F5146" t="s">
        <v>30</v>
      </c>
      <c r="G5146">
        <v>0</v>
      </c>
      <c r="H5146">
        <v>0</v>
      </c>
      <c r="I5146">
        <v>47</v>
      </c>
      <c r="J5146">
        <v>0</v>
      </c>
      <c r="K5146">
        <v>12</v>
      </c>
      <c r="L5146">
        <v>0</v>
      </c>
      <c r="M5146">
        <v>0</v>
      </c>
      <c r="N5146">
        <v>0</v>
      </c>
      <c r="O5146">
        <v>0</v>
      </c>
      <c r="P5146">
        <v>0</v>
      </c>
      <c r="Q5146">
        <v>0</v>
      </c>
      <c r="R5146">
        <v>0</v>
      </c>
      <c r="S5146">
        <v>0</v>
      </c>
      <c r="T5146">
        <v>0</v>
      </c>
      <c r="U5146">
        <v>0</v>
      </c>
      <c r="V5146">
        <v>0</v>
      </c>
      <c r="W5146">
        <v>0</v>
      </c>
      <c r="X5146">
        <v>0</v>
      </c>
      <c r="Y5146" t="s">
        <v>31</v>
      </c>
      <c r="Z5146">
        <v>55</v>
      </c>
      <c r="AA5146">
        <v>650</v>
      </c>
    </row>
    <row r="5147" spans="1:27" x14ac:dyDescent="0.2">
      <c r="A5147" t="s">
        <v>547</v>
      </c>
      <c r="B5147">
        <v>2024</v>
      </c>
      <c r="C5147">
        <v>5073015003</v>
      </c>
      <c r="D5147" t="s">
        <v>6249</v>
      </c>
      <c r="E5147" t="s">
        <v>29</v>
      </c>
      <c r="F5147" t="s">
        <v>30</v>
      </c>
      <c r="G5147">
        <v>16</v>
      </c>
      <c r="H5147">
        <v>0</v>
      </c>
      <c r="I5147">
        <v>0</v>
      </c>
      <c r="J5147">
        <v>0</v>
      </c>
      <c r="K5147">
        <v>5</v>
      </c>
      <c r="L5147">
        <v>0</v>
      </c>
      <c r="M5147">
        <v>0</v>
      </c>
      <c r="N5147">
        <v>0</v>
      </c>
      <c r="O5147">
        <v>0</v>
      </c>
      <c r="P5147">
        <v>0</v>
      </c>
      <c r="Q5147">
        <v>0</v>
      </c>
      <c r="R5147">
        <v>0</v>
      </c>
      <c r="S5147">
        <v>0</v>
      </c>
      <c r="T5147">
        <v>0</v>
      </c>
      <c r="U5147">
        <v>0</v>
      </c>
      <c r="V5147">
        <v>0</v>
      </c>
      <c r="W5147">
        <v>0</v>
      </c>
      <c r="X5147">
        <v>0</v>
      </c>
      <c r="Y5147" t="s">
        <v>31</v>
      </c>
      <c r="Z5147">
        <v>55</v>
      </c>
      <c r="AA5147">
        <v>267</v>
      </c>
    </row>
    <row r="5148" spans="1:27" x14ac:dyDescent="0.2">
      <c r="A5148" t="s">
        <v>547</v>
      </c>
      <c r="B5148">
        <v>2024</v>
      </c>
      <c r="C5148">
        <v>5093002009</v>
      </c>
      <c r="D5148" t="s">
        <v>6250</v>
      </c>
      <c r="E5148" t="s">
        <v>29</v>
      </c>
      <c r="F5148" t="s">
        <v>30</v>
      </c>
      <c r="G5148">
        <v>0</v>
      </c>
      <c r="H5148">
        <v>0</v>
      </c>
      <c r="I5148">
        <v>47</v>
      </c>
      <c r="J5148">
        <v>0</v>
      </c>
      <c r="K5148">
        <v>12</v>
      </c>
      <c r="L5148">
        <v>0</v>
      </c>
      <c r="M5148">
        <v>0</v>
      </c>
      <c r="N5148">
        <v>0</v>
      </c>
      <c r="O5148">
        <v>0</v>
      </c>
      <c r="P5148">
        <v>0</v>
      </c>
      <c r="Q5148">
        <v>0</v>
      </c>
      <c r="R5148">
        <v>0</v>
      </c>
      <c r="S5148">
        <v>0</v>
      </c>
      <c r="T5148">
        <v>0</v>
      </c>
      <c r="U5148">
        <v>0</v>
      </c>
      <c r="V5148">
        <v>0</v>
      </c>
      <c r="W5148">
        <v>0</v>
      </c>
      <c r="X5148">
        <v>0</v>
      </c>
      <c r="Y5148" t="s">
        <v>31</v>
      </c>
      <c r="Z5148">
        <v>55</v>
      </c>
      <c r="AA5148">
        <v>216</v>
      </c>
    </row>
    <row r="5149" spans="1:27" x14ac:dyDescent="0.2">
      <c r="A5149" t="s">
        <v>547</v>
      </c>
      <c r="B5149">
        <v>2024</v>
      </c>
      <c r="C5149">
        <v>5108018027</v>
      </c>
      <c r="D5149" t="s">
        <v>6251</v>
      </c>
      <c r="E5149" t="s">
        <v>29</v>
      </c>
      <c r="F5149" t="s">
        <v>30</v>
      </c>
      <c r="G5149">
        <v>0</v>
      </c>
      <c r="H5149">
        <v>0</v>
      </c>
      <c r="I5149">
        <v>32</v>
      </c>
      <c r="J5149">
        <v>0</v>
      </c>
      <c r="K5149">
        <v>9</v>
      </c>
      <c r="L5149">
        <v>0</v>
      </c>
      <c r="M5149">
        <v>0</v>
      </c>
      <c r="N5149">
        <v>0</v>
      </c>
      <c r="O5149">
        <v>0</v>
      </c>
      <c r="P5149">
        <v>0</v>
      </c>
      <c r="Q5149">
        <v>0</v>
      </c>
      <c r="R5149">
        <v>0</v>
      </c>
      <c r="S5149">
        <v>0</v>
      </c>
      <c r="T5149">
        <v>0</v>
      </c>
      <c r="U5149">
        <v>0</v>
      </c>
      <c r="V5149">
        <v>0</v>
      </c>
      <c r="W5149">
        <v>0</v>
      </c>
      <c r="X5149">
        <v>0</v>
      </c>
      <c r="Y5149" t="s">
        <v>31</v>
      </c>
      <c r="Z5149">
        <v>55</v>
      </c>
      <c r="AA5149">
        <v>180</v>
      </c>
    </row>
    <row r="5150" spans="1:27" x14ac:dyDescent="0.2">
      <c r="A5150" t="s">
        <v>547</v>
      </c>
      <c r="B5150">
        <v>2024</v>
      </c>
      <c r="C5150">
        <v>5122045010</v>
      </c>
      <c r="D5150" t="s">
        <v>6252</v>
      </c>
      <c r="E5150" t="s">
        <v>29</v>
      </c>
      <c r="F5150" t="s">
        <v>30</v>
      </c>
      <c r="G5150">
        <v>2</v>
      </c>
      <c r="H5150">
        <v>0</v>
      </c>
      <c r="I5150">
        <v>32</v>
      </c>
      <c r="J5150">
        <v>0</v>
      </c>
      <c r="K5150">
        <v>10</v>
      </c>
      <c r="L5150">
        <v>0</v>
      </c>
      <c r="M5150">
        <v>0</v>
      </c>
      <c r="N5150">
        <v>0</v>
      </c>
      <c r="O5150">
        <v>0</v>
      </c>
      <c r="P5150">
        <v>0</v>
      </c>
      <c r="Q5150">
        <v>0</v>
      </c>
      <c r="R5150">
        <v>0</v>
      </c>
      <c r="S5150">
        <v>0</v>
      </c>
      <c r="T5150">
        <v>0</v>
      </c>
      <c r="U5150">
        <v>0</v>
      </c>
      <c r="V5150">
        <v>0</v>
      </c>
      <c r="W5150">
        <v>0</v>
      </c>
      <c r="X5150">
        <v>0</v>
      </c>
      <c r="Y5150" t="s">
        <v>31</v>
      </c>
      <c r="Z5150">
        <v>55</v>
      </c>
      <c r="AA5150">
        <v>360</v>
      </c>
    </row>
    <row r="5151" spans="1:27" x14ac:dyDescent="0.2">
      <c r="A5151" t="s">
        <v>547</v>
      </c>
      <c r="B5151">
        <v>2024</v>
      </c>
      <c r="C5151">
        <v>5123020001</v>
      </c>
      <c r="D5151" t="s">
        <v>6253</v>
      </c>
      <c r="E5151" t="s">
        <v>29</v>
      </c>
      <c r="F5151" t="s">
        <v>30</v>
      </c>
      <c r="G5151">
        <v>0</v>
      </c>
      <c r="H5151">
        <v>0</v>
      </c>
      <c r="I5151">
        <v>96</v>
      </c>
      <c r="J5151">
        <v>0</v>
      </c>
      <c r="K5151">
        <v>25</v>
      </c>
      <c r="L5151">
        <v>0</v>
      </c>
      <c r="M5151">
        <v>0</v>
      </c>
      <c r="N5151">
        <v>0</v>
      </c>
      <c r="O5151">
        <v>0</v>
      </c>
      <c r="P5151">
        <v>0</v>
      </c>
      <c r="Q5151">
        <v>0</v>
      </c>
      <c r="R5151">
        <v>0</v>
      </c>
      <c r="S5151">
        <v>0</v>
      </c>
      <c r="T5151">
        <v>0</v>
      </c>
      <c r="U5151">
        <v>0</v>
      </c>
      <c r="V5151">
        <v>0</v>
      </c>
      <c r="W5151">
        <v>0</v>
      </c>
      <c r="X5151">
        <v>0</v>
      </c>
      <c r="Y5151" t="s">
        <v>31</v>
      </c>
      <c r="Z5151">
        <v>55</v>
      </c>
      <c r="AA5151">
        <v>12200</v>
      </c>
    </row>
    <row r="5152" spans="1:27" x14ac:dyDescent="0.2">
      <c r="A5152" t="s">
        <v>547</v>
      </c>
      <c r="B5152">
        <v>2024</v>
      </c>
      <c r="C5152">
        <v>5175013020</v>
      </c>
      <c r="D5152" t="s">
        <v>6254</v>
      </c>
      <c r="E5152" t="s">
        <v>29</v>
      </c>
      <c r="F5152" t="s">
        <v>30</v>
      </c>
      <c r="G5152">
        <v>2</v>
      </c>
      <c r="H5152">
        <v>0</v>
      </c>
      <c r="I5152">
        <v>14</v>
      </c>
      <c r="J5152">
        <v>0</v>
      </c>
      <c r="K5152">
        <v>2</v>
      </c>
      <c r="L5152">
        <v>0</v>
      </c>
      <c r="M5152">
        <v>0</v>
      </c>
      <c r="N5152">
        <v>0</v>
      </c>
      <c r="O5152">
        <v>0</v>
      </c>
      <c r="P5152">
        <v>0</v>
      </c>
      <c r="Q5152">
        <v>0</v>
      </c>
      <c r="R5152">
        <v>0</v>
      </c>
      <c r="S5152">
        <v>0</v>
      </c>
      <c r="T5152">
        <v>0</v>
      </c>
      <c r="U5152">
        <v>0</v>
      </c>
      <c r="V5152">
        <v>0</v>
      </c>
      <c r="W5152">
        <v>0</v>
      </c>
      <c r="X5152">
        <v>0</v>
      </c>
      <c r="Y5152" t="s">
        <v>31</v>
      </c>
      <c r="Z5152">
        <v>55</v>
      </c>
      <c r="AA5152">
        <v>850</v>
      </c>
    </row>
    <row r="5153" spans="1:27" x14ac:dyDescent="0.2">
      <c r="A5153" t="s">
        <v>547</v>
      </c>
      <c r="B5153">
        <v>2024</v>
      </c>
      <c r="C5153">
        <v>5419032031</v>
      </c>
      <c r="D5153" t="s">
        <v>6255</v>
      </c>
      <c r="E5153" t="s">
        <v>29</v>
      </c>
      <c r="F5153" t="s">
        <v>30</v>
      </c>
      <c r="G5153">
        <v>2</v>
      </c>
      <c r="H5153">
        <v>0</v>
      </c>
      <c r="I5153">
        <v>0</v>
      </c>
      <c r="J5153">
        <v>0</v>
      </c>
      <c r="K5153">
        <v>0</v>
      </c>
      <c r="L5153">
        <v>0</v>
      </c>
      <c r="M5153">
        <v>0</v>
      </c>
      <c r="N5153">
        <v>0</v>
      </c>
      <c r="O5153">
        <v>0</v>
      </c>
      <c r="P5153">
        <v>0</v>
      </c>
      <c r="Q5153">
        <v>0</v>
      </c>
      <c r="R5153">
        <v>0</v>
      </c>
      <c r="S5153">
        <v>0</v>
      </c>
      <c r="T5153">
        <v>0</v>
      </c>
      <c r="U5153">
        <v>0</v>
      </c>
      <c r="V5153">
        <v>0</v>
      </c>
      <c r="W5153">
        <v>0</v>
      </c>
      <c r="X5153">
        <v>0</v>
      </c>
      <c r="Y5153" t="s">
        <v>31</v>
      </c>
      <c r="Z5153">
        <v>55</v>
      </c>
      <c r="AA5153">
        <v>59</v>
      </c>
    </row>
    <row r="5154" spans="1:27" x14ac:dyDescent="0.2">
      <c r="A5154" t="s">
        <v>547</v>
      </c>
      <c r="B5154">
        <v>2024</v>
      </c>
      <c r="C5154">
        <v>5501015023</v>
      </c>
      <c r="D5154" t="s">
        <v>6256</v>
      </c>
      <c r="E5154" t="s">
        <v>29</v>
      </c>
      <c r="F5154" t="s">
        <v>30</v>
      </c>
      <c r="G5154">
        <v>1</v>
      </c>
      <c r="H5154">
        <v>0</v>
      </c>
      <c r="I5154">
        <v>31</v>
      </c>
      <c r="J5154">
        <v>0</v>
      </c>
      <c r="K5154">
        <v>6</v>
      </c>
      <c r="L5154">
        <v>0</v>
      </c>
      <c r="M5154">
        <v>0</v>
      </c>
      <c r="N5154">
        <v>0</v>
      </c>
      <c r="O5154">
        <v>0</v>
      </c>
      <c r="P5154">
        <v>0</v>
      </c>
      <c r="Q5154">
        <v>0</v>
      </c>
      <c r="R5154">
        <v>0</v>
      </c>
      <c r="S5154">
        <v>0</v>
      </c>
      <c r="T5154">
        <v>0</v>
      </c>
      <c r="U5154">
        <v>0</v>
      </c>
      <c r="V5154">
        <v>0</v>
      </c>
      <c r="W5154">
        <v>0</v>
      </c>
      <c r="X5154">
        <v>0</v>
      </c>
      <c r="Y5154" t="s">
        <v>31</v>
      </c>
      <c r="Z5154">
        <v>55</v>
      </c>
      <c r="AA5154">
        <v>388</v>
      </c>
    </row>
    <row r="5155" spans="1:27" x14ac:dyDescent="0.2">
      <c r="A5155" t="s">
        <v>547</v>
      </c>
      <c r="B5155">
        <v>2024</v>
      </c>
      <c r="C5155">
        <v>5532002018</v>
      </c>
      <c r="D5155" t="s">
        <v>6257</v>
      </c>
      <c r="E5155" t="s">
        <v>29</v>
      </c>
      <c r="F5155" t="s">
        <v>30</v>
      </c>
      <c r="G5155">
        <v>0</v>
      </c>
      <c r="H5155">
        <v>0</v>
      </c>
      <c r="I5155">
        <v>38</v>
      </c>
      <c r="J5155">
        <v>0</v>
      </c>
      <c r="K5155">
        <v>9</v>
      </c>
      <c r="L5155">
        <v>0</v>
      </c>
      <c r="M5155">
        <v>0</v>
      </c>
      <c r="N5155">
        <v>0</v>
      </c>
      <c r="O5155">
        <v>0</v>
      </c>
      <c r="P5155">
        <v>0</v>
      </c>
      <c r="Q5155">
        <v>0</v>
      </c>
      <c r="R5155">
        <v>0</v>
      </c>
      <c r="S5155">
        <v>0</v>
      </c>
      <c r="T5155">
        <v>0</v>
      </c>
      <c r="U5155">
        <v>0</v>
      </c>
      <c r="V5155">
        <v>0</v>
      </c>
      <c r="W5155">
        <v>0</v>
      </c>
      <c r="X5155">
        <v>0</v>
      </c>
      <c r="Y5155" t="s">
        <v>31</v>
      </c>
      <c r="Z5155">
        <v>55</v>
      </c>
      <c r="AA5155">
        <v>336</v>
      </c>
    </row>
    <row r="5156" spans="1:27" x14ac:dyDescent="0.2">
      <c r="A5156" t="s">
        <v>547</v>
      </c>
      <c r="B5156">
        <v>2024</v>
      </c>
      <c r="C5156">
        <v>5544002061</v>
      </c>
      <c r="D5156" t="s">
        <v>6258</v>
      </c>
      <c r="E5156" t="s">
        <v>29</v>
      </c>
      <c r="F5156" t="s">
        <v>30</v>
      </c>
      <c r="G5156">
        <v>1</v>
      </c>
      <c r="H5156">
        <v>0</v>
      </c>
      <c r="I5156">
        <v>46</v>
      </c>
      <c r="J5156">
        <v>0</v>
      </c>
      <c r="K5156">
        <v>10</v>
      </c>
      <c r="L5156">
        <v>0</v>
      </c>
      <c r="M5156">
        <v>0</v>
      </c>
      <c r="N5156">
        <v>0</v>
      </c>
      <c r="O5156">
        <v>0</v>
      </c>
      <c r="P5156">
        <v>0</v>
      </c>
      <c r="Q5156">
        <v>0</v>
      </c>
      <c r="R5156">
        <v>0</v>
      </c>
      <c r="S5156">
        <v>0</v>
      </c>
      <c r="T5156">
        <v>0</v>
      </c>
      <c r="U5156">
        <v>0</v>
      </c>
      <c r="V5156">
        <v>0</v>
      </c>
      <c r="W5156">
        <v>0</v>
      </c>
      <c r="X5156">
        <v>0</v>
      </c>
      <c r="Y5156" t="s">
        <v>31</v>
      </c>
      <c r="Z5156">
        <v>55</v>
      </c>
      <c r="AA5156">
        <v>729</v>
      </c>
    </row>
    <row r="5157" spans="1:27" x14ac:dyDescent="0.2">
      <c r="A5157" t="s">
        <v>547</v>
      </c>
      <c r="B5157">
        <v>2024</v>
      </c>
      <c r="C5157">
        <v>6015021028</v>
      </c>
      <c r="D5157" t="s">
        <v>6259</v>
      </c>
      <c r="E5157" t="s">
        <v>29</v>
      </c>
      <c r="F5157" t="s">
        <v>30</v>
      </c>
      <c r="G5157">
        <v>0</v>
      </c>
      <c r="H5157">
        <v>0</v>
      </c>
      <c r="I5157">
        <v>28</v>
      </c>
      <c r="J5157">
        <v>0</v>
      </c>
      <c r="K5157">
        <v>8</v>
      </c>
      <c r="L5157">
        <v>0</v>
      </c>
      <c r="M5157">
        <v>0</v>
      </c>
      <c r="N5157">
        <v>0</v>
      </c>
      <c r="O5157">
        <v>0</v>
      </c>
      <c r="P5157">
        <v>0</v>
      </c>
      <c r="Q5157">
        <v>0</v>
      </c>
      <c r="R5157">
        <v>0</v>
      </c>
      <c r="S5157">
        <v>0</v>
      </c>
      <c r="T5157">
        <v>0</v>
      </c>
      <c r="U5157">
        <v>0</v>
      </c>
      <c r="V5157">
        <v>0</v>
      </c>
      <c r="W5157">
        <v>0</v>
      </c>
      <c r="X5157">
        <v>0</v>
      </c>
      <c r="Y5157" t="s">
        <v>31</v>
      </c>
      <c r="Z5157">
        <v>55</v>
      </c>
      <c r="AA5157">
        <v>60</v>
      </c>
    </row>
    <row r="5158" spans="1:27" x14ac:dyDescent="0.2">
      <c r="A5158" t="s">
        <v>547</v>
      </c>
      <c r="B5158">
        <v>2024</v>
      </c>
      <c r="C5158">
        <v>6038012014</v>
      </c>
      <c r="D5158" t="s">
        <v>6260</v>
      </c>
      <c r="E5158" t="s">
        <v>29</v>
      </c>
      <c r="F5158" t="s">
        <v>30</v>
      </c>
      <c r="G5158">
        <v>1</v>
      </c>
      <c r="H5158">
        <v>0</v>
      </c>
      <c r="I5158">
        <v>170</v>
      </c>
      <c r="J5158">
        <v>0</v>
      </c>
      <c r="K5158">
        <v>43</v>
      </c>
      <c r="L5158">
        <v>0</v>
      </c>
      <c r="M5158">
        <v>0</v>
      </c>
      <c r="N5158">
        <v>0</v>
      </c>
      <c r="O5158">
        <v>0</v>
      </c>
      <c r="P5158">
        <v>0</v>
      </c>
      <c r="Q5158">
        <v>0</v>
      </c>
      <c r="R5158">
        <v>0</v>
      </c>
      <c r="S5158">
        <v>0</v>
      </c>
      <c r="T5158">
        <v>0</v>
      </c>
      <c r="U5158">
        <v>0</v>
      </c>
      <c r="V5158">
        <v>0</v>
      </c>
      <c r="W5158">
        <v>0</v>
      </c>
      <c r="X5158">
        <v>0</v>
      </c>
      <c r="Y5158" t="s">
        <v>31</v>
      </c>
      <c r="Z5158">
        <v>55</v>
      </c>
      <c r="AA5158">
        <v>205</v>
      </c>
    </row>
    <row r="5159" spans="1:27" x14ac:dyDescent="0.2">
      <c r="A5159" t="s">
        <v>547</v>
      </c>
      <c r="B5159">
        <v>2024</v>
      </c>
      <c r="C5159">
        <v>6039014020</v>
      </c>
      <c r="D5159" t="s">
        <v>6261</v>
      </c>
      <c r="E5159" t="s">
        <v>29</v>
      </c>
      <c r="F5159" t="s">
        <v>30</v>
      </c>
      <c r="G5159">
        <v>0</v>
      </c>
      <c r="H5159">
        <v>0</v>
      </c>
      <c r="I5159">
        <v>50</v>
      </c>
      <c r="J5159">
        <v>0</v>
      </c>
      <c r="K5159">
        <v>13</v>
      </c>
      <c r="L5159">
        <v>0</v>
      </c>
      <c r="M5159">
        <v>0</v>
      </c>
      <c r="N5159">
        <v>0</v>
      </c>
      <c r="O5159">
        <v>0</v>
      </c>
      <c r="P5159">
        <v>0</v>
      </c>
      <c r="Q5159">
        <v>0</v>
      </c>
      <c r="R5159">
        <v>0</v>
      </c>
      <c r="S5159">
        <v>0</v>
      </c>
      <c r="T5159">
        <v>0</v>
      </c>
      <c r="U5159">
        <v>0</v>
      </c>
      <c r="V5159">
        <v>0</v>
      </c>
      <c r="W5159">
        <v>0</v>
      </c>
      <c r="X5159">
        <v>0</v>
      </c>
      <c r="Y5159" t="s">
        <v>31</v>
      </c>
      <c r="Z5159">
        <v>55</v>
      </c>
      <c r="AA5159">
        <v>392</v>
      </c>
    </row>
    <row r="5160" spans="1:27" x14ac:dyDescent="0.2">
      <c r="A5160" t="s">
        <v>547</v>
      </c>
      <c r="B5160">
        <v>2024</v>
      </c>
      <c r="C5160">
        <v>6040039004</v>
      </c>
      <c r="D5160" t="s">
        <v>6262</v>
      </c>
      <c r="E5160" t="s">
        <v>29</v>
      </c>
      <c r="F5160" t="s">
        <v>30</v>
      </c>
      <c r="G5160">
        <v>0</v>
      </c>
      <c r="H5160">
        <v>0</v>
      </c>
      <c r="I5160">
        <v>32</v>
      </c>
      <c r="J5160">
        <v>0</v>
      </c>
      <c r="K5160">
        <v>9</v>
      </c>
      <c r="L5160">
        <v>0</v>
      </c>
      <c r="M5160">
        <v>0</v>
      </c>
      <c r="N5160">
        <v>0</v>
      </c>
      <c r="O5160">
        <v>0</v>
      </c>
      <c r="P5160">
        <v>0</v>
      </c>
      <c r="Q5160">
        <v>0</v>
      </c>
      <c r="R5160">
        <v>0</v>
      </c>
      <c r="S5160">
        <v>0</v>
      </c>
      <c r="T5160">
        <v>0</v>
      </c>
      <c r="U5160">
        <v>0</v>
      </c>
      <c r="V5160">
        <v>0</v>
      </c>
      <c r="W5160">
        <v>0</v>
      </c>
      <c r="X5160">
        <v>0</v>
      </c>
      <c r="Y5160" t="s">
        <v>31</v>
      </c>
      <c r="Z5160">
        <v>55</v>
      </c>
      <c r="AA5160">
        <v>147</v>
      </c>
    </row>
    <row r="5161" spans="1:27" x14ac:dyDescent="0.2">
      <c r="A5161" t="s">
        <v>547</v>
      </c>
      <c r="B5161">
        <v>2024</v>
      </c>
      <c r="C5161">
        <v>7454002015</v>
      </c>
      <c r="D5161" t="s">
        <v>6263</v>
      </c>
      <c r="E5161" t="s">
        <v>29</v>
      </c>
      <c r="F5161" t="s">
        <v>30</v>
      </c>
      <c r="G5161">
        <v>1</v>
      </c>
      <c r="H5161">
        <v>0</v>
      </c>
      <c r="I5161">
        <v>19</v>
      </c>
      <c r="J5161">
        <v>0</v>
      </c>
      <c r="K5161">
        <v>5</v>
      </c>
      <c r="L5161">
        <v>0</v>
      </c>
      <c r="M5161">
        <v>0</v>
      </c>
      <c r="N5161">
        <v>0</v>
      </c>
      <c r="O5161">
        <v>0</v>
      </c>
      <c r="P5161">
        <v>0</v>
      </c>
      <c r="Q5161">
        <v>0</v>
      </c>
      <c r="R5161">
        <v>0</v>
      </c>
      <c r="S5161">
        <v>0</v>
      </c>
      <c r="T5161">
        <v>0</v>
      </c>
      <c r="U5161">
        <v>0</v>
      </c>
      <c r="V5161">
        <v>0</v>
      </c>
      <c r="W5161">
        <v>0</v>
      </c>
      <c r="X5161">
        <v>0</v>
      </c>
      <c r="Y5161" t="s">
        <v>31</v>
      </c>
      <c r="Z5161">
        <v>55</v>
      </c>
      <c r="AA5161">
        <v>85</v>
      </c>
    </row>
    <row r="5162" spans="1:27" x14ac:dyDescent="0.2">
      <c r="A5162" t="s">
        <v>1077</v>
      </c>
      <c r="B5162">
        <v>2024</v>
      </c>
      <c r="C5162">
        <v>2294921400</v>
      </c>
      <c r="D5162" t="s">
        <v>6264</v>
      </c>
      <c r="E5162" t="s">
        <v>29</v>
      </c>
      <c r="F5162" t="s">
        <v>30</v>
      </c>
      <c r="G5162">
        <v>0</v>
      </c>
      <c r="H5162">
        <v>0</v>
      </c>
      <c r="I5162">
        <v>2</v>
      </c>
      <c r="J5162">
        <v>0</v>
      </c>
      <c r="K5162">
        <v>0</v>
      </c>
      <c r="L5162">
        <v>0</v>
      </c>
      <c r="M5162">
        <v>0</v>
      </c>
      <c r="N5162">
        <v>0</v>
      </c>
      <c r="O5162">
        <v>0</v>
      </c>
      <c r="P5162">
        <v>0</v>
      </c>
      <c r="Q5162">
        <v>0</v>
      </c>
      <c r="R5162">
        <v>0</v>
      </c>
      <c r="S5162">
        <v>0</v>
      </c>
      <c r="T5162">
        <v>0</v>
      </c>
      <c r="U5162">
        <v>0</v>
      </c>
      <c r="V5162">
        <v>0</v>
      </c>
      <c r="W5162">
        <v>0</v>
      </c>
      <c r="X5162">
        <v>0</v>
      </c>
      <c r="Y5162" t="s">
        <v>31</v>
      </c>
      <c r="AA5162" s="2" t="s">
        <v>4011</v>
      </c>
    </row>
    <row r="5163" spans="1:27" x14ac:dyDescent="0.2">
      <c r="A5163" t="s">
        <v>600</v>
      </c>
      <c r="B5163">
        <v>2024</v>
      </c>
      <c r="C5163">
        <v>3971001</v>
      </c>
      <c r="D5163" t="s">
        <v>6265</v>
      </c>
      <c r="E5163" t="s">
        <v>29</v>
      </c>
      <c r="F5163" t="s">
        <v>30</v>
      </c>
      <c r="G5163">
        <v>334</v>
      </c>
      <c r="H5163">
        <v>0</v>
      </c>
      <c r="I5163">
        <v>142</v>
      </c>
      <c r="J5163">
        <v>0</v>
      </c>
      <c r="K5163">
        <v>37</v>
      </c>
      <c r="L5163">
        <v>0</v>
      </c>
      <c r="M5163">
        <v>0</v>
      </c>
      <c r="N5163">
        <v>0</v>
      </c>
      <c r="O5163">
        <v>0</v>
      </c>
      <c r="P5163">
        <v>0</v>
      </c>
      <c r="Q5163">
        <v>0</v>
      </c>
      <c r="R5163">
        <v>0</v>
      </c>
      <c r="S5163">
        <v>0</v>
      </c>
      <c r="T5163">
        <v>0</v>
      </c>
      <c r="U5163">
        <v>0</v>
      </c>
      <c r="V5163">
        <v>0</v>
      </c>
      <c r="W5163">
        <v>0</v>
      </c>
      <c r="X5163">
        <v>0</v>
      </c>
      <c r="Y5163" t="s">
        <v>51</v>
      </c>
      <c r="Z5163">
        <v>99</v>
      </c>
      <c r="AA5163">
        <v>0</v>
      </c>
    </row>
    <row r="5164" spans="1:27" x14ac:dyDescent="0.2">
      <c r="A5164" t="s">
        <v>600</v>
      </c>
      <c r="B5164">
        <v>2024</v>
      </c>
      <c r="C5164">
        <v>1216017</v>
      </c>
      <c r="D5164" t="s">
        <v>6266</v>
      </c>
      <c r="E5164" t="s">
        <v>29</v>
      </c>
      <c r="F5164" t="s">
        <v>30</v>
      </c>
      <c r="G5164">
        <v>6</v>
      </c>
      <c r="H5164">
        <v>0</v>
      </c>
      <c r="I5164">
        <v>35</v>
      </c>
      <c r="J5164">
        <v>0</v>
      </c>
      <c r="K5164">
        <v>3</v>
      </c>
      <c r="L5164">
        <v>0</v>
      </c>
      <c r="M5164">
        <v>0</v>
      </c>
      <c r="N5164">
        <v>0</v>
      </c>
      <c r="O5164">
        <v>0</v>
      </c>
      <c r="P5164">
        <v>0</v>
      </c>
      <c r="Q5164">
        <v>0</v>
      </c>
      <c r="R5164">
        <v>0</v>
      </c>
      <c r="S5164">
        <v>0</v>
      </c>
      <c r="T5164">
        <v>0</v>
      </c>
      <c r="U5164">
        <v>0</v>
      </c>
      <c r="V5164">
        <v>0</v>
      </c>
      <c r="W5164">
        <v>0</v>
      </c>
      <c r="X5164">
        <v>0</v>
      </c>
      <c r="Y5164" t="s">
        <v>31</v>
      </c>
      <c r="Z5164">
        <v>99</v>
      </c>
      <c r="AA5164" s="2" t="s">
        <v>6267</v>
      </c>
    </row>
    <row r="5165" spans="1:27" x14ac:dyDescent="0.2">
      <c r="A5165" t="s">
        <v>600</v>
      </c>
      <c r="B5165">
        <v>2024</v>
      </c>
      <c r="C5165">
        <v>243027</v>
      </c>
      <c r="D5165" t="s">
        <v>6268</v>
      </c>
      <c r="E5165" t="s">
        <v>29</v>
      </c>
      <c r="F5165" t="s">
        <v>30</v>
      </c>
      <c r="G5165">
        <v>0</v>
      </c>
      <c r="H5165">
        <v>0</v>
      </c>
      <c r="I5165">
        <v>5</v>
      </c>
      <c r="J5165">
        <v>0</v>
      </c>
      <c r="K5165">
        <v>0</v>
      </c>
      <c r="L5165">
        <v>0</v>
      </c>
      <c r="M5165">
        <v>0</v>
      </c>
      <c r="N5165">
        <v>0</v>
      </c>
      <c r="O5165">
        <v>0</v>
      </c>
      <c r="P5165">
        <v>0</v>
      </c>
      <c r="Q5165">
        <v>0</v>
      </c>
      <c r="R5165">
        <v>0</v>
      </c>
      <c r="S5165">
        <v>0</v>
      </c>
      <c r="T5165">
        <v>0</v>
      </c>
      <c r="U5165">
        <v>0</v>
      </c>
      <c r="V5165">
        <v>0</v>
      </c>
      <c r="W5165">
        <v>0</v>
      </c>
      <c r="X5165">
        <v>0</v>
      </c>
      <c r="Y5165" t="s">
        <v>31</v>
      </c>
      <c r="Z5165">
        <v>99</v>
      </c>
      <c r="AA5165" s="2" t="s">
        <v>3659</v>
      </c>
    </row>
    <row r="5166" spans="1:27" x14ac:dyDescent="0.2">
      <c r="A5166" t="s">
        <v>547</v>
      </c>
      <c r="B5166">
        <v>2023</v>
      </c>
      <c r="C5166">
        <v>5157024002</v>
      </c>
      <c r="D5166" t="s">
        <v>6269</v>
      </c>
      <c r="E5166" t="s">
        <v>29</v>
      </c>
      <c r="F5166" t="s">
        <v>30</v>
      </c>
      <c r="G5166">
        <v>0</v>
      </c>
      <c r="H5166">
        <v>0</v>
      </c>
      <c r="I5166">
        <v>0</v>
      </c>
      <c r="J5166">
        <v>0</v>
      </c>
      <c r="K5166">
        <v>0</v>
      </c>
      <c r="L5166">
        <v>0</v>
      </c>
      <c r="M5166">
        <v>0</v>
      </c>
      <c r="N5166">
        <v>0</v>
      </c>
      <c r="O5166">
        <v>16</v>
      </c>
      <c r="P5166">
        <v>0</v>
      </c>
      <c r="Q5166">
        <v>2</v>
      </c>
      <c r="R5166">
        <v>0</v>
      </c>
      <c r="S5166">
        <v>0</v>
      </c>
      <c r="T5166">
        <v>0</v>
      </c>
      <c r="U5166">
        <v>0</v>
      </c>
      <c r="V5166">
        <v>0</v>
      </c>
      <c r="W5166">
        <v>0</v>
      </c>
      <c r="X5166">
        <v>0</v>
      </c>
      <c r="Y5166" t="s">
        <v>51</v>
      </c>
      <c r="Z5166">
        <v>55</v>
      </c>
      <c r="AA5166">
        <v>0</v>
      </c>
    </row>
    <row r="5167" spans="1:27" x14ac:dyDescent="0.2">
      <c r="A5167" t="s">
        <v>547</v>
      </c>
      <c r="B5167">
        <v>2023</v>
      </c>
      <c r="C5167">
        <v>2611009022</v>
      </c>
      <c r="D5167" t="s">
        <v>6270</v>
      </c>
      <c r="E5167" t="s">
        <v>29</v>
      </c>
      <c r="F5167" t="s">
        <v>30</v>
      </c>
      <c r="G5167">
        <v>0</v>
      </c>
      <c r="H5167">
        <v>0</v>
      </c>
      <c r="I5167">
        <v>95</v>
      </c>
      <c r="J5167">
        <v>0</v>
      </c>
      <c r="K5167">
        <v>25</v>
      </c>
      <c r="L5167">
        <v>0</v>
      </c>
      <c r="M5167">
        <v>0</v>
      </c>
      <c r="N5167">
        <v>0</v>
      </c>
      <c r="O5167">
        <v>0</v>
      </c>
      <c r="P5167">
        <v>0</v>
      </c>
      <c r="Q5167">
        <v>0</v>
      </c>
      <c r="R5167">
        <v>0</v>
      </c>
      <c r="S5167">
        <v>0</v>
      </c>
      <c r="T5167">
        <v>0</v>
      </c>
      <c r="U5167">
        <v>0</v>
      </c>
      <c r="V5167">
        <v>0</v>
      </c>
      <c r="W5167">
        <v>0</v>
      </c>
      <c r="X5167">
        <v>0</v>
      </c>
      <c r="Y5167" t="s">
        <v>31</v>
      </c>
      <c r="Z5167">
        <v>55</v>
      </c>
      <c r="AA5167">
        <v>1.51</v>
      </c>
    </row>
    <row r="5168" spans="1:27" x14ac:dyDescent="0.2">
      <c r="A5168" t="s">
        <v>547</v>
      </c>
      <c r="B5168">
        <v>2023</v>
      </c>
      <c r="C5168">
        <v>5545014021</v>
      </c>
      <c r="D5168" t="s">
        <v>6271</v>
      </c>
      <c r="E5168" t="s">
        <v>29</v>
      </c>
      <c r="F5168" t="s">
        <v>30</v>
      </c>
      <c r="G5168">
        <v>0</v>
      </c>
      <c r="H5168">
        <v>0</v>
      </c>
      <c r="I5168">
        <v>0</v>
      </c>
      <c r="J5168">
        <v>0</v>
      </c>
      <c r="K5168">
        <v>0</v>
      </c>
      <c r="L5168">
        <v>0</v>
      </c>
      <c r="M5168">
        <v>4</v>
      </c>
      <c r="N5168">
        <v>0</v>
      </c>
      <c r="O5168">
        <v>0</v>
      </c>
      <c r="P5168">
        <v>0</v>
      </c>
      <c r="Q5168">
        <v>0</v>
      </c>
      <c r="R5168">
        <v>0</v>
      </c>
      <c r="S5168">
        <v>0</v>
      </c>
      <c r="T5168">
        <v>0</v>
      </c>
      <c r="U5168">
        <v>0</v>
      </c>
      <c r="V5168">
        <v>0</v>
      </c>
      <c r="W5168">
        <v>0</v>
      </c>
      <c r="X5168">
        <v>0</v>
      </c>
      <c r="Y5168" t="s">
        <v>31</v>
      </c>
      <c r="Z5168">
        <v>55</v>
      </c>
      <c r="AA5168" s="2" t="s">
        <v>3316</v>
      </c>
    </row>
    <row r="5169" spans="1:27" x14ac:dyDescent="0.2">
      <c r="A5169" t="s">
        <v>547</v>
      </c>
      <c r="B5169">
        <v>2023</v>
      </c>
      <c r="C5169">
        <v>5040003014</v>
      </c>
      <c r="D5169" t="s">
        <v>6247</v>
      </c>
      <c r="E5169" t="s">
        <v>29</v>
      </c>
      <c r="F5169" t="s">
        <v>30</v>
      </c>
      <c r="G5169">
        <v>12</v>
      </c>
      <c r="H5169">
        <v>0</v>
      </c>
      <c r="I5169">
        <v>0</v>
      </c>
      <c r="J5169">
        <v>0</v>
      </c>
      <c r="K5169">
        <v>0</v>
      </c>
      <c r="L5169">
        <v>0</v>
      </c>
      <c r="M5169">
        <v>0</v>
      </c>
      <c r="N5169">
        <v>0</v>
      </c>
      <c r="O5169">
        <v>0</v>
      </c>
      <c r="P5169">
        <v>0</v>
      </c>
      <c r="Q5169">
        <v>0</v>
      </c>
      <c r="R5169">
        <v>0</v>
      </c>
      <c r="S5169">
        <v>0</v>
      </c>
      <c r="T5169">
        <v>0</v>
      </c>
      <c r="U5169">
        <v>0</v>
      </c>
      <c r="V5169">
        <v>0</v>
      </c>
      <c r="W5169">
        <v>0</v>
      </c>
      <c r="X5169">
        <v>0</v>
      </c>
      <c r="Y5169" t="s">
        <v>31</v>
      </c>
      <c r="AA5169" s="2" t="s">
        <v>3358</v>
      </c>
    </row>
    <row r="5170" spans="1:27" x14ac:dyDescent="0.2">
      <c r="A5170" t="s">
        <v>547</v>
      </c>
      <c r="B5170">
        <v>2023</v>
      </c>
      <c r="C5170">
        <v>5058009046</v>
      </c>
      <c r="D5170" t="s">
        <v>6272</v>
      </c>
      <c r="E5170" t="s">
        <v>29</v>
      </c>
      <c r="F5170" t="s">
        <v>30</v>
      </c>
      <c r="G5170">
        <v>38</v>
      </c>
      <c r="H5170">
        <v>0</v>
      </c>
      <c r="I5170">
        <v>0</v>
      </c>
      <c r="J5170">
        <v>0</v>
      </c>
      <c r="K5170">
        <v>0</v>
      </c>
      <c r="L5170">
        <v>0</v>
      </c>
      <c r="M5170">
        <v>0</v>
      </c>
      <c r="N5170">
        <v>0</v>
      </c>
      <c r="O5170">
        <v>0</v>
      </c>
      <c r="P5170">
        <v>0</v>
      </c>
      <c r="Q5170">
        <v>0</v>
      </c>
      <c r="R5170">
        <v>0</v>
      </c>
      <c r="S5170">
        <v>0</v>
      </c>
      <c r="T5170">
        <v>0</v>
      </c>
      <c r="U5170">
        <v>0</v>
      </c>
      <c r="V5170">
        <v>0</v>
      </c>
      <c r="W5170">
        <v>0</v>
      </c>
      <c r="X5170">
        <v>0</v>
      </c>
      <c r="Y5170" t="s">
        <v>31</v>
      </c>
      <c r="AA5170" s="2" t="s">
        <v>5193</v>
      </c>
    </row>
    <row r="5171" spans="1:27" x14ac:dyDescent="0.2">
      <c r="A5171" t="s">
        <v>547</v>
      </c>
      <c r="B5171">
        <v>2023</v>
      </c>
      <c r="C5171">
        <v>6018007001</v>
      </c>
      <c r="D5171" t="s">
        <v>6273</v>
      </c>
      <c r="E5171" t="s">
        <v>29</v>
      </c>
      <c r="F5171" t="s">
        <v>30</v>
      </c>
      <c r="G5171">
        <v>0</v>
      </c>
      <c r="H5171">
        <v>0</v>
      </c>
      <c r="I5171">
        <v>23</v>
      </c>
      <c r="J5171">
        <v>0</v>
      </c>
      <c r="K5171">
        <v>7</v>
      </c>
      <c r="L5171">
        <v>0</v>
      </c>
      <c r="M5171">
        <v>0</v>
      </c>
      <c r="N5171">
        <v>0</v>
      </c>
      <c r="O5171">
        <v>0</v>
      </c>
      <c r="P5171">
        <v>0</v>
      </c>
      <c r="Q5171">
        <v>0</v>
      </c>
      <c r="R5171">
        <v>0</v>
      </c>
      <c r="S5171">
        <v>0</v>
      </c>
      <c r="T5171">
        <v>0</v>
      </c>
      <c r="U5171">
        <v>0</v>
      </c>
      <c r="V5171">
        <v>0</v>
      </c>
      <c r="W5171">
        <v>0</v>
      </c>
      <c r="X5171">
        <v>0</v>
      </c>
      <c r="Y5171" t="s">
        <v>31</v>
      </c>
      <c r="AA5171" s="2" t="s">
        <v>5323</v>
      </c>
    </row>
    <row r="5172" spans="1:27" x14ac:dyDescent="0.2">
      <c r="A5172" t="s">
        <v>547</v>
      </c>
      <c r="B5172">
        <v>2024</v>
      </c>
      <c r="C5172">
        <v>5082026013</v>
      </c>
      <c r="D5172" t="s">
        <v>6274</v>
      </c>
      <c r="E5172" t="s">
        <v>29</v>
      </c>
      <c r="F5172" t="s">
        <v>30</v>
      </c>
      <c r="G5172">
        <v>0</v>
      </c>
      <c r="H5172">
        <v>0</v>
      </c>
      <c r="I5172">
        <v>0</v>
      </c>
      <c r="J5172">
        <v>0</v>
      </c>
      <c r="K5172">
        <v>0</v>
      </c>
      <c r="L5172">
        <v>0</v>
      </c>
      <c r="M5172">
        <v>0</v>
      </c>
      <c r="N5172">
        <v>0</v>
      </c>
      <c r="O5172">
        <v>42</v>
      </c>
      <c r="P5172">
        <v>0</v>
      </c>
      <c r="Q5172">
        <v>0</v>
      </c>
      <c r="R5172">
        <v>0</v>
      </c>
      <c r="S5172">
        <v>0</v>
      </c>
      <c r="T5172">
        <v>0</v>
      </c>
      <c r="U5172">
        <v>42</v>
      </c>
      <c r="V5172">
        <v>0</v>
      </c>
      <c r="W5172">
        <v>0</v>
      </c>
      <c r="X5172">
        <v>0</v>
      </c>
      <c r="Y5172" t="s">
        <v>31</v>
      </c>
      <c r="Z5172">
        <v>55</v>
      </c>
      <c r="AA5172">
        <v>65</v>
      </c>
    </row>
    <row r="5173" spans="1:27" x14ac:dyDescent="0.2">
      <c r="A5173" t="s">
        <v>547</v>
      </c>
      <c r="B5173">
        <v>2024</v>
      </c>
      <c r="C5173">
        <v>2650021004</v>
      </c>
      <c r="D5173" t="s">
        <v>6275</v>
      </c>
      <c r="E5173" t="s">
        <v>29</v>
      </c>
      <c r="F5173" t="s">
        <v>30</v>
      </c>
      <c r="G5173">
        <v>0</v>
      </c>
      <c r="H5173">
        <v>0</v>
      </c>
      <c r="I5173">
        <v>105</v>
      </c>
      <c r="J5173">
        <v>0</v>
      </c>
      <c r="K5173">
        <v>27</v>
      </c>
      <c r="L5173">
        <v>0</v>
      </c>
      <c r="M5173">
        <v>0</v>
      </c>
      <c r="N5173">
        <v>0</v>
      </c>
      <c r="O5173">
        <v>0</v>
      </c>
      <c r="P5173">
        <v>0</v>
      </c>
      <c r="Q5173">
        <v>0</v>
      </c>
      <c r="R5173">
        <v>0</v>
      </c>
      <c r="S5173">
        <v>0</v>
      </c>
      <c r="T5173">
        <v>0</v>
      </c>
      <c r="U5173">
        <v>0</v>
      </c>
      <c r="V5173">
        <v>0</v>
      </c>
      <c r="W5173">
        <v>0</v>
      </c>
      <c r="X5173">
        <v>0</v>
      </c>
      <c r="Y5173" t="s">
        <v>31</v>
      </c>
      <c r="Z5173">
        <v>55</v>
      </c>
      <c r="AA5173">
        <v>56</v>
      </c>
    </row>
    <row r="5174" spans="1:27" x14ac:dyDescent="0.2">
      <c r="A5174" t="s">
        <v>547</v>
      </c>
      <c r="B5174">
        <v>2024</v>
      </c>
      <c r="C5174">
        <v>4006005007</v>
      </c>
      <c r="D5174" t="s">
        <v>6276</v>
      </c>
      <c r="E5174" t="s">
        <v>29</v>
      </c>
      <c r="F5174" t="s">
        <v>30</v>
      </c>
      <c r="G5174">
        <v>2</v>
      </c>
      <c r="H5174">
        <v>0</v>
      </c>
      <c r="I5174">
        <v>39</v>
      </c>
      <c r="J5174">
        <v>0</v>
      </c>
      <c r="K5174">
        <v>8</v>
      </c>
      <c r="L5174">
        <v>0</v>
      </c>
      <c r="M5174">
        <v>0</v>
      </c>
      <c r="N5174">
        <v>0</v>
      </c>
      <c r="O5174">
        <v>0</v>
      </c>
      <c r="P5174">
        <v>0</v>
      </c>
      <c r="Q5174">
        <v>0</v>
      </c>
      <c r="R5174">
        <v>0</v>
      </c>
      <c r="S5174">
        <v>0</v>
      </c>
      <c r="T5174">
        <v>0</v>
      </c>
      <c r="U5174">
        <v>0</v>
      </c>
      <c r="V5174">
        <v>0</v>
      </c>
      <c r="W5174">
        <v>0</v>
      </c>
      <c r="X5174">
        <v>0</v>
      </c>
      <c r="Y5174" t="s">
        <v>31</v>
      </c>
      <c r="Z5174">
        <v>55</v>
      </c>
      <c r="AA5174">
        <v>233</v>
      </c>
    </row>
    <row r="5175" spans="1:27" x14ac:dyDescent="0.2">
      <c r="A5175" t="s">
        <v>547</v>
      </c>
      <c r="B5175">
        <v>2024</v>
      </c>
      <c r="C5175">
        <v>4231017025</v>
      </c>
      <c r="D5175" t="s">
        <v>6277</v>
      </c>
      <c r="E5175" t="s">
        <v>29</v>
      </c>
      <c r="F5175" t="s">
        <v>30</v>
      </c>
      <c r="G5175">
        <v>2</v>
      </c>
      <c r="H5175">
        <v>0</v>
      </c>
      <c r="I5175">
        <v>48</v>
      </c>
      <c r="J5175">
        <v>0</v>
      </c>
      <c r="K5175">
        <v>9</v>
      </c>
      <c r="L5175">
        <v>0</v>
      </c>
      <c r="M5175">
        <v>0</v>
      </c>
      <c r="N5175">
        <v>0</v>
      </c>
      <c r="O5175">
        <v>0</v>
      </c>
      <c r="P5175">
        <v>0</v>
      </c>
      <c r="Q5175">
        <v>0</v>
      </c>
      <c r="R5175">
        <v>0</v>
      </c>
      <c r="S5175">
        <v>0</v>
      </c>
      <c r="T5175">
        <v>0</v>
      </c>
      <c r="U5175">
        <v>0</v>
      </c>
      <c r="V5175">
        <v>0</v>
      </c>
      <c r="W5175">
        <v>0</v>
      </c>
      <c r="X5175">
        <v>0</v>
      </c>
      <c r="Y5175" t="s">
        <v>31</v>
      </c>
      <c r="Z5175">
        <v>55</v>
      </c>
      <c r="AA5175">
        <v>253</v>
      </c>
    </row>
    <row r="5176" spans="1:27" x14ac:dyDescent="0.2">
      <c r="A5176" t="s">
        <v>547</v>
      </c>
      <c r="B5176">
        <v>2024</v>
      </c>
      <c r="C5176">
        <v>5124012030</v>
      </c>
      <c r="D5176" t="s">
        <v>844</v>
      </c>
      <c r="E5176" t="s">
        <v>29</v>
      </c>
      <c r="F5176" t="s">
        <v>30</v>
      </c>
      <c r="G5176">
        <v>0</v>
      </c>
      <c r="H5176">
        <v>0</v>
      </c>
      <c r="I5176">
        <v>61</v>
      </c>
      <c r="J5176">
        <v>0</v>
      </c>
      <c r="K5176">
        <v>16</v>
      </c>
      <c r="L5176">
        <v>0</v>
      </c>
      <c r="M5176">
        <v>0</v>
      </c>
      <c r="N5176">
        <v>0</v>
      </c>
      <c r="O5176">
        <v>0</v>
      </c>
      <c r="P5176">
        <v>0</v>
      </c>
      <c r="Q5176">
        <v>0</v>
      </c>
      <c r="R5176">
        <v>0</v>
      </c>
      <c r="S5176">
        <v>0</v>
      </c>
      <c r="T5176">
        <v>0</v>
      </c>
      <c r="U5176">
        <v>0</v>
      </c>
      <c r="V5176">
        <v>0</v>
      </c>
      <c r="W5176">
        <v>0</v>
      </c>
      <c r="X5176">
        <v>0</v>
      </c>
      <c r="Y5176" t="s">
        <v>31</v>
      </c>
      <c r="Z5176">
        <v>55</v>
      </c>
      <c r="AA5176">
        <v>766</v>
      </c>
    </row>
    <row r="5177" spans="1:27" x14ac:dyDescent="0.2">
      <c r="A5177" t="s">
        <v>547</v>
      </c>
      <c r="B5177">
        <v>2024</v>
      </c>
      <c r="C5177">
        <v>5152002011</v>
      </c>
      <c r="D5177" t="s">
        <v>6278</v>
      </c>
      <c r="E5177" t="s">
        <v>29</v>
      </c>
      <c r="F5177" t="s">
        <v>30</v>
      </c>
      <c r="G5177">
        <v>2</v>
      </c>
      <c r="H5177">
        <v>0</v>
      </c>
      <c r="I5177">
        <v>92</v>
      </c>
      <c r="J5177">
        <v>0</v>
      </c>
      <c r="K5177">
        <v>19</v>
      </c>
      <c r="L5177">
        <v>0</v>
      </c>
      <c r="M5177">
        <v>0</v>
      </c>
      <c r="N5177">
        <v>0</v>
      </c>
      <c r="O5177">
        <v>0</v>
      </c>
      <c r="P5177">
        <v>0</v>
      </c>
      <c r="Q5177">
        <v>0</v>
      </c>
      <c r="R5177">
        <v>0</v>
      </c>
      <c r="S5177">
        <v>0</v>
      </c>
      <c r="T5177">
        <v>0</v>
      </c>
      <c r="U5177">
        <v>0</v>
      </c>
      <c r="V5177">
        <v>0</v>
      </c>
      <c r="W5177">
        <v>0</v>
      </c>
      <c r="X5177">
        <v>0</v>
      </c>
      <c r="Y5177" t="s">
        <v>31</v>
      </c>
      <c r="Z5177">
        <v>55</v>
      </c>
      <c r="AA5177">
        <v>195</v>
      </c>
    </row>
    <row r="5178" spans="1:27" x14ac:dyDescent="0.2">
      <c r="A5178" t="s">
        <v>547</v>
      </c>
      <c r="B5178">
        <v>2024</v>
      </c>
      <c r="C5178">
        <v>5180002009</v>
      </c>
      <c r="D5178" t="s">
        <v>6279</v>
      </c>
      <c r="E5178" t="s">
        <v>29</v>
      </c>
      <c r="F5178" t="s">
        <v>30</v>
      </c>
      <c r="G5178">
        <v>0</v>
      </c>
      <c r="H5178">
        <v>0</v>
      </c>
      <c r="I5178">
        <v>31</v>
      </c>
      <c r="J5178">
        <v>0</v>
      </c>
      <c r="K5178">
        <v>8</v>
      </c>
      <c r="L5178">
        <v>0</v>
      </c>
      <c r="M5178">
        <v>0</v>
      </c>
      <c r="N5178">
        <v>0</v>
      </c>
      <c r="O5178">
        <v>0</v>
      </c>
      <c r="P5178">
        <v>0</v>
      </c>
      <c r="Q5178">
        <v>0</v>
      </c>
      <c r="R5178">
        <v>0</v>
      </c>
      <c r="S5178">
        <v>0</v>
      </c>
      <c r="T5178">
        <v>0</v>
      </c>
      <c r="U5178">
        <v>0</v>
      </c>
      <c r="V5178">
        <v>0</v>
      </c>
      <c r="W5178">
        <v>0</v>
      </c>
      <c r="X5178">
        <v>0</v>
      </c>
      <c r="Y5178" t="s">
        <v>31</v>
      </c>
      <c r="Z5178">
        <v>55</v>
      </c>
      <c r="AA5178">
        <v>186</v>
      </c>
    </row>
    <row r="5179" spans="1:27" x14ac:dyDescent="0.2">
      <c r="A5179" t="s">
        <v>547</v>
      </c>
      <c r="B5179">
        <v>2024</v>
      </c>
      <c r="C5179">
        <v>5468015015</v>
      </c>
      <c r="D5179" t="s">
        <v>6280</v>
      </c>
      <c r="E5179" t="s">
        <v>29</v>
      </c>
      <c r="F5179" t="s">
        <v>30</v>
      </c>
      <c r="G5179">
        <v>0</v>
      </c>
      <c r="H5179">
        <v>0</v>
      </c>
      <c r="I5179">
        <v>27</v>
      </c>
      <c r="J5179">
        <v>0</v>
      </c>
      <c r="K5179">
        <v>7</v>
      </c>
      <c r="L5179">
        <v>0</v>
      </c>
      <c r="M5179">
        <v>0</v>
      </c>
      <c r="N5179">
        <v>0</v>
      </c>
      <c r="O5179">
        <v>0</v>
      </c>
      <c r="P5179">
        <v>0</v>
      </c>
      <c r="Q5179">
        <v>0</v>
      </c>
      <c r="R5179">
        <v>0</v>
      </c>
      <c r="S5179">
        <v>0</v>
      </c>
      <c r="T5179">
        <v>0</v>
      </c>
      <c r="U5179">
        <v>0</v>
      </c>
      <c r="V5179">
        <v>0</v>
      </c>
      <c r="W5179">
        <v>0</v>
      </c>
      <c r="X5179">
        <v>0</v>
      </c>
      <c r="Y5179" t="s">
        <v>31</v>
      </c>
      <c r="Z5179">
        <v>55</v>
      </c>
      <c r="AA5179">
        <v>483</v>
      </c>
    </row>
    <row r="5180" spans="1:27" x14ac:dyDescent="0.2">
      <c r="A5180" t="s">
        <v>547</v>
      </c>
      <c r="B5180">
        <v>2024</v>
      </c>
      <c r="C5180">
        <v>2216002050</v>
      </c>
      <c r="D5180" t="s">
        <v>6281</v>
      </c>
      <c r="E5180" t="s">
        <v>29</v>
      </c>
      <c r="F5180" t="s">
        <v>30</v>
      </c>
      <c r="G5180">
        <v>0</v>
      </c>
      <c r="H5180">
        <v>0</v>
      </c>
      <c r="I5180">
        <v>67</v>
      </c>
      <c r="J5180">
        <v>0</v>
      </c>
      <c r="K5180">
        <v>17</v>
      </c>
      <c r="L5180">
        <v>0</v>
      </c>
      <c r="M5180">
        <v>0</v>
      </c>
      <c r="N5180">
        <v>0</v>
      </c>
      <c r="O5180">
        <v>0</v>
      </c>
      <c r="P5180">
        <v>0</v>
      </c>
      <c r="Q5180">
        <v>0</v>
      </c>
      <c r="R5180">
        <v>0</v>
      </c>
      <c r="S5180">
        <v>0</v>
      </c>
      <c r="T5180">
        <v>0</v>
      </c>
      <c r="U5180">
        <v>0</v>
      </c>
      <c r="V5180">
        <v>0</v>
      </c>
      <c r="W5180">
        <v>0</v>
      </c>
      <c r="X5180">
        <v>0</v>
      </c>
      <c r="Y5180" t="s">
        <v>31</v>
      </c>
      <c r="Z5180">
        <v>55</v>
      </c>
      <c r="AA5180">
        <v>93</v>
      </c>
    </row>
    <row r="5181" spans="1:27" x14ac:dyDescent="0.2">
      <c r="A5181" t="s">
        <v>547</v>
      </c>
      <c r="B5181">
        <v>2024</v>
      </c>
      <c r="C5181">
        <v>2237024005</v>
      </c>
      <c r="D5181" t="s">
        <v>6282</v>
      </c>
      <c r="E5181" t="s">
        <v>29</v>
      </c>
      <c r="F5181" t="s">
        <v>30</v>
      </c>
      <c r="G5181">
        <v>6</v>
      </c>
      <c r="H5181">
        <v>0</v>
      </c>
      <c r="I5181">
        <v>44</v>
      </c>
      <c r="J5181">
        <v>0</v>
      </c>
      <c r="K5181">
        <v>1</v>
      </c>
      <c r="L5181">
        <v>0</v>
      </c>
      <c r="M5181">
        <v>0</v>
      </c>
      <c r="N5181">
        <v>0</v>
      </c>
      <c r="O5181">
        <v>0</v>
      </c>
      <c r="P5181">
        <v>0</v>
      </c>
      <c r="Q5181">
        <v>0</v>
      </c>
      <c r="R5181">
        <v>0</v>
      </c>
      <c r="S5181">
        <v>0</v>
      </c>
      <c r="T5181">
        <v>0</v>
      </c>
      <c r="U5181">
        <v>0</v>
      </c>
      <c r="V5181">
        <v>0</v>
      </c>
      <c r="W5181">
        <v>0</v>
      </c>
      <c r="X5181">
        <v>0</v>
      </c>
      <c r="Y5181" t="s">
        <v>31</v>
      </c>
      <c r="Z5181">
        <v>55</v>
      </c>
      <c r="AA5181">
        <v>5100</v>
      </c>
    </row>
    <row r="5182" spans="1:27" x14ac:dyDescent="0.2">
      <c r="A5182" t="s">
        <v>547</v>
      </c>
      <c r="B5182">
        <v>2024</v>
      </c>
      <c r="C5182">
        <v>2241015024</v>
      </c>
      <c r="D5182" t="s">
        <v>6283</v>
      </c>
      <c r="E5182" t="s">
        <v>29</v>
      </c>
      <c r="F5182" t="s">
        <v>30</v>
      </c>
      <c r="G5182">
        <v>2</v>
      </c>
      <c r="H5182">
        <v>0</v>
      </c>
      <c r="I5182">
        <v>31</v>
      </c>
      <c r="J5182">
        <v>0</v>
      </c>
      <c r="K5182">
        <v>5</v>
      </c>
      <c r="L5182">
        <v>0</v>
      </c>
      <c r="M5182">
        <v>0</v>
      </c>
      <c r="N5182">
        <v>0</v>
      </c>
      <c r="O5182">
        <v>0</v>
      </c>
      <c r="P5182">
        <v>0</v>
      </c>
      <c r="Q5182">
        <v>0</v>
      </c>
      <c r="R5182">
        <v>0</v>
      </c>
      <c r="S5182">
        <v>0</v>
      </c>
      <c r="T5182">
        <v>0</v>
      </c>
      <c r="U5182">
        <v>0</v>
      </c>
      <c r="V5182">
        <v>0</v>
      </c>
      <c r="W5182">
        <v>0</v>
      </c>
      <c r="X5182">
        <v>0</v>
      </c>
      <c r="Y5182" t="s">
        <v>31</v>
      </c>
      <c r="Z5182">
        <v>55</v>
      </c>
      <c r="AA5182">
        <v>330</v>
      </c>
    </row>
    <row r="5183" spans="1:27" x14ac:dyDescent="0.2">
      <c r="A5183" t="s">
        <v>547</v>
      </c>
      <c r="B5183">
        <v>2024</v>
      </c>
      <c r="C5183">
        <v>2244019011</v>
      </c>
      <c r="D5183" t="s">
        <v>6284</v>
      </c>
      <c r="E5183" t="s">
        <v>29</v>
      </c>
      <c r="F5183" t="s">
        <v>30</v>
      </c>
      <c r="G5183">
        <v>3</v>
      </c>
      <c r="H5183">
        <v>0</v>
      </c>
      <c r="I5183">
        <v>68</v>
      </c>
      <c r="J5183">
        <v>0</v>
      </c>
      <c r="K5183">
        <v>19</v>
      </c>
      <c r="L5183">
        <v>0</v>
      </c>
      <c r="M5183">
        <v>0</v>
      </c>
      <c r="N5183">
        <v>0</v>
      </c>
      <c r="O5183">
        <v>0</v>
      </c>
      <c r="P5183">
        <v>0</v>
      </c>
      <c r="Q5183">
        <v>0</v>
      </c>
      <c r="R5183">
        <v>0</v>
      </c>
      <c r="S5183">
        <v>0</v>
      </c>
      <c r="T5183">
        <v>0</v>
      </c>
      <c r="U5183">
        <v>0</v>
      </c>
      <c r="V5183">
        <v>0</v>
      </c>
      <c r="W5183">
        <v>0</v>
      </c>
      <c r="X5183">
        <v>0</v>
      </c>
      <c r="Y5183" t="s">
        <v>31</v>
      </c>
      <c r="Z5183">
        <v>55</v>
      </c>
      <c r="AA5183">
        <v>279</v>
      </c>
    </row>
    <row r="5184" spans="1:27" x14ac:dyDescent="0.2">
      <c r="A5184" t="s">
        <v>547</v>
      </c>
      <c r="B5184">
        <v>2024</v>
      </c>
      <c r="C5184">
        <v>2258027015</v>
      </c>
      <c r="D5184" t="s">
        <v>6285</v>
      </c>
      <c r="E5184" t="s">
        <v>29</v>
      </c>
      <c r="F5184" t="s">
        <v>30</v>
      </c>
      <c r="G5184">
        <v>6</v>
      </c>
      <c r="H5184">
        <v>0</v>
      </c>
      <c r="I5184">
        <v>110</v>
      </c>
      <c r="J5184">
        <v>0</v>
      </c>
      <c r="K5184">
        <v>0</v>
      </c>
      <c r="L5184">
        <v>0</v>
      </c>
      <c r="M5184">
        <v>0</v>
      </c>
      <c r="N5184">
        <v>0</v>
      </c>
      <c r="O5184">
        <v>0</v>
      </c>
      <c r="P5184">
        <v>0</v>
      </c>
      <c r="Q5184">
        <v>0</v>
      </c>
      <c r="R5184">
        <v>0</v>
      </c>
      <c r="S5184">
        <v>0</v>
      </c>
      <c r="T5184">
        <v>0</v>
      </c>
      <c r="U5184">
        <v>0</v>
      </c>
      <c r="V5184">
        <v>0</v>
      </c>
      <c r="W5184">
        <v>0</v>
      </c>
      <c r="X5184">
        <v>0</v>
      </c>
      <c r="Y5184" t="s">
        <v>31</v>
      </c>
      <c r="Z5184">
        <v>55</v>
      </c>
      <c r="AA5184">
        <v>0</v>
      </c>
    </row>
    <row r="5185" spans="1:27" x14ac:dyDescent="0.2">
      <c r="A5185" t="s">
        <v>547</v>
      </c>
      <c r="B5185">
        <v>2024</v>
      </c>
      <c r="C5185">
        <v>2366019003</v>
      </c>
      <c r="D5185" t="s">
        <v>6286</v>
      </c>
      <c r="E5185" t="s">
        <v>29</v>
      </c>
      <c r="F5185" t="s">
        <v>30</v>
      </c>
      <c r="G5185">
        <v>0</v>
      </c>
      <c r="H5185">
        <v>0</v>
      </c>
      <c r="I5185">
        <v>68</v>
      </c>
      <c r="J5185">
        <v>0</v>
      </c>
      <c r="K5185">
        <v>17</v>
      </c>
      <c r="L5185">
        <v>0</v>
      </c>
      <c r="M5185">
        <v>0</v>
      </c>
      <c r="N5185">
        <v>0</v>
      </c>
      <c r="O5185">
        <v>0</v>
      </c>
      <c r="P5185">
        <v>0</v>
      </c>
      <c r="Q5185">
        <v>0</v>
      </c>
      <c r="R5185">
        <v>0</v>
      </c>
      <c r="S5185">
        <v>0</v>
      </c>
      <c r="T5185">
        <v>0</v>
      </c>
      <c r="U5185">
        <v>0</v>
      </c>
      <c r="V5185">
        <v>0</v>
      </c>
      <c r="W5185">
        <v>0</v>
      </c>
      <c r="X5185">
        <v>0</v>
      </c>
      <c r="Y5185" t="s">
        <v>31</v>
      </c>
      <c r="Z5185">
        <v>55</v>
      </c>
      <c r="AA5185">
        <v>688</v>
      </c>
    </row>
    <row r="5186" spans="1:27" x14ac:dyDescent="0.2">
      <c r="A5186" t="s">
        <v>547</v>
      </c>
      <c r="B5186">
        <v>2024</v>
      </c>
      <c r="C5186">
        <v>4006019009</v>
      </c>
      <c r="D5186" t="s">
        <v>6287</v>
      </c>
      <c r="E5186" t="s">
        <v>29</v>
      </c>
      <c r="F5186" t="s">
        <v>30</v>
      </c>
      <c r="G5186">
        <v>2</v>
      </c>
      <c r="H5186">
        <v>0</v>
      </c>
      <c r="I5186">
        <v>52</v>
      </c>
      <c r="J5186">
        <v>0</v>
      </c>
      <c r="K5186">
        <v>9</v>
      </c>
      <c r="L5186">
        <v>0</v>
      </c>
      <c r="M5186">
        <v>0</v>
      </c>
      <c r="N5186">
        <v>0</v>
      </c>
      <c r="O5186">
        <v>0</v>
      </c>
      <c r="P5186">
        <v>0</v>
      </c>
      <c r="Q5186">
        <v>0</v>
      </c>
      <c r="R5186">
        <v>0</v>
      </c>
      <c r="S5186">
        <v>0</v>
      </c>
      <c r="T5186">
        <v>0</v>
      </c>
      <c r="U5186">
        <v>0</v>
      </c>
      <c r="V5186">
        <v>0</v>
      </c>
      <c r="W5186">
        <v>0</v>
      </c>
      <c r="X5186">
        <v>0</v>
      </c>
      <c r="Y5186" t="s">
        <v>31</v>
      </c>
      <c r="Z5186">
        <v>55</v>
      </c>
      <c r="AA5186">
        <v>357</v>
      </c>
    </row>
    <row r="5187" spans="1:27" x14ac:dyDescent="0.2">
      <c r="A5187" t="s">
        <v>547</v>
      </c>
      <c r="B5187">
        <v>2024</v>
      </c>
      <c r="C5187">
        <v>4221002104</v>
      </c>
      <c r="D5187" t="s">
        <v>6288</v>
      </c>
      <c r="E5187" t="s">
        <v>29</v>
      </c>
      <c r="F5187" t="s">
        <v>30</v>
      </c>
      <c r="G5187">
        <v>13</v>
      </c>
      <c r="H5187">
        <v>0</v>
      </c>
      <c r="I5187">
        <v>0</v>
      </c>
      <c r="J5187">
        <v>0</v>
      </c>
      <c r="K5187">
        <v>0</v>
      </c>
      <c r="L5187">
        <v>0</v>
      </c>
      <c r="M5187">
        <v>0</v>
      </c>
      <c r="N5187">
        <v>0</v>
      </c>
      <c r="O5187">
        <v>0</v>
      </c>
      <c r="P5187">
        <v>0</v>
      </c>
      <c r="Q5187">
        <v>0</v>
      </c>
      <c r="R5187">
        <v>0</v>
      </c>
      <c r="S5187">
        <v>0</v>
      </c>
      <c r="T5187">
        <v>0</v>
      </c>
      <c r="U5187">
        <v>0</v>
      </c>
      <c r="V5187">
        <v>0</v>
      </c>
      <c r="W5187">
        <v>0</v>
      </c>
      <c r="X5187">
        <v>0</v>
      </c>
      <c r="Y5187" t="s">
        <v>31</v>
      </c>
      <c r="Z5187">
        <v>55</v>
      </c>
      <c r="AA5187">
        <v>1400</v>
      </c>
    </row>
    <row r="5188" spans="1:27" x14ac:dyDescent="0.2">
      <c r="A5188" t="s">
        <v>547</v>
      </c>
      <c r="B5188">
        <v>2024</v>
      </c>
      <c r="C5188">
        <v>4303012019</v>
      </c>
      <c r="D5188" t="s">
        <v>6289</v>
      </c>
      <c r="E5188" t="s">
        <v>29</v>
      </c>
      <c r="F5188" t="s">
        <v>30</v>
      </c>
      <c r="G5188">
        <v>5</v>
      </c>
      <c r="H5188">
        <v>0</v>
      </c>
      <c r="I5188">
        <v>92</v>
      </c>
      <c r="J5188">
        <v>0</v>
      </c>
      <c r="K5188">
        <v>25</v>
      </c>
      <c r="L5188">
        <v>0</v>
      </c>
      <c r="M5188">
        <v>0</v>
      </c>
      <c r="N5188">
        <v>0</v>
      </c>
      <c r="O5188">
        <v>0</v>
      </c>
      <c r="P5188">
        <v>0</v>
      </c>
      <c r="Q5188">
        <v>0</v>
      </c>
      <c r="R5188">
        <v>0</v>
      </c>
      <c r="S5188">
        <v>0</v>
      </c>
      <c r="T5188">
        <v>0</v>
      </c>
      <c r="U5188">
        <v>0</v>
      </c>
      <c r="V5188">
        <v>0</v>
      </c>
      <c r="W5188">
        <v>0</v>
      </c>
      <c r="X5188">
        <v>0</v>
      </c>
      <c r="Y5188" t="s">
        <v>31</v>
      </c>
      <c r="Z5188">
        <v>55</v>
      </c>
      <c r="AA5188">
        <v>931</v>
      </c>
    </row>
    <row r="5189" spans="1:27" x14ac:dyDescent="0.2">
      <c r="A5189" t="s">
        <v>547</v>
      </c>
      <c r="B5189">
        <v>2024</v>
      </c>
      <c r="C5189">
        <v>5040028027</v>
      </c>
      <c r="D5189" t="s">
        <v>6290</v>
      </c>
      <c r="E5189" t="s">
        <v>29</v>
      </c>
      <c r="F5189" t="s">
        <v>30</v>
      </c>
      <c r="G5189">
        <v>24</v>
      </c>
      <c r="H5189">
        <v>0</v>
      </c>
      <c r="I5189">
        <v>97</v>
      </c>
      <c r="J5189">
        <v>0</v>
      </c>
      <c r="K5189">
        <v>0</v>
      </c>
      <c r="L5189">
        <v>0</v>
      </c>
      <c r="M5189">
        <v>0</v>
      </c>
      <c r="N5189">
        <v>0</v>
      </c>
      <c r="O5189">
        <v>0</v>
      </c>
      <c r="P5189">
        <v>0</v>
      </c>
      <c r="Q5189">
        <v>0</v>
      </c>
      <c r="R5189">
        <v>0</v>
      </c>
      <c r="S5189">
        <v>0</v>
      </c>
      <c r="T5189">
        <v>0</v>
      </c>
      <c r="U5189">
        <v>0</v>
      </c>
      <c r="V5189">
        <v>0</v>
      </c>
      <c r="W5189">
        <v>0</v>
      </c>
      <c r="X5189">
        <v>0</v>
      </c>
      <c r="Y5189" t="s">
        <v>31</v>
      </c>
      <c r="Z5189">
        <v>55</v>
      </c>
      <c r="AA5189">
        <v>0</v>
      </c>
    </row>
    <row r="5190" spans="1:27" x14ac:dyDescent="0.2">
      <c r="A5190" t="s">
        <v>547</v>
      </c>
      <c r="B5190">
        <v>2024</v>
      </c>
      <c r="C5190">
        <v>5051003002</v>
      </c>
      <c r="D5190" t="s">
        <v>6291</v>
      </c>
      <c r="E5190" t="s">
        <v>29</v>
      </c>
      <c r="F5190" t="s">
        <v>30</v>
      </c>
      <c r="G5190">
        <v>5</v>
      </c>
      <c r="H5190">
        <v>0</v>
      </c>
      <c r="I5190">
        <v>62</v>
      </c>
      <c r="J5190">
        <v>0</v>
      </c>
      <c r="K5190">
        <v>17</v>
      </c>
      <c r="L5190">
        <v>0</v>
      </c>
      <c r="M5190">
        <v>0</v>
      </c>
      <c r="N5190">
        <v>0</v>
      </c>
      <c r="O5190">
        <v>0</v>
      </c>
      <c r="P5190">
        <v>0</v>
      </c>
      <c r="Q5190">
        <v>0</v>
      </c>
      <c r="R5190">
        <v>0</v>
      </c>
      <c r="S5190">
        <v>0</v>
      </c>
      <c r="T5190">
        <v>0</v>
      </c>
      <c r="U5190">
        <v>0</v>
      </c>
      <c r="V5190">
        <v>0</v>
      </c>
      <c r="W5190">
        <v>0</v>
      </c>
      <c r="X5190">
        <v>0</v>
      </c>
      <c r="Y5190" t="s">
        <v>31</v>
      </c>
      <c r="Z5190">
        <v>55</v>
      </c>
      <c r="AA5190">
        <v>23</v>
      </c>
    </row>
    <row r="5191" spans="1:27" x14ac:dyDescent="0.2">
      <c r="A5191" t="s">
        <v>547</v>
      </c>
      <c r="B5191">
        <v>2024</v>
      </c>
      <c r="C5191">
        <v>5055025009</v>
      </c>
      <c r="D5191" t="s">
        <v>6292</v>
      </c>
      <c r="E5191" t="s">
        <v>29</v>
      </c>
      <c r="F5191" t="s">
        <v>30</v>
      </c>
      <c r="G5191">
        <v>1</v>
      </c>
      <c r="H5191">
        <v>0</v>
      </c>
      <c r="I5191">
        <v>10</v>
      </c>
      <c r="J5191">
        <v>0</v>
      </c>
      <c r="K5191">
        <v>3</v>
      </c>
      <c r="L5191">
        <v>0</v>
      </c>
      <c r="M5191">
        <v>0</v>
      </c>
      <c r="N5191">
        <v>0</v>
      </c>
      <c r="O5191">
        <v>0</v>
      </c>
      <c r="P5191">
        <v>0</v>
      </c>
      <c r="Q5191">
        <v>0</v>
      </c>
      <c r="R5191">
        <v>0</v>
      </c>
      <c r="S5191">
        <v>0</v>
      </c>
      <c r="T5191">
        <v>0</v>
      </c>
      <c r="U5191">
        <v>0</v>
      </c>
      <c r="V5191">
        <v>0</v>
      </c>
      <c r="W5191">
        <v>0</v>
      </c>
      <c r="X5191">
        <v>0</v>
      </c>
      <c r="Y5191" t="s">
        <v>31</v>
      </c>
      <c r="Z5191">
        <v>55</v>
      </c>
      <c r="AA5191">
        <v>180</v>
      </c>
    </row>
    <row r="5192" spans="1:27" x14ac:dyDescent="0.2">
      <c r="A5192" t="s">
        <v>547</v>
      </c>
      <c r="B5192">
        <v>2024</v>
      </c>
      <c r="C5192">
        <v>5062018002</v>
      </c>
      <c r="D5192" t="s">
        <v>6293</v>
      </c>
      <c r="E5192" t="s">
        <v>29</v>
      </c>
      <c r="F5192" t="s">
        <v>30</v>
      </c>
      <c r="G5192">
        <v>0</v>
      </c>
      <c r="H5192">
        <v>0</v>
      </c>
      <c r="I5192">
        <v>47</v>
      </c>
      <c r="J5192">
        <v>0</v>
      </c>
      <c r="K5192">
        <v>12</v>
      </c>
      <c r="L5192">
        <v>0</v>
      </c>
      <c r="M5192">
        <v>0</v>
      </c>
      <c r="N5192">
        <v>0</v>
      </c>
      <c r="O5192">
        <v>0</v>
      </c>
      <c r="P5192">
        <v>0</v>
      </c>
      <c r="Q5192">
        <v>0</v>
      </c>
      <c r="R5192">
        <v>0</v>
      </c>
      <c r="S5192">
        <v>0</v>
      </c>
      <c r="T5192">
        <v>0</v>
      </c>
      <c r="U5192">
        <v>0</v>
      </c>
      <c r="V5192">
        <v>0</v>
      </c>
      <c r="W5192">
        <v>0</v>
      </c>
      <c r="X5192">
        <v>0</v>
      </c>
      <c r="Y5192" t="s">
        <v>31</v>
      </c>
      <c r="Z5192">
        <v>55</v>
      </c>
      <c r="AA5192">
        <v>145</v>
      </c>
    </row>
    <row r="5193" spans="1:27" x14ac:dyDescent="0.2">
      <c r="A5193" t="s">
        <v>547</v>
      </c>
      <c r="B5193">
        <v>2024</v>
      </c>
      <c r="C5193">
        <v>5076006025</v>
      </c>
      <c r="D5193" t="s">
        <v>6294</v>
      </c>
      <c r="E5193" t="s">
        <v>29</v>
      </c>
      <c r="F5193" t="s">
        <v>30</v>
      </c>
      <c r="G5193">
        <v>0</v>
      </c>
      <c r="H5193">
        <v>0</v>
      </c>
      <c r="I5193">
        <v>83</v>
      </c>
      <c r="J5193">
        <v>0</v>
      </c>
      <c r="K5193">
        <v>21</v>
      </c>
      <c r="L5193">
        <v>0</v>
      </c>
      <c r="M5193">
        <v>0</v>
      </c>
      <c r="N5193">
        <v>0</v>
      </c>
      <c r="O5193">
        <v>0</v>
      </c>
      <c r="P5193">
        <v>0</v>
      </c>
      <c r="Q5193">
        <v>0</v>
      </c>
      <c r="R5193">
        <v>0</v>
      </c>
      <c r="S5193">
        <v>0</v>
      </c>
      <c r="T5193">
        <v>0</v>
      </c>
      <c r="U5193">
        <v>0</v>
      </c>
      <c r="V5193">
        <v>0</v>
      </c>
      <c r="W5193">
        <v>0</v>
      </c>
      <c r="X5193">
        <v>0</v>
      </c>
      <c r="Y5193" t="s">
        <v>31</v>
      </c>
      <c r="Z5193">
        <v>55</v>
      </c>
      <c r="AA5193">
        <v>303</v>
      </c>
    </row>
    <row r="5194" spans="1:27" x14ac:dyDescent="0.2">
      <c r="A5194" t="s">
        <v>547</v>
      </c>
      <c r="B5194">
        <v>2024</v>
      </c>
      <c r="C5194">
        <v>5081014025</v>
      </c>
      <c r="D5194" t="s">
        <v>6295</v>
      </c>
      <c r="E5194" t="s">
        <v>29</v>
      </c>
      <c r="F5194" t="s">
        <v>30</v>
      </c>
      <c r="G5194">
        <v>0</v>
      </c>
      <c r="H5194">
        <v>0</v>
      </c>
      <c r="I5194">
        <v>71</v>
      </c>
      <c r="J5194">
        <v>0</v>
      </c>
      <c r="K5194">
        <v>17</v>
      </c>
      <c r="L5194">
        <v>0</v>
      </c>
      <c r="M5194">
        <v>0</v>
      </c>
      <c r="N5194">
        <v>0</v>
      </c>
      <c r="O5194">
        <v>0</v>
      </c>
      <c r="P5194">
        <v>0</v>
      </c>
      <c r="Q5194">
        <v>0</v>
      </c>
      <c r="R5194">
        <v>0</v>
      </c>
      <c r="S5194">
        <v>0</v>
      </c>
      <c r="T5194">
        <v>0</v>
      </c>
      <c r="U5194">
        <v>0</v>
      </c>
      <c r="V5194">
        <v>0</v>
      </c>
      <c r="W5194">
        <v>0</v>
      </c>
      <c r="X5194">
        <v>0</v>
      </c>
      <c r="Y5194" t="s">
        <v>31</v>
      </c>
      <c r="Z5194">
        <v>55</v>
      </c>
      <c r="AA5194">
        <v>102</v>
      </c>
    </row>
    <row r="5195" spans="1:27" x14ac:dyDescent="0.2">
      <c r="A5195" t="s">
        <v>547</v>
      </c>
      <c r="B5195">
        <v>2024</v>
      </c>
      <c r="C5195">
        <v>5085021004</v>
      </c>
      <c r="D5195" t="s">
        <v>6296</v>
      </c>
      <c r="E5195" t="s">
        <v>29</v>
      </c>
      <c r="F5195" t="s">
        <v>30</v>
      </c>
      <c r="G5195">
        <v>4</v>
      </c>
      <c r="H5195">
        <v>0</v>
      </c>
      <c r="I5195">
        <v>38</v>
      </c>
      <c r="J5195">
        <v>0</v>
      </c>
      <c r="K5195">
        <v>3</v>
      </c>
      <c r="L5195">
        <v>0</v>
      </c>
      <c r="M5195">
        <v>0</v>
      </c>
      <c r="N5195">
        <v>0</v>
      </c>
      <c r="O5195">
        <v>0</v>
      </c>
      <c r="P5195">
        <v>0</v>
      </c>
      <c r="Q5195">
        <v>0</v>
      </c>
      <c r="R5195">
        <v>0</v>
      </c>
      <c r="S5195">
        <v>0</v>
      </c>
      <c r="T5195">
        <v>0</v>
      </c>
      <c r="U5195">
        <v>0</v>
      </c>
      <c r="V5195">
        <v>0</v>
      </c>
      <c r="W5195">
        <v>0</v>
      </c>
      <c r="X5195">
        <v>0</v>
      </c>
      <c r="Y5195" t="s">
        <v>31</v>
      </c>
      <c r="Z5195">
        <v>55</v>
      </c>
      <c r="AA5195">
        <v>557</v>
      </c>
    </row>
    <row r="5196" spans="1:27" x14ac:dyDescent="0.2">
      <c r="A5196" t="s">
        <v>547</v>
      </c>
      <c r="B5196">
        <v>2024</v>
      </c>
      <c r="C5196">
        <v>5092028040</v>
      </c>
      <c r="D5196" t="s">
        <v>6297</v>
      </c>
      <c r="E5196" t="s">
        <v>29</v>
      </c>
      <c r="F5196" t="s">
        <v>30</v>
      </c>
      <c r="G5196">
        <v>0</v>
      </c>
      <c r="H5196">
        <v>0</v>
      </c>
      <c r="I5196">
        <v>79</v>
      </c>
      <c r="J5196">
        <v>0</v>
      </c>
      <c r="K5196">
        <v>21</v>
      </c>
      <c r="L5196">
        <v>0</v>
      </c>
      <c r="M5196">
        <v>0</v>
      </c>
      <c r="N5196">
        <v>0</v>
      </c>
      <c r="O5196">
        <v>0</v>
      </c>
      <c r="P5196">
        <v>0</v>
      </c>
      <c r="Q5196">
        <v>0</v>
      </c>
      <c r="R5196">
        <v>0</v>
      </c>
      <c r="S5196">
        <v>0</v>
      </c>
      <c r="T5196">
        <v>0</v>
      </c>
      <c r="U5196">
        <v>0</v>
      </c>
      <c r="V5196">
        <v>0</v>
      </c>
      <c r="W5196">
        <v>0</v>
      </c>
      <c r="X5196">
        <v>0</v>
      </c>
      <c r="Y5196" t="s">
        <v>31</v>
      </c>
      <c r="Z5196">
        <v>55</v>
      </c>
      <c r="AA5196">
        <v>4950</v>
      </c>
    </row>
    <row r="5197" spans="1:27" x14ac:dyDescent="0.2">
      <c r="A5197" t="s">
        <v>547</v>
      </c>
      <c r="B5197">
        <v>2024</v>
      </c>
      <c r="C5197">
        <v>5118004016</v>
      </c>
      <c r="D5197" t="s">
        <v>6298</v>
      </c>
      <c r="E5197" t="s">
        <v>29</v>
      </c>
      <c r="F5197" t="s">
        <v>30</v>
      </c>
      <c r="G5197">
        <v>0</v>
      </c>
      <c r="H5197">
        <v>0</v>
      </c>
      <c r="I5197">
        <v>142</v>
      </c>
      <c r="J5197">
        <v>0</v>
      </c>
      <c r="K5197">
        <v>35</v>
      </c>
      <c r="L5197">
        <v>0</v>
      </c>
      <c r="M5197">
        <v>0</v>
      </c>
      <c r="N5197">
        <v>0</v>
      </c>
      <c r="O5197">
        <v>0</v>
      </c>
      <c r="P5197">
        <v>0</v>
      </c>
      <c r="Q5197">
        <v>0</v>
      </c>
      <c r="R5197">
        <v>0</v>
      </c>
      <c r="S5197">
        <v>0</v>
      </c>
      <c r="T5197">
        <v>0</v>
      </c>
      <c r="U5197">
        <v>0</v>
      </c>
      <c r="V5197">
        <v>0</v>
      </c>
      <c r="W5197">
        <v>0</v>
      </c>
      <c r="X5197">
        <v>0</v>
      </c>
      <c r="Y5197" t="s">
        <v>31</v>
      </c>
      <c r="Z5197">
        <v>55</v>
      </c>
      <c r="AA5197">
        <v>244</v>
      </c>
    </row>
    <row r="5198" spans="1:27" x14ac:dyDescent="0.2">
      <c r="A5198" t="s">
        <v>547</v>
      </c>
      <c r="B5198">
        <v>2024</v>
      </c>
      <c r="C5198">
        <v>5124004009</v>
      </c>
      <c r="D5198" t="s">
        <v>6299</v>
      </c>
      <c r="E5198" t="s">
        <v>29</v>
      </c>
      <c r="F5198" t="s">
        <v>30</v>
      </c>
      <c r="G5198">
        <v>1</v>
      </c>
      <c r="H5198">
        <v>0</v>
      </c>
      <c r="I5198">
        <v>3</v>
      </c>
      <c r="J5198">
        <v>0</v>
      </c>
      <c r="K5198">
        <v>2</v>
      </c>
      <c r="L5198">
        <v>0</v>
      </c>
      <c r="M5198">
        <v>0</v>
      </c>
      <c r="N5198">
        <v>0</v>
      </c>
      <c r="O5198">
        <v>0</v>
      </c>
      <c r="P5198">
        <v>0</v>
      </c>
      <c r="Q5198">
        <v>0</v>
      </c>
      <c r="R5198">
        <v>0</v>
      </c>
      <c r="S5198">
        <v>0</v>
      </c>
      <c r="T5198">
        <v>0</v>
      </c>
      <c r="U5198">
        <v>0</v>
      </c>
      <c r="V5198">
        <v>0</v>
      </c>
      <c r="W5198">
        <v>0</v>
      </c>
      <c r="X5198">
        <v>0</v>
      </c>
      <c r="Y5198" t="s">
        <v>31</v>
      </c>
      <c r="Z5198">
        <v>55</v>
      </c>
      <c r="AA5198">
        <v>20</v>
      </c>
    </row>
    <row r="5199" spans="1:27" x14ac:dyDescent="0.2">
      <c r="A5199" t="s">
        <v>547</v>
      </c>
      <c r="B5199">
        <v>2024</v>
      </c>
      <c r="C5199">
        <v>5127010008</v>
      </c>
      <c r="D5199" t="s">
        <v>6300</v>
      </c>
      <c r="E5199" t="s">
        <v>29</v>
      </c>
      <c r="F5199" t="s">
        <v>30</v>
      </c>
      <c r="G5199">
        <v>0</v>
      </c>
      <c r="H5199">
        <v>0</v>
      </c>
      <c r="I5199">
        <v>72</v>
      </c>
      <c r="J5199">
        <v>0</v>
      </c>
      <c r="K5199">
        <v>19</v>
      </c>
      <c r="L5199">
        <v>0</v>
      </c>
      <c r="M5199">
        <v>0</v>
      </c>
      <c r="N5199">
        <v>0</v>
      </c>
      <c r="O5199">
        <v>0</v>
      </c>
      <c r="P5199">
        <v>0</v>
      </c>
      <c r="Q5199">
        <v>0</v>
      </c>
      <c r="R5199">
        <v>0</v>
      </c>
      <c r="S5199">
        <v>0</v>
      </c>
      <c r="T5199">
        <v>0</v>
      </c>
      <c r="U5199">
        <v>0</v>
      </c>
      <c r="V5199">
        <v>0</v>
      </c>
      <c r="W5199">
        <v>0</v>
      </c>
      <c r="X5199">
        <v>0</v>
      </c>
      <c r="Y5199" t="s">
        <v>31</v>
      </c>
      <c r="Z5199">
        <v>55</v>
      </c>
      <c r="AA5199">
        <v>1050</v>
      </c>
    </row>
    <row r="5200" spans="1:27" x14ac:dyDescent="0.2">
      <c r="A5200" t="s">
        <v>547</v>
      </c>
      <c r="B5200">
        <v>2024</v>
      </c>
      <c r="C5200">
        <v>5157015018</v>
      </c>
      <c r="D5200" t="s">
        <v>6301</v>
      </c>
      <c r="E5200" t="s">
        <v>29</v>
      </c>
      <c r="F5200" t="s">
        <v>30</v>
      </c>
      <c r="G5200">
        <v>0</v>
      </c>
      <c r="H5200">
        <v>0</v>
      </c>
      <c r="I5200">
        <v>19</v>
      </c>
      <c r="J5200">
        <v>0</v>
      </c>
      <c r="K5200">
        <v>68</v>
      </c>
      <c r="L5200">
        <v>0</v>
      </c>
      <c r="M5200">
        <v>0</v>
      </c>
      <c r="N5200">
        <v>0</v>
      </c>
      <c r="O5200">
        <v>0</v>
      </c>
      <c r="P5200">
        <v>0</v>
      </c>
      <c r="Q5200">
        <v>0</v>
      </c>
      <c r="R5200">
        <v>0</v>
      </c>
      <c r="S5200">
        <v>0</v>
      </c>
      <c r="T5200">
        <v>0</v>
      </c>
      <c r="U5200">
        <v>0</v>
      </c>
      <c r="V5200">
        <v>0</v>
      </c>
      <c r="W5200">
        <v>0</v>
      </c>
      <c r="X5200">
        <v>0</v>
      </c>
      <c r="Y5200" t="s">
        <v>31</v>
      </c>
      <c r="Z5200">
        <v>55</v>
      </c>
      <c r="AA5200">
        <v>450</v>
      </c>
    </row>
    <row r="5201" spans="1:27" x14ac:dyDescent="0.2">
      <c r="A5201" t="s">
        <v>547</v>
      </c>
      <c r="B5201">
        <v>2024</v>
      </c>
      <c r="C5201">
        <v>5550022005</v>
      </c>
      <c r="D5201" t="s">
        <v>6302</v>
      </c>
      <c r="E5201" t="s">
        <v>29</v>
      </c>
      <c r="F5201" t="s">
        <v>30</v>
      </c>
      <c r="G5201">
        <v>1</v>
      </c>
      <c r="H5201">
        <v>0</v>
      </c>
      <c r="I5201">
        <v>29</v>
      </c>
      <c r="J5201">
        <v>0</v>
      </c>
      <c r="K5201">
        <v>7</v>
      </c>
      <c r="L5201">
        <v>0</v>
      </c>
      <c r="M5201">
        <v>0</v>
      </c>
      <c r="N5201">
        <v>0</v>
      </c>
      <c r="O5201">
        <v>0</v>
      </c>
      <c r="P5201">
        <v>0</v>
      </c>
      <c r="Q5201">
        <v>0</v>
      </c>
      <c r="R5201">
        <v>0</v>
      </c>
      <c r="S5201">
        <v>0</v>
      </c>
      <c r="T5201">
        <v>0</v>
      </c>
      <c r="U5201">
        <v>0</v>
      </c>
      <c r="V5201">
        <v>0</v>
      </c>
      <c r="W5201">
        <v>0</v>
      </c>
      <c r="X5201">
        <v>0</v>
      </c>
      <c r="Y5201" t="s">
        <v>31</v>
      </c>
      <c r="Z5201">
        <v>55</v>
      </c>
      <c r="AA5201">
        <v>322</v>
      </c>
    </row>
    <row r="5202" spans="1:27" x14ac:dyDescent="0.2">
      <c r="A5202" t="s">
        <v>547</v>
      </c>
      <c r="B5202">
        <v>2024</v>
      </c>
      <c r="C5202">
        <v>6039018040</v>
      </c>
      <c r="D5202" t="s">
        <v>6303</v>
      </c>
      <c r="E5202" t="s">
        <v>29</v>
      </c>
      <c r="F5202" t="s">
        <v>30</v>
      </c>
      <c r="G5202">
        <v>2</v>
      </c>
      <c r="H5202">
        <v>0</v>
      </c>
      <c r="I5202">
        <v>40</v>
      </c>
      <c r="J5202">
        <v>0</v>
      </c>
      <c r="K5202">
        <v>8</v>
      </c>
      <c r="L5202">
        <v>0</v>
      </c>
      <c r="M5202">
        <v>0</v>
      </c>
      <c r="N5202">
        <v>0</v>
      </c>
      <c r="O5202">
        <v>0</v>
      </c>
      <c r="P5202">
        <v>0</v>
      </c>
      <c r="Q5202">
        <v>0</v>
      </c>
      <c r="R5202">
        <v>0</v>
      </c>
      <c r="S5202">
        <v>0</v>
      </c>
      <c r="T5202">
        <v>0</v>
      </c>
      <c r="U5202">
        <v>0</v>
      </c>
      <c r="V5202">
        <v>0</v>
      </c>
      <c r="W5202">
        <v>0</v>
      </c>
      <c r="X5202">
        <v>0</v>
      </c>
      <c r="Y5202" t="s">
        <v>31</v>
      </c>
      <c r="Z5202">
        <v>55</v>
      </c>
      <c r="AA5202">
        <v>920</v>
      </c>
    </row>
    <row r="5203" spans="1:27" x14ac:dyDescent="0.2">
      <c r="A5203" t="s">
        <v>547</v>
      </c>
      <c r="B5203">
        <v>2024</v>
      </c>
      <c r="C5203">
        <v>6041016020</v>
      </c>
      <c r="D5203" t="s">
        <v>6304</v>
      </c>
      <c r="E5203" t="s">
        <v>29</v>
      </c>
      <c r="F5203" t="s">
        <v>30</v>
      </c>
      <c r="G5203">
        <v>2</v>
      </c>
      <c r="H5203">
        <v>0</v>
      </c>
      <c r="I5203">
        <v>18</v>
      </c>
      <c r="J5203">
        <v>0</v>
      </c>
      <c r="K5203">
        <v>0</v>
      </c>
      <c r="L5203">
        <v>0</v>
      </c>
      <c r="M5203">
        <v>0</v>
      </c>
      <c r="N5203">
        <v>0</v>
      </c>
      <c r="O5203">
        <v>0</v>
      </c>
      <c r="P5203">
        <v>0</v>
      </c>
      <c r="Q5203">
        <v>0</v>
      </c>
      <c r="R5203">
        <v>0</v>
      </c>
      <c r="S5203">
        <v>0</v>
      </c>
      <c r="T5203">
        <v>0</v>
      </c>
      <c r="U5203">
        <v>0</v>
      </c>
      <c r="V5203">
        <v>0</v>
      </c>
      <c r="W5203">
        <v>0</v>
      </c>
      <c r="X5203">
        <v>0</v>
      </c>
      <c r="Y5203" t="s">
        <v>31</v>
      </c>
      <c r="Z5203">
        <v>55</v>
      </c>
      <c r="AA5203">
        <v>1000</v>
      </c>
    </row>
    <row r="5204" spans="1:27" x14ac:dyDescent="0.2">
      <c r="A5204" t="s">
        <v>547</v>
      </c>
      <c r="B5204">
        <v>2024</v>
      </c>
      <c r="C5204">
        <v>6058024008</v>
      </c>
      <c r="D5204" t="s">
        <v>6305</v>
      </c>
      <c r="E5204" t="s">
        <v>29</v>
      </c>
      <c r="F5204" t="s">
        <v>30</v>
      </c>
      <c r="G5204">
        <v>0</v>
      </c>
      <c r="H5204">
        <v>0</v>
      </c>
      <c r="I5204">
        <v>25</v>
      </c>
      <c r="J5204">
        <v>0</v>
      </c>
      <c r="K5204">
        <v>6</v>
      </c>
      <c r="L5204">
        <v>0</v>
      </c>
      <c r="M5204">
        <v>0</v>
      </c>
      <c r="N5204">
        <v>0</v>
      </c>
      <c r="O5204">
        <v>0</v>
      </c>
      <c r="P5204">
        <v>0</v>
      </c>
      <c r="Q5204">
        <v>0</v>
      </c>
      <c r="R5204">
        <v>0</v>
      </c>
      <c r="S5204">
        <v>0</v>
      </c>
      <c r="T5204">
        <v>0</v>
      </c>
      <c r="U5204">
        <v>0</v>
      </c>
      <c r="V5204">
        <v>0</v>
      </c>
      <c r="W5204">
        <v>0</v>
      </c>
      <c r="X5204">
        <v>0</v>
      </c>
      <c r="Y5204" t="s">
        <v>31</v>
      </c>
      <c r="Z5204">
        <v>55</v>
      </c>
      <c r="AA5204">
        <v>28</v>
      </c>
    </row>
    <row r="5205" spans="1:27" x14ac:dyDescent="0.2">
      <c r="A5205" t="s">
        <v>547</v>
      </c>
      <c r="B5205">
        <v>2024</v>
      </c>
      <c r="C5205">
        <v>7423003008</v>
      </c>
      <c r="D5205" t="s">
        <v>6306</v>
      </c>
      <c r="E5205" t="s">
        <v>29</v>
      </c>
      <c r="F5205" t="s">
        <v>30</v>
      </c>
      <c r="G5205">
        <v>0</v>
      </c>
      <c r="H5205">
        <v>0</v>
      </c>
      <c r="I5205">
        <v>54</v>
      </c>
      <c r="J5205">
        <v>0</v>
      </c>
      <c r="K5205">
        <v>14</v>
      </c>
      <c r="L5205">
        <v>0</v>
      </c>
      <c r="M5205">
        <v>0</v>
      </c>
      <c r="N5205">
        <v>0</v>
      </c>
      <c r="O5205">
        <v>0</v>
      </c>
      <c r="P5205">
        <v>0</v>
      </c>
      <c r="Q5205">
        <v>0</v>
      </c>
      <c r="R5205">
        <v>0</v>
      </c>
      <c r="S5205">
        <v>0</v>
      </c>
      <c r="T5205">
        <v>0</v>
      </c>
      <c r="U5205">
        <v>0</v>
      </c>
      <c r="V5205">
        <v>0</v>
      </c>
      <c r="W5205">
        <v>0</v>
      </c>
      <c r="X5205">
        <v>0</v>
      </c>
      <c r="Y5205" t="s">
        <v>31</v>
      </c>
      <c r="Z5205">
        <v>55</v>
      </c>
      <c r="AA5205">
        <v>188</v>
      </c>
    </row>
    <row r="5206" spans="1:27" x14ac:dyDescent="0.2">
      <c r="A5206" t="s">
        <v>547</v>
      </c>
      <c r="B5206">
        <v>2023</v>
      </c>
      <c r="C5206">
        <v>2138018018</v>
      </c>
      <c r="D5206" t="s">
        <v>750</v>
      </c>
      <c r="E5206" t="s">
        <v>29</v>
      </c>
      <c r="F5206" t="s">
        <v>30</v>
      </c>
      <c r="G5206">
        <v>0</v>
      </c>
      <c r="H5206">
        <v>0</v>
      </c>
      <c r="I5206">
        <v>0</v>
      </c>
      <c r="J5206">
        <v>0</v>
      </c>
      <c r="K5206">
        <v>0</v>
      </c>
      <c r="L5206">
        <v>0</v>
      </c>
      <c r="M5206">
        <v>2</v>
      </c>
      <c r="N5206">
        <v>0</v>
      </c>
      <c r="O5206">
        <v>0</v>
      </c>
      <c r="P5206">
        <v>0</v>
      </c>
      <c r="Q5206">
        <v>0</v>
      </c>
      <c r="R5206">
        <v>0</v>
      </c>
      <c r="S5206">
        <v>2</v>
      </c>
      <c r="T5206">
        <v>0</v>
      </c>
      <c r="U5206">
        <v>0</v>
      </c>
      <c r="V5206">
        <v>0</v>
      </c>
      <c r="W5206">
        <v>0</v>
      </c>
      <c r="X5206">
        <v>0</v>
      </c>
      <c r="Y5206" t="s">
        <v>31</v>
      </c>
      <c r="Z5206">
        <v>55</v>
      </c>
      <c r="AA5206">
        <v>0</v>
      </c>
    </row>
    <row r="5207" spans="1:27" x14ac:dyDescent="0.2">
      <c r="A5207" t="s">
        <v>547</v>
      </c>
      <c r="B5207">
        <v>2023</v>
      </c>
      <c r="C5207">
        <v>5534034012</v>
      </c>
      <c r="D5207" t="s">
        <v>6307</v>
      </c>
      <c r="E5207" t="s">
        <v>29</v>
      </c>
      <c r="F5207" t="s">
        <v>30</v>
      </c>
      <c r="G5207">
        <v>0</v>
      </c>
      <c r="H5207">
        <v>0</v>
      </c>
      <c r="I5207">
        <v>0</v>
      </c>
      <c r="J5207">
        <v>0</v>
      </c>
      <c r="K5207">
        <v>0</v>
      </c>
      <c r="L5207">
        <v>0</v>
      </c>
      <c r="M5207">
        <v>4</v>
      </c>
      <c r="N5207">
        <v>0</v>
      </c>
      <c r="O5207">
        <v>1</v>
      </c>
      <c r="P5207">
        <v>0</v>
      </c>
      <c r="Q5207">
        <v>0</v>
      </c>
      <c r="R5207">
        <v>0</v>
      </c>
      <c r="S5207">
        <v>4</v>
      </c>
      <c r="T5207">
        <v>0</v>
      </c>
      <c r="U5207">
        <v>1</v>
      </c>
      <c r="V5207">
        <v>0</v>
      </c>
      <c r="W5207">
        <v>0</v>
      </c>
      <c r="X5207">
        <v>0</v>
      </c>
      <c r="Y5207" t="s">
        <v>31</v>
      </c>
      <c r="Z5207">
        <v>55</v>
      </c>
      <c r="AA5207" s="2" t="s">
        <v>3316</v>
      </c>
    </row>
    <row r="5208" spans="1:27" x14ac:dyDescent="0.2">
      <c r="A5208" t="s">
        <v>547</v>
      </c>
      <c r="B5208">
        <v>2023</v>
      </c>
      <c r="C5208">
        <v>2330014028</v>
      </c>
      <c r="D5208" t="s">
        <v>2304</v>
      </c>
      <c r="E5208" t="s">
        <v>29</v>
      </c>
      <c r="F5208" t="s">
        <v>30</v>
      </c>
      <c r="G5208">
        <v>0</v>
      </c>
      <c r="H5208">
        <v>0</v>
      </c>
      <c r="I5208">
        <v>0</v>
      </c>
      <c r="J5208">
        <v>0</v>
      </c>
      <c r="K5208">
        <v>0</v>
      </c>
      <c r="L5208">
        <v>0</v>
      </c>
      <c r="M5208">
        <v>1</v>
      </c>
      <c r="N5208">
        <v>0</v>
      </c>
      <c r="O5208">
        <v>0</v>
      </c>
      <c r="P5208">
        <v>0</v>
      </c>
      <c r="Q5208">
        <v>0</v>
      </c>
      <c r="R5208">
        <v>0</v>
      </c>
      <c r="S5208">
        <v>1</v>
      </c>
      <c r="T5208">
        <v>0</v>
      </c>
      <c r="U5208">
        <v>0</v>
      </c>
      <c r="V5208">
        <v>0</v>
      </c>
      <c r="W5208">
        <v>0</v>
      </c>
      <c r="X5208">
        <v>0</v>
      </c>
      <c r="Y5208" t="s">
        <v>31</v>
      </c>
      <c r="Z5208">
        <v>55</v>
      </c>
      <c r="AA5208" s="2" t="s">
        <v>3299</v>
      </c>
    </row>
    <row r="5209" spans="1:27" x14ac:dyDescent="0.2">
      <c r="A5209" t="s">
        <v>547</v>
      </c>
      <c r="B5209">
        <v>2023</v>
      </c>
      <c r="C5209">
        <v>2502024020</v>
      </c>
      <c r="D5209" t="s">
        <v>2971</v>
      </c>
      <c r="E5209" t="s">
        <v>29</v>
      </c>
      <c r="F5209" t="s">
        <v>30</v>
      </c>
      <c r="G5209">
        <v>0</v>
      </c>
      <c r="H5209">
        <v>0</v>
      </c>
      <c r="I5209">
        <v>0</v>
      </c>
      <c r="J5209">
        <v>0</v>
      </c>
      <c r="K5209">
        <v>0</v>
      </c>
      <c r="L5209">
        <v>0</v>
      </c>
      <c r="M5209">
        <v>3</v>
      </c>
      <c r="N5209">
        <v>0</v>
      </c>
      <c r="O5209">
        <v>0</v>
      </c>
      <c r="P5209">
        <v>0</v>
      </c>
      <c r="Q5209">
        <v>0</v>
      </c>
      <c r="R5209">
        <v>0</v>
      </c>
      <c r="S5209">
        <v>3</v>
      </c>
      <c r="T5209">
        <v>0</v>
      </c>
      <c r="U5209">
        <v>0</v>
      </c>
      <c r="V5209">
        <v>0</v>
      </c>
      <c r="W5209">
        <v>0</v>
      </c>
      <c r="X5209">
        <v>0</v>
      </c>
      <c r="Y5209" t="s">
        <v>51</v>
      </c>
      <c r="Z5209">
        <v>55</v>
      </c>
      <c r="AA5209">
        <v>0</v>
      </c>
    </row>
    <row r="5210" spans="1:27" x14ac:dyDescent="0.2">
      <c r="A5210" t="s">
        <v>547</v>
      </c>
      <c r="B5210">
        <v>2023</v>
      </c>
      <c r="C5210">
        <v>5049016048</v>
      </c>
      <c r="D5210" t="s">
        <v>2662</v>
      </c>
      <c r="E5210" t="s">
        <v>29</v>
      </c>
      <c r="F5210" t="s">
        <v>30</v>
      </c>
      <c r="G5210">
        <v>0</v>
      </c>
      <c r="H5210">
        <v>0</v>
      </c>
      <c r="I5210">
        <v>0</v>
      </c>
      <c r="J5210">
        <v>0</v>
      </c>
      <c r="K5210">
        <v>0</v>
      </c>
      <c r="L5210">
        <v>0</v>
      </c>
      <c r="M5210">
        <v>13</v>
      </c>
      <c r="N5210">
        <v>0</v>
      </c>
      <c r="O5210">
        <v>0</v>
      </c>
      <c r="P5210">
        <v>0</v>
      </c>
      <c r="Q5210">
        <v>0</v>
      </c>
      <c r="R5210">
        <v>0</v>
      </c>
      <c r="S5210">
        <v>13</v>
      </c>
      <c r="T5210">
        <v>0</v>
      </c>
      <c r="U5210">
        <v>0</v>
      </c>
      <c r="V5210">
        <v>0</v>
      </c>
      <c r="W5210">
        <v>0</v>
      </c>
      <c r="X5210">
        <v>0</v>
      </c>
      <c r="Y5210" t="s">
        <v>51</v>
      </c>
      <c r="Z5210">
        <v>55</v>
      </c>
      <c r="AA5210">
        <v>0</v>
      </c>
    </row>
    <row r="5211" spans="1:27" x14ac:dyDescent="0.2">
      <c r="A5211" t="s">
        <v>547</v>
      </c>
      <c r="B5211">
        <v>2023</v>
      </c>
      <c r="C5211">
        <v>4263008062</v>
      </c>
      <c r="D5211" t="s">
        <v>2829</v>
      </c>
      <c r="E5211" t="s">
        <v>29</v>
      </c>
      <c r="F5211" t="s">
        <v>30</v>
      </c>
      <c r="G5211">
        <v>0</v>
      </c>
      <c r="H5211">
        <v>0</v>
      </c>
      <c r="I5211">
        <v>0</v>
      </c>
      <c r="J5211">
        <v>0</v>
      </c>
      <c r="K5211">
        <v>0</v>
      </c>
      <c r="L5211">
        <v>0</v>
      </c>
      <c r="M5211">
        <v>0</v>
      </c>
      <c r="N5211">
        <v>0</v>
      </c>
      <c r="O5211">
        <v>0</v>
      </c>
      <c r="P5211">
        <v>0</v>
      </c>
      <c r="Q5211">
        <v>0</v>
      </c>
      <c r="R5211">
        <v>0</v>
      </c>
      <c r="S5211">
        <v>16</v>
      </c>
      <c r="T5211">
        <v>0</v>
      </c>
      <c r="U5211">
        <v>0</v>
      </c>
      <c r="V5211">
        <v>0</v>
      </c>
      <c r="W5211">
        <v>0</v>
      </c>
      <c r="X5211">
        <v>0</v>
      </c>
      <c r="Y5211" t="s">
        <v>31</v>
      </c>
      <c r="Z5211">
        <v>55</v>
      </c>
      <c r="AA5211" s="2" t="s">
        <v>3299</v>
      </c>
    </row>
    <row r="5212" spans="1:27" x14ac:dyDescent="0.2">
      <c r="A5212" t="s">
        <v>547</v>
      </c>
      <c r="B5212">
        <v>2023</v>
      </c>
      <c r="C5212">
        <v>5121013004</v>
      </c>
      <c r="D5212" t="s">
        <v>6308</v>
      </c>
      <c r="E5212" t="s">
        <v>29</v>
      </c>
      <c r="F5212" t="s">
        <v>30</v>
      </c>
      <c r="G5212">
        <v>0</v>
      </c>
      <c r="H5212">
        <v>0</v>
      </c>
      <c r="I5212">
        <v>17</v>
      </c>
      <c r="J5212">
        <v>0</v>
      </c>
      <c r="K5212">
        <v>0</v>
      </c>
      <c r="L5212">
        <v>0</v>
      </c>
      <c r="M5212">
        <v>0</v>
      </c>
      <c r="N5212">
        <v>0</v>
      </c>
      <c r="O5212">
        <v>17</v>
      </c>
      <c r="P5212">
        <v>0</v>
      </c>
      <c r="Q5212">
        <v>0</v>
      </c>
      <c r="R5212">
        <v>0</v>
      </c>
      <c r="S5212">
        <v>0</v>
      </c>
      <c r="T5212">
        <v>0</v>
      </c>
      <c r="U5212">
        <v>0</v>
      </c>
      <c r="V5212">
        <v>0</v>
      </c>
      <c r="W5212">
        <v>0</v>
      </c>
      <c r="X5212">
        <v>0</v>
      </c>
      <c r="Y5212" t="s">
        <v>51</v>
      </c>
      <c r="Z5212">
        <v>55</v>
      </c>
      <c r="AA5212">
        <v>0</v>
      </c>
    </row>
    <row r="5213" spans="1:27" x14ac:dyDescent="0.2">
      <c r="A5213" t="s">
        <v>1658</v>
      </c>
      <c r="B5213">
        <v>2024</v>
      </c>
      <c r="C5213" t="s">
        <v>2320</v>
      </c>
      <c r="D5213" t="s">
        <v>5216</v>
      </c>
      <c r="E5213" t="s">
        <v>29</v>
      </c>
      <c r="F5213" t="s">
        <v>41</v>
      </c>
      <c r="G5213">
        <v>0</v>
      </c>
      <c r="H5213">
        <v>0</v>
      </c>
      <c r="I5213">
        <v>0</v>
      </c>
      <c r="J5213">
        <v>0</v>
      </c>
      <c r="K5213">
        <v>0</v>
      </c>
      <c r="L5213">
        <v>0</v>
      </c>
      <c r="M5213">
        <v>0</v>
      </c>
      <c r="N5213">
        <v>0</v>
      </c>
      <c r="O5213">
        <v>0</v>
      </c>
      <c r="P5213">
        <v>0</v>
      </c>
      <c r="Q5213">
        <v>0</v>
      </c>
      <c r="R5213">
        <v>0</v>
      </c>
      <c r="S5213">
        <v>1</v>
      </c>
      <c r="T5213">
        <v>0</v>
      </c>
      <c r="U5213">
        <v>0</v>
      </c>
      <c r="V5213">
        <v>0</v>
      </c>
      <c r="W5213">
        <v>0</v>
      </c>
      <c r="X5213">
        <v>0</v>
      </c>
      <c r="Y5213" t="s">
        <v>51</v>
      </c>
      <c r="Z5213">
        <v>55</v>
      </c>
      <c r="AA5213">
        <v>0</v>
      </c>
    </row>
    <row r="5214" spans="1:27" x14ac:dyDescent="0.2">
      <c r="A5214" t="s">
        <v>1658</v>
      </c>
      <c r="B5214">
        <v>2024</v>
      </c>
      <c r="C5214" t="s">
        <v>2320</v>
      </c>
      <c r="D5214" t="s">
        <v>5085</v>
      </c>
      <c r="E5214" t="s">
        <v>29</v>
      </c>
      <c r="F5214" t="s">
        <v>41</v>
      </c>
      <c r="G5214">
        <v>0</v>
      </c>
      <c r="H5214">
        <v>0</v>
      </c>
      <c r="I5214">
        <v>0</v>
      </c>
      <c r="J5214">
        <v>0</v>
      </c>
      <c r="K5214">
        <v>0</v>
      </c>
      <c r="L5214">
        <v>0</v>
      </c>
      <c r="M5214">
        <v>0</v>
      </c>
      <c r="N5214">
        <v>0</v>
      </c>
      <c r="O5214">
        <v>0</v>
      </c>
      <c r="P5214">
        <v>0</v>
      </c>
      <c r="Q5214">
        <v>0</v>
      </c>
      <c r="R5214">
        <v>0</v>
      </c>
      <c r="S5214">
        <v>1</v>
      </c>
      <c r="T5214">
        <v>0</v>
      </c>
      <c r="U5214">
        <v>0</v>
      </c>
      <c r="V5214">
        <v>0</v>
      </c>
      <c r="W5214">
        <v>0</v>
      </c>
      <c r="X5214">
        <v>0</v>
      </c>
      <c r="Y5214" t="s">
        <v>51</v>
      </c>
      <c r="Z5214">
        <v>55</v>
      </c>
      <c r="AA5214">
        <v>0</v>
      </c>
    </row>
    <row r="5215" spans="1:27" x14ac:dyDescent="0.2">
      <c r="A5215" t="s">
        <v>547</v>
      </c>
      <c r="B5215">
        <v>2024</v>
      </c>
      <c r="C5215">
        <v>2745001012</v>
      </c>
      <c r="D5215" t="s">
        <v>6140</v>
      </c>
      <c r="E5215" t="s">
        <v>29</v>
      </c>
      <c r="F5215" t="s">
        <v>30</v>
      </c>
      <c r="G5215">
        <v>0</v>
      </c>
      <c r="H5215">
        <v>0</v>
      </c>
      <c r="I5215">
        <v>0</v>
      </c>
      <c r="J5215">
        <v>0</v>
      </c>
      <c r="K5215">
        <v>0</v>
      </c>
      <c r="L5215">
        <v>0</v>
      </c>
      <c r="M5215">
        <v>54</v>
      </c>
      <c r="N5215">
        <v>0</v>
      </c>
      <c r="O5215">
        <v>0</v>
      </c>
      <c r="P5215">
        <v>0</v>
      </c>
      <c r="Q5215">
        <v>0</v>
      </c>
      <c r="R5215">
        <v>0</v>
      </c>
      <c r="S5215">
        <v>54</v>
      </c>
      <c r="T5215">
        <v>0</v>
      </c>
      <c r="U5215">
        <v>0</v>
      </c>
      <c r="V5215">
        <v>0</v>
      </c>
      <c r="W5215">
        <v>0</v>
      </c>
      <c r="X5215">
        <v>0</v>
      </c>
      <c r="Y5215" t="s">
        <v>31</v>
      </c>
      <c r="Z5215">
        <v>55</v>
      </c>
      <c r="AA5215">
        <v>111.538461538462</v>
      </c>
    </row>
    <row r="5216" spans="1:27" x14ac:dyDescent="0.2">
      <c r="A5216" t="s">
        <v>547</v>
      </c>
      <c r="B5216">
        <v>2023</v>
      </c>
      <c r="C5216">
        <v>6020022024</v>
      </c>
      <c r="D5216" t="s">
        <v>6309</v>
      </c>
      <c r="E5216" t="s">
        <v>29</v>
      </c>
      <c r="F5216" t="s">
        <v>30</v>
      </c>
      <c r="G5216">
        <v>0</v>
      </c>
      <c r="H5216">
        <v>0</v>
      </c>
      <c r="I5216">
        <v>62</v>
      </c>
      <c r="J5216">
        <v>0</v>
      </c>
      <c r="K5216">
        <v>16</v>
      </c>
      <c r="L5216">
        <v>0</v>
      </c>
      <c r="M5216">
        <v>0</v>
      </c>
      <c r="N5216">
        <v>0</v>
      </c>
      <c r="O5216">
        <v>62</v>
      </c>
      <c r="P5216">
        <v>0</v>
      </c>
      <c r="Q5216">
        <v>16</v>
      </c>
      <c r="R5216">
        <v>0</v>
      </c>
      <c r="S5216">
        <v>0</v>
      </c>
      <c r="T5216">
        <v>0</v>
      </c>
      <c r="U5216">
        <v>0</v>
      </c>
      <c r="V5216">
        <v>0</v>
      </c>
      <c r="W5216">
        <v>0</v>
      </c>
      <c r="X5216">
        <v>0</v>
      </c>
      <c r="Y5216" t="s">
        <v>31</v>
      </c>
      <c r="Z5216">
        <v>55</v>
      </c>
      <c r="AA5216" s="2" t="s">
        <v>6310</v>
      </c>
    </row>
    <row r="5217" spans="1:27" x14ac:dyDescent="0.2">
      <c r="A5217" t="s">
        <v>600</v>
      </c>
      <c r="B5217">
        <v>2024</v>
      </c>
      <c r="C5217">
        <v>6959019</v>
      </c>
      <c r="D5217" t="s">
        <v>1971</v>
      </c>
      <c r="E5217" t="s">
        <v>29</v>
      </c>
      <c r="F5217" t="s">
        <v>30</v>
      </c>
      <c r="G5217">
        <v>0</v>
      </c>
      <c r="H5217">
        <v>0</v>
      </c>
      <c r="I5217">
        <v>0</v>
      </c>
      <c r="J5217">
        <v>0</v>
      </c>
      <c r="K5217">
        <v>0</v>
      </c>
      <c r="L5217">
        <v>0</v>
      </c>
      <c r="M5217">
        <v>0</v>
      </c>
      <c r="N5217">
        <v>0</v>
      </c>
      <c r="O5217">
        <v>0</v>
      </c>
      <c r="P5217">
        <v>0</v>
      </c>
      <c r="Q5217">
        <v>0</v>
      </c>
      <c r="R5217">
        <v>0</v>
      </c>
      <c r="S5217">
        <v>0</v>
      </c>
      <c r="T5217">
        <v>0</v>
      </c>
      <c r="U5217">
        <v>98</v>
      </c>
      <c r="V5217">
        <v>0</v>
      </c>
      <c r="W5217">
        <v>37</v>
      </c>
      <c r="X5217">
        <v>0</v>
      </c>
      <c r="Y5217" t="s">
        <v>31</v>
      </c>
      <c r="Z5217">
        <v>99</v>
      </c>
      <c r="AA5217" s="2" t="s">
        <v>3316</v>
      </c>
    </row>
    <row r="5218" spans="1:27" x14ac:dyDescent="0.2">
      <c r="A5218" t="s">
        <v>600</v>
      </c>
      <c r="B5218">
        <v>2024</v>
      </c>
      <c r="C5218">
        <v>1797007</v>
      </c>
      <c r="D5218" t="s">
        <v>1335</v>
      </c>
      <c r="E5218" t="s">
        <v>29</v>
      </c>
      <c r="F5218" t="s">
        <v>30</v>
      </c>
      <c r="G5218">
        <v>0</v>
      </c>
      <c r="H5218">
        <v>0</v>
      </c>
      <c r="I5218">
        <v>0</v>
      </c>
      <c r="J5218">
        <v>0</v>
      </c>
      <c r="K5218">
        <v>0</v>
      </c>
      <c r="L5218">
        <v>0</v>
      </c>
      <c r="M5218">
        <v>0</v>
      </c>
      <c r="N5218">
        <v>0</v>
      </c>
      <c r="O5218">
        <v>0</v>
      </c>
      <c r="P5218">
        <v>0</v>
      </c>
      <c r="Q5218">
        <v>0</v>
      </c>
      <c r="R5218">
        <v>0</v>
      </c>
      <c r="S5218">
        <v>20</v>
      </c>
      <c r="T5218">
        <v>0</v>
      </c>
      <c r="U5218">
        <v>47</v>
      </c>
      <c r="V5218">
        <v>0</v>
      </c>
      <c r="W5218">
        <v>67</v>
      </c>
      <c r="X5218">
        <v>0</v>
      </c>
      <c r="Y5218" t="s">
        <v>31</v>
      </c>
      <c r="Z5218">
        <v>99</v>
      </c>
      <c r="AA5218" s="2" t="s">
        <v>3316</v>
      </c>
    </row>
    <row r="5219" spans="1:27" x14ac:dyDescent="0.2">
      <c r="A5219" t="s">
        <v>547</v>
      </c>
      <c r="B5219">
        <v>2024</v>
      </c>
      <c r="C5219">
        <v>5118009030</v>
      </c>
      <c r="D5219" t="s">
        <v>3950</v>
      </c>
      <c r="E5219" t="s">
        <v>29</v>
      </c>
      <c r="F5219" t="s">
        <v>30</v>
      </c>
      <c r="G5219">
        <v>0</v>
      </c>
      <c r="H5219">
        <v>0</v>
      </c>
      <c r="I5219">
        <v>0</v>
      </c>
      <c r="J5219">
        <v>0</v>
      </c>
      <c r="K5219">
        <v>0</v>
      </c>
      <c r="L5219">
        <v>0</v>
      </c>
      <c r="M5219">
        <v>0</v>
      </c>
      <c r="N5219">
        <v>0</v>
      </c>
      <c r="O5219">
        <v>43</v>
      </c>
      <c r="P5219">
        <v>0</v>
      </c>
      <c r="Q5219">
        <v>11</v>
      </c>
      <c r="R5219">
        <v>0</v>
      </c>
      <c r="S5219">
        <v>0</v>
      </c>
      <c r="T5219">
        <v>0</v>
      </c>
      <c r="U5219">
        <v>0</v>
      </c>
      <c r="V5219">
        <v>0</v>
      </c>
      <c r="W5219">
        <v>0</v>
      </c>
      <c r="X5219">
        <v>0</v>
      </c>
      <c r="Y5219" t="s">
        <v>31</v>
      </c>
      <c r="Z5219">
        <v>55</v>
      </c>
      <c r="AA5219">
        <v>587</v>
      </c>
    </row>
    <row r="5220" spans="1:27" x14ac:dyDescent="0.2">
      <c r="A5220" t="s">
        <v>1658</v>
      </c>
      <c r="B5220">
        <v>2024</v>
      </c>
      <c r="C5220" t="s">
        <v>3061</v>
      </c>
      <c r="D5220" t="s">
        <v>4810</v>
      </c>
      <c r="E5220" t="s">
        <v>29</v>
      </c>
      <c r="F5220" t="s">
        <v>41</v>
      </c>
      <c r="G5220">
        <v>0</v>
      </c>
      <c r="H5220">
        <v>0</v>
      </c>
      <c r="I5220">
        <v>0</v>
      </c>
      <c r="J5220">
        <v>0</v>
      </c>
      <c r="K5220">
        <v>0</v>
      </c>
      <c r="L5220">
        <v>0</v>
      </c>
      <c r="M5220">
        <v>0</v>
      </c>
      <c r="N5220">
        <v>0</v>
      </c>
      <c r="O5220">
        <v>0</v>
      </c>
      <c r="P5220">
        <v>0</v>
      </c>
      <c r="Q5220">
        <v>0</v>
      </c>
      <c r="R5220">
        <v>0</v>
      </c>
      <c r="S5220">
        <v>0</v>
      </c>
      <c r="T5220">
        <v>0</v>
      </c>
      <c r="U5220">
        <v>1</v>
      </c>
      <c r="V5220">
        <v>0</v>
      </c>
      <c r="W5220">
        <v>0</v>
      </c>
      <c r="X5220">
        <v>0</v>
      </c>
      <c r="Y5220" t="s">
        <v>51</v>
      </c>
      <c r="Z5220">
        <v>55</v>
      </c>
      <c r="AA5220">
        <v>0</v>
      </c>
    </row>
    <row r="5221" spans="1:27" x14ac:dyDescent="0.2">
      <c r="A5221" t="s">
        <v>547</v>
      </c>
      <c r="B5221">
        <v>2023</v>
      </c>
      <c r="C5221">
        <v>5539022025</v>
      </c>
      <c r="D5221" t="s">
        <v>6311</v>
      </c>
      <c r="E5221" t="s">
        <v>29</v>
      </c>
      <c r="F5221" t="s">
        <v>30</v>
      </c>
      <c r="G5221">
        <v>0</v>
      </c>
      <c r="H5221">
        <v>0</v>
      </c>
      <c r="I5221">
        <v>0</v>
      </c>
      <c r="J5221">
        <v>0</v>
      </c>
      <c r="K5221">
        <v>0</v>
      </c>
      <c r="L5221">
        <v>0</v>
      </c>
      <c r="M5221">
        <v>2</v>
      </c>
      <c r="N5221">
        <v>0</v>
      </c>
      <c r="O5221">
        <v>0</v>
      </c>
      <c r="P5221">
        <v>0</v>
      </c>
      <c r="Q5221">
        <v>0</v>
      </c>
      <c r="R5221">
        <v>0</v>
      </c>
      <c r="S5221">
        <v>0</v>
      </c>
      <c r="T5221">
        <v>0</v>
      </c>
      <c r="U5221">
        <v>0</v>
      </c>
      <c r="V5221">
        <v>0</v>
      </c>
      <c r="W5221">
        <v>0</v>
      </c>
      <c r="X5221">
        <v>0</v>
      </c>
      <c r="Y5221" t="s">
        <v>51</v>
      </c>
      <c r="Z5221">
        <v>55</v>
      </c>
      <c r="AA5221">
        <v>0</v>
      </c>
    </row>
    <row r="5222" spans="1:27" x14ac:dyDescent="0.2">
      <c r="A5222" t="s">
        <v>547</v>
      </c>
      <c r="B5222">
        <v>2023</v>
      </c>
      <c r="C5222">
        <v>5548012029</v>
      </c>
      <c r="D5222" t="s">
        <v>6312</v>
      </c>
      <c r="E5222" t="s">
        <v>29</v>
      </c>
      <c r="F5222" t="s">
        <v>30</v>
      </c>
      <c r="G5222">
        <v>0</v>
      </c>
      <c r="H5222">
        <v>0</v>
      </c>
      <c r="I5222">
        <v>0</v>
      </c>
      <c r="J5222">
        <v>0</v>
      </c>
      <c r="K5222">
        <v>0</v>
      </c>
      <c r="L5222">
        <v>0</v>
      </c>
      <c r="M5222">
        <v>7</v>
      </c>
      <c r="N5222">
        <v>0</v>
      </c>
      <c r="O5222">
        <v>3</v>
      </c>
      <c r="P5222">
        <v>0</v>
      </c>
      <c r="Q5222">
        <v>2</v>
      </c>
      <c r="R5222">
        <v>0</v>
      </c>
      <c r="S5222">
        <v>0</v>
      </c>
      <c r="T5222">
        <v>0</v>
      </c>
      <c r="U5222">
        <v>0</v>
      </c>
      <c r="V5222">
        <v>0</v>
      </c>
      <c r="W5222">
        <v>0</v>
      </c>
      <c r="X5222">
        <v>0</v>
      </c>
      <c r="Y5222" t="s">
        <v>31</v>
      </c>
      <c r="Z5222">
        <v>55</v>
      </c>
      <c r="AA5222" s="2" t="s">
        <v>3316</v>
      </c>
    </row>
    <row r="5223" spans="1:27" x14ac:dyDescent="0.2">
      <c r="A5223" t="s">
        <v>547</v>
      </c>
      <c r="B5223">
        <v>2024</v>
      </c>
      <c r="C5223">
        <v>4261025027</v>
      </c>
      <c r="D5223" t="s">
        <v>829</v>
      </c>
      <c r="E5223" t="s">
        <v>29</v>
      </c>
      <c r="F5223" t="s">
        <v>30</v>
      </c>
      <c r="G5223">
        <v>0</v>
      </c>
      <c r="H5223">
        <v>0</v>
      </c>
      <c r="I5223">
        <v>0</v>
      </c>
      <c r="J5223">
        <v>0</v>
      </c>
      <c r="K5223">
        <v>0</v>
      </c>
      <c r="L5223">
        <v>0</v>
      </c>
      <c r="M5223">
        <v>1</v>
      </c>
      <c r="N5223">
        <v>0</v>
      </c>
      <c r="O5223">
        <v>0</v>
      </c>
      <c r="P5223">
        <v>0</v>
      </c>
      <c r="Q5223">
        <v>0</v>
      </c>
      <c r="R5223">
        <v>0</v>
      </c>
      <c r="S5223">
        <v>1</v>
      </c>
      <c r="T5223">
        <v>0</v>
      </c>
      <c r="U5223">
        <v>0</v>
      </c>
      <c r="V5223">
        <v>0</v>
      </c>
      <c r="W5223">
        <v>0</v>
      </c>
      <c r="X5223">
        <v>0</v>
      </c>
      <c r="Y5223" t="s">
        <v>31</v>
      </c>
      <c r="Z5223">
        <v>55</v>
      </c>
      <c r="AA5223">
        <v>35</v>
      </c>
    </row>
    <row r="5224" spans="1:27" x14ac:dyDescent="0.2">
      <c r="A5224" t="s">
        <v>547</v>
      </c>
      <c r="B5224">
        <v>2023</v>
      </c>
      <c r="C5224">
        <v>6074023001</v>
      </c>
      <c r="D5224" t="s">
        <v>6313</v>
      </c>
      <c r="E5224" t="s">
        <v>29</v>
      </c>
      <c r="F5224" t="s">
        <v>30</v>
      </c>
      <c r="G5224">
        <v>0</v>
      </c>
      <c r="H5224">
        <v>0</v>
      </c>
      <c r="I5224">
        <v>0</v>
      </c>
      <c r="J5224">
        <v>0</v>
      </c>
      <c r="K5224">
        <v>0</v>
      </c>
      <c r="L5224">
        <v>0</v>
      </c>
      <c r="M5224">
        <v>1</v>
      </c>
      <c r="N5224">
        <v>0</v>
      </c>
      <c r="O5224">
        <v>13</v>
      </c>
      <c r="P5224">
        <v>0</v>
      </c>
      <c r="Q5224">
        <v>0</v>
      </c>
      <c r="R5224">
        <v>0</v>
      </c>
      <c r="S5224">
        <v>0</v>
      </c>
      <c r="T5224">
        <v>0</v>
      </c>
      <c r="U5224">
        <v>0</v>
      </c>
      <c r="V5224">
        <v>0</v>
      </c>
      <c r="W5224">
        <v>0</v>
      </c>
      <c r="X5224">
        <v>0</v>
      </c>
      <c r="Y5224" t="s">
        <v>51</v>
      </c>
      <c r="Z5224">
        <v>55</v>
      </c>
      <c r="AA5224">
        <v>0</v>
      </c>
    </row>
    <row r="5225" spans="1:27" x14ac:dyDescent="0.2">
      <c r="A5225" t="s">
        <v>547</v>
      </c>
      <c r="B5225">
        <v>2024</v>
      </c>
      <c r="C5225">
        <v>5529007032</v>
      </c>
      <c r="D5225" t="s">
        <v>6314</v>
      </c>
      <c r="E5225" t="s">
        <v>29</v>
      </c>
      <c r="F5225" t="s">
        <v>30</v>
      </c>
      <c r="G5225">
        <v>0</v>
      </c>
      <c r="H5225">
        <v>0</v>
      </c>
      <c r="I5225">
        <v>0</v>
      </c>
      <c r="J5225">
        <v>0</v>
      </c>
      <c r="K5225">
        <v>0</v>
      </c>
      <c r="L5225">
        <v>0</v>
      </c>
      <c r="M5225">
        <v>6</v>
      </c>
      <c r="N5225">
        <v>0</v>
      </c>
      <c r="O5225">
        <v>1</v>
      </c>
      <c r="P5225">
        <v>0</v>
      </c>
      <c r="Q5225">
        <v>0</v>
      </c>
      <c r="R5225">
        <v>0</v>
      </c>
      <c r="S5225">
        <v>0</v>
      </c>
      <c r="T5225">
        <v>0</v>
      </c>
      <c r="U5225">
        <v>0</v>
      </c>
      <c r="V5225">
        <v>0</v>
      </c>
      <c r="W5225">
        <v>0</v>
      </c>
      <c r="X5225">
        <v>0</v>
      </c>
      <c r="Y5225" t="s">
        <v>31</v>
      </c>
      <c r="Z5225">
        <v>55</v>
      </c>
      <c r="AA5225">
        <v>24</v>
      </c>
    </row>
    <row r="5226" spans="1:27" x14ac:dyDescent="0.2">
      <c r="A5226" t="s">
        <v>547</v>
      </c>
      <c r="B5226">
        <v>2024</v>
      </c>
      <c r="C5226">
        <v>5123018022</v>
      </c>
      <c r="D5226" t="s">
        <v>6315</v>
      </c>
      <c r="E5226" t="s">
        <v>29</v>
      </c>
      <c r="F5226" t="s">
        <v>30</v>
      </c>
      <c r="G5226">
        <v>0</v>
      </c>
      <c r="H5226">
        <v>0</v>
      </c>
      <c r="I5226">
        <v>0</v>
      </c>
      <c r="J5226">
        <v>0</v>
      </c>
      <c r="K5226">
        <v>0</v>
      </c>
      <c r="L5226">
        <v>0</v>
      </c>
      <c r="M5226">
        <v>18</v>
      </c>
      <c r="N5226">
        <v>0</v>
      </c>
      <c r="O5226">
        <v>0</v>
      </c>
      <c r="P5226">
        <v>0</v>
      </c>
      <c r="Q5226">
        <v>0</v>
      </c>
      <c r="R5226">
        <v>0</v>
      </c>
      <c r="S5226">
        <v>18</v>
      </c>
      <c r="T5226">
        <v>0</v>
      </c>
      <c r="U5226">
        <v>0</v>
      </c>
      <c r="V5226">
        <v>0</v>
      </c>
      <c r="W5226">
        <v>0</v>
      </c>
      <c r="X5226">
        <v>0</v>
      </c>
      <c r="Y5226" t="s">
        <v>31</v>
      </c>
      <c r="Z5226">
        <v>55</v>
      </c>
      <c r="AA5226">
        <v>222</v>
      </c>
    </row>
    <row r="5227" spans="1:27" x14ac:dyDescent="0.2">
      <c r="A5227" t="s">
        <v>547</v>
      </c>
      <c r="B5227">
        <v>2023</v>
      </c>
      <c r="C5227">
        <v>5546013002</v>
      </c>
      <c r="D5227" t="s">
        <v>6316</v>
      </c>
      <c r="E5227" t="s">
        <v>29</v>
      </c>
      <c r="F5227" t="s">
        <v>30</v>
      </c>
      <c r="G5227">
        <v>6</v>
      </c>
      <c r="H5227">
        <v>0</v>
      </c>
      <c r="I5227">
        <v>0</v>
      </c>
      <c r="J5227">
        <v>0</v>
      </c>
      <c r="K5227">
        <v>0</v>
      </c>
      <c r="L5227">
        <v>0</v>
      </c>
      <c r="M5227">
        <v>0</v>
      </c>
      <c r="N5227">
        <v>0</v>
      </c>
      <c r="O5227">
        <v>0</v>
      </c>
      <c r="P5227">
        <v>0</v>
      </c>
      <c r="Q5227">
        <v>0</v>
      </c>
      <c r="R5227">
        <v>0</v>
      </c>
      <c r="S5227">
        <v>0</v>
      </c>
      <c r="T5227">
        <v>0</v>
      </c>
      <c r="U5227">
        <v>0</v>
      </c>
      <c r="V5227">
        <v>0</v>
      </c>
      <c r="W5227">
        <v>0</v>
      </c>
      <c r="X5227">
        <v>0</v>
      </c>
      <c r="Y5227" t="s">
        <v>31</v>
      </c>
      <c r="Z5227">
        <v>55</v>
      </c>
      <c r="AA5227" s="2" t="s">
        <v>5657</v>
      </c>
    </row>
    <row r="5228" spans="1:27" x14ac:dyDescent="0.2">
      <c r="A5228" t="s">
        <v>547</v>
      </c>
      <c r="B5228">
        <v>2023</v>
      </c>
      <c r="C5228">
        <v>4230005005</v>
      </c>
      <c r="D5228" t="s">
        <v>6317</v>
      </c>
      <c r="E5228" t="s">
        <v>29</v>
      </c>
      <c r="F5228" t="s">
        <v>30</v>
      </c>
      <c r="G5228">
        <v>18</v>
      </c>
      <c r="H5228">
        <v>0</v>
      </c>
      <c r="I5228">
        <v>0</v>
      </c>
      <c r="J5228">
        <v>0</v>
      </c>
      <c r="K5228">
        <v>3</v>
      </c>
      <c r="L5228">
        <v>0</v>
      </c>
      <c r="M5228">
        <v>0</v>
      </c>
      <c r="N5228">
        <v>0</v>
      </c>
      <c r="O5228">
        <v>0</v>
      </c>
      <c r="P5228">
        <v>0</v>
      </c>
      <c r="Q5228">
        <v>0</v>
      </c>
      <c r="R5228">
        <v>0</v>
      </c>
      <c r="S5228">
        <v>0</v>
      </c>
      <c r="T5228">
        <v>0</v>
      </c>
      <c r="U5228">
        <v>0</v>
      </c>
      <c r="V5228">
        <v>0</v>
      </c>
      <c r="W5228">
        <v>0</v>
      </c>
      <c r="X5228">
        <v>0</v>
      </c>
      <c r="Y5228" t="s">
        <v>31</v>
      </c>
      <c r="Z5228">
        <v>55</v>
      </c>
      <c r="AA5228" s="2" t="s">
        <v>3316</v>
      </c>
    </row>
    <row r="5229" spans="1:27" x14ac:dyDescent="0.2">
      <c r="A5229" t="s">
        <v>547</v>
      </c>
      <c r="B5229">
        <v>2024</v>
      </c>
      <c r="C5229">
        <v>5178003033</v>
      </c>
      <c r="D5229" t="s">
        <v>6318</v>
      </c>
      <c r="E5229" t="s">
        <v>29</v>
      </c>
      <c r="F5229" t="s">
        <v>30</v>
      </c>
      <c r="G5229">
        <v>0</v>
      </c>
      <c r="H5229">
        <v>0</v>
      </c>
      <c r="I5229">
        <v>0</v>
      </c>
      <c r="J5229">
        <v>0</v>
      </c>
      <c r="K5229">
        <v>0</v>
      </c>
      <c r="L5229">
        <v>0</v>
      </c>
      <c r="M5229">
        <v>0</v>
      </c>
      <c r="N5229">
        <v>0</v>
      </c>
      <c r="O5229">
        <v>40</v>
      </c>
      <c r="P5229">
        <v>0</v>
      </c>
      <c r="Q5229">
        <v>11</v>
      </c>
      <c r="R5229">
        <v>0</v>
      </c>
      <c r="S5229">
        <v>0</v>
      </c>
      <c r="T5229">
        <v>0</v>
      </c>
      <c r="U5229">
        <v>0</v>
      </c>
      <c r="V5229">
        <v>0</v>
      </c>
      <c r="W5229">
        <v>0</v>
      </c>
      <c r="X5229">
        <v>0</v>
      </c>
      <c r="Y5229" t="s">
        <v>31</v>
      </c>
      <c r="Z5229">
        <v>55</v>
      </c>
      <c r="AA5229">
        <v>73</v>
      </c>
    </row>
    <row r="5230" spans="1:27" x14ac:dyDescent="0.2">
      <c r="A5230" t="s">
        <v>547</v>
      </c>
      <c r="B5230">
        <v>2024</v>
      </c>
      <c r="C5230">
        <v>5049032051</v>
      </c>
      <c r="D5230" t="s">
        <v>6319</v>
      </c>
      <c r="E5230" t="s">
        <v>29</v>
      </c>
      <c r="F5230" t="s">
        <v>30</v>
      </c>
      <c r="G5230">
        <v>0</v>
      </c>
      <c r="H5230">
        <v>0</v>
      </c>
      <c r="I5230">
        <v>0</v>
      </c>
      <c r="J5230">
        <v>0</v>
      </c>
      <c r="K5230">
        <v>0</v>
      </c>
      <c r="L5230">
        <v>0</v>
      </c>
      <c r="M5230">
        <v>0</v>
      </c>
      <c r="N5230">
        <v>0</v>
      </c>
      <c r="O5230">
        <v>26</v>
      </c>
      <c r="P5230">
        <v>0</v>
      </c>
      <c r="Q5230">
        <v>7</v>
      </c>
      <c r="R5230">
        <v>0</v>
      </c>
      <c r="S5230">
        <v>0</v>
      </c>
      <c r="T5230">
        <v>0</v>
      </c>
      <c r="U5230">
        <v>0</v>
      </c>
      <c r="V5230">
        <v>0</v>
      </c>
      <c r="W5230">
        <v>0</v>
      </c>
      <c r="X5230">
        <v>0</v>
      </c>
      <c r="Y5230" t="s">
        <v>31</v>
      </c>
      <c r="Z5230">
        <v>55</v>
      </c>
      <c r="AA5230">
        <v>278</v>
      </c>
    </row>
    <row r="5231" spans="1:27" x14ac:dyDescent="0.2">
      <c r="A5231" t="s">
        <v>547</v>
      </c>
      <c r="B5231">
        <v>2024</v>
      </c>
      <c r="C5231">
        <v>6031004017</v>
      </c>
      <c r="D5231" t="s">
        <v>6320</v>
      </c>
      <c r="E5231" t="s">
        <v>29</v>
      </c>
      <c r="F5231" t="s">
        <v>30</v>
      </c>
      <c r="G5231">
        <v>0</v>
      </c>
      <c r="H5231">
        <v>0</v>
      </c>
      <c r="I5231">
        <v>0</v>
      </c>
      <c r="J5231">
        <v>0</v>
      </c>
      <c r="K5231">
        <v>0</v>
      </c>
      <c r="L5231">
        <v>0</v>
      </c>
      <c r="M5231">
        <v>0</v>
      </c>
      <c r="N5231">
        <v>0</v>
      </c>
      <c r="O5231">
        <v>35</v>
      </c>
      <c r="P5231">
        <v>0</v>
      </c>
      <c r="Q5231">
        <v>9</v>
      </c>
      <c r="R5231">
        <v>0</v>
      </c>
      <c r="S5231">
        <v>0</v>
      </c>
      <c r="T5231">
        <v>0</v>
      </c>
      <c r="U5231">
        <v>0</v>
      </c>
      <c r="V5231">
        <v>0</v>
      </c>
      <c r="W5231">
        <v>0</v>
      </c>
      <c r="X5231">
        <v>0</v>
      </c>
      <c r="Y5231" t="s">
        <v>31</v>
      </c>
      <c r="Z5231">
        <v>55</v>
      </c>
      <c r="AA5231">
        <v>181</v>
      </c>
    </row>
    <row r="5232" spans="1:27" x14ac:dyDescent="0.2">
      <c r="A5232" t="s">
        <v>547</v>
      </c>
      <c r="B5232">
        <v>2023</v>
      </c>
      <c r="C5232">
        <v>2314006002</v>
      </c>
      <c r="D5232" t="s">
        <v>6321</v>
      </c>
      <c r="E5232" t="s">
        <v>29</v>
      </c>
      <c r="F5232" t="s">
        <v>30</v>
      </c>
      <c r="G5232">
        <v>13</v>
      </c>
      <c r="H5232">
        <v>0</v>
      </c>
      <c r="I5232">
        <v>217</v>
      </c>
      <c r="J5232">
        <v>0</v>
      </c>
      <c r="K5232">
        <v>0</v>
      </c>
      <c r="L5232">
        <v>0</v>
      </c>
      <c r="M5232">
        <v>0</v>
      </c>
      <c r="N5232">
        <v>0</v>
      </c>
      <c r="O5232">
        <v>0</v>
      </c>
      <c r="P5232">
        <v>0</v>
      </c>
      <c r="Q5232">
        <v>0</v>
      </c>
      <c r="R5232">
        <v>0</v>
      </c>
      <c r="S5232">
        <v>0</v>
      </c>
      <c r="T5232">
        <v>0</v>
      </c>
      <c r="U5232">
        <v>0</v>
      </c>
      <c r="V5232">
        <v>0</v>
      </c>
      <c r="W5232">
        <v>0</v>
      </c>
      <c r="X5232">
        <v>0</v>
      </c>
      <c r="Y5232" t="s">
        <v>31</v>
      </c>
      <c r="AA5232">
        <v>0</v>
      </c>
    </row>
    <row r="5233" spans="1:27" x14ac:dyDescent="0.2">
      <c r="A5233" t="s">
        <v>547</v>
      </c>
      <c r="B5233">
        <v>2023</v>
      </c>
      <c r="C5233">
        <v>2345005016</v>
      </c>
      <c r="D5233" t="s">
        <v>6322</v>
      </c>
      <c r="E5233" t="s">
        <v>29</v>
      </c>
      <c r="F5233" t="s">
        <v>30</v>
      </c>
      <c r="G5233">
        <v>1</v>
      </c>
      <c r="H5233">
        <v>0</v>
      </c>
      <c r="I5233">
        <v>158</v>
      </c>
      <c r="J5233">
        <v>0</v>
      </c>
      <c r="K5233">
        <v>40</v>
      </c>
      <c r="L5233">
        <v>0</v>
      </c>
      <c r="M5233">
        <v>0</v>
      </c>
      <c r="N5233">
        <v>0</v>
      </c>
      <c r="O5233">
        <v>0</v>
      </c>
      <c r="P5233">
        <v>0</v>
      </c>
      <c r="Q5233">
        <v>0</v>
      </c>
      <c r="R5233">
        <v>0</v>
      </c>
      <c r="S5233">
        <v>0</v>
      </c>
      <c r="T5233">
        <v>0</v>
      </c>
      <c r="U5233">
        <v>0</v>
      </c>
      <c r="V5233">
        <v>0</v>
      </c>
      <c r="W5233">
        <v>0</v>
      </c>
      <c r="X5233">
        <v>0</v>
      </c>
      <c r="Y5233" t="s">
        <v>31</v>
      </c>
      <c r="AA5233" s="2" t="s">
        <v>6323</v>
      </c>
    </row>
    <row r="5234" spans="1:27" x14ac:dyDescent="0.2">
      <c r="A5234" t="s">
        <v>547</v>
      </c>
      <c r="B5234">
        <v>2023</v>
      </c>
      <c r="C5234">
        <v>4337001010</v>
      </c>
      <c r="D5234" t="s">
        <v>6324</v>
      </c>
      <c r="E5234" t="s">
        <v>29</v>
      </c>
      <c r="F5234" t="s">
        <v>30</v>
      </c>
      <c r="G5234">
        <v>7</v>
      </c>
      <c r="H5234">
        <v>0</v>
      </c>
      <c r="I5234">
        <v>0</v>
      </c>
      <c r="J5234">
        <v>0</v>
      </c>
      <c r="K5234">
        <v>0</v>
      </c>
      <c r="L5234">
        <v>0</v>
      </c>
      <c r="M5234">
        <v>0</v>
      </c>
      <c r="N5234">
        <v>0</v>
      </c>
      <c r="O5234">
        <v>0</v>
      </c>
      <c r="P5234">
        <v>0</v>
      </c>
      <c r="Q5234">
        <v>0</v>
      </c>
      <c r="R5234">
        <v>0</v>
      </c>
      <c r="S5234">
        <v>0</v>
      </c>
      <c r="T5234">
        <v>0</v>
      </c>
      <c r="U5234">
        <v>0</v>
      </c>
      <c r="V5234">
        <v>0</v>
      </c>
      <c r="W5234">
        <v>0</v>
      </c>
      <c r="X5234">
        <v>0</v>
      </c>
      <c r="Y5234" t="s">
        <v>31</v>
      </c>
      <c r="AA5234" s="2" t="s">
        <v>3358</v>
      </c>
    </row>
    <row r="5235" spans="1:27" x14ac:dyDescent="0.2">
      <c r="A5235" t="s">
        <v>547</v>
      </c>
      <c r="B5235">
        <v>2023</v>
      </c>
      <c r="C5235">
        <v>5020017003</v>
      </c>
      <c r="D5235" t="s">
        <v>6325</v>
      </c>
      <c r="E5235" t="s">
        <v>29</v>
      </c>
      <c r="F5235" t="s">
        <v>30</v>
      </c>
      <c r="G5235">
        <v>14</v>
      </c>
      <c r="H5235">
        <v>0</v>
      </c>
      <c r="I5235">
        <v>0</v>
      </c>
      <c r="J5235">
        <v>0</v>
      </c>
      <c r="K5235">
        <v>0</v>
      </c>
      <c r="L5235">
        <v>0</v>
      </c>
      <c r="M5235">
        <v>0</v>
      </c>
      <c r="N5235">
        <v>0</v>
      </c>
      <c r="O5235">
        <v>0</v>
      </c>
      <c r="P5235">
        <v>0</v>
      </c>
      <c r="Q5235">
        <v>0</v>
      </c>
      <c r="R5235">
        <v>0</v>
      </c>
      <c r="S5235">
        <v>0</v>
      </c>
      <c r="T5235">
        <v>0</v>
      </c>
      <c r="U5235">
        <v>0</v>
      </c>
      <c r="V5235">
        <v>0</v>
      </c>
      <c r="W5235">
        <v>0</v>
      </c>
      <c r="X5235">
        <v>0</v>
      </c>
      <c r="Y5235" t="s">
        <v>31</v>
      </c>
      <c r="AA5235" s="2" t="s">
        <v>6326</v>
      </c>
    </row>
    <row r="5236" spans="1:27" x14ac:dyDescent="0.2">
      <c r="A5236" t="s">
        <v>547</v>
      </c>
      <c r="B5236">
        <v>2023</v>
      </c>
      <c r="C5236">
        <v>5137019016</v>
      </c>
      <c r="D5236" t="s">
        <v>6327</v>
      </c>
      <c r="E5236" t="s">
        <v>29</v>
      </c>
      <c r="F5236" t="s">
        <v>30</v>
      </c>
      <c r="G5236">
        <v>10</v>
      </c>
      <c r="H5236">
        <v>0</v>
      </c>
      <c r="I5236">
        <v>20</v>
      </c>
      <c r="J5236">
        <v>0</v>
      </c>
      <c r="K5236">
        <v>0</v>
      </c>
      <c r="L5236">
        <v>0</v>
      </c>
      <c r="M5236">
        <v>0</v>
      </c>
      <c r="N5236">
        <v>0</v>
      </c>
      <c r="O5236">
        <v>0</v>
      </c>
      <c r="P5236">
        <v>0</v>
      </c>
      <c r="Q5236">
        <v>0</v>
      </c>
      <c r="R5236">
        <v>0</v>
      </c>
      <c r="S5236">
        <v>0</v>
      </c>
      <c r="T5236">
        <v>0</v>
      </c>
      <c r="U5236">
        <v>0</v>
      </c>
      <c r="V5236">
        <v>0</v>
      </c>
      <c r="W5236">
        <v>0</v>
      </c>
      <c r="X5236">
        <v>0</v>
      </c>
      <c r="Y5236" t="s">
        <v>31</v>
      </c>
      <c r="AA5236" s="2" t="s">
        <v>6328</v>
      </c>
    </row>
    <row r="5237" spans="1:27" x14ac:dyDescent="0.2">
      <c r="A5237" t="s">
        <v>547</v>
      </c>
      <c r="B5237">
        <v>2023</v>
      </c>
      <c r="C5237">
        <v>6074024027</v>
      </c>
      <c r="D5237" t="s">
        <v>6329</v>
      </c>
      <c r="E5237" t="s">
        <v>29</v>
      </c>
      <c r="F5237" t="s">
        <v>30</v>
      </c>
      <c r="G5237">
        <v>10</v>
      </c>
      <c r="H5237">
        <v>0</v>
      </c>
      <c r="I5237">
        <v>30</v>
      </c>
      <c r="J5237">
        <v>0</v>
      </c>
      <c r="K5237">
        <v>0</v>
      </c>
      <c r="L5237">
        <v>0</v>
      </c>
      <c r="M5237">
        <v>0</v>
      </c>
      <c r="N5237">
        <v>0</v>
      </c>
      <c r="O5237">
        <v>0</v>
      </c>
      <c r="P5237">
        <v>0</v>
      </c>
      <c r="Q5237">
        <v>0</v>
      </c>
      <c r="R5237">
        <v>0</v>
      </c>
      <c r="S5237">
        <v>0</v>
      </c>
      <c r="T5237">
        <v>0</v>
      </c>
      <c r="U5237">
        <v>0</v>
      </c>
      <c r="V5237">
        <v>0</v>
      </c>
      <c r="W5237">
        <v>0</v>
      </c>
      <c r="X5237">
        <v>0</v>
      </c>
      <c r="Y5237" t="s">
        <v>31</v>
      </c>
      <c r="AA5237" s="2" t="s">
        <v>6330</v>
      </c>
    </row>
    <row r="5238" spans="1:27" x14ac:dyDescent="0.2">
      <c r="A5238" t="s">
        <v>418</v>
      </c>
      <c r="B5238">
        <v>2024</v>
      </c>
      <c r="C5238" t="s">
        <v>6331</v>
      </c>
      <c r="D5238" t="s">
        <v>6332</v>
      </c>
      <c r="E5238" t="s">
        <v>29</v>
      </c>
      <c r="F5238" t="s">
        <v>30</v>
      </c>
      <c r="G5238">
        <v>0</v>
      </c>
      <c r="H5238">
        <v>0</v>
      </c>
      <c r="I5238">
        <v>0</v>
      </c>
      <c r="J5238">
        <v>0</v>
      </c>
      <c r="K5238">
        <v>0</v>
      </c>
      <c r="L5238">
        <v>0</v>
      </c>
      <c r="M5238">
        <v>75</v>
      </c>
      <c r="N5238">
        <v>0</v>
      </c>
      <c r="O5238">
        <v>117</v>
      </c>
      <c r="P5238">
        <v>0</v>
      </c>
      <c r="Q5238">
        <v>0</v>
      </c>
      <c r="R5238">
        <v>0</v>
      </c>
      <c r="S5238">
        <v>0</v>
      </c>
      <c r="T5238">
        <v>0</v>
      </c>
      <c r="U5238">
        <v>0</v>
      </c>
      <c r="V5238">
        <v>0</v>
      </c>
      <c r="W5238">
        <v>0</v>
      </c>
      <c r="X5238">
        <v>0</v>
      </c>
      <c r="Y5238" t="s">
        <v>31</v>
      </c>
      <c r="Z5238">
        <v>55</v>
      </c>
      <c r="AA5238">
        <v>0</v>
      </c>
    </row>
    <row r="5239" spans="1:27" x14ac:dyDescent="0.2">
      <c r="A5239" t="s">
        <v>418</v>
      </c>
      <c r="B5239">
        <v>2024</v>
      </c>
      <c r="C5239" t="s">
        <v>6333</v>
      </c>
      <c r="D5239" t="s">
        <v>6334</v>
      </c>
      <c r="E5239" t="s">
        <v>29</v>
      </c>
      <c r="F5239" t="s">
        <v>30</v>
      </c>
      <c r="G5239">
        <v>0</v>
      </c>
      <c r="H5239">
        <v>0</v>
      </c>
      <c r="I5239">
        <v>0</v>
      </c>
      <c r="J5239">
        <v>0</v>
      </c>
      <c r="K5239">
        <v>0</v>
      </c>
      <c r="L5239">
        <v>0</v>
      </c>
      <c r="M5239">
        <v>24</v>
      </c>
      <c r="N5239">
        <v>0</v>
      </c>
      <c r="O5239">
        <v>98</v>
      </c>
      <c r="P5239">
        <v>0</v>
      </c>
      <c r="Q5239">
        <v>0</v>
      </c>
      <c r="R5239">
        <v>0</v>
      </c>
      <c r="S5239">
        <v>0</v>
      </c>
      <c r="T5239">
        <v>0</v>
      </c>
      <c r="U5239">
        <v>0</v>
      </c>
      <c r="V5239">
        <v>0</v>
      </c>
      <c r="W5239">
        <v>0</v>
      </c>
      <c r="X5239">
        <v>0</v>
      </c>
      <c r="Y5239" t="s">
        <v>31</v>
      </c>
      <c r="AA5239">
        <v>0</v>
      </c>
    </row>
    <row r="5240" spans="1:27" x14ac:dyDescent="0.2">
      <c r="A5240" t="s">
        <v>418</v>
      </c>
      <c r="B5240">
        <v>2024</v>
      </c>
      <c r="C5240" t="s">
        <v>6335</v>
      </c>
      <c r="D5240" t="s">
        <v>6336</v>
      </c>
      <c r="E5240" t="s">
        <v>29</v>
      </c>
      <c r="F5240" t="s">
        <v>30</v>
      </c>
      <c r="G5240">
        <v>0</v>
      </c>
      <c r="H5240">
        <v>0</v>
      </c>
      <c r="I5240">
        <v>0</v>
      </c>
      <c r="J5240">
        <v>0</v>
      </c>
      <c r="K5240">
        <v>0</v>
      </c>
      <c r="L5240">
        <v>0</v>
      </c>
      <c r="M5240">
        <v>60</v>
      </c>
      <c r="N5240">
        <v>0</v>
      </c>
      <c r="O5240">
        <v>236</v>
      </c>
      <c r="P5240">
        <v>0</v>
      </c>
      <c r="Q5240">
        <v>0</v>
      </c>
      <c r="R5240">
        <v>0</v>
      </c>
      <c r="S5240">
        <v>0</v>
      </c>
      <c r="T5240">
        <v>0</v>
      </c>
      <c r="U5240">
        <v>0</v>
      </c>
      <c r="V5240">
        <v>0</v>
      </c>
      <c r="W5240">
        <v>0</v>
      </c>
      <c r="X5240">
        <v>0</v>
      </c>
      <c r="Y5240" t="s">
        <v>31</v>
      </c>
      <c r="Z5240">
        <v>55</v>
      </c>
      <c r="AA5240">
        <v>0</v>
      </c>
    </row>
    <row r="5241" spans="1:27" ht="68" x14ac:dyDescent="0.2">
      <c r="A5241" t="s">
        <v>2411</v>
      </c>
      <c r="B5241">
        <v>2023</v>
      </c>
      <c r="C5241" t="s">
        <v>5978</v>
      </c>
      <c r="D5241" s="1" t="s">
        <v>5979</v>
      </c>
      <c r="E5241" t="s">
        <v>29</v>
      </c>
      <c r="F5241" t="s">
        <v>30</v>
      </c>
      <c r="G5241">
        <v>0</v>
      </c>
      <c r="H5241">
        <v>0</v>
      </c>
      <c r="I5241">
        <v>0</v>
      </c>
      <c r="J5241">
        <v>0</v>
      </c>
      <c r="K5241">
        <v>0</v>
      </c>
      <c r="L5241">
        <v>0</v>
      </c>
      <c r="M5241">
        <v>46</v>
      </c>
      <c r="N5241">
        <v>0</v>
      </c>
      <c r="O5241">
        <v>10</v>
      </c>
      <c r="P5241">
        <v>0</v>
      </c>
      <c r="Q5241">
        <v>0</v>
      </c>
      <c r="R5241">
        <v>0</v>
      </c>
      <c r="S5241">
        <v>0</v>
      </c>
      <c r="T5241">
        <v>0</v>
      </c>
      <c r="U5241">
        <v>0</v>
      </c>
      <c r="V5241">
        <v>0</v>
      </c>
      <c r="W5241">
        <v>0</v>
      </c>
      <c r="X5241">
        <v>0</v>
      </c>
      <c r="Y5241" t="s">
        <v>31</v>
      </c>
      <c r="Z5241">
        <v>1000</v>
      </c>
      <c r="AA5241">
        <v>0</v>
      </c>
    </row>
    <row r="5242" spans="1:27" x14ac:dyDescent="0.2">
      <c r="A5242" t="s">
        <v>547</v>
      </c>
      <c r="B5242">
        <v>2024</v>
      </c>
      <c r="C5242">
        <v>5160011017</v>
      </c>
      <c r="D5242" t="s">
        <v>6337</v>
      </c>
      <c r="E5242" t="s">
        <v>29</v>
      </c>
      <c r="F5242" t="s">
        <v>30</v>
      </c>
      <c r="G5242">
        <v>0</v>
      </c>
      <c r="H5242">
        <v>0</v>
      </c>
      <c r="I5242">
        <v>0</v>
      </c>
      <c r="J5242">
        <v>0</v>
      </c>
      <c r="K5242">
        <v>0</v>
      </c>
      <c r="L5242">
        <v>0</v>
      </c>
      <c r="M5242">
        <v>5</v>
      </c>
      <c r="N5242">
        <v>0</v>
      </c>
      <c r="O5242">
        <v>0</v>
      </c>
      <c r="P5242">
        <v>0</v>
      </c>
      <c r="Q5242">
        <v>0</v>
      </c>
      <c r="R5242">
        <v>0</v>
      </c>
      <c r="S5242">
        <v>5</v>
      </c>
      <c r="T5242">
        <v>0</v>
      </c>
      <c r="U5242">
        <v>0</v>
      </c>
      <c r="V5242">
        <v>0</v>
      </c>
      <c r="W5242">
        <v>0</v>
      </c>
      <c r="X5242">
        <v>0</v>
      </c>
      <c r="Y5242" t="s">
        <v>31</v>
      </c>
      <c r="Z5242">
        <v>55</v>
      </c>
      <c r="AA5242">
        <v>35</v>
      </c>
    </row>
    <row r="5243" spans="1:27" x14ac:dyDescent="0.2">
      <c r="A5243" t="s">
        <v>514</v>
      </c>
      <c r="B5243">
        <v>2023</v>
      </c>
      <c r="C5243" s="2" t="s">
        <v>6338</v>
      </c>
      <c r="D5243" t="s">
        <v>6339</v>
      </c>
      <c r="E5243" t="s">
        <v>29</v>
      </c>
      <c r="F5243" t="s">
        <v>30</v>
      </c>
      <c r="G5243">
        <v>0</v>
      </c>
      <c r="H5243">
        <v>0</v>
      </c>
      <c r="I5243">
        <v>0</v>
      </c>
      <c r="J5243">
        <v>0</v>
      </c>
      <c r="K5243">
        <v>0</v>
      </c>
      <c r="L5243">
        <v>0</v>
      </c>
      <c r="M5243">
        <v>0</v>
      </c>
      <c r="N5243">
        <v>0</v>
      </c>
      <c r="O5243">
        <v>0</v>
      </c>
      <c r="P5243">
        <v>0</v>
      </c>
      <c r="Q5243">
        <v>0</v>
      </c>
      <c r="R5243">
        <v>0</v>
      </c>
      <c r="S5243">
        <v>37</v>
      </c>
      <c r="T5243">
        <v>0</v>
      </c>
      <c r="U5243">
        <v>18</v>
      </c>
      <c r="V5243">
        <v>0</v>
      </c>
      <c r="W5243">
        <v>0</v>
      </c>
      <c r="X5243">
        <v>0</v>
      </c>
      <c r="Y5243" t="s">
        <v>31</v>
      </c>
      <c r="AA5243" s="2" t="s">
        <v>3299</v>
      </c>
    </row>
    <row r="5244" spans="1:27" x14ac:dyDescent="0.2">
      <c r="A5244" t="s">
        <v>1241</v>
      </c>
      <c r="B5244">
        <v>2024</v>
      </c>
      <c r="C5244">
        <v>146141072</v>
      </c>
      <c r="D5244" t="s">
        <v>4017</v>
      </c>
      <c r="E5244" t="s">
        <v>29</v>
      </c>
      <c r="F5244" t="s">
        <v>30</v>
      </c>
      <c r="G5244">
        <v>0</v>
      </c>
      <c r="H5244">
        <v>0</v>
      </c>
      <c r="I5244">
        <v>0</v>
      </c>
      <c r="J5244">
        <v>0</v>
      </c>
      <c r="K5244">
        <v>0</v>
      </c>
      <c r="L5244">
        <v>0</v>
      </c>
      <c r="M5244">
        <v>0</v>
      </c>
      <c r="N5244">
        <v>0</v>
      </c>
      <c r="O5244">
        <v>0</v>
      </c>
      <c r="P5244">
        <v>0</v>
      </c>
      <c r="Q5244">
        <v>0</v>
      </c>
      <c r="R5244">
        <v>0</v>
      </c>
      <c r="S5244">
        <v>0</v>
      </c>
      <c r="T5244">
        <v>0</v>
      </c>
      <c r="U5244">
        <v>8</v>
      </c>
      <c r="V5244">
        <v>0</v>
      </c>
      <c r="W5244">
        <v>0</v>
      </c>
      <c r="X5244">
        <v>0</v>
      </c>
      <c r="Y5244" t="s">
        <v>31</v>
      </c>
      <c r="Z5244">
        <v>55</v>
      </c>
      <c r="AA5244">
        <v>0</v>
      </c>
    </row>
    <row r="5245" spans="1:27" x14ac:dyDescent="0.2">
      <c r="A5245" t="s">
        <v>1658</v>
      </c>
      <c r="B5245">
        <v>2024</v>
      </c>
      <c r="C5245" t="s">
        <v>2320</v>
      </c>
      <c r="D5245" t="s">
        <v>5056</v>
      </c>
      <c r="E5245" t="s">
        <v>29</v>
      </c>
      <c r="F5245" t="s">
        <v>41</v>
      </c>
      <c r="G5245">
        <v>0</v>
      </c>
      <c r="H5245">
        <v>0</v>
      </c>
      <c r="I5245">
        <v>0</v>
      </c>
      <c r="J5245">
        <v>0</v>
      </c>
      <c r="K5245">
        <v>0</v>
      </c>
      <c r="L5245">
        <v>0</v>
      </c>
      <c r="M5245">
        <v>0</v>
      </c>
      <c r="N5245">
        <v>0</v>
      </c>
      <c r="O5245">
        <v>0</v>
      </c>
      <c r="P5245">
        <v>0</v>
      </c>
      <c r="Q5245">
        <v>0</v>
      </c>
      <c r="R5245">
        <v>0</v>
      </c>
      <c r="S5245">
        <v>1</v>
      </c>
      <c r="T5245">
        <v>0</v>
      </c>
      <c r="U5245">
        <v>0</v>
      </c>
      <c r="V5245">
        <v>0</v>
      </c>
      <c r="W5245">
        <v>0</v>
      </c>
      <c r="X5245">
        <v>0</v>
      </c>
      <c r="Y5245" t="s">
        <v>51</v>
      </c>
      <c r="Z5245">
        <v>55</v>
      </c>
      <c r="AA5245">
        <v>0</v>
      </c>
    </row>
    <row r="5246" spans="1:27" x14ac:dyDescent="0.2">
      <c r="A5246" t="s">
        <v>1658</v>
      </c>
      <c r="B5246">
        <v>2024</v>
      </c>
      <c r="C5246" t="s">
        <v>6340</v>
      </c>
      <c r="D5246" t="s">
        <v>6341</v>
      </c>
      <c r="E5246" t="s">
        <v>29</v>
      </c>
      <c r="F5246" t="s">
        <v>30</v>
      </c>
      <c r="G5246">
        <v>21</v>
      </c>
      <c r="H5246">
        <v>0</v>
      </c>
      <c r="I5246">
        <v>185</v>
      </c>
      <c r="J5246">
        <v>0</v>
      </c>
      <c r="K5246">
        <v>0</v>
      </c>
      <c r="L5246">
        <v>0</v>
      </c>
      <c r="M5246">
        <v>0</v>
      </c>
      <c r="N5246">
        <v>0</v>
      </c>
      <c r="O5246">
        <v>0</v>
      </c>
      <c r="P5246">
        <v>0</v>
      </c>
      <c r="Q5246">
        <v>0</v>
      </c>
      <c r="R5246">
        <v>0</v>
      </c>
      <c r="S5246">
        <v>0</v>
      </c>
      <c r="T5246">
        <v>0</v>
      </c>
      <c r="U5246">
        <v>0</v>
      </c>
      <c r="V5246">
        <v>0</v>
      </c>
      <c r="W5246">
        <v>0</v>
      </c>
      <c r="X5246">
        <v>0</v>
      </c>
      <c r="Y5246" t="s">
        <v>31</v>
      </c>
      <c r="Z5246">
        <v>55</v>
      </c>
      <c r="AA5246" s="2" t="s">
        <v>6342</v>
      </c>
    </row>
    <row r="5247" spans="1:27" x14ac:dyDescent="0.2">
      <c r="A5247" t="s">
        <v>1658</v>
      </c>
      <c r="B5247">
        <v>2024</v>
      </c>
      <c r="C5247" t="s">
        <v>6343</v>
      </c>
      <c r="D5247" t="s">
        <v>6344</v>
      </c>
      <c r="E5247" t="s">
        <v>29</v>
      </c>
      <c r="F5247" t="s">
        <v>30</v>
      </c>
      <c r="G5247">
        <v>18</v>
      </c>
      <c r="H5247">
        <v>0</v>
      </c>
      <c r="I5247">
        <v>7</v>
      </c>
      <c r="J5247">
        <v>0</v>
      </c>
      <c r="K5247">
        <v>0</v>
      </c>
      <c r="L5247">
        <v>40</v>
      </c>
      <c r="M5247">
        <v>0</v>
      </c>
      <c r="N5247">
        <v>0</v>
      </c>
      <c r="O5247">
        <v>0</v>
      </c>
      <c r="P5247">
        <v>0</v>
      </c>
      <c r="Q5247">
        <v>0</v>
      </c>
      <c r="R5247">
        <v>0</v>
      </c>
      <c r="S5247">
        <v>0</v>
      </c>
      <c r="T5247">
        <v>0</v>
      </c>
      <c r="U5247">
        <v>0</v>
      </c>
      <c r="V5247">
        <v>0</v>
      </c>
      <c r="W5247">
        <v>0</v>
      </c>
      <c r="X5247">
        <v>0</v>
      </c>
      <c r="Y5247" t="s">
        <v>31</v>
      </c>
      <c r="Z5247">
        <v>55</v>
      </c>
      <c r="AA5247" s="2" t="s">
        <v>6089</v>
      </c>
    </row>
    <row r="5248" spans="1:27" x14ac:dyDescent="0.2">
      <c r="A5248" t="s">
        <v>1658</v>
      </c>
      <c r="B5248">
        <v>2024</v>
      </c>
      <c r="C5248" t="s">
        <v>3479</v>
      </c>
      <c r="D5248" t="s">
        <v>5213</v>
      </c>
      <c r="E5248" t="s">
        <v>29</v>
      </c>
      <c r="F5248" t="s">
        <v>41</v>
      </c>
      <c r="G5248">
        <v>0</v>
      </c>
      <c r="H5248">
        <v>0</v>
      </c>
      <c r="I5248">
        <v>0</v>
      </c>
      <c r="J5248">
        <v>0</v>
      </c>
      <c r="K5248">
        <v>0</v>
      </c>
      <c r="L5248">
        <v>0</v>
      </c>
      <c r="M5248">
        <v>0</v>
      </c>
      <c r="N5248">
        <v>0</v>
      </c>
      <c r="O5248">
        <v>0</v>
      </c>
      <c r="P5248">
        <v>0</v>
      </c>
      <c r="Q5248">
        <v>0</v>
      </c>
      <c r="R5248">
        <v>0</v>
      </c>
      <c r="S5248">
        <v>0</v>
      </c>
      <c r="T5248">
        <v>0</v>
      </c>
      <c r="U5248">
        <v>0</v>
      </c>
      <c r="V5248">
        <v>0</v>
      </c>
      <c r="W5248">
        <v>0</v>
      </c>
      <c r="X5248">
        <v>0</v>
      </c>
      <c r="Y5248" t="s">
        <v>51</v>
      </c>
      <c r="Z5248">
        <v>55</v>
      </c>
      <c r="AA5248">
        <v>0</v>
      </c>
    </row>
    <row r="5249" spans="1:27" x14ac:dyDescent="0.2">
      <c r="A5249" t="s">
        <v>1658</v>
      </c>
      <c r="B5249">
        <v>2024</v>
      </c>
      <c r="C5249" t="s">
        <v>3061</v>
      </c>
      <c r="D5249" t="s">
        <v>5084</v>
      </c>
      <c r="E5249" t="s">
        <v>29</v>
      </c>
      <c r="F5249" t="s">
        <v>41</v>
      </c>
      <c r="G5249">
        <v>0</v>
      </c>
      <c r="H5249">
        <v>0</v>
      </c>
      <c r="I5249">
        <v>0</v>
      </c>
      <c r="J5249">
        <v>0</v>
      </c>
      <c r="K5249">
        <v>0</v>
      </c>
      <c r="L5249">
        <v>0</v>
      </c>
      <c r="M5249">
        <v>0</v>
      </c>
      <c r="N5249">
        <v>0</v>
      </c>
      <c r="O5249">
        <v>0</v>
      </c>
      <c r="P5249">
        <v>0</v>
      </c>
      <c r="Q5249">
        <v>0</v>
      </c>
      <c r="R5249">
        <v>0</v>
      </c>
      <c r="S5249">
        <v>0</v>
      </c>
      <c r="T5249">
        <v>0</v>
      </c>
      <c r="U5249">
        <v>1</v>
      </c>
      <c r="V5249">
        <v>0</v>
      </c>
      <c r="W5249">
        <v>0</v>
      </c>
      <c r="X5249">
        <v>0</v>
      </c>
      <c r="Y5249" t="s">
        <v>51</v>
      </c>
      <c r="Z5249">
        <v>55</v>
      </c>
      <c r="AA5249">
        <v>0</v>
      </c>
    </row>
    <row r="5250" spans="1:27" x14ac:dyDescent="0.2">
      <c r="A5250" t="s">
        <v>418</v>
      </c>
      <c r="B5250">
        <v>2024</v>
      </c>
      <c r="C5250" t="s">
        <v>6345</v>
      </c>
      <c r="D5250" t="s">
        <v>6346</v>
      </c>
      <c r="E5250" t="s">
        <v>29</v>
      </c>
      <c r="F5250" t="s">
        <v>41</v>
      </c>
      <c r="G5250">
        <v>15</v>
      </c>
      <c r="H5250">
        <v>0</v>
      </c>
      <c r="I5250">
        <v>0</v>
      </c>
      <c r="J5250">
        <v>0</v>
      </c>
      <c r="K5250">
        <v>0</v>
      </c>
      <c r="L5250">
        <v>0</v>
      </c>
      <c r="M5250">
        <v>0</v>
      </c>
      <c r="N5250">
        <v>0</v>
      </c>
      <c r="O5250">
        <v>0</v>
      </c>
      <c r="P5250">
        <v>0</v>
      </c>
      <c r="Q5250">
        <v>0</v>
      </c>
      <c r="R5250">
        <v>0</v>
      </c>
      <c r="S5250">
        <v>0</v>
      </c>
      <c r="T5250">
        <v>0</v>
      </c>
      <c r="U5250">
        <v>0</v>
      </c>
      <c r="V5250">
        <v>0</v>
      </c>
      <c r="W5250">
        <v>0</v>
      </c>
      <c r="X5250">
        <v>0</v>
      </c>
      <c r="Y5250" t="s">
        <v>51</v>
      </c>
      <c r="Z5250">
        <v>99</v>
      </c>
      <c r="AA5250">
        <v>0</v>
      </c>
    </row>
    <row r="5251" spans="1:27" x14ac:dyDescent="0.2">
      <c r="A5251" t="s">
        <v>418</v>
      </c>
      <c r="B5251">
        <v>2024</v>
      </c>
      <c r="C5251" t="s">
        <v>6333</v>
      </c>
      <c r="D5251" t="s">
        <v>6347</v>
      </c>
      <c r="E5251" t="s">
        <v>29</v>
      </c>
      <c r="F5251" t="s">
        <v>30</v>
      </c>
      <c r="G5251">
        <v>0</v>
      </c>
      <c r="H5251">
        <v>0</v>
      </c>
      <c r="I5251">
        <v>0</v>
      </c>
      <c r="J5251">
        <v>0</v>
      </c>
      <c r="K5251">
        <v>0</v>
      </c>
      <c r="L5251">
        <v>0</v>
      </c>
      <c r="M5251">
        <v>24</v>
      </c>
      <c r="N5251">
        <v>0</v>
      </c>
      <c r="O5251">
        <v>91</v>
      </c>
      <c r="P5251">
        <v>0</v>
      </c>
      <c r="Q5251">
        <v>0</v>
      </c>
      <c r="R5251">
        <v>0</v>
      </c>
      <c r="S5251">
        <v>0</v>
      </c>
      <c r="T5251">
        <v>0</v>
      </c>
      <c r="U5251">
        <v>0</v>
      </c>
      <c r="V5251">
        <v>0</v>
      </c>
      <c r="W5251">
        <v>0</v>
      </c>
      <c r="X5251">
        <v>0</v>
      </c>
      <c r="Y5251" t="s">
        <v>31</v>
      </c>
      <c r="AA5251">
        <v>0</v>
      </c>
    </row>
    <row r="5252" spans="1:27" ht="68" x14ac:dyDescent="0.2">
      <c r="A5252" t="s">
        <v>2411</v>
      </c>
      <c r="B5252">
        <v>2023</v>
      </c>
      <c r="C5252" t="s">
        <v>5022</v>
      </c>
      <c r="D5252" s="1" t="s">
        <v>5875</v>
      </c>
      <c r="E5252" t="s">
        <v>29</v>
      </c>
      <c r="F5252" t="s">
        <v>30</v>
      </c>
      <c r="G5252">
        <v>0</v>
      </c>
      <c r="H5252">
        <v>0</v>
      </c>
      <c r="I5252">
        <v>0</v>
      </c>
      <c r="J5252">
        <v>0</v>
      </c>
      <c r="K5252">
        <v>0</v>
      </c>
      <c r="L5252">
        <v>0</v>
      </c>
      <c r="M5252">
        <v>1</v>
      </c>
      <c r="N5252">
        <v>0</v>
      </c>
      <c r="O5252">
        <v>0</v>
      </c>
      <c r="P5252">
        <v>0</v>
      </c>
      <c r="Q5252">
        <v>0</v>
      </c>
      <c r="R5252">
        <v>0</v>
      </c>
      <c r="S5252">
        <v>0</v>
      </c>
      <c r="T5252">
        <v>0</v>
      </c>
      <c r="U5252">
        <v>0</v>
      </c>
      <c r="V5252">
        <v>0</v>
      </c>
      <c r="W5252">
        <v>0</v>
      </c>
      <c r="X5252">
        <v>0</v>
      </c>
      <c r="Y5252" t="s">
        <v>31</v>
      </c>
      <c r="Z5252">
        <v>1000</v>
      </c>
      <c r="AA5252">
        <v>0.25</v>
      </c>
    </row>
    <row r="5253" spans="1:27" ht="85" x14ac:dyDescent="0.2">
      <c r="A5253" t="s">
        <v>2411</v>
      </c>
      <c r="B5253">
        <v>2023</v>
      </c>
      <c r="C5253" t="s">
        <v>6348</v>
      </c>
      <c r="D5253" s="1" t="s">
        <v>6349</v>
      </c>
      <c r="E5253" t="s">
        <v>29</v>
      </c>
      <c r="F5253" t="s">
        <v>30</v>
      </c>
      <c r="G5253">
        <v>0</v>
      </c>
      <c r="H5253">
        <v>0</v>
      </c>
      <c r="I5253">
        <v>0</v>
      </c>
      <c r="J5253">
        <v>0</v>
      </c>
      <c r="K5253">
        <v>0</v>
      </c>
      <c r="L5253">
        <v>0</v>
      </c>
      <c r="M5253">
        <v>0</v>
      </c>
      <c r="N5253">
        <v>0</v>
      </c>
      <c r="O5253">
        <v>0</v>
      </c>
      <c r="P5253">
        <v>0</v>
      </c>
      <c r="Q5253">
        <v>0</v>
      </c>
      <c r="R5253">
        <v>0</v>
      </c>
      <c r="S5253">
        <v>26</v>
      </c>
      <c r="T5253">
        <v>0</v>
      </c>
      <c r="U5253">
        <v>113</v>
      </c>
      <c r="V5253">
        <v>0</v>
      </c>
      <c r="W5253">
        <v>0</v>
      </c>
      <c r="X5253">
        <v>0</v>
      </c>
      <c r="Y5253" t="s">
        <v>31</v>
      </c>
      <c r="Z5253">
        <v>1000</v>
      </c>
      <c r="AA5253" s="2" t="s">
        <v>3390</v>
      </c>
    </row>
    <row r="5254" spans="1:27" x14ac:dyDescent="0.2">
      <c r="A5254" t="s">
        <v>514</v>
      </c>
      <c r="B5254">
        <v>2023</v>
      </c>
      <c r="C5254" s="2" t="s">
        <v>3980</v>
      </c>
      <c r="D5254" t="s">
        <v>684</v>
      </c>
      <c r="E5254" t="s">
        <v>29</v>
      </c>
      <c r="F5254" t="s">
        <v>30</v>
      </c>
      <c r="G5254">
        <v>0</v>
      </c>
      <c r="H5254">
        <v>0</v>
      </c>
      <c r="I5254">
        <v>0</v>
      </c>
      <c r="J5254">
        <v>0</v>
      </c>
      <c r="K5254">
        <v>0</v>
      </c>
      <c r="L5254">
        <v>0</v>
      </c>
      <c r="M5254">
        <v>5</v>
      </c>
      <c r="N5254">
        <v>0</v>
      </c>
      <c r="O5254">
        <v>19</v>
      </c>
      <c r="P5254">
        <v>0</v>
      </c>
      <c r="Q5254">
        <v>0</v>
      </c>
      <c r="R5254">
        <v>0</v>
      </c>
      <c r="S5254">
        <v>0</v>
      </c>
      <c r="T5254">
        <v>0</v>
      </c>
      <c r="U5254">
        <v>0</v>
      </c>
      <c r="V5254">
        <v>0</v>
      </c>
      <c r="W5254">
        <v>0</v>
      </c>
      <c r="X5254">
        <v>0</v>
      </c>
      <c r="Y5254" t="s">
        <v>31</v>
      </c>
      <c r="AA5254" s="2" t="s">
        <v>3981</v>
      </c>
    </row>
    <row r="5255" spans="1:27" x14ac:dyDescent="0.2">
      <c r="A5255" t="s">
        <v>137</v>
      </c>
      <c r="B5255">
        <v>2024</v>
      </c>
      <c r="C5255">
        <v>101290071000</v>
      </c>
      <c r="D5255" t="s">
        <v>6350</v>
      </c>
      <c r="E5255" t="s">
        <v>29</v>
      </c>
      <c r="F5255" t="s">
        <v>30</v>
      </c>
      <c r="G5255">
        <v>0</v>
      </c>
      <c r="H5255">
        <v>0</v>
      </c>
      <c r="I5255">
        <v>0</v>
      </c>
      <c r="J5255">
        <v>0</v>
      </c>
      <c r="K5255">
        <v>0</v>
      </c>
      <c r="L5255">
        <v>0</v>
      </c>
      <c r="M5255">
        <v>2</v>
      </c>
      <c r="N5255">
        <v>0</v>
      </c>
      <c r="O5255">
        <v>0</v>
      </c>
      <c r="P5255">
        <v>0</v>
      </c>
      <c r="Q5255">
        <v>0</v>
      </c>
      <c r="R5255">
        <v>0</v>
      </c>
      <c r="S5255">
        <v>0</v>
      </c>
      <c r="T5255">
        <v>0</v>
      </c>
      <c r="U5255">
        <v>0</v>
      </c>
      <c r="V5255">
        <v>0</v>
      </c>
      <c r="W5255">
        <v>0</v>
      </c>
      <c r="X5255">
        <v>0</v>
      </c>
      <c r="Y5255" t="s">
        <v>31</v>
      </c>
      <c r="AA5255" s="2" t="s">
        <v>3299</v>
      </c>
    </row>
    <row r="5256" spans="1:27" x14ac:dyDescent="0.2">
      <c r="A5256" t="s">
        <v>547</v>
      </c>
      <c r="B5256">
        <v>2024</v>
      </c>
      <c r="C5256">
        <v>4260032034</v>
      </c>
      <c r="D5256" t="s">
        <v>1024</v>
      </c>
      <c r="E5256" t="s">
        <v>29</v>
      </c>
      <c r="F5256" t="s">
        <v>30</v>
      </c>
      <c r="G5256">
        <v>0</v>
      </c>
      <c r="H5256">
        <v>0</v>
      </c>
      <c r="I5256">
        <v>0</v>
      </c>
      <c r="J5256">
        <v>0</v>
      </c>
      <c r="K5256">
        <v>0</v>
      </c>
      <c r="L5256">
        <v>0</v>
      </c>
      <c r="M5256">
        <v>32</v>
      </c>
      <c r="N5256">
        <v>0</v>
      </c>
      <c r="O5256">
        <v>28</v>
      </c>
      <c r="P5256">
        <v>0</v>
      </c>
      <c r="Q5256">
        <v>0</v>
      </c>
      <c r="R5256">
        <v>0</v>
      </c>
      <c r="S5256">
        <v>32</v>
      </c>
      <c r="T5256">
        <v>0</v>
      </c>
      <c r="U5256">
        <v>28</v>
      </c>
      <c r="V5256">
        <v>0</v>
      </c>
      <c r="W5256">
        <v>0</v>
      </c>
      <c r="X5256">
        <v>0</v>
      </c>
      <c r="Y5256" t="s">
        <v>31</v>
      </c>
      <c r="Z5256">
        <v>55</v>
      </c>
      <c r="AA5256">
        <v>455</v>
      </c>
    </row>
    <row r="5257" spans="1:27" x14ac:dyDescent="0.2">
      <c r="A5257" t="s">
        <v>4084</v>
      </c>
      <c r="B5257">
        <v>2023</v>
      </c>
      <c r="C5257" t="s">
        <v>6351</v>
      </c>
      <c r="D5257" t="s">
        <v>6352</v>
      </c>
      <c r="E5257" t="s">
        <v>29</v>
      </c>
      <c r="F5257" t="s">
        <v>30</v>
      </c>
      <c r="G5257">
        <v>0</v>
      </c>
      <c r="H5257">
        <v>0</v>
      </c>
      <c r="I5257">
        <v>49</v>
      </c>
      <c r="J5257">
        <v>0</v>
      </c>
      <c r="K5257">
        <v>12</v>
      </c>
      <c r="L5257">
        <v>0</v>
      </c>
      <c r="M5257">
        <v>0</v>
      </c>
      <c r="N5257">
        <v>0</v>
      </c>
      <c r="O5257">
        <v>0</v>
      </c>
      <c r="P5257">
        <v>0</v>
      </c>
      <c r="Q5257">
        <v>0</v>
      </c>
      <c r="R5257">
        <v>0</v>
      </c>
      <c r="S5257">
        <v>0</v>
      </c>
      <c r="T5257">
        <v>0</v>
      </c>
      <c r="U5257">
        <v>0</v>
      </c>
      <c r="V5257">
        <v>0</v>
      </c>
      <c r="W5257">
        <v>0</v>
      </c>
      <c r="X5257">
        <v>0</v>
      </c>
      <c r="Y5257" t="s">
        <v>31</v>
      </c>
      <c r="Z5257">
        <v>55</v>
      </c>
      <c r="AA5257" s="2" t="s">
        <v>3514</v>
      </c>
    </row>
    <row r="5258" spans="1:27" x14ac:dyDescent="0.2">
      <c r="A5258" t="s">
        <v>547</v>
      </c>
      <c r="B5258">
        <v>2024</v>
      </c>
      <c r="C5258">
        <v>5434031005</v>
      </c>
      <c r="D5258" t="s">
        <v>6353</v>
      </c>
      <c r="E5258" t="s">
        <v>29</v>
      </c>
      <c r="F5258" t="s">
        <v>30</v>
      </c>
      <c r="G5258">
        <v>0</v>
      </c>
      <c r="H5258">
        <v>0</v>
      </c>
      <c r="I5258">
        <v>0</v>
      </c>
      <c r="J5258">
        <v>0</v>
      </c>
      <c r="K5258">
        <v>0</v>
      </c>
      <c r="L5258">
        <v>0</v>
      </c>
      <c r="M5258">
        <v>4</v>
      </c>
      <c r="N5258">
        <v>0</v>
      </c>
      <c r="O5258">
        <v>0</v>
      </c>
      <c r="P5258">
        <v>0</v>
      </c>
      <c r="Q5258">
        <v>0</v>
      </c>
      <c r="R5258">
        <v>0</v>
      </c>
      <c r="S5258">
        <v>0</v>
      </c>
      <c r="T5258">
        <v>0</v>
      </c>
      <c r="U5258">
        <v>0</v>
      </c>
      <c r="V5258">
        <v>0</v>
      </c>
      <c r="W5258">
        <v>0</v>
      </c>
      <c r="X5258">
        <v>0</v>
      </c>
      <c r="Y5258" t="s">
        <v>31</v>
      </c>
      <c r="Z5258">
        <v>55</v>
      </c>
      <c r="AA5258">
        <v>35</v>
      </c>
    </row>
    <row r="5259" spans="1:27" x14ac:dyDescent="0.2">
      <c r="A5259" t="s">
        <v>547</v>
      </c>
      <c r="B5259">
        <v>2023</v>
      </c>
      <c r="C5259">
        <v>5529007032</v>
      </c>
      <c r="D5259" t="s">
        <v>6314</v>
      </c>
      <c r="E5259" t="s">
        <v>29</v>
      </c>
      <c r="F5259" t="s">
        <v>30</v>
      </c>
      <c r="G5259">
        <v>0</v>
      </c>
      <c r="H5259">
        <v>0</v>
      </c>
      <c r="I5259">
        <v>0</v>
      </c>
      <c r="J5259">
        <v>0</v>
      </c>
      <c r="K5259">
        <v>0</v>
      </c>
      <c r="L5259">
        <v>0</v>
      </c>
      <c r="M5259">
        <v>0</v>
      </c>
      <c r="N5259">
        <v>0</v>
      </c>
      <c r="O5259">
        <v>0</v>
      </c>
      <c r="P5259">
        <v>0</v>
      </c>
      <c r="Q5259">
        <v>0</v>
      </c>
      <c r="R5259">
        <v>0</v>
      </c>
      <c r="S5259">
        <v>0</v>
      </c>
      <c r="T5259">
        <v>0</v>
      </c>
      <c r="U5259">
        <v>0</v>
      </c>
      <c r="V5259">
        <v>0</v>
      </c>
      <c r="W5259">
        <v>0</v>
      </c>
      <c r="X5259">
        <v>0</v>
      </c>
      <c r="Y5259" t="s">
        <v>31</v>
      </c>
      <c r="Z5259">
        <v>55</v>
      </c>
      <c r="AA5259" s="2" t="s">
        <v>5735</v>
      </c>
    </row>
    <row r="5260" spans="1:27" x14ac:dyDescent="0.2">
      <c r="A5260" t="s">
        <v>547</v>
      </c>
      <c r="B5260">
        <v>2023</v>
      </c>
      <c r="C5260">
        <v>5529021064</v>
      </c>
      <c r="D5260" t="s">
        <v>6354</v>
      </c>
      <c r="E5260" t="s">
        <v>29</v>
      </c>
      <c r="F5260" t="s">
        <v>30</v>
      </c>
      <c r="G5260">
        <v>4</v>
      </c>
      <c r="H5260">
        <v>0</v>
      </c>
      <c r="I5260">
        <v>1</v>
      </c>
      <c r="J5260">
        <v>0</v>
      </c>
      <c r="K5260">
        <v>0</v>
      </c>
      <c r="L5260">
        <v>0</v>
      </c>
      <c r="M5260">
        <v>0</v>
      </c>
      <c r="N5260">
        <v>0</v>
      </c>
      <c r="O5260">
        <v>0</v>
      </c>
      <c r="P5260">
        <v>0</v>
      </c>
      <c r="Q5260">
        <v>0</v>
      </c>
      <c r="R5260">
        <v>0</v>
      </c>
      <c r="S5260">
        <v>0</v>
      </c>
      <c r="T5260">
        <v>0</v>
      </c>
      <c r="U5260">
        <v>0</v>
      </c>
      <c r="V5260">
        <v>0</v>
      </c>
      <c r="W5260">
        <v>0</v>
      </c>
      <c r="X5260">
        <v>0</v>
      </c>
      <c r="Y5260" t="s">
        <v>31</v>
      </c>
      <c r="Z5260">
        <v>55</v>
      </c>
      <c r="AA5260" s="2" t="s">
        <v>3312</v>
      </c>
    </row>
    <row r="5261" spans="1:27" x14ac:dyDescent="0.2">
      <c r="A5261" t="s">
        <v>547</v>
      </c>
      <c r="B5261">
        <v>2023</v>
      </c>
      <c r="C5261">
        <v>6020025014</v>
      </c>
      <c r="D5261" t="s">
        <v>6355</v>
      </c>
      <c r="E5261" t="s">
        <v>29</v>
      </c>
      <c r="F5261" t="s">
        <v>30</v>
      </c>
      <c r="G5261">
        <v>2</v>
      </c>
      <c r="H5261">
        <v>0</v>
      </c>
      <c r="I5261">
        <v>114</v>
      </c>
      <c r="J5261">
        <v>0</v>
      </c>
      <c r="K5261">
        <v>28</v>
      </c>
      <c r="L5261">
        <v>0</v>
      </c>
      <c r="M5261">
        <v>0</v>
      </c>
      <c r="N5261">
        <v>0</v>
      </c>
      <c r="O5261">
        <v>0</v>
      </c>
      <c r="P5261">
        <v>0</v>
      </c>
      <c r="Q5261">
        <v>0</v>
      </c>
      <c r="R5261">
        <v>0</v>
      </c>
      <c r="S5261">
        <v>0</v>
      </c>
      <c r="T5261">
        <v>0</v>
      </c>
      <c r="U5261">
        <v>0</v>
      </c>
      <c r="V5261">
        <v>0</v>
      </c>
      <c r="W5261">
        <v>0</v>
      </c>
      <c r="X5261">
        <v>0</v>
      </c>
      <c r="Y5261" t="s">
        <v>31</v>
      </c>
      <c r="Z5261">
        <v>55</v>
      </c>
      <c r="AA5261" s="2" t="s">
        <v>6356</v>
      </c>
    </row>
    <row r="5262" spans="1:27" x14ac:dyDescent="0.2">
      <c r="A5262" t="s">
        <v>547</v>
      </c>
      <c r="B5262">
        <v>2023</v>
      </c>
      <c r="C5262">
        <v>4235025032</v>
      </c>
      <c r="D5262" t="s">
        <v>6357</v>
      </c>
      <c r="E5262" t="s">
        <v>29</v>
      </c>
      <c r="F5262" t="s">
        <v>30</v>
      </c>
      <c r="G5262">
        <v>11</v>
      </c>
      <c r="H5262">
        <v>0</v>
      </c>
      <c r="I5262">
        <v>0</v>
      </c>
      <c r="J5262">
        <v>0</v>
      </c>
      <c r="K5262">
        <v>0</v>
      </c>
      <c r="L5262">
        <v>0</v>
      </c>
      <c r="M5262">
        <v>0</v>
      </c>
      <c r="N5262">
        <v>0</v>
      </c>
      <c r="O5262">
        <v>0</v>
      </c>
      <c r="P5262">
        <v>0</v>
      </c>
      <c r="Q5262">
        <v>0</v>
      </c>
      <c r="R5262">
        <v>0</v>
      </c>
      <c r="S5262">
        <v>0</v>
      </c>
      <c r="T5262">
        <v>0</v>
      </c>
      <c r="U5262">
        <v>0</v>
      </c>
      <c r="V5262">
        <v>0</v>
      </c>
      <c r="W5262">
        <v>0</v>
      </c>
      <c r="X5262">
        <v>0</v>
      </c>
      <c r="Y5262" t="s">
        <v>31</v>
      </c>
      <c r="Z5262">
        <v>55</v>
      </c>
      <c r="AA5262" s="2" t="s">
        <v>6358</v>
      </c>
    </row>
    <row r="5263" spans="1:27" x14ac:dyDescent="0.2">
      <c r="A5263" t="s">
        <v>4084</v>
      </c>
      <c r="B5263">
        <v>2023</v>
      </c>
      <c r="C5263" t="s">
        <v>6359</v>
      </c>
      <c r="D5263" t="s">
        <v>6360</v>
      </c>
      <c r="E5263" t="s">
        <v>29</v>
      </c>
      <c r="F5263" t="s">
        <v>30</v>
      </c>
      <c r="G5263">
        <v>0</v>
      </c>
      <c r="H5263">
        <v>0</v>
      </c>
      <c r="I5263">
        <v>0</v>
      </c>
      <c r="J5263">
        <v>0</v>
      </c>
      <c r="K5263">
        <v>0</v>
      </c>
      <c r="L5263">
        <v>0</v>
      </c>
      <c r="M5263">
        <v>0</v>
      </c>
      <c r="N5263">
        <v>0</v>
      </c>
      <c r="O5263">
        <v>0</v>
      </c>
      <c r="P5263">
        <v>0</v>
      </c>
      <c r="Q5263">
        <v>0</v>
      </c>
      <c r="R5263">
        <v>0</v>
      </c>
      <c r="S5263">
        <v>0</v>
      </c>
      <c r="T5263">
        <v>0</v>
      </c>
      <c r="U5263">
        <v>60</v>
      </c>
      <c r="V5263">
        <v>0</v>
      </c>
      <c r="W5263">
        <v>0</v>
      </c>
      <c r="X5263">
        <v>0</v>
      </c>
      <c r="Y5263" t="s">
        <v>51</v>
      </c>
      <c r="Z5263">
        <v>55</v>
      </c>
      <c r="AA5263">
        <v>0</v>
      </c>
    </row>
    <row r="5264" spans="1:27" x14ac:dyDescent="0.2">
      <c r="A5264" t="s">
        <v>600</v>
      </c>
      <c r="B5264">
        <v>2024</v>
      </c>
      <c r="C5264">
        <v>3721013</v>
      </c>
      <c r="D5264" t="s">
        <v>6361</v>
      </c>
      <c r="E5264" t="s">
        <v>29</v>
      </c>
      <c r="F5264" t="s">
        <v>30</v>
      </c>
      <c r="G5264">
        <v>0</v>
      </c>
      <c r="H5264">
        <v>0</v>
      </c>
      <c r="I5264">
        <v>68</v>
      </c>
      <c r="J5264">
        <v>0</v>
      </c>
      <c r="K5264">
        <v>0</v>
      </c>
      <c r="L5264">
        <v>0</v>
      </c>
      <c r="M5264">
        <v>0</v>
      </c>
      <c r="N5264">
        <v>0</v>
      </c>
      <c r="O5264">
        <v>0</v>
      </c>
      <c r="P5264">
        <v>0</v>
      </c>
      <c r="Q5264">
        <v>0</v>
      </c>
      <c r="R5264">
        <v>0</v>
      </c>
      <c r="S5264">
        <v>0</v>
      </c>
      <c r="T5264">
        <v>0</v>
      </c>
      <c r="U5264">
        <v>0</v>
      </c>
      <c r="V5264">
        <v>0</v>
      </c>
      <c r="W5264">
        <v>0</v>
      </c>
      <c r="X5264">
        <v>0</v>
      </c>
      <c r="Y5264" t="s">
        <v>31</v>
      </c>
      <c r="Z5264">
        <v>99</v>
      </c>
      <c r="AA5264">
        <v>0.5</v>
      </c>
    </row>
    <row r="5265" spans="1:27" x14ac:dyDescent="0.2">
      <c r="A5265" t="s">
        <v>600</v>
      </c>
      <c r="B5265">
        <v>2024</v>
      </c>
      <c r="C5265">
        <v>6468019</v>
      </c>
      <c r="D5265" t="s">
        <v>6362</v>
      </c>
      <c r="E5265" t="s">
        <v>29</v>
      </c>
      <c r="F5265" t="s">
        <v>30</v>
      </c>
      <c r="G5265">
        <v>0</v>
      </c>
      <c r="H5265">
        <v>0</v>
      </c>
      <c r="I5265">
        <v>9</v>
      </c>
      <c r="J5265">
        <v>0</v>
      </c>
      <c r="K5265">
        <v>3</v>
      </c>
      <c r="L5265">
        <v>0</v>
      </c>
      <c r="M5265">
        <v>0</v>
      </c>
      <c r="N5265">
        <v>0</v>
      </c>
      <c r="O5265">
        <v>0</v>
      </c>
      <c r="P5265">
        <v>0</v>
      </c>
      <c r="Q5265">
        <v>0</v>
      </c>
      <c r="R5265">
        <v>0</v>
      </c>
      <c r="S5265">
        <v>0</v>
      </c>
      <c r="T5265">
        <v>0</v>
      </c>
      <c r="U5265">
        <v>0</v>
      </c>
      <c r="V5265">
        <v>0</v>
      </c>
      <c r="W5265">
        <v>0</v>
      </c>
      <c r="X5265">
        <v>0</v>
      </c>
      <c r="Y5265" t="s">
        <v>31</v>
      </c>
      <c r="Z5265">
        <v>99</v>
      </c>
      <c r="AA5265">
        <v>1.23</v>
      </c>
    </row>
    <row r="5266" spans="1:27" x14ac:dyDescent="0.2">
      <c r="A5266" t="s">
        <v>514</v>
      </c>
      <c r="B5266">
        <v>2023</v>
      </c>
      <c r="C5266" s="2" t="s">
        <v>515</v>
      </c>
      <c r="D5266" t="s">
        <v>6206</v>
      </c>
      <c r="E5266" t="s">
        <v>29</v>
      </c>
      <c r="F5266" t="s">
        <v>30</v>
      </c>
      <c r="G5266">
        <v>0</v>
      </c>
      <c r="H5266">
        <v>0</v>
      </c>
      <c r="I5266">
        <v>0</v>
      </c>
      <c r="J5266">
        <v>0</v>
      </c>
      <c r="K5266">
        <v>0</v>
      </c>
      <c r="L5266">
        <v>0</v>
      </c>
      <c r="M5266">
        <v>0</v>
      </c>
      <c r="N5266">
        <v>0</v>
      </c>
      <c r="O5266">
        <v>0</v>
      </c>
      <c r="P5266">
        <v>0</v>
      </c>
      <c r="Q5266">
        <v>0</v>
      </c>
      <c r="R5266">
        <v>0</v>
      </c>
      <c r="S5266">
        <v>23</v>
      </c>
      <c r="T5266">
        <v>0</v>
      </c>
      <c r="U5266">
        <v>1</v>
      </c>
      <c r="V5266">
        <v>0</v>
      </c>
      <c r="W5266">
        <v>1</v>
      </c>
      <c r="X5266">
        <v>0</v>
      </c>
      <c r="Y5266" t="s">
        <v>31</v>
      </c>
      <c r="AA5266" s="2" t="s">
        <v>3299</v>
      </c>
    </row>
    <row r="5267" spans="1:27" x14ac:dyDescent="0.2">
      <c r="A5267" t="s">
        <v>514</v>
      </c>
      <c r="B5267">
        <v>2023</v>
      </c>
      <c r="C5267" s="2" t="s">
        <v>6338</v>
      </c>
      <c r="D5267" t="s">
        <v>6363</v>
      </c>
      <c r="E5267" t="s">
        <v>29</v>
      </c>
      <c r="F5267" t="s">
        <v>30</v>
      </c>
      <c r="G5267">
        <v>0</v>
      </c>
      <c r="H5267">
        <v>0</v>
      </c>
      <c r="I5267">
        <v>0</v>
      </c>
      <c r="J5267">
        <v>0</v>
      </c>
      <c r="K5267">
        <v>0</v>
      </c>
      <c r="L5267">
        <v>0</v>
      </c>
      <c r="M5267">
        <v>0</v>
      </c>
      <c r="N5267">
        <v>0</v>
      </c>
      <c r="O5267">
        <v>0</v>
      </c>
      <c r="P5267">
        <v>0</v>
      </c>
      <c r="Q5267">
        <v>0</v>
      </c>
      <c r="R5267">
        <v>0</v>
      </c>
      <c r="S5267">
        <v>37</v>
      </c>
      <c r="T5267">
        <v>0</v>
      </c>
      <c r="U5267">
        <v>18</v>
      </c>
      <c r="V5267">
        <v>0</v>
      </c>
      <c r="W5267">
        <v>1</v>
      </c>
      <c r="X5267">
        <v>0</v>
      </c>
      <c r="Y5267" t="s">
        <v>31</v>
      </c>
      <c r="AA5267" s="2" t="s">
        <v>3299</v>
      </c>
    </row>
    <row r="5268" spans="1:27" x14ac:dyDescent="0.2">
      <c r="A5268" t="s">
        <v>1077</v>
      </c>
      <c r="B5268">
        <v>2024</v>
      </c>
      <c r="C5268" t="s">
        <v>6364</v>
      </c>
      <c r="D5268" t="s">
        <v>6365</v>
      </c>
      <c r="E5268" t="s">
        <v>29</v>
      </c>
      <c r="F5268" t="s">
        <v>30</v>
      </c>
      <c r="G5268">
        <v>0</v>
      </c>
      <c r="H5268">
        <v>0</v>
      </c>
      <c r="I5268">
        <v>0</v>
      </c>
      <c r="J5268">
        <v>0</v>
      </c>
      <c r="K5268">
        <v>0</v>
      </c>
      <c r="L5268">
        <v>0</v>
      </c>
      <c r="M5268">
        <v>4</v>
      </c>
      <c r="N5268">
        <v>0</v>
      </c>
      <c r="O5268">
        <v>0</v>
      </c>
      <c r="P5268">
        <v>0</v>
      </c>
      <c r="Q5268">
        <v>0</v>
      </c>
      <c r="R5268">
        <v>0</v>
      </c>
      <c r="S5268">
        <v>0</v>
      </c>
      <c r="T5268">
        <v>0</v>
      </c>
      <c r="U5268">
        <v>0</v>
      </c>
      <c r="V5268">
        <v>0</v>
      </c>
      <c r="W5268">
        <v>0</v>
      </c>
      <c r="X5268">
        <v>0</v>
      </c>
      <c r="Y5268" t="s">
        <v>31</v>
      </c>
      <c r="Z5268">
        <v>55</v>
      </c>
      <c r="AA5268" s="2" t="s">
        <v>6267</v>
      </c>
    </row>
    <row r="5269" spans="1:27" x14ac:dyDescent="0.2">
      <c r="A5269" t="s">
        <v>600</v>
      </c>
      <c r="B5269">
        <v>2024</v>
      </c>
      <c r="C5269">
        <v>835004</v>
      </c>
      <c r="D5269" t="s">
        <v>4384</v>
      </c>
      <c r="E5269" t="s">
        <v>29</v>
      </c>
      <c r="F5269" t="s">
        <v>30</v>
      </c>
      <c r="G5269">
        <v>10</v>
      </c>
      <c r="H5269">
        <v>0</v>
      </c>
      <c r="I5269">
        <v>57</v>
      </c>
      <c r="J5269">
        <v>0</v>
      </c>
      <c r="K5269">
        <v>5</v>
      </c>
      <c r="L5269">
        <v>0</v>
      </c>
      <c r="M5269">
        <v>0</v>
      </c>
      <c r="N5269">
        <v>0</v>
      </c>
      <c r="O5269">
        <v>0</v>
      </c>
      <c r="P5269">
        <v>0</v>
      </c>
      <c r="Q5269">
        <v>0</v>
      </c>
      <c r="R5269">
        <v>0</v>
      </c>
      <c r="S5269">
        <v>0</v>
      </c>
      <c r="T5269">
        <v>0</v>
      </c>
      <c r="U5269">
        <v>0</v>
      </c>
      <c r="V5269">
        <v>0</v>
      </c>
      <c r="W5269">
        <v>0</v>
      </c>
      <c r="X5269">
        <v>0</v>
      </c>
      <c r="Y5269" t="s">
        <v>51</v>
      </c>
      <c r="Z5269">
        <v>99</v>
      </c>
      <c r="AA5269">
        <v>0</v>
      </c>
    </row>
    <row r="5270" spans="1:27" x14ac:dyDescent="0.2">
      <c r="A5270" t="s">
        <v>600</v>
      </c>
      <c r="B5270">
        <v>2024</v>
      </c>
      <c r="C5270">
        <v>1249024</v>
      </c>
      <c r="D5270" t="s">
        <v>6366</v>
      </c>
      <c r="E5270" t="s">
        <v>29</v>
      </c>
      <c r="F5270" t="s">
        <v>30</v>
      </c>
      <c r="G5270">
        <v>92</v>
      </c>
      <c r="H5270">
        <v>0</v>
      </c>
      <c r="I5270">
        <v>67</v>
      </c>
      <c r="J5270">
        <v>0</v>
      </c>
      <c r="K5270">
        <v>0</v>
      </c>
      <c r="L5270">
        <v>0</v>
      </c>
      <c r="M5270">
        <v>0</v>
      </c>
      <c r="N5270">
        <v>0</v>
      </c>
      <c r="O5270">
        <v>0</v>
      </c>
      <c r="P5270">
        <v>0</v>
      </c>
      <c r="Q5270">
        <v>0</v>
      </c>
      <c r="R5270">
        <v>0</v>
      </c>
      <c r="S5270">
        <v>0</v>
      </c>
      <c r="T5270">
        <v>0</v>
      </c>
      <c r="U5270">
        <v>0</v>
      </c>
      <c r="V5270">
        <v>0</v>
      </c>
      <c r="W5270">
        <v>0</v>
      </c>
      <c r="X5270">
        <v>0</v>
      </c>
      <c r="Y5270" t="s">
        <v>31</v>
      </c>
      <c r="Z5270">
        <v>99</v>
      </c>
      <c r="AA5270">
        <v>1</v>
      </c>
    </row>
    <row r="5271" spans="1:27" x14ac:dyDescent="0.2">
      <c r="A5271" t="s">
        <v>600</v>
      </c>
      <c r="B5271">
        <v>2024</v>
      </c>
      <c r="C5271">
        <v>3520001</v>
      </c>
      <c r="D5271" t="s">
        <v>6367</v>
      </c>
      <c r="E5271" t="s">
        <v>29</v>
      </c>
      <c r="F5271" t="s">
        <v>30</v>
      </c>
      <c r="G5271">
        <v>0</v>
      </c>
      <c r="H5271">
        <v>0</v>
      </c>
      <c r="I5271">
        <v>10</v>
      </c>
      <c r="J5271">
        <v>0</v>
      </c>
      <c r="K5271">
        <v>0</v>
      </c>
      <c r="L5271">
        <v>0</v>
      </c>
      <c r="M5271">
        <v>0</v>
      </c>
      <c r="N5271">
        <v>0</v>
      </c>
      <c r="O5271">
        <v>0</v>
      </c>
      <c r="P5271">
        <v>0</v>
      </c>
      <c r="Q5271">
        <v>0</v>
      </c>
      <c r="R5271">
        <v>0</v>
      </c>
      <c r="S5271">
        <v>0</v>
      </c>
      <c r="T5271">
        <v>0</v>
      </c>
      <c r="U5271">
        <v>0</v>
      </c>
      <c r="V5271">
        <v>0</v>
      </c>
      <c r="W5271">
        <v>0</v>
      </c>
      <c r="X5271">
        <v>0</v>
      </c>
      <c r="Y5271" t="s">
        <v>31</v>
      </c>
      <c r="Z5271">
        <v>99</v>
      </c>
      <c r="AA5271">
        <v>0.5</v>
      </c>
    </row>
    <row r="5272" spans="1:27" x14ac:dyDescent="0.2">
      <c r="A5272" t="s">
        <v>600</v>
      </c>
      <c r="B5272">
        <v>2024</v>
      </c>
      <c r="C5272">
        <v>3576001</v>
      </c>
      <c r="D5272" t="s">
        <v>6368</v>
      </c>
      <c r="E5272" t="s">
        <v>29</v>
      </c>
      <c r="F5272" t="s">
        <v>30</v>
      </c>
      <c r="G5272">
        <v>0</v>
      </c>
      <c r="H5272">
        <v>0</v>
      </c>
      <c r="I5272">
        <v>8</v>
      </c>
      <c r="J5272">
        <v>0</v>
      </c>
      <c r="K5272">
        <v>0</v>
      </c>
      <c r="L5272">
        <v>0</v>
      </c>
      <c r="M5272">
        <v>0</v>
      </c>
      <c r="N5272">
        <v>0</v>
      </c>
      <c r="O5272">
        <v>0</v>
      </c>
      <c r="P5272">
        <v>0</v>
      </c>
      <c r="Q5272">
        <v>0</v>
      </c>
      <c r="R5272">
        <v>0</v>
      </c>
      <c r="S5272">
        <v>0</v>
      </c>
      <c r="T5272">
        <v>0</v>
      </c>
      <c r="U5272">
        <v>0</v>
      </c>
      <c r="V5272">
        <v>0</v>
      </c>
      <c r="W5272">
        <v>0</v>
      </c>
      <c r="X5272">
        <v>0</v>
      </c>
      <c r="Y5272" t="s">
        <v>51</v>
      </c>
      <c r="Z5272">
        <v>99</v>
      </c>
      <c r="AA5272">
        <v>0</v>
      </c>
    </row>
    <row r="5273" spans="1:27" x14ac:dyDescent="0.2">
      <c r="A5273" t="s">
        <v>600</v>
      </c>
      <c r="B5273">
        <v>2024</v>
      </c>
      <c r="C5273">
        <v>3509007</v>
      </c>
      <c r="D5273" t="s">
        <v>6369</v>
      </c>
      <c r="E5273" t="s">
        <v>29</v>
      </c>
      <c r="F5273" t="s">
        <v>30</v>
      </c>
      <c r="G5273">
        <v>5</v>
      </c>
      <c r="H5273">
        <v>0</v>
      </c>
      <c r="I5273">
        <v>0</v>
      </c>
      <c r="J5273">
        <v>0</v>
      </c>
      <c r="K5273">
        <v>0</v>
      </c>
      <c r="L5273">
        <v>0</v>
      </c>
      <c r="M5273">
        <v>0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  <c r="V5273">
        <v>0</v>
      </c>
      <c r="W5273">
        <v>0</v>
      </c>
      <c r="X5273">
        <v>0</v>
      </c>
      <c r="Y5273" t="s">
        <v>31</v>
      </c>
      <c r="Z5273">
        <v>99</v>
      </c>
      <c r="AA5273" s="2" t="s">
        <v>3244</v>
      </c>
    </row>
    <row r="5274" spans="1:27" x14ac:dyDescent="0.2">
      <c r="A5274" t="s">
        <v>547</v>
      </c>
      <c r="B5274">
        <v>2024</v>
      </c>
      <c r="C5274">
        <v>5021009029</v>
      </c>
      <c r="D5274" t="s">
        <v>6370</v>
      </c>
      <c r="E5274" t="s">
        <v>29</v>
      </c>
      <c r="F5274" t="s">
        <v>30</v>
      </c>
      <c r="G5274">
        <v>0</v>
      </c>
      <c r="H5274">
        <v>0</v>
      </c>
      <c r="I5274">
        <v>0</v>
      </c>
      <c r="J5274">
        <v>0</v>
      </c>
      <c r="K5274">
        <v>0</v>
      </c>
      <c r="L5274">
        <v>0</v>
      </c>
      <c r="M5274">
        <v>1</v>
      </c>
      <c r="N5274">
        <v>0</v>
      </c>
      <c r="O5274">
        <v>92</v>
      </c>
      <c r="P5274">
        <v>0</v>
      </c>
      <c r="Q5274">
        <v>24</v>
      </c>
      <c r="R5274">
        <v>0</v>
      </c>
      <c r="S5274">
        <v>0</v>
      </c>
      <c r="T5274">
        <v>0</v>
      </c>
      <c r="U5274">
        <v>0</v>
      </c>
      <c r="V5274">
        <v>0</v>
      </c>
      <c r="W5274">
        <v>0</v>
      </c>
      <c r="X5274">
        <v>0</v>
      </c>
      <c r="Y5274" t="s">
        <v>31</v>
      </c>
      <c r="Z5274">
        <v>55</v>
      </c>
      <c r="AA5274">
        <v>353</v>
      </c>
    </row>
    <row r="5275" spans="1:27" x14ac:dyDescent="0.2">
      <c r="A5275" t="s">
        <v>4084</v>
      </c>
      <c r="B5275">
        <v>2024</v>
      </c>
      <c r="C5275" t="s">
        <v>6371</v>
      </c>
      <c r="D5275" t="s">
        <v>6372</v>
      </c>
      <c r="E5275" t="s">
        <v>29</v>
      </c>
      <c r="F5275" t="s">
        <v>30</v>
      </c>
      <c r="G5275">
        <v>0</v>
      </c>
      <c r="H5275">
        <v>0</v>
      </c>
      <c r="I5275">
        <v>34</v>
      </c>
      <c r="J5275">
        <v>0</v>
      </c>
      <c r="K5275">
        <v>0</v>
      </c>
      <c r="L5275">
        <v>0</v>
      </c>
      <c r="M5275">
        <v>0</v>
      </c>
      <c r="N5275">
        <v>0</v>
      </c>
      <c r="O5275">
        <v>0</v>
      </c>
      <c r="P5275">
        <v>0</v>
      </c>
      <c r="Q5275">
        <v>0</v>
      </c>
      <c r="R5275">
        <v>0</v>
      </c>
      <c r="S5275">
        <v>0</v>
      </c>
      <c r="T5275">
        <v>0</v>
      </c>
      <c r="U5275">
        <v>0</v>
      </c>
      <c r="V5275">
        <v>0</v>
      </c>
      <c r="W5275">
        <v>0</v>
      </c>
      <c r="X5275">
        <v>0</v>
      </c>
      <c r="Y5275" t="s">
        <v>31</v>
      </c>
      <c r="AA5275">
        <v>0</v>
      </c>
    </row>
    <row r="5276" spans="1:27" x14ac:dyDescent="0.2">
      <c r="A5276" t="s">
        <v>1241</v>
      </c>
      <c r="B5276">
        <v>2024</v>
      </c>
      <c r="C5276">
        <v>211181033</v>
      </c>
      <c r="D5276" t="s">
        <v>1840</v>
      </c>
      <c r="E5276" t="s">
        <v>29</v>
      </c>
      <c r="F5276" t="s">
        <v>30</v>
      </c>
      <c r="G5276">
        <v>0</v>
      </c>
      <c r="H5276">
        <v>0</v>
      </c>
      <c r="I5276">
        <v>0</v>
      </c>
      <c r="J5276">
        <v>0</v>
      </c>
      <c r="K5276">
        <v>0</v>
      </c>
      <c r="L5276">
        <v>0</v>
      </c>
      <c r="M5276">
        <v>0</v>
      </c>
      <c r="N5276">
        <v>0</v>
      </c>
      <c r="O5276">
        <v>0</v>
      </c>
      <c r="P5276">
        <v>0</v>
      </c>
      <c r="Q5276">
        <v>0</v>
      </c>
      <c r="R5276">
        <v>0</v>
      </c>
      <c r="S5276">
        <v>0</v>
      </c>
      <c r="T5276">
        <v>0</v>
      </c>
      <c r="U5276">
        <v>13</v>
      </c>
      <c r="V5276">
        <v>0</v>
      </c>
      <c r="W5276">
        <v>0</v>
      </c>
      <c r="X5276">
        <v>0</v>
      </c>
      <c r="Y5276" t="s">
        <v>31</v>
      </c>
      <c r="Z5276">
        <v>55</v>
      </c>
      <c r="AA5276" s="2" t="s">
        <v>6373</v>
      </c>
    </row>
    <row r="5277" spans="1:27" x14ac:dyDescent="0.2">
      <c r="A5277" t="s">
        <v>1658</v>
      </c>
      <c r="B5277">
        <v>2024</v>
      </c>
      <c r="C5277" t="s">
        <v>6374</v>
      </c>
      <c r="D5277" t="s">
        <v>6375</v>
      </c>
      <c r="E5277" t="s">
        <v>29</v>
      </c>
      <c r="F5277" t="s">
        <v>41</v>
      </c>
      <c r="G5277">
        <v>0</v>
      </c>
      <c r="H5277">
        <v>0</v>
      </c>
      <c r="I5277">
        <v>0</v>
      </c>
      <c r="J5277">
        <v>0</v>
      </c>
      <c r="K5277">
        <v>0</v>
      </c>
      <c r="L5277">
        <v>0</v>
      </c>
      <c r="M5277">
        <v>0</v>
      </c>
      <c r="N5277">
        <v>0</v>
      </c>
      <c r="O5277">
        <v>0</v>
      </c>
      <c r="P5277">
        <v>0</v>
      </c>
      <c r="Q5277">
        <v>0</v>
      </c>
      <c r="R5277">
        <v>0</v>
      </c>
      <c r="S5277">
        <v>0</v>
      </c>
      <c r="T5277">
        <v>0</v>
      </c>
      <c r="U5277">
        <v>1</v>
      </c>
      <c r="V5277">
        <v>0</v>
      </c>
      <c r="W5277">
        <v>0</v>
      </c>
      <c r="X5277">
        <v>0</v>
      </c>
      <c r="Y5277" t="s">
        <v>51</v>
      </c>
      <c r="Z5277">
        <v>55</v>
      </c>
      <c r="AA5277">
        <v>0</v>
      </c>
    </row>
    <row r="5278" spans="1:27" x14ac:dyDescent="0.2">
      <c r="A5278" t="s">
        <v>1658</v>
      </c>
      <c r="B5278">
        <v>2024</v>
      </c>
      <c r="C5278" t="s">
        <v>4650</v>
      </c>
      <c r="D5278" t="s">
        <v>6376</v>
      </c>
      <c r="E5278" t="s">
        <v>29</v>
      </c>
      <c r="F5278" t="s">
        <v>30</v>
      </c>
      <c r="G5278">
        <v>30</v>
      </c>
      <c r="H5278">
        <v>0</v>
      </c>
      <c r="I5278">
        <v>268</v>
      </c>
      <c r="J5278">
        <v>0</v>
      </c>
      <c r="K5278">
        <v>0</v>
      </c>
      <c r="L5278">
        <v>0</v>
      </c>
      <c r="M5278">
        <v>0</v>
      </c>
      <c r="N5278">
        <v>0</v>
      </c>
      <c r="O5278">
        <v>0</v>
      </c>
      <c r="P5278">
        <v>0</v>
      </c>
      <c r="Q5278">
        <v>0</v>
      </c>
      <c r="R5278">
        <v>0</v>
      </c>
      <c r="S5278">
        <v>0</v>
      </c>
      <c r="T5278">
        <v>0</v>
      </c>
      <c r="U5278">
        <v>0</v>
      </c>
      <c r="V5278">
        <v>0</v>
      </c>
      <c r="W5278">
        <v>0</v>
      </c>
      <c r="X5278">
        <v>0</v>
      </c>
      <c r="Y5278" t="s">
        <v>31</v>
      </c>
      <c r="Z5278">
        <v>55</v>
      </c>
      <c r="AA5278" s="2" t="s">
        <v>6377</v>
      </c>
    </row>
    <row r="5279" spans="1:27" x14ac:dyDescent="0.2">
      <c r="A5279" t="s">
        <v>1658</v>
      </c>
      <c r="B5279">
        <v>2024</v>
      </c>
      <c r="C5279" t="s">
        <v>6378</v>
      </c>
      <c r="D5279" t="s">
        <v>6379</v>
      </c>
      <c r="E5279" t="s">
        <v>29</v>
      </c>
      <c r="F5279" t="s">
        <v>30</v>
      </c>
      <c r="G5279">
        <v>6</v>
      </c>
      <c r="H5279">
        <v>0</v>
      </c>
      <c r="I5279">
        <v>49</v>
      </c>
      <c r="J5279">
        <v>0</v>
      </c>
      <c r="K5279">
        <v>0</v>
      </c>
      <c r="L5279">
        <v>0</v>
      </c>
      <c r="M5279">
        <v>0</v>
      </c>
      <c r="N5279">
        <v>0</v>
      </c>
      <c r="O5279">
        <v>0</v>
      </c>
      <c r="P5279">
        <v>0</v>
      </c>
      <c r="Q5279">
        <v>0</v>
      </c>
      <c r="R5279">
        <v>0</v>
      </c>
      <c r="S5279">
        <v>0</v>
      </c>
      <c r="T5279">
        <v>0</v>
      </c>
      <c r="U5279">
        <v>0</v>
      </c>
      <c r="V5279">
        <v>0</v>
      </c>
      <c r="W5279">
        <v>0</v>
      </c>
      <c r="X5279">
        <v>0</v>
      </c>
      <c r="Y5279" t="s">
        <v>31</v>
      </c>
      <c r="Z5279">
        <v>55</v>
      </c>
      <c r="AA5279">
        <v>7</v>
      </c>
    </row>
    <row r="5280" spans="1:27" x14ac:dyDescent="0.2">
      <c r="A5280" t="s">
        <v>1658</v>
      </c>
      <c r="B5280">
        <v>2024</v>
      </c>
      <c r="C5280" t="s">
        <v>2320</v>
      </c>
      <c r="D5280" t="s">
        <v>5153</v>
      </c>
      <c r="E5280" t="s">
        <v>29</v>
      </c>
      <c r="F5280" t="s">
        <v>41</v>
      </c>
      <c r="G5280">
        <v>0</v>
      </c>
      <c r="H5280">
        <v>0</v>
      </c>
      <c r="I5280">
        <v>0</v>
      </c>
      <c r="J5280">
        <v>0</v>
      </c>
      <c r="K5280">
        <v>0</v>
      </c>
      <c r="L5280">
        <v>0</v>
      </c>
      <c r="M5280">
        <v>0</v>
      </c>
      <c r="N5280">
        <v>0</v>
      </c>
      <c r="O5280">
        <v>0</v>
      </c>
      <c r="P5280">
        <v>0</v>
      </c>
      <c r="Q5280">
        <v>0</v>
      </c>
      <c r="R5280">
        <v>0</v>
      </c>
      <c r="S5280">
        <v>1</v>
      </c>
      <c r="T5280">
        <v>0</v>
      </c>
      <c r="U5280">
        <v>0</v>
      </c>
      <c r="V5280">
        <v>0</v>
      </c>
      <c r="W5280">
        <v>0</v>
      </c>
      <c r="X5280">
        <v>0</v>
      </c>
      <c r="Y5280" t="s">
        <v>51</v>
      </c>
      <c r="Z5280">
        <v>55</v>
      </c>
      <c r="AA5280">
        <v>0</v>
      </c>
    </row>
    <row r="5281" spans="1:27" x14ac:dyDescent="0.2">
      <c r="A5281" t="s">
        <v>418</v>
      </c>
      <c r="B5281">
        <v>2024</v>
      </c>
      <c r="C5281" t="s">
        <v>6380</v>
      </c>
      <c r="D5281" t="s">
        <v>6381</v>
      </c>
      <c r="E5281" t="s">
        <v>29</v>
      </c>
      <c r="F5281" t="s">
        <v>41</v>
      </c>
      <c r="G5281">
        <v>14</v>
      </c>
      <c r="H5281">
        <v>0</v>
      </c>
      <c r="I5281">
        <v>0</v>
      </c>
      <c r="J5281">
        <v>0</v>
      </c>
      <c r="K5281">
        <v>0</v>
      </c>
      <c r="L5281">
        <v>0</v>
      </c>
      <c r="M5281">
        <v>0</v>
      </c>
      <c r="N5281">
        <v>0</v>
      </c>
      <c r="O5281">
        <v>0</v>
      </c>
      <c r="P5281">
        <v>0</v>
      </c>
      <c r="Q5281">
        <v>0</v>
      </c>
      <c r="R5281">
        <v>0</v>
      </c>
      <c r="S5281">
        <v>0</v>
      </c>
      <c r="T5281">
        <v>0</v>
      </c>
      <c r="U5281">
        <v>0</v>
      </c>
      <c r="V5281">
        <v>0</v>
      </c>
      <c r="W5281">
        <v>0</v>
      </c>
      <c r="X5281">
        <v>0</v>
      </c>
      <c r="Y5281" t="s">
        <v>31</v>
      </c>
      <c r="Z5281">
        <v>55</v>
      </c>
      <c r="AA5281">
        <v>0.5</v>
      </c>
    </row>
    <row r="5282" spans="1:27" x14ac:dyDescent="0.2">
      <c r="A5282" t="s">
        <v>418</v>
      </c>
      <c r="B5282">
        <v>2024</v>
      </c>
      <c r="C5282" t="s">
        <v>6382</v>
      </c>
      <c r="D5282" t="s">
        <v>6383</v>
      </c>
      <c r="E5282" t="s">
        <v>29</v>
      </c>
      <c r="F5282" t="s">
        <v>30</v>
      </c>
      <c r="G5282">
        <v>0</v>
      </c>
      <c r="H5282">
        <v>0</v>
      </c>
      <c r="I5282">
        <v>0</v>
      </c>
      <c r="J5282">
        <v>0</v>
      </c>
      <c r="K5282">
        <v>0</v>
      </c>
      <c r="L5282">
        <v>0</v>
      </c>
      <c r="M5282">
        <v>110</v>
      </c>
      <c r="N5282">
        <v>0</v>
      </c>
      <c r="O5282">
        <v>121</v>
      </c>
      <c r="P5282">
        <v>0</v>
      </c>
      <c r="Q5282">
        <v>0</v>
      </c>
      <c r="R5282">
        <v>0</v>
      </c>
      <c r="S5282">
        <v>0</v>
      </c>
      <c r="T5282">
        <v>0</v>
      </c>
      <c r="U5282">
        <v>0</v>
      </c>
      <c r="V5282">
        <v>0</v>
      </c>
      <c r="W5282">
        <v>0</v>
      </c>
      <c r="X5282">
        <v>0</v>
      </c>
      <c r="Y5282" t="s">
        <v>31</v>
      </c>
      <c r="Z5282">
        <v>55</v>
      </c>
      <c r="AA5282">
        <v>0</v>
      </c>
    </row>
    <row r="5283" spans="1:27" x14ac:dyDescent="0.2">
      <c r="A5283" t="s">
        <v>1241</v>
      </c>
      <c r="B5283">
        <v>2024</v>
      </c>
      <c r="C5283">
        <v>211181033</v>
      </c>
      <c r="D5283" t="s">
        <v>1840</v>
      </c>
      <c r="E5283" t="s">
        <v>29</v>
      </c>
      <c r="F5283" t="s">
        <v>30</v>
      </c>
      <c r="G5283">
        <v>0</v>
      </c>
      <c r="H5283">
        <v>0</v>
      </c>
      <c r="I5283">
        <v>0</v>
      </c>
      <c r="J5283">
        <v>0</v>
      </c>
      <c r="K5283">
        <v>0</v>
      </c>
      <c r="L5283">
        <v>0</v>
      </c>
      <c r="M5283">
        <v>0</v>
      </c>
      <c r="N5283">
        <v>0</v>
      </c>
      <c r="O5283">
        <v>0</v>
      </c>
      <c r="P5283">
        <v>0</v>
      </c>
      <c r="Q5283">
        <v>0</v>
      </c>
      <c r="R5283">
        <v>0</v>
      </c>
      <c r="S5283">
        <v>12</v>
      </c>
      <c r="T5283">
        <v>0</v>
      </c>
      <c r="U5283">
        <v>0</v>
      </c>
      <c r="V5283">
        <v>0</v>
      </c>
      <c r="W5283">
        <v>0</v>
      </c>
      <c r="X5283">
        <v>0</v>
      </c>
      <c r="Y5283" t="s">
        <v>31</v>
      </c>
      <c r="Z5283">
        <v>55</v>
      </c>
      <c r="AA5283" s="2" t="s">
        <v>6373</v>
      </c>
    </row>
    <row r="5284" spans="1:27" x14ac:dyDescent="0.2">
      <c r="A5284" t="s">
        <v>1241</v>
      </c>
      <c r="B5284">
        <v>2024</v>
      </c>
      <c r="C5284">
        <v>146141072</v>
      </c>
      <c r="D5284" t="s">
        <v>4017</v>
      </c>
      <c r="E5284" t="s">
        <v>29</v>
      </c>
      <c r="F5284" t="s">
        <v>30</v>
      </c>
      <c r="G5284">
        <v>0</v>
      </c>
      <c r="H5284">
        <v>0</v>
      </c>
      <c r="I5284">
        <v>0</v>
      </c>
      <c r="J5284">
        <v>0</v>
      </c>
      <c r="K5284">
        <v>0</v>
      </c>
      <c r="L5284">
        <v>0</v>
      </c>
      <c r="M5284">
        <v>0</v>
      </c>
      <c r="N5284">
        <v>0</v>
      </c>
      <c r="O5284">
        <v>0</v>
      </c>
      <c r="P5284">
        <v>0</v>
      </c>
      <c r="Q5284">
        <v>0</v>
      </c>
      <c r="R5284">
        <v>0</v>
      </c>
      <c r="S5284">
        <v>0</v>
      </c>
      <c r="T5284">
        <v>0</v>
      </c>
      <c r="U5284">
        <v>8</v>
      </c>
      <c r="V5284">
        <v>0</v>
      </c>
      <c r="W5284">
        <v>0</v>
      </c>
      <c r="X5284">
        <v>0</v>
      </c>
      <c r="Y5284" t="s">
        <v>31</v>
      </c>
      <c r="Z5284">
        <v>55</v>
      </c>
      <c r="AA5284">
        <v>0</v>
      </c>
    </row>
    <row r="5285" spans="1:27" x14ac:dyDescent="0.2">
      <c r="A5285" t="s">
        <v>1241</v>
      </c>
      <c r="B5285">
        <v>2024</v>
      </c>
      <c r="C5285">
        <v>146141072</v>
      </c>
      <c r="D5285" t="s">
        <v>4017</v>
      </c>
      <c r="E5285" t="s">
        <v>29</v>
      </c>
      <c r="F5285" t="s">
        <v>30</v>
      </c>
      <c r="G5285">
        <v>0</v>
      </c>
      <c r="H5285">
        <v>0</v>
      </c>
      <c r="I5285">
        <v>0</v>
      </c>
      <c r="J5285">
        <v>0</v>
      </c>
      <c r="K5285">
        <v>0</v>
      </c>
      <c r="L5285">
        <v>0</v>
      </c>
      <c r="M5285">
        <v>0</v>
      </c>
      <c r="N5285">
        <v>0</v>
      </c>
      <c r="O5285">
        <v>0</v>
      </c>
      <c r="P5285">
        <v>0</v>
      </c>
      <c r="Q5285">
        <v>0</v>
      </c>
      <c r="R5285">
        <v>0</v>
      </c>
      <c r="S5285">
        <v>0</v>
      </c>
      <c r="T5285">
        <v>0</v>
      </c>
      <c r="U5285">
        <v>20</v>
      </c>
      <c r="V5285">
        <v>0</v>
      </c>
      <c r="W5285">
        <v>0</v>
      </c>
      <c r="X5285">
        <v>0</v>
      </c>
      <c r="Y5285" t="s">
        <v>31</v>
      </c>
      <c r="Z5285">
        <v>55</v>
      </c>
      <c r="AA5285">
        <v>0</v>
      </c>
    </row>
    <row r="5286" spans="1:27" x14ac:dyDescent="0.2">
      <c r="A5286" t="s">
        <v>1658</v>
      </c>
      <c r="B5286">
        <v>2024</v>
      </c>
      <c r="C5286" t="s">
        <v>6384</v>
      </c>
      <c r="D5286" t="s">
        <v>6385</v>
      </c>
      <c r="E5286" t="s">
        <v>29</v>
      </c>
      <c r="F5286" t="s">
        <v>41</v>
      </c>
      <c r="G5286">
        <v>0</v>
      </c>
      <c r="H5286">
        <v>0</v>
      </c>
      <c r="I5286">
        <v>0</v>
      </c>
      <c r="J5286">
        <v>0</v>
      </c>
      <c r="K5286">
        <v>0</v>
      </c>
      <c r="L5286">
        <v>0</v>
      </c>
      <c r="M5286">
        <v>0</v>
      </c>
      <c r="N5286">
        <v>0</v>
      </c>
      <c r="O5286">
        <v>0</v>
      </c>
      <c r="P5286">
        <v>0</v>
      </c>
      <c r="Q5286">
        <v>0</v>
      </c>
      <c r="R5286">
        <v>0</v>
      </c>
      <c r="S5286">
        <v>0</v>
      </c>
      <c r="T5286">
        <v>0</v>
      </c>
      <c r="U5286">
        <v>1</v>
      </c>
      <c r="V5286">
        <v>0</v>
      </c>
      <c r="W5286">
        <v>0</v>
      </c>
      <c r="X5286">
        <v>0</v>
      </c>
      <c r="Y5286" t="s">
        <v>51</v>
      </c>
      <c r="Z5286">
        <v>55</v>
      </c>
      <c r="AA5286">
        <v>0</v>
      </c>
    </row>
    <row r="5287" spans="1:27" x14ac:dyDescent="0.2">
      <c r="A5287" t="s">
        <v>1658</v>
      </c>
      <c r="B5287">
        <v>2024</v>
      </c>
      <c r="C5287" t="s">
        <v>3061</v>
      </c>
      <c r="D5287" t="s">
        <v>4809</v>
      </c>
      <c r="E5287" t="s">
        <v>29</v>
      </c>
      <c r="F5287" t="s">
        <v>41</v>
      </c>
      <c r="G5287">
        <v>0</v>
      </c>
      <c r="H5287">
        <v>0</v>
      </c>
      <c r="I5287">
        <v>0</v>
      </c>
      <c r="J5287">
        <v>0</v>
      </c>
      <c r="K5287">
        <v>0</v>
      </c>
      <c r="L5287">
        <v>0</v>
      </c>
      <c r="M5287">
        <v>0</v>
      </c>
      <c r="N5287">
        <v>0</v>
      </c>
      <c r="O5287">
        <v>0</v>
      </c>
      <c r="P5287">
        <v>0</v>
      </c>
      <c r="Q5287">
        <v>0</v>
      </c>
      <c r="R5287">
        <v>0</v>
      </c>
      <c r="S5287">
        <v>0</v>
      </c>
      <c r="T5287">
        <v>0</v>
      </c>
      <c r="U5287">
        <v>0</v>
      </c>
      <c r="V5287">
        <v>0</v>
      </c>
      <c r="W5287">
        <v>1</v>
      </c>
      <c r="X5287">
        <v>0</v>
      </c>
      <c r="Y5287" t="s">
        <v>51</v>
      </c>
      <c r="Z5287">
        <v>55</v>
      </c>
      <c r="AA5287">
        <v>0</v>
      </c>
    </row>
    <row r="5288" spans="1:27" x14ac:dyDescent="0.2">
      <c r="A5288" t="s">
        <v>1658</v>
      </c>
      <c r="B5288">
        <v>2024</v>
      </c>
      <c r="C5288" t="s">
        <v>3061</v>
      </c>
      <c r="D5288" t="s">
        <v>4998</v>
      </c>
      <c r="E5288" t="s">
        <v>29</v>
      </c>
      <c r="F5288" t="s">
        <v>41</v>
      </c>
      <c r="G5288">
        <v>0</v>
      </c>
      <c r="H5288">
        <v>0</v>
      </c>
      <c r="I5288">
        <v>0</v>
      </c>
      <c r="J5288">
        <v>0</v>
      </c>
      <c r="K5288">
        <v>0</v>
      </c>
      <c r="L5288">
        <v>0</v>
      </c>
      <c r="M5288">
        <v>0</v>
      </c>
      <c r="N5288">
        <v>0</v>
      </c>
      <c r="O5288">
        <v>0</v>
      </c>
      <c r="P5288">
        <v>0</v>
      </c>
      <c r="Q5288">
        <v>0</v>
      </c>
      <c r="R5288">
        <v>0</v>
      </c>
      <c r="S5288">
        <v>0</v>
      </c>
      <c r="T5288">
        <v>0</v>
      </c>
      <c r="U5288">
        <v>1</v>
      </c>
      <c r="V5288">
        <v>0</v>
      </c>
      <c r="W5288">
        <v>0</v>
      </c>
      <c r="X5288">
        <v>0</v>
      </c>
      <c r="Y5288" t="s">
        <v>51</v>
      </c>
      <c r="Z5288">
        <v>55</v>
      </c>
      <c r="AA5288">
        <v>0</v>
      </c>
    </row>
    <row r="5289" spans="1:27" x14ac:dyDescent="0.2">
      <c r="A5289" t="s">
        <v>418</v>
      </c>
      <c r="B5289">
        <v>2024</v>
      </c>
      <c r="C5289" t="s">
        <v>6386</v>
      </c>
      <c r="D5289" t="s">
        <v>6387</v>
      </c>
      <c r="E5289" t="s">
        <v>29</v>
      </c>
      <c r="F5289" t="s">
        <v>41</v>
      </c>
      <c r="G5289">
        <v>3</v>
      </c>
      <c r="H5289">
        <v>0</v>
      </c>
      <c r="I5289">
        <v>0</v>
      </c>
      <c r="J5289">
        <v>0</v>
      </c>
      <c r="K5289">
        <v>0</v>
      </c>
      <c r="L5289">
        <v>0</v>
      </c>
      <c r="M5289">
        <v>0</v>
      </c>
      <c r="N5289">
        <v>0</v>
      </c>
      <c r="O5289">
        <v>0</v>
      </c>
      <c r="P5289">
        <v>0</v>
      </c>
      <c r="Q5289">
        <v>0</v>
      </c>
      <c r="R5289">
        <v>0</v>
      </c>
      <c r="S5289">
        <v>0</v>
      </c>
      <c r="T5289">
        <v>0</v>
      </c>
      <c r="U5289">
        <v>0</v>
      </c>
      <c r="V5289">
        <v>0</v>
      </c>
      <c r="W5289">
        <v>0</v>
      </c>
      <c r="X5289">
        <v>0</v>
      </c>
      <c r="Y5289" t="s">
        <v>31</v>
      </c>
      <c r="Z5289">
        <v>55</v>
      </c>
      <c r="AA5289">
        <v>0.5</v>
      </c>
    </row>
    <row r="5290" spans="1:27" x14ac:dyDescent="0.2">
      <c r="A5290" t="s">
        <v>418</v>
      </c>
      <c r="B5290">
        <v>2024</v>
      </c>
      <c r="C5290" t="s">
        <v>6388</v>
      </c>
      <c r="D5290" t="s">
        <v>6389</v>
      </c>
      <c r="E5290" t="s">
        <v>29</v>
      </c>
      <c r="F5290" t="s">
        <v>30</v>
      </c>
      <c r="G5290">
        <v>0</v>
      </c>
      <c r="H5290">
        <v>0</v>
      </c>
      <c r="I5290">
        <v>444</v>
      </c>
      <c r="J5290">
        <v>0</v>
      </c>
      <c r="K5290">
        <v>0</v>
      </c>
      <c r="L5290">
        <v>0</v>
      </c>
      <c r="M5290">
        <v>0</v>
      </c>
      <c r="N5290">
        <v>0</v>
      </c>
      <c r="O5290">
        <v>0</v>
      </c>
      <c r="P5290">
        <v>0</v>
      </c>
      <c r="Q5290">
        <v>0</v>
      </c>
      <c r="R5290">
        <v>0</v>
      </c>
      <c r="S5290">
        <v>0</v>
      </c>
      <c r="T5290">
        <v>0</v>
      </c>
      <c r="U5290">
        <v>0</v>
      </c>
      <c r="V5290">
        <v>0</v>
      </c>
      <c r="W5290">
        <v>0</v>
      </c>
      <c r="X5290">
        <v>0</v>
      </c>
      <c r="Y5290" t="s">
        <v>31</v>
      </c>
      <c r="Z5290">
        <v>55</v>
      </c>
      <c r="AA5290">
        <v>0</v>
      </c>
    </row>
    <row r="5291" spans="1:27" x14ac:dyDescent="0.2">
      <c r="A5291" t="s">
        <v>418</v>
      </c>
      <c r="B5291">
        <v>2024</v>
      </c>
      <c r="C5291" t="s">
        <v>4020</v>
      </c>
      <c r="D5291" t="s">
        <v>6390</v>
      </c>
      <c r="E5291" t="s">
        <v>29</v>
      </c>
      <c r="F5291" t="s">
        <v>30</v>
      </c>
      <c r="G5291">
        <v>0</v>
      </c>
      <c r="H5291">
        <v>0</v>
      </c>
      <c r="I5291">
        <v>0</v>
      </c>
      <c r="J5291">
        <v>0</v>
      </c>
      <c r="K5291">
        <v>0</v>
      </c>
      <c r="L5291">
        <v>0</v>
      </c>
      <c r="M5291">
        <v>17</v>
      </c>
      <c r="N5291">
        <v>0</v>
      </c>
      <c r="O5291">
        <v>101</v>
      </c>
      <c r="P5291">
        <v>0</v>
      </c>
      <c r="Q5291">
        <v>0</v>
      </c>
      <c r="R5291">
        <v>0</v>
      </c>
      <c r="S5291">
        <v>0</v>
      </c>
      <c r="T5291">
        <v>0</v>
      </c>
      <c r="U5291">
        <v>0</v>
      </c>
      <c r="V5291">
        <v>0</v>
      </c>
      <c r="W5291">
        <v>0</v>
      </c>
      <c r="X5291">
        <v>0</v>
      </c>
      <c r="Y5291" t="s">
        <v>31</v>
      </c>
      <c r="Z5291">
        <v>55</v>
      </c>
      <c r="AA5291">
        <v>0</v>
      </c>
    </row>
    <row r="5292" spans="1:27" x14ac:dyDescent="0.2">
      <c r="A5292" t="s">
        <v>418</v>
      </c>
      <c r="B5292">
        <v>2024</v>
      </c>
      <c r="C5292" t="s">
        <v>6391</v>
      </c>
      <c r="D5292" t="s">
        <v>6392</v>
      </c>
      <c r="E5292" t="s">
        <v>29</v>
      </c>
      <c r="F5292" t="s">
        <v>30</v>
      </c>
      <c r="G5292">
        <v>0</v>
      </c>
      <c r="H5292">
        <v>0</v>
      </c>
      <c r="I5292">
        <v>0</v>
      </c>
      <c r="J5292">
        <v>0</v>
      </c>
      <c r="K5292">
        <v>0</v>
      </c>
      <c r="L5292">
        <v>0</v>
      </c>
      <c r="M5292">
        <v>101</v>
      </c>
      <c r="N5292">
        <v>0</v>
      </c>
      <c r="O5292">
        <v>0</v>
      </c>
      <c r="P5292">
        <v>0</v>
      </c>
      <c r="Q5292">
        <v>0</v>
      </c>
      <c r="R5292">
        <v>0</v>
      </c>
      <c r="S5292">
        <v>0</v>
      </c>
      <c r="T5292">
        <v>0</v>
      </c>
      <c r="U5292">
        <v>0</v>
      </c>
      <c r="V5292">
        <v>0</v>
      </c>
      <c r="W5292">
        <v>0</v>
      </c>
      <c r="X5292">
        <v>0</v>
      </c>
      <c r="Y5292" t="s">
        <v>31</v>
      </c>
      <c r="Z5292">
        <v>55</v>
      </c>
      <c r="AA5292" s="2" t="s">
        <v>6393</v>
      </c>
    </row>
    <row r="5293" spans="1:27" x14ac:dyDescent="0.2">
      <c r="A5293" t="s">
        <v>418</v>
      </c>
      <c r="B5293">
        <v>2024</v>
      </c>
      <c r="C5293" t="s">
        <v>6394</v>
      </c>
      <c r="D5293" t="s">
        <v>6395</v>
      </c>
      <c r="E5293" t="s">
        <v>29</v>
      </c>
      <c r="F5293" t="s">
        <v>30</v>
      </c>
      <c r="G5293">
        <v>0</v>
      </c>
      <c r="H5293">
        <v>0</v>
      </c>
      <c r="I5293">
        <v>0</v>
      </c>
      <c r="J5293">
        <v>0</v>
      </c>
      <c r="K5293">
        <v>0</v>
      </c>
      <c r="L5293">
        <v>0</v>
      </c>
      <c r="M5293">
        <v>0</v>
      </c>
      <c r="N5293">
        <v>0</v>
      </c>
      <c r="O5293">
        <v>0</v>
      </c>
      <c r="P5293">
        <v>0</v>
      </c>
      <c r="Q5293">
        <v>0</v>
      </c>
      <c r="R5293">
        <v>0</v>
      </c>
      <c r="S5293">
        <v>30</v>
      </c>
      <c r="T5293">
        <v>0</v>
      </c>
      <c r="U5293">
        <v>268</v>
      </c>
      <c r="V5293">
        <v>0</v>
      </c>
      <c r="W5293">
        <v>0</v>
      </c>
      <c r="X5293">
        <v>0</v>
      </c>
      <c r="Y5293" t="s">
        <v>31</v>
      </c>
      <c r="Z5293">
        <v>55</v>
      </c>
      <c r="AA5293">
        <v>0</v>
      </c>
    </row>
    <row r="5294" spans="1:27" x14ac:dyDescent="0.2">
      <c r="A5294" t="s">
        <v>418</v>
      </c>
      <c r="B5294">
        <v>2024</v>
      </c>
      <c r="C5294" t="s">
        <v>6396</v>
      </c>
      <c r="D5294" t="s">
        <v>6397</v>
      </c>
      <c r="E5294" t="s">
        <v>29</v>
      </c>
      <c r="F5294" t="s">
        <v>30</v>
      </c>
      <c r="G5294">
        <v>58</v>
      </c>
      <c r="H5294">
        <v>0</v>
      </c>
      <c r="I5294">
        <v>118</v>
      </c>
      <c r="J5294">
        <v>0</v>
      </c>
      <c r="K5294">
        <v>0</v>
      </c>
      <c r="L5294">
        <v>57</v>
      </c>
      <c r="M5294">
        <v>0</v>
      </c>
      <c r="N5294">
        <v>0</v>
      </c>
      <c r="O5294">
        <v>0</v>
      </c>
      <c r="P5294">
        <v>0</v>
      </c>
      <c r="Q5294">
        <v>0</v>
      </c>
      <c r="R5294">
        <v>0</v>
      </c>
      <c r="S5294">
        <v>0</v>
      </c>
      <c r="T5294">
        <v>0</v>
      </c>
      <c r="U5294">
        <v>0</v>
      </c>
      <c r="V5294">
        <v>0</v>
      </c>
      <c r="W5294">
        <v>0</v>
      </c>
      <c r="X5294">
        <v>0</v>
      </c>
      <c r="Y5294" t="s">
        <v>51</v>
      </c>
      <c r="Z5294">
        <v>99</v>
      </c>
      <c r="AA5294">
        <v>0</v>
      </c>
    </row>
    <row r="5295" spans="1:27" ht="85" x14ac:dyDescent="0.2">
      <c r="A5295" t="s">
        <v>2411</v>
      </c>
      <c r="B5295">
        <v>2023</v>
      </c>
      <c r="C5295" t="s">
        <v>6398</v>
      </c>
      <c r="D5295" s="1" t="s">
        <v>6399</v>
      </c>
      <c r="E5295" t="s">
        <v>29</v>
      </c>
      <c r="F5295" t="s">
        <v>30</v>
      </c>
      <c r="G5295">
        <v>0</v>
      </c>
      <c r="H5295">
        <v>0</v>
      </c>
      <c r="I5295">
        <v>0</v>
      </c>
      <c r="J5295">
        <v>0</v>
      </c>
      <c r="K5295">
        <v>0</v>
      </c>
      <c r="L5295">
        <v>0</v>
      </c>
      <c r="M5295">
        <v>2</v>
      </c>
      <c r="N5295">
        <v>0</v>
      </c>
      <c r="O5295">
        <v>136</v>
      </c>
      <c r="P5295">
        <v>0</v>
      </c>
      <c r="Q5295">
        <v>36</v>
      </c>
      <c r="R5295">
        <v>0</v>
      </c>
      <c r="S5295">
        <v>0</v>
      </c>
      <c r="T5295">
        <v>0</v>
      </c>
      <c r="U5295">
        <v>0</v>
      </c>
      <c r="V5295">
        <v>0</v>
      </c>
      <c r="W5295">
        <v>0</v>
      </c>
      <c r="X5295">
        <v>0</v>
      </c>
      <c r="Y5295" t="s">
        <v>31</v>
      </c>
      <c r="AA5295">
        <v>0.19</v>
      </c>
    </row>
    <row r="5296" spans="1:27" x14ac:dyDescent="0.2">
      <c r="A5296" t="s">
        <v>547</v>
      </c>
      <c r="B5296">
        <v>2023</v>
      </c>
      <c r="C5296">
        <v>5521004020</v>
      </c>
      <c r="D5296" t="s">
        <v>3003</v>
      </c>
      <c r="E5296" t="s">
        <v>29</v>
      </c>
      <c r="F5296" t="s">
        <v>30</v>
      </c>
      <c r="G5296">
        <v>0</v>
      </c>
      <c r="H5296">
        <v>0</v>
      </c>
      <c r="I5296">
        <v>0</v>
      </c>
      <c r="J5296">
        <v>0</v>
      </c>
      <c r="K5296">
        <v>0</v>
      </c>
      <c r="L5296">
        <v>0</v>
      </c>
      <c r="M5296">
        <v>0</v>
      </c>
      <c r="N5296">
        <v>0</v>
      </c>
      <c r="O5296">
        <v>1</v>
      </c>
      <c r="P5296">
        <v>0</v>
      </c>
      <c r="Q5296">
        <v>0</v>
      </c>
      <c r="R5296">
        <v>0</v>
      </c>
      <c r="S5296">
        <v>0</v>
      </c>
      <c r="T5296">
        <v>0</v>
      </c>
      <c r="U5296">
        <v>1</v>
      </c>
      <c r="V5296">
        <v>0</v>
      </c>
      <c r="W5296">
        <v>0</v>
      </c>
      <c r="X5296">
        <v>0</v>
      </c>
      <c r="Y5296" t="s">
        <v>31</v>
      </c>
      <c r="Z5296">
        <v>55</v>
      </c>
      <c r="AA5296" s="2" t="s">
        <v>6041</v>
      </c>
    </row>
    <row r="5297" spans="1:27" x14ac:dyDescent="0.2">
      <c r="A5297" t="s">
        <v>547</v>
      </c>
      <c r="B5297">
        <v>2023</v>
      </c>
      <c r="C5297">
        <v>5080017014</v>
      </c>
      <c r="D5297" t="s">
        <v>6400</v>
      </c>
      <c r="E5297" t="s">
        <v>29</v>
      </c>
      <c r="F5297" t="s">
        <v>30</v>
      </c>
      <c r="G5297">
        <v>0</v>
      </c>
      <c r="H5297">
        <v>0</v>
      </c>
      <c r="I5297">
        <v>0</v>
      </c>
      <c r="J5297">
        <v>0</v>
      </c>
      <c r="K5297">
        <v>0</v>
      </c>
      <c r="L5297">
        <v>0</v>
      </c>
      <c r="M5297">
        <v>46</v>
      </c>
      <c r="N5297">
        <v>0</v>
      </c>
      <c r="O5297">
        <v>0</v>
      </c>
      <c r="P5297">
        <v>0</v>
      </c>
      <c r="Q5297">
        <v>0</v>
      </c>
      <c r="R5297">
        <v>0</v>
      </c>
      <c r="S5297">
        <v>46</v>
      </c>
      <c r="T5297">
        <v>0</v>
      </c>
      <c r="U5297">
        <v>0</v>
      </c>
      <c r="V5297">
        <v>0</v>
      </c>
      <c r="W5297">
        <v>0</v>
      </c>
      <c r="X5297">
        <v>0</v>
      </c>
      <c r="Y5297" t="s">
        <v>31</v>
      </c>
      <c r="Z5297">
        <v>55</v>
      </c>
      <c r="AA5297" s="2" t="s">
        <v>3316</v>
      </c>
    </row>
    <row r="5298" spans="1:27" x14ac:dyDescent="0.2">
      <c r="A5298" t="s">
        <v>547</v>
      </c>
      <c r="B5298">
        <v>2023</v>
      </c>
      <c r="C5298">
        <v>2419017013</v>
      </c>
      <c r="D5298" t="s">
        <v>2472</v>
      </c>
      <c r="E5298" t="s">
        <v>29</v>
      </c>
      <c r="F5298" t="s">
        <v>30</v>
      </c>
      <c r="G5298">
        <v>0</v>
      </c>
      <c r="H5298">
        <v>0</v>
      </c>
      <c r="I5298">
        <v>0</v>
      </c>
      <c r="J5298">
        <v>0</v>
      </c>
      <c r="K5298">
        <v>0</v>
      </c>
      <c r="L5298">
        <v>0</v>
      </c>
      <c r="M5298">
        <v>0</v>
      </c>
      <c r="N5298">
        <v>0</v>
      </c>
      <c r="O5298">
        <v>1</v>
      </c>
      <c r="P5298">
        <v>0</v>
      </c>
      <c r="Q5298">
        <v>0</v>
      </c>
      <c r="R5298">
        <v>0</v>
      </c>
      <c r="S5298">
        <v>0</v>
      </c>
      <c r="T5298">
        <v>0</v>
      </c>
      <c r="U5298">
        <v>1</v>
      </c>
      <c r="V5298">
        <v>0</v>
      </c>
      <c r="W5298">
        <v>0</v>
      </c>
      <c r="X5298">
        <v>0</v>
      </c>
      <c r="Y5298" t="s">
        <v>31</v>
      </c>
      <c r="Z5298">
        <v>55</v>
      </c>
      <c r="AA5298" s="2" t="s">
        <v>3316</v>
      </c>
    </row>
    <row r="5299" spans="1:27" x14ac:dyDescent="0.2">
      <c r="A5299" t="s">
        <v>547</v>
      </c>
      <c r="B5299">
        <v>2023</v>
      </c>
      <c r="C5299">
        <v>2424011004</v>
      </c>
      <c r="D5299" t="s">
        <v>6401</v>
      </c>
      <c r="E5299" t="s">
        <v>29</v>
      </c>
      <c r="F5299" t="s">
        <v>30</v>
      </c>
      <c r="G5299">
        <v>0</v>
      </c>
      <c r="H5299">
        <v>0</v>
      </c>
      <c r="I5299">
        <v>0</v>
      </c>
      <c r="J5299">
        <v>0</v>
      </c>
      <c r="K5299">
        <v>0</v>
      </c>
      <c r="L5299">
        <v>0</v>
      </c>
      <c r="M5299">
        <v>6</v>
      </c>
      <c r="N5299">
        <v>0</v>
      </c>
      <c r="O5299">
        <v>0</v>
      </c>
      <c r="P5299">
        <v>0</v>
      </c>
      <c r="Q5299">
        <v>0</v>
      </c>
      <c r="R5299">
        <v>0</v>
      </c>
      <c r="S5299">
        <v>6</v>
      </c>
      <c r="T5299">
        <v>0</v>
      </c>
      <c r="U5299">
        <v>0</v>
      </c>
      <c r="V5299">
        <v>0</v>
      </c>
      <c r="W5299">
        <v>0</v>
      </c>
      <c r="X5299">
        <v>0</v>
      </c>
      <c r="Y5299" t="s">
        <v>31</v>
      </c>
      <c r="Z5299">
        <v>55</v>
      </c>
      <c r="AA5299" s="2" t="s">
        <v>3316</v>
      </c>
    </row>
    <row r="5300" spans="1:27" x14ac:dyDescent="0.2">
      <c r="A5300" t="s">
        <v>547</v>
      </c>
      <c r="B5300">
        <v>2023</v>
      </c>
      <c r="C5300">
        <v>5037031014</v>
      </c>
      <c r="D5300" t="s">
        <v>3048</v>
      </c>
      <c r="E5300" t="s">
        <v>29</v>
      </c>
      <c r="F5300" t="s">
        <v>30</v>
      </c>
      <c r="G5300">
        <v>0</v>
      </c>
      <c r="H5300">
        <v>0</v>
      </c>
      <c r="I5300">
        <v>0</v>
      </c>
      <c r="J5300">
        <v>0</v>
      </c>
      <c r="K5300">
        <v>0</v>
      </c>
      <c r="L5300">
        <v>0</v>
      </c>
      <c r="M5300">
        <v>8</v>
      </c>
      <c r="N5300">
        <v>0</v>
      </c>
      <c r="O5300">
        <v>0</v>
      </c>
      <c r="P5300">
        <v>0</v>
      </c>
      <c r="Q5300">
        <v>0</v>
      </c>
      <c r="R5300">
        <v>0</v>
      </c>
      <c r="S5300">
        <v>8</v>
      </c>
      <c r="T5300">
        <v>0</v>
      </c>
      <c r="U5300">
        <v>0</v>
      </c>
      <c r="V5300">
        <v>0</v>
      </c>
      <c r="W5300">
        <v>0</v>
      </c>
      <c r="X5300">
        <v>0</v>
      </c>
      <c r="Y5300" t="s">
        <v>31</v>
      </c>
      <c r="Z5300">
        <v>55</v>
      </c>
      <c r="AA5300" s="2" t="s">
        <v>3316</v>
      </c>
    </row>
    <row r="5301" spans="1:27" x14ac:dyDescent="0.2">
      <c r="A5301" t="s">
        <v>547</v>
      </c>
      <c r="B5301">
        <v>2023</v>
      </c>
      <c r="C5301">
        <v>5016003008</v>
      </c>
      <c r="D5301" t="s">
        <v>6402</v>
      </c>
      <c r="E5301" t="s">
        <v>29</v>
      </c>
      <c r="F5301" t="s">
        <v>30</v>
      </c>
      <c r="G5301">
        <v>1</v>
      </c>
      <c r="H5301">
        <v>0</v>
      </c>
      <c r="I5301">
        <v>4</v>
      </c>
      <c r="J5301">
        <v>0</v>
      </c>
      <c r="K5301">
        <v>0</v>
      </c>
      <c r="L5301">
        <v>0</v>
      </c>
      <c r="M5301">
        <v>1</v>
      </c>
      <c r="N5301">
        <v>0</v>
      </c>
      <c r="O5301">
        <v>4</v>
      </c>
      <c r="P5301">
        <v>0</v>
      </c>
      <c r="Q5301">
        <v>0</v>
      </c>
      <c r="R5301">
        <v>0</v>
      </c>
      <c r="S5301">
        <v>0</v>
      </c>
      <c r="T5301">
        <v>0</v>
      </c>
      <c r="U5301">
        <v>0</v>
      </c>
      <c r="V5301">
        <v>0</v>
      </c>
      <c r="W5301">
        <v>0</v>
      </c>
      <c r="X5301">
        <v>0</v>
      </c>
      <c r="Y5301" t="s">
        <v>51</v>
      </c>
      <c r="Z5301">
        <v>55</v>
      </c>
      <c r="AA5301">
        <v>0</v>
      </c>
    </row>
    <row r="5302" spans="1:27" x14ac:dyDescent="0.2">
      <c r="A5302" t="s">
        <v>547</v>
      </c>
      <c r="B5302">
        <v>2023</v>
      </c>
      <c r="C5302">
        <v>5309027016</v>
      </c>
      <c r="D5302" t="s">
        <v>6403</v>
      </c>
      <c r="E5302" t="s">
        <v>29</v>
      </c>
      <c r="F5302" t="s">
        <v>30</v>
      </c>
      <c r="G5302">
        <v>0</v>
      </c>
      <c r="H5302">
        <v>0</v>
      </c>
      <c r="I5302">
        <v>0</v>
      </c>
      <c r="J5302">
        <v>0</v>
      </c>
      <c r="K5302">
        <v>0</v>
      </c>
      <c r="L5302">
        <v>0</v>
      </c>
      <c r="M5302">
        <v>0</v>
      </c>
      <c r="N5302">
        <v>0</v>
      </c>
      <c r="O5302">
        <v>0</v>
      </c>
      <c r="P5302">
        <v>0</v>
      </c>
      <c r="Q5302">
        <v>0</v>
      </c>
      <c r="R5302">
        <v>0</v>
      </c>
      <c r="S5302">
        <v>1</v>
      </c>
      <c r="T5302">
        <v>0</v>
      </c>
      <c r="U5302">
        <v>0</v>
      </c>
      <c r="V5302">
        <v>0</v>
      </c>
      <c r="W5302">
        <v>0</v>
      </c>
      <c r="X5302">
        <v>0</v>
      </c>
      <c r="Y5302" t="s">
        <v>31</v>
      </c>
      <c r="Z5302">
        <v>55</v>
      </c>
      <c r="AA5302" s="2" t="s">
        <v>3316</v>
      </c>
    </row>
    <row r="5303" spans="1:27" x14ac:dyDescent="0.2">
      <c r="A5303" t="s">
        <v>547</v>
      </c>
      <c r="B5303">
        <v>2023</v>
      </c>
      <c r="C5303">
        <v>5511014007</v>
      </c>
      <c r="D5303" t="s">
        <v>6404</v>
      </c>
      <c r="E5303" t="s">
        <v>29</v>
      </c>
      <c r="F5303" t="s">
        <v>30</v>
      </c>
      <c r="G5303">
        <v>0</v>
      </c>
      <c r="H5303">
        <v>0</v>
      </c>
      <c r="I5303">
        <v>0</v>
      </c>
      <c r="J5303">
        <v>0</v>
      </c>
      <c r="K5303">
        <v>0</v>
      </c>
      <c r="L5303">
        <v>0</v>
      </c>
      <c r="M5303">
        <v>0</v>
      </c>
      <c r="N5303">
        <v>0</v>
      </c>
      <c r="O5303">
        <v>0</v>
      </c>
      <c r="P5303">
        <v>0</v>
      </c>
      <c r="Q5303">
        <v>0</v>
      </c>
      <c r="R5303">
        <v>0</v>
      </c>
      <c r="S5303">
        <v>1</v>
      </c>
      <c r="T5303">
        <v>0</v>
      </c>
      <c r="U5303">
        <v>0</v>
      </c>
      <c r="V5303">
        <v>0</v>
      </c>
      <c r="W5303">
        <v>0</v>
      </c>
      <c r="X5303">
        <v>0</v>
      </c>
      <c r="Y5303" t="s">
        <v>31</v>
      </c>
      <c r="Z5303">
        <v>55</v>
      </c>
      <c r="AA5303" s="2" t="s">
        <v>3316</v>
      </c>
    </row>
    <row r="5304" spans="1:27" x14ac:dyDescent="0.2">
      <c r="A5304" t="s">
        <v>547</v>
      </c>
      <c r="B5304">
        <v>2023</v>
      </c>
      <c r="C5304">
        <v>4332019021</v>
      </c>
      <c r="D5304" t="s">
        <v>6405</v>
      </c>
      <c r="E5304" t="s">
        <v>29</v>
      </c>
      <c r="F5304" t="s">
        <v>30</v>
      </c>
      <c r="G5304">
        <v>0</v>
      </c>
      <c r="H5304">
        <v>0</v>
      </c>
      <c r="I5304">
        <v>0</v>
      </c>
      <c r="J5304">
        <v>0</v>
      </c>
      <c r="K5304">
        <v>0</v>
      </c>
      <c r="L5304">
        <v>0</v>
      </c>
      <c r="M5304">
        <v>0</v>
      </c>
      <c r="N5304">
        <v>0</v>
      </c>
      <c r="O5304">
        <v>0</v>
      </c>
      <c r="P5304">
        <v>0</v>
      </c>
      <c r="Q5304">
        <v>0</v>
      </c>
      <c r="R5304">
        <v>0</v>
      </c>
      <c r="S5304">
        <v>1</v>
      </c>
      <c r="T5304">
        <v>0</v>
      </c>
      <c r="U5304">
        <v>0</v>
      </c>
      <c r="V5304">
        <v>0</v>
      </c>
      <c r="W5304">
        <v>0</v>
      </c>
      <c r="X5304">
        <v>0</v>
      </c>
      <c r="Y5304" t="s">
        <v>31</v>
      </c>
      <c r="Z5304">
        <v>55</v>
      </c>
      <c r="AA5304">
        <v>0.25</v>
      </c>
    </row>
    <row r="5305" spans="1:27" x14ac:dyDescent="0.2">
      <c r="A5305" t="s">
        <v>547</v>
      </c>
      <c r="B5305">
        <v>2023</v>
      </c>
      <c r="C5305">
        <v>5068026012</v>
      </c>
      <c r="D5305" t="s">
        <v>6406</v>
      </c>
      <c r="E5305" t="s">
        <v>29</v>
      </c>
      <c r="F5305" t="s">
        <v>30</v>
      </c>
      <c r="G5305">
        <v>0</v>
      </c>
      <c r="H5305">
        <v>0</v>
      </c>
      <c r="I5305">
        <v>0</v>
      </c>
      <c r="J5305">
        <v>0</v>
      </c>
      <c r="K5305">
        <v>0</v>
      </c>
      <c r="L5305">
        <v>0</v>
      </c>
      <c r="M5305">
        <v>2</v>
      </c>
      <c r="N5305">
        <v>0</v>
      </c>
      <c r="O5305">
        <v>0</v>
      </c>
      <c r="P5305">
        <v>0</v>
      </c>
      <c r="Q5305">
        <v>0</v>
      </c>
      <c r="R5305">
        <v>0</v>
      </c>
      <c r="S5305">
        <v>0</v>
      </c>
      <c r="T5305">
        <v>0</v>
      </c>
      <c r="U5305">
        <v>0</v>
      </c>
      <c r="V5305">
        <v>0</v>
      </c>
      <c r="W5305">
        <v>0</v>
      </c>
      <c r="X5305">
        <v>0</v>
      </c>
      <c r="Y5305" t="s">
        <v>51</v>
      </c>
      <c r="Z5305">
        <v>55</v>
      </c>
      <c r="AA5305">
        <v>0</v>
      </c>
    </row>
    <row r="5306" spans="1:27" x14ac:dyDescent="0.2">
      <c r="A5306" t="s">
        <v>547</v>
      </c>
      <c r="B5306">
        <v>2023</v>
      </c>
      <c r="C5306">
        <v>5156007008</v>
      </c>
      <c r="D5306" t="s">
        <v>6407</v>
      </c>
      <c r="E5306" t="s">
        <v>29</v>
      </c>
      <c r="F5306" t="s">
        <v>30</v>
      </c>
      <c r="G5306">
        <v>0</v>
      </c>
      <c r="H5306">
        <v>0</v>
      </c>
      <c r="I5306">
        <v>0</v>
      </c>
      <c r="J5306">
        <v>0</v>
      </c>
      <c r="K5306">
        <v>0</v>
      </c>
      <c r="L5306">
        <v>0</v>
      </c>
      <c r="M5306">
        <v>3</v>
      </c>
      <c r="N5306">
        <v>0</v>
      </c>
      <c r="O5306">
        <v>0</v>
      </c>
      <c r="P5306">
        <v>0</v>
      </c>
      <c r="Q5306">
        <v>0</v>
      </c>
      <c r="R5306">
        <v>0</v>
      </c>
      <c r="S5306">
        <v>0</v>
      </c>
      <c r="T5306">
        <v>0</v>
      </c>
      <c r="U5306">
        <v>0</v>
      </c>
      <c r="V5306">
        <v>0</v>
      </c>
      <c r="W5306">
        <v>0</v>
      </c>
      <c r="X5306">
        <v>0</v>
      </c>
      <c r="Y5306" t="s">
        <v>51</v>
      </c>
      <c r="Z5306">
        <v>55</v>
      </c>
      <c r="AA5306">
        <v>0</v>
      </c>
    </row>
    <row r="5307" spans="1:27" x14ac:dyDescent="0.2">
      <c r="A5307" t="s">
        <v>387</v>
      </c>
      <c r="B5307">
        <v>2024</v>
      </c>
      <c r="C5307" s="3">
        <v>37208</v>
      </c>
      <c r="D5307" t="s">
        <v>764</v>
      </c>
      <c r="E5307" t="s">
        <v>29</v>
      </c>
      <c r="F5307" t="s">
        <v>30</v>
      </c>
      <c r="G5307">
        <v>0</v>
      </c>
      <c r="H5307">
        <v>0</v>
      </c>
      <c r="I5307">
        <v>0</v>
      </c>
      <c r="J5307">
        <v>0</v>
      </c>
      <c r="K5307">
        <v>0</v>
      </c>
      <c r="L5307">
        <v>0</v>
      </c>
      <c r="M5307">
        <v>0</v>
      </c>
      <c r="N5307">
        <v>0</v>
      </c>
      <c r="O5307">
        <v>0</v>
      </c>
      <c r="P5307">
        <v>0</v>
      </c>
      <c r="Q5307">
        <v>0</v>
      </c>
      <c r="R5307">
        <v>0</v>
      </c>
      <c r="S5307">
        <v>0</v>
      </c>
      <c r="T5307">
        <v>0</v>
      </c>
      <c r="U5307">
        <v>2</v>
      </c>
      <c r="V5307">
        <v>0</v>
      </c>
      <c r="W5307">
        <v>0</v>
      </c>
      <c r="X5307">
        <v>0</v>
      </c>
      <c r="Y5307" t="s">
        <v>51</v>
      </c>
      <c r="Z5307">
        <v>1000</v>
      </c>
      <c r="AA5307">
        <v>0</v>
      </c>
    </row>
    <row r="5308" spans="1:27" x14ac:dyDescent="0.2">
      <c r="A5308" t="s">
        <v>2614</v>
      </c>
      <c r="B5308">
        <v>2021</v>
      </c>
      <c r="C5308" t="s">
        <v>6408</v>
      </c>
      <c r="D5308" t="s">
        <v>6409</v>
      </c>
      <c r="E5308" t="s">
        <v>29</v>
      </c>
      <c r="F5308" t="s">
        <v>30</v>
      </c>
      <c r="G5308">
        <v>0</v>
      </c>
      <c r="H5308">
        <v>0</v>
      </c>
      <c r="I5308">
        <v>12</v>
      </c>
      <c r="J5308">
        <v>0</v>
      </c>
      <c r="K5308">
        <v>0</v>
      </c>
      <c r="L5308">
        <v>0</v>
      </c>
      <c r="M5308">
        <v>0</v>
      </c>
      <c r="N5308">
        <v>0</v>
      </c>
      <c r="O5308">
        <v>0</v>
      </c>
      <c r="P5308">
        <v>0</v>
      </c>
      <c r="Q5308">
        <v>0</v>
      </c>
      <c r="R5308">
        <v>0</v>
      </c>
      <c r="S5308">
        <v>0</v>
      </c>
      <c r="T5308">
        <v>0</v>
      </c>
      <c r="U5308">
        <v>0</v>
      </c>
      <c r="V5308">
        <v>0</v>
      </c>
      <c r="W5308">
        <v>0</v>
      </c>
      <c r="X5308">
        <v>0</v>
      </c>
      <c r="Y5308" t="s">
        <v>31</v>
      </c>
      <c r="Z5308">
        <v>55</v>
      </c>
      <c r="AA5308" s="2" t="s">
        <v>3316</v>
      </c>
    </row>
    <row r="5309" spans="1:27" x14ac:dyDescent="0.2">
      <c r="A5309" t="s">
        <v>2614</v>
      </c>
      <c r="B5309">
        <v>2021</v>
      </c>
      <c r="C5309" t="s">
        <v>6410</v>
      </c>
      <c r="D5309" t="s">
        <v>6411</v>
      </c>
      <c r="E5309" t="s">
        <v>29</v>
      </c>
      <c r="F5309" t="s">
        <v>41</v>
      </c>
      <c r="G5309">
        <v>40</v>
      </c>
      <c r="H5309">
        <v>0</v>
      </c>
      <c r="I5309">
        <v>0</v>
      </c>
      <c r="J5309">
        <v>0</v>
      </c>
      <c r="K5309">
        <v>0</v>
      </c>
      <c r="L5309">
        <v>0</v>
      </c>
      <c r="M5309">
        <v>0</v>
      </c>
      <c r="N5309">
        <v>0</v>
      </c>
      <c r="O5309">
        <v>0</v>
      </c>
      <c r="P5309">
        <v>0</v>
      </c>
      <c r="Q5309">
        <v>0</v>
      </c>
      <c r="R5309">
        <v>0</v>
      </c>
      <c r="S5309">
        <v>0</v>
      </c>
      <c r="T5309">
        <v>0</v>
      </c>
      <c r="U5309">
        <v>0</v>
      </c>
      <c r="V5309">
        <v>0</v>
      </c>
      <c r="W5309">
        <v>0</v>
      </c>
      <c r="X5309">
        <v>0</v>
      </c>
      <c r="Y5309" t="s">
        <v>31</v>
      </c>
      <c r="Z5309">
        <v>55</v>
      </c>
      <c r="AA5309">
        <v>0</v>
      </c>
    </row>
    <row r="5310" spans="1:27" x14ac:dyDescent="0.2">
      <c r="A5310" t="s">
        <v>1127</v>
      </c>
      <c r="B5310">
        <v>2024</v>
      </c>
      <c r="C5310" t="s">
        <v>1267</v>
      </c>
      <c r="D5310" t="s">
        <v>1268</v>
      </c>
      <c r="E5310" t="s">
        <v>29</v>
      </c>
      <c r="F5310" t="s">
        <v>30</v>
      </c>
      <c r="G5310">
        <v>0</v>
      </c>
      <c r="H5310">
        <v>0</v>
      </c>
      <c r="I5310">
        <v>1</v>
      </c>
      <c r="J5310">
        <v>0</v>
      </c>
      <c r="K5310">
        <v>1</v>
      </c>
      <c r="L5310">
        <v>0</v>
      </c>
      <c r="M5310">
        <v>0</v>
      </c>
      <c r="N5310">
        <v>0</v>
      </c>
      <c r="O5310">
        <v>1</v>
      </c>
      <c r="P5310">
        <v>0</v>
      </c>
      <c r="Q5310">
        <v>1</v>
      </c>
      <c r="R5310">
        <v>0</v>
      </c>
      <c r="S5310">
        <v>0</v>
      </c>
      <c r="T5310">
        <v>0</v>
      </c>
      <c r="U5310">
        <v>1</v>
      </c>
      <c r="V5310">
        <v>0</v>
      </c>
      <c r="W5310">
        <v>1</v>
      </c>
      <c r="X5310">
        <v>0</v>
      </c>
      <c r="Y5310" t="s">
        <v>51</v>
      </c>
      <c r="AA5310">
        <v>0</v>
      </c>
    </row>
    <row r="5311" spans="1:27" x14ac:dyDescent="0.2">
      <c r="A5311" t="s">
        <v>1057</v>
      </c>
      <c r="B5311">
        <v>2024</v>
      </c>
      <c r="C5311">
        <v>13202900560000</v>
      </c>
      <c r="D5311" t="s">
        <v>1229</v>
      </c>
      <c r="E5311" t="s">
        <v>29</v>
      </c>
      <c r="F5311" t="s">
        <v>30</v>
      </c>
      <c r="G5311">
        <v>0</v>
      </c>
      <c r="H5311">
        <v>0</v>
      </c>
      <c r="I5311">
        <v>0</v>
      </c>
      <c r="J5311">
        <v>0</v>
      </c>
      <c r="K5311">
        <v>0</v>
      </c>
      <c r="L5311">
        <v>0</v>
      </c>
      <c r="M5311">
        <v>66</v>
      </c>
      <c r="N5311">
        <v>0</v>
      </c>
      <c r="O5311">
        <v>73</v>
      </c>
      <c r="P5311">
        <v>0</v>
      </c>
      <c r="Q5311">
        <v>0</v>
      </c>
      <c r="R5311">
        <v>0</v>
      </c>
      <c r="S5311">
        <v>0</v>
      </c>
      <c r="T5311">
        <v>0</v>
      </c>
      <c r="U5311">
        <v>0</v>
      </c>
      <c r="V5311">
        <v>0</v>
      </c>
      <c r="W5311">
        <v>0</v>
      </c>
      <c r="X5311">
        <v>0</v>
      </c>
      <c r="Y5311" t="s">
        <v>31</v>
      </c>
      <c r="Z5311">
        <v>55</v>
      </c>
      <c r="AA5311">
        <v>0</v>
      </c>
    </row>
    <row r="5312" spans="1:27" x14ac:dyDescent="0.2">
      <c r="A5312" t="s">
        <v>547</v>
      </c>
      <c r="B5312">
        <v>2023</v>
      </c>
      <c r="C5312">
        <v>5544025009</v>
      </c>
      <c r="D5312" t="s">
        <v>6412</v>
      </c>
      <c r="E5312" t="s">
        <v>29</v>
      </c>
      <c r="F5312" t="s">
        <v>30</v>
      </c>
      <c r="G5312">
        <v>0</v>
      </c>
      <c r="H5312">
        <v>0</v>
      </c>
      <c r="I5312">
        <v>0</v>
      </c>
      <c r="J5312">
        <v>0</v>
      </c>
      <c r="K5312">
        <v>0</v>
      </c>
      <c r="L5312">
        <v>0</v>
      </c>
      <c r="M5312">
        <v>0</v>
      </c>
      <c r="N5312">
        <v>0</v>
      </c>
      <c r="O5312">
        <v>158</v>
      </c>
      <c r="P5312">
        <v>0</v>
      </c>
      <c r="Q5312">
        <v>40</v>
      </c>
      <c r="R5312">
        <v>0</v>
      </c>
      <c r="S5312">
        <v>0</v>
      </c>
      <c r="T5312">
        <v>0</v>
      </c>
      <c r="U5312">
        <v>0</v>
      </c>
      <c r="V5312">
        <v>0</v>
      </c>
      <c r="W5312">
        <v>0</v>
      </c>
      <c r="X5312">
        <v>0</v>
      </c>
      <c r="Y5312" t="s">
        <v>31</v>
      </c>
      <c r="Z5312">
        <v>55</v>
      </c>
      <c r="AA5312">
        <v>3.25</v>
      </c>
    </row>
    <row r="5313" spans="1:27" x14ac:dyDescent="0.2">
      <c r="A5313" t="s">
        <v>547</v>
      </c>
      <c r="B5313">
        <v>2023</v>
      </c>
      <c r="C5313">
        <v>5006006007</v>
      </c>
      <c r="D5313" t="s">
        <v>6413</v>
      </c>
      <c r="E5313" t="s">
        <v>29</v>
      </c>
      <c r="F5313" t="s">
        <v>30</v>
      </c>
      <c r="G5313">
        <v>6</v>
      </c>
      <c r="H5313">
        <v>0</v>
      </c>
      <c r="I5313">
        <v>0</v>
      </c>
      <c r="J5313">
        <v>0</v>
      </c>
      <c r="K5313">
        <v>0</v>
      </c>
      <c r="L5313">
        <v>0</v>
      </c>
      <c r="M5313">
        <v>0</v>
      </c>
      <c r="N5313">
        <v>0</v>
      </c>
      <c r="O5313">
        <v>0</v>
      </c>
      <c r="P5313">
        <v>0</v>
      </c>
      <c r="Q5313">
        <v>0</v>
      </c>
      <c r="R5313">
        <v>0</v>
      </c>
      <c r="S5313">
        <v>0</v>
      </c>
      <c r="T5313">
        <v>0</v>
      </c>
      <c r="U5313">
        <v>0</v>
      </c>
      <c r="V5313">
        <v>0</v>
      </c>
      <c r="W5313">
        <v>0</v>
      </c>
      <c r="X5313">
        <v>0</v>
      </c>
      <c r="Y5313" t="s">
        <v>31</v>
      </c>
      <c r="Z5313">
        <v>55</v>
      </c>
      <c r="AA5313" s="2" t="s">
        <v>6156</v>
      </c>
    </row>
    <row r="5314" spans="1:27" x14ac:dyDescent="0.2">
      <c r="A5314" t="s">
        <v>547</v>
      </c>
      <c r="B5314">
        <v>2023</v>
      </c>
      <c r="C5314">
        <v>2537001033</v>
      </c>
      <c r="D5314" t="s">
        <v>6414</v>
      </c>
      <c r="E5314" t="s">
        <v>29</v>
      </c>
      <c r="F5314" t="s">
        <v>30</v>
      </c>
      <c r="G5314">
        <v>0</v>
      </c>
      <c r="H5314">
        <v>0</v>
      </c>
      <c r="I5314">
        <v>80</v>
      </c>
      <c r="J5314">
        <v>0</v>
      </c>
      <c r="K5314">
        <v>19</v>
      </c>
      <c r="L5314">
        <v>0</v>
      </c>
      <c r="M5314">
        <v>0</v>
      </c>
      <c r="N5314">
        <v>0</v>
      </c>
      <c r="O5314">
        <v>0</v>
      </c>
      <c r="P5314">
        <v>0</v>
      </c>
      <c r="Q5314">
        <v>0</v>
      </c>
      <c r="R5314">
        <v>0</v>
      </c>
      <c r="S5314">
        <v>0</v>
      </c>
      <c r="T5314">
        <v>0</v>
      </c>
      <c r="U5314">
        <v>0</v>
      </c>
      <c r="V5314">
        <v>0</v>
      </c>
      <c r="W5314">
        <v>0</v>
      </c>
      <c r="X5314">
        <v>0</v>
      </c>
      <c r="Y5314" t="s">
        <v>31</v>
      </c>
      <c r="AA5314">
        <v>2.23</v>
      </c>
    </row>
    <row r="5315" spans="1:27" x14ac:dyDescent="0.2">
      <c r="A5315" t="s">
        <v>547</v>
      </c>
      <c r="B5315">
        <v>2023</v>
      </c>
      <c r="C5315">
        <v>5020025039</v>
      </c>
      <c r="D5315" t="s">
        <v>6415</v>
      </c>
      <c r="E5315" t="s">
        <v>29</v>
      </c>
      <c r="F5315" t="s">
        <v>30</v>
      </c>
      <c r="G5315">
        <v>0</v>
      </c>
      <c r="H5315">
        <v>0</v>
      </c>
      <c r="I5315">
        <v>150</v>
      </c>
      <c r="J5315">
        <v>0</v>
      </c>
      <c r="K5315">
        <v>37</v>
      </c>
      <c r="L5315">
        <v>0</v>
      </c>
      <c r="M5315">
        <v>0</v>
      </c>
      <c r="N5315">
        <v>0</v>
      </c>
      <c r="O5315">
        <v>0</v>
      </c>
      <c r="P5315">
        <v>0</v>
      </c>
      <c r="Q5315">
        <v>0</v>
      </c>
      <c r="R5315">
        <v>0</v>
      </c>
      <c r="S5315">
        <v>0</v>
      </c>
      <c r="T5315">
        <v>0</v>
      </c>
      <c r="U5315">
        <v>0</v>
      </c>
      <c r="V5315">
        <v>0</v>
      </c>
      <c r="W5315">
        <v>0</v>
      </c>
      <c r="X5315">
        <v>0</v>
      </c>
      <c r="Y5315" t="s">
        <v>31</v>
      </c>
      <c r="Z5315">
        <v>55</v>
      </c>
      <c r="AA5315" s="2" t="s">
        <v>6416</v>
      </c>
    </row>
    <row r="5316" spans="1:27" x14ac:dyDescent="0.2">
      <c r="A5316" t="s">
        <v>547</v>
      </c>
      <c r="B5316">
        <v>2023</v>
      </c>
      <c r="C5316">
        <v>5024006012</v>
      </c>
      <c r="D5316" t="s">
        <v>6417</v>
      </c>
      <c r="E5316" t="s">
        <v>29</v>
      </c>
      <c r="F5316" t="s">
        <v>30</v>
      </c>
      <c r="G5316">
        <v>0</v>
      </c>
      <c r="H5316">
        <v>0</v>
      </c>
      <c r="I5316">
        <v>55</v>
      </c>
      <c r="J5316">
        <v>0</v>
      </c>
      <c r="K5316">
        <v>0</v>
      </c>
      <c r="L5316">
        <v>0</v>
      </c>
      <c r="M5316">
        <v>0</v>
      </c>
      <c r="N5316">
        <v>0</v>
      </c>
      <c r="O5316">
        <v>0</v>
      </c>
      <c r="P5316">
        <v>0</v>
      </c>
      <c r="Q5316">
        <v>0</v>
      </c>
      <c r="R5316">
        <v>0</v>
      </c>
      <c r="S5316">
        <v>0</v>
      </c>
      <c r="T5316">
        <v>0</v>
      </c>
      <c r="U5316">
        <v>0</v>
      </c>
      <c r="V5316">
        <v>0</v>
      </c>
      <c r="W5316">
        <v>0</v>
      </c>
      <c r="X5316">
        <v>0</v>
      </c>
      <c r="Y5316" t="s">
        <v>31</v>
      </c>
      <c r="AA5316">
        <v>1.3</v>
      </c>
    </row>
    <row r="5317" spans="1:27" x14ac:dyDescent="0.2">
      <c r="A5317" t="s">
        <v>547</v>
      </c>
      <c r="B5317">
        <v>2023</v>
      </c>
      <c r="C5317">
        <v>5078035020</v>
      </c>
      <c r="D5317" t="s">
        <v>6418</v>
      </c>
      <c r="E5317" t="s">
        <v>29</v>
      </c>
      <c r="F5317" t="s">
        <v>30</v>
      </c>
      <c r="G5317">
        <v>19</v>
      </c>
      <c r="H5317">
        <v>0</v>
      </c>
      <c r="I5317">
        <v>55</v>
      </c>
      <c r="J5317">
        <v>0</v>
      </c>
      <c r="K5317">
        <v>0</v>
      </c>
      <c r="L5317">
        <v>0</v>
      </c>
      <c r="M5317">
        <v>0</v>
      </c>
      <c r="N5317">
        <v>0</v>
      </c>
      <c r="O5317">
        <v>0</v>
      </c>
      <c r="P5317">
        <v>0</v>
      </c>
      <c r="Q5317">
        <v>0</v>
      </c>
      <c r="R5317">
        <v>0</v>
      </c>
      <c r="S5317">
        <v>0</v>
      </c>
      <c r="T5317">
        <v>0</v>
      </c>
      <c r="U5317">
        <v>0</v>
      </c>
      <c r="V5317">
        <v>0</v>
      </c>
      <c r="W5317">
        <v>0</v>
      </c>
      <c r="X5317">
        <v>0</v>
      </c>
      <c r="Y5317" t="s">
        <v>31</v>
      </c>
      <c r="AA5317">
        <v>0.13</v>
      </c>
    </row>
    <row r="5318" spans="1:27" x14ac:dyDescent="0.2">
      <c r="A5318" t="s">
        <v>547</v>
      </c>
      <c r="B5318">
        <v>2023</v>
      </c>
      <c r="C5318">
        <v>5110022010</v>
      </c>
      <c r="D5318" t="s">
        <v>6419</v>
      </c>
      <c r="E5318" t="s">
        <v>29</v>
      </c>
      <c r="F5318" t="s">
        <v>30</v>
      </c>
      <c r="G5318">
        <v>0</v>
      </c>
      <c r="H5318">
        <v>0</v>
      </c>
      <c r="I5318">
        <v>149</v>
      </c>
      <c r="J5318">
        <v>0</v>
      </c>
      <c r="K5318">
        <v>37</v>
      </c>
      <c r="L5318">
        <v>0</v>
      </c>
      <c r="M5318">
        <v>0</v>
      </c>
      <c r="N5318">
        <v>0</v>
      </c>
      <c r="O5318">
        <v>0</v>
      </c>
      <c r="P5318">
        <v>0</v>
      </c>
      <c r="Q5318">
        <v>0</v>
      </c>
      <c r="R5318">
        <v>0</v>
      </c>
      <c r="S5318">
        <v>0</v>
      </c>
      <c r="T5318">
        <v>0</v>
      </c>
      <c r="U5318">
        <v>0</v>
      </c>
      <c r="V5318">
        <v>0</v>
      </c>
      <c r="W5318">
        <v>0</v>
      </c>
      <c r="X5318">
        <v>0</v>
      </c>
      <c r="Y5318" t="s">
        <v>31</v>
      </c>
      <c r="AA5318">
        <v>1.7</v>
      </c>
    </row>
    <row r="5319" spans="1:27" x14ac:dyDescent="0.2">
      <c r="A5319" t="s">
        <v>387</v>
      </c>
      <c r="B5319">
        <v>2024</v>
      </c>
      <c r="C5319" t="s">
        <v>6420</v>
      </c>
      <c r="D5319" t="s">
        <v>6421</v>
      </c>
      <c r="E5319" t="s">
        <v>29</v>
      </c>
      <c r="F5319" t="s">
        <v>30</v>
      </c>
      <c r="G5319">
        <v>38</v>
      </c>
      <c r="H5319">
        <v>0</v>
      </c>
      <c r="I5319">
        <v>12</v>
      </c>
      <c r="J5319">
        <v>0</v>
      </c>
      <c r="K5319">
        <v>0</v>
      </c>
      <c r="L5319">
        <v>0</v>
      </c>
      <c r="M5319">
        <v>0</v>
      </c>
      <c r="N5319">
        <v>0</v>
      </c>
      <c r="O5319">
        <v>0</v>
      </c>
      <c r="P5319">
        <v>0</v>
      </c>
      <c r="Q5319">
        <v>0</v>
      </c>
      <c r="R5319">
        <v>0</v>
      </c>
      <c r="S5319">
        <v>0</v>
      </c>
      <c r="T5319">
        <v>0</v>
      </c>
      <c r="U5319">
        <v>0</v>
      </c>
      <c r="V5319">
        <v>0</v>
      </c>
      <c r="W5319">
        <v>0</v>
      </c>
      <c r="X5319">
        <v>0</v>
      </c>
      <c r="Y5319" t="s">
        <v>31</v>
      </c>
      <c r="Z5319">
        <v>1000</v>
      </c>
      <c r="AA5319" s="2" t="s">
        <v>6377</v>
      </c>
    </row>
    <row r="5320" spans="1:27" x14ac:dyDescent="0.2">
      <c r="A5320" t="s">
        <v>547</v>
      </c>
      <c r="B5320">
        <v>2023</v>
      </c>
      <c r="C5320">
        <v>5040024023</v>
      </c>
      <c r="D5320" t="s">
        <v>6191</v>
      </c>
      <c r="E5320" t="s">
        <v>29</v>
      </c>
      <c r="F5320" t="s">
        <v>30</v>
      </c>
      <c r="G5320">
        <v>2</v>
      </c>
      <c r="H5320">
        <v>0</v>
      </c>
      <c r="I5320">
        <v>0</v>
      </c>
      <c r="J5320">
        <v>0</v>
      </c>
      <c r="K5320">
        <v>0</v>
      </c>
      <c r="L5320">
        <v>0</v>
      </c>
      <c r="M5320">
        <v>3</v>
      </c>
      <c r="N5320">
        <v>0</v>
      </c>
      <c r="O5320">
        <v>0</v>
      </c>
      <c r="P5320">
        <v>0</v>
      </c>
      <c r="Q5320">
        <v>0</v>
      </c>
      <c r="R5320">
        <v>0</v>
      </c>
      <c r="S5320">
        <v>0</v>
      </c>
      <c r="T5320">
        <v>0</v>
      </c>
      <c r="U5320">
        <v>0</v>
      </c>
      <c r="V5320">
        <v>0</v>
      </c>
      <c r="W5320">
        <v>0</v>
      </c>
      <c r="X5320">
        <v>0</v>
      </c>
      <c r="Y5320" t="s">
        <v>31</v>
      </c>
      <c r="Z5320">
        <v>55</v>
      </c>
      <c r="AA5320" s="2" t="s">
        <v>3244</v>
      </c>
    </row>
    <row r="5321" spans="1:27" x14ac:dyDescent="0.2">
      <c r="A5321" t="s">
        <v>547</v>
      </c>
      <c r="B5321">
        <v>2023</v>
      </c>
      <c r="C5321">
        <v>5209032029</v>
      </c>
      <c r="D5321" t="s">
        <v>6422</v>
      </c>
      <c r="E5321" t="s">
        <v>29</v>
      </c>
      <c r="F5321" t="s">
        <v>30</v>
      </c>
      <c r="G5321">
        <v>4</v>
      </c>
      <c r="H5321">
        <v>0</v>
      </c>
      <c r="I5321">
        <v>0</v>
      </c>
      <c r="J5321">
        <v>0</v>
      </c>
      <c r="K5321">
        <v>0</v>
      </c>
      <c r="L5321">
        <v>0</v>
      </c>
      <c r="M5321">
        <v>0</v>
      </c>
      <c r="N5321">
        <v>0</v>
      </c>
      <c r="O5321">
        <v>0</v>
      </c>
      <c r="P5321">
        <v>0</v>
      </c>
      <c r="Q5321">
        <v>0</v>
      </c>
      <c r="R5321">
        <v>0</v>
      </c>
      <c r="S5321">
        <v>0</v>
      </c>
      <c r="T5321">
        <v>0</v>
      </c>
      <c r="U5321">
        <v>0</v>
      </c>
      <c r="V5321">
        <v>0</v>
      </c>
      <c r="W5321">
        <v>0</v>
      </c>
      <c r="X5321">
        <v>0</v>
      </c>
      <c r="Y5321" t="s">
        <v>31</v>
      </c>
      <c r="AA5321" s="2" t="s">
        <v>6423</v>
      </c>
    </row>
    <row r="5322" spans="1:27" x14ac:dyDescent="0.2">
      <c r="A5322" t="s">
        <v>4084</v>
      </c>
      <c r="B5322">
        <v>2024</v>
      </c>
      <c r="C5322" t="s">
        <v>6424</v>
      </c>
      <c r="D5322" t="s">
        <v>6425</v>
      </c>
      <c r="E5322" t="s">
        <v>29</v>
      </c>
      <c r="F5322" t="s">
        <v>30</v>
      </c>
      <c r="G5322">
        <v>2</v>
      </c>
      <c r="H5322">
        <v>0</v>
      </c>
      <c r="I5322">
        <v>1</v>
      </c>
      <c r="J5322">
        <v>0</v>
      </c>
      <c r="K5322">
        <v>0</v>
      </c>
      <c r="L5322">
        <v>0</v>
      </c>
      <c r="M5322">
        <v>0</v>
      </c>
      <c r="N5322">
        <v>0</v>
      </c>
      <c r="O5322">
        <v>0</v>
      </c>
      <c r="P5322">
        <v>0</v>
      </c>
      <c r="Q5322">
        <v>0</v>
      </c>
      <c r="R5322">
        <v>0</v>
      </c>
      <c r="S5322">
        <v>0</v>
      </c>
      <c r="T5322">
        <v>0</v>
      </c>
      <c r="U5322">
        <v>0</v>
      </c>
      <c r="V5322">
        <v>0</v>
      </c>
      <c r="W5322">
        <v>0</v>
      </c>
      <c r="X5322">
        <v>0</v>
      </c>
      <c r="Y5322" t="s">
        <v>31</v>
      </c>
      <c r="AA5322" s="2" t="s">
        <v>4011</v>
      </c>
    </row>
    <row r="5323" spans="1:27" x14ac:dyDescent="0.2">
      <c r="A5323" t="s">
        <v>547</v>
      </c>
      <c r="B5323">
        <v>2023</v>
      </c>
      <c r="C5323">
        <v>4257006026</v>
      </c>
      <c r="D5323" t="s">
        <v>2128</v>
      </c>
      <c r="E5323" t="s">
        <v>29</v>
      </c>
      <c r="F5323" t="s">
        <v>30</v>
      </c>
      <c r="G5323">
        <v>0</v>
      </c>
      <c r="H5323">
        <v>0</v>
      </c>
      <c r="I5323">
        <v>0</v>
      </c>
      <c r="J5323">
        <v>0</v>
      </c>
      <c r="K5323">
        <v>0</v>
      </c>
      <c r="L5323">
        <v>0</v>
      </c>
      <c r="M5323">
        <v>6</v>
      </c>
      <c r="N5323">
        <v>0</v>
      </c>
      <c r="O5323">
        <v>0</v>
      </c>
      <c r="P5323">
        <v>0</v>
      </c>
      <c r="Q5323">
        <v>0</v>
      </c>
      <c r="R5323">
        <v>0</v>
      </c>
      <c r="S5323">
        <v>6</v>
      </c>
      <c r="T5323">
        <v>0</v>
      </c>
      <c r="U5323">
        <v>0</v>
      </c>
      <c r="V5323">
        <v>0</v>
      </c>
      <c r="W5323">
        <v>0</v>
      </c>
      <c r="X5323">
        <v>0</v>
      </c>
      <c r="Y5323" t="s">
        <v>31</v>
      </c>
      <c r="Z5323">
        <v>55</v>
      </c>
      <c r="AA5323" s="2" t="s">
        <v>3316</v>
      </c>
    </row>
    <row r="5324" spans="1:27" x14ac:dyDescent="0.2">
      <c r="A5324" t="s">
        <v>547</v>
      </c>
      <c r="B5324">
        <v>2023</v>
      </c>
      <c r="C5324">
        <v>4235013027</v>
      </c>
      <c r="D5324" t="s">
        <v>2890</v>
      </c>
      <c r="E5324" t="s">
        <v>29</v>
      </c>
      <c r="F5324" t="s">
        <v>30</v>
      </c>
      <c r="G5324">
        <v>0</v>
      </c>
      <c r="H5324">
        <v>0</v>
      </c>
      <c r="I5324">
        <v>0</v>
      </c>
      <c r="J5324">
        <v>0</v>
      </c>
      <c r="K5324">
        <v>0</v>
      </c>
      <c r="L5324">
        <v>0</v>
      </c>
      <c r="M5324">
        <v>7</v>
      </c>
      <c r="N5324">
        <v>0</v>
      </c>
      <c r="O5324">
        <v>0</v>
      </c>
      <c r="P5324">
        <v>0</v>
      </c>
      <c r="Q5324">
        <v>0</v>
      </c>
      <c r="R5324">
        <v>0</v>
      </c>
      <c r="S5324">
        <v>7</v>
      </c>
      <c r="T5324">
        <v>0</v>
      </c>
      <c r="U5324">
        <v>0</v>
      </c>
      <c r="V5324">
        <v>0</v>
      </c>
      <c r="W5324">
        <v>0</v>
      </c>
      <c r="X5324">
        <v>0</v>
      </c>
      <c r="Y5324" t="s">
        <v>31</v>
      </c>
      <c r="Z5324">
        <v>55</v>
      </c>
      <c r="AA5324" s="2" t="s">
        <v>3920</v>
      </c>
    </row>
    <row r="5325" spans="1:27" x14ac:dyDescent="0.2">
      <c r="A5325" t="s">
        <v>3510</v>
      </c>
      <c r="B5325">
        <v>2024</v>
      </c>
      <c r="C5325">
        <v>4331024028</v>
      </c>
      <c r="D5325" t="s">
        <v>6426</v>
      </c>
      <c r="E5325" t="s">
        <v>29</v>
      </c>
      <c r="F5325" t="s">
        <v>30</v>
      </c>
      <c r="G5325">
        <v>1</v>
      </c>
      <c r="H5325">
        <v>0</v>
      </c>
      <c r="I5325">
        <v>0</v>
      </c>
      <c r="J5325">
        <v>0</v>
      </c>
      <c r="K5325">
        <v>0</v>
      </c>
      <c r="L5325">
        <v>0</v>
      </c>
      <c r="M5325">
        <v>0</v>
      </c>
      <c r="N5325">
        <v>0</v>
      </c>
      <c r="O5325">
        <v>0</v>
      </c>
      <c r="P5325">
        <v>0</v>
      </c>
      <c r="Q5325">
        <v>0</v>
      </c>
      <c r="R5325">
        <v>0</v>
      </c>
      <c r="S5325">
        <v>0</v>
      </c>
      <c r="T5325">
        <v>0</v>
      </c>
      <c r="U5325">
        <v>0</v>
      </c>
      <c r="V5325">
        <v>0</v>
      </c>
      <c r="W5325">
        <v>0</v>
      </c>
      <c r="X5325">
        <v>0</v>
      </c>
      <c r="Y5325" t="s">
        <v>31</v>
      </c>
      <c r="Z5325">
        <v>55</v>
      </c>
      <c r="AA5325">
        <v>0.5</v>
      </c>
    </row>
    <row r="5326" spans="1:27" x14ac:dyDescent="0.2">
      <c r="A5326" t="s">
        <v>3510</v>
      </c>
      <c r="B5326">
        <v>2024</v>
      </c>
      <c r="C5326">
        <v>4334004031</v>
      </c>
      <c r="D5326" t="s">
        <v>6427</v>
      </c>
      <c r="E5326" t="s">
        <v>29</v>
      </c>
      <c r="F5326" t="s">
        <v>30</v>
      </c>
      <c r="G5326">
        <v>5</v>
      </c>
      <c r="H5326">
        <v>0</v>
      </c>
      <c r="I5326">
        <v>0</v>
      </c>
      <c r="J5326">
        <v>0</v>
      </c>
      <c r="K5326">
        <v>5</v>
      </c>
      <c r="L5326">
        <v>0</v>
      </c>
      <c r="M5326">
        <v>0</v>
      </c>
      <c r="N5326">
        <v>0</v>
      </c>
      <c r="O5326">
        <v>0</v>
      </c>
      <c r="P5326">
        <v>0</v>
      </c>
      <c r="Q5326">
        <v>0</v>
      </c>
      <c r="R5326">
        <v>0</v>
      </c>
      <c r="S5326">
        <v>0</v>
      </c>
      <c r="T5326">
        <v>0</v>
      </c>
      <c r="U5326">
        <v>0</v>
      </c>
      <c r="V5326">
        <v>0</v>
      </c>
      <c r="W5326">
        <v>0</v>
      </c>
      <c r="X5326">
        <v>0</v>
      </c>
      <c r="Y5326" t="s">
        <v>31</v>
      </c>
      <c r="Z5326">
        <v>55</v>
      </c>
      <c r="AA5326">
        <v>1</v>
      </c>
    </row>
    <row r="5327" spans="1:27" x14ac:dyDescent="0.2">
      <c r="A5327" t="s">
        <v>1127</v>
      </c>
      <c r="B5327">
        <v>2022</v>
      </c>
      <c r="C5327" t="s">
        <v>1400</v>
      </c>
      <c r="D5327" t="s">
        <v>1401</v>
      </c>
      <c r="E5327" t="s">
        <v>29</v>
      </c>
      <c r="F5327" t="s">
        <v>41</v>
      </c>
      <c r="G5327">
        <v>0</v>
      </c>
      <c r="H5327">
        <v>0</v>
      </c>
      <c r="I5327">
        <v>1</v>
      </c>
      <c r="J5327">
        <v>0</v>
      </c>
      <c r="K5327">
        <v>1</v>
      </c>
      <c r="L5327">
        <v>0</v>
      </c>
      <c r="M5327">
        <v>0</v>
      </c>
      <c r="N5327">
        <v>0</v>
      </c>
      <c r="O5327">
        <v>0</v>
      </c>
      <c r="P5327">
        <v>0</v>
      </c>
      <c r="Q5327">
        <v>0</v>
      </c>
      <c r="R5327">
        <v>0</v>
      </c>
      <c r="S5327">
        <v>0</v>
      </c>
      <c r="T5327">
        <v>0</v>
      </c>
      <c r="U5327">
        <v>0</v>
      </c>
      <c r="V5327">
        <v>0</v>
      </c>
      <c r="W5327">
        <v>0</v>
      </c>
      <c r="X5327">
        <v>0</v>
      </c>
      <c r="Y5327" t="s">
        <v>51</v>
      </c>
      <c r="AA5327">
        <v>0</v>
      </c>
    </row>
    <row r="5328" spans="1:27" x14ac:dyDescent="0.2">
      <c r="A5328" t="s">
        <v>387</v>
      </c>
      <c r="B5328">
        <v>2024</v>
      </c>
      <c r="C5328" s="3">
        <v>14632</v>
      </c>
      <c r="D5328" t="s">
        <v>6428</v>
      </c>
      <c r="E5328" t="s">
        <v>29</v>
      </c>
      <c r="F5328" t="s">
        <v>30</v>
      </c>
      <c r="G5328">
        <v>4</v>
      </c>
      <c r="H5328">
        <v>0</v>
      </c>
      <c r="I5328">
        <v>5</v>
      </c>
      <c r="J5328">
        <v>0</v>
      </c>
      <c r="K5328">
        <v>0</v>
      </c>
      <c r="L5328">
        <v>0</v>
      </c>
      <c r="M5328">
        <v>0</v>
      </c>
      <c r="N5328">
        <v>0</v>
      </c>
      <c r="O5328">
        <v>0</v>
      </c>
      <c r="P5328">
        <v>0</v>
      </c>
      <c r="Q5328">
        <v>0</v>
      </c>
      <c r="R5328">
        <v>0</v>
      </c>
      <c r="S5328">
        <v>0</v>
      </c>
      <c r="T5328">
        <v>0</v>
      </c>
      <c r="U5328">
        <v>0</v>
      </c>
      <c r="V5328">
        <v>0</v>
      </c>
      <c r="W5328">
        <v>0</v>
      </c>
      <c r="X5328">
        <v>0</v>
      </c>
      <c r="Y5328" t="s">
        <v>31</v>
      </c>
      <c r="Z5328">
        <v>1000</v>
      </c>
      <c r="AA5328">
        <v>0</v>
      </c>
    </row>
    <row r="5329" spans="1:27" x14ac:dyDescent="0.2">
      <c r="A5329" t="s">
        <v>6429</v>
      </c>
      <c r="B5329">
        <v>2018</v>
      </c>
      <c r="C5329" t="s">
        <v>6430</v>
      </c>
      <c r="D5329" t="s">
        <v>6431</v>
      </c>
      <c r="E5329" t="s">
        <v>29</v>
      </c>
      <c r="F5329" t="s">
        <v>30</v>
      </c>
      <c r="G5329">
        <v>2</v>
      </c>
      <c r="H5329">
        <v>0</v>
      </c>
      <c r="I5329">
        <v>0</v>
      </c>
      <c r="J5329">
        <v>0</v>
      </c>
      <c r="K5329">
        <v>0</v>
      </c>
      <c r="L5329">
        <v>0</v>
      </c>
      <c r="M5329">
        <v>0</v>
      </c>
      <c r="N5329">
        <v>0</v>
      </c>
      <c r="O5329">
        <v>0</v>
      </c>
      <c r="P5329">
        <v>0</v>
      </c>
      <c r="Q5329">
        <v>0</v>
      </c>
      <c r="R5329">
        <v>0</v>
      </c>
      <c r="S5329">
        <v>0</v>
      </c>
      <c r="T5329">
        <v>0</v>
      </c>
      <c r="U5329">
        <v>0</v>
      </c>
      <c r="V5329">
        <v>0</v>
      </c>
      <c r="W5329">
        <v>0</v>
      </c>
      <c r="X5329">
        <v>0</v>
      </c>
      <c r="Y5329" t="s">
        <v>31</v>
      </c>
      <c r="Z5329">
        <v>55</v>
      </c>
      <c r="AA5329" s="2" t="s">
        <v>6041</v>
      </c>
    </row>
    <row r="5330" spans="1:27" x14ac:dyDescent="0.2">
      <c r="A5330" t="s">
        <v>6432</v>
      </c>
      <c r="B5330">
        <v>2024</v>
      </c>
      <c r="C5330" t="s">
        <v>6433</v>
      </c>
      <c r="D5330" t="s">
        <v>6434</v>
      </c>
      <c r="E5330" t="s">
        <v>29</v>
      </c>
      <c r="F5330" t="s">
        <v>30</v>
      </c>
      <c r="G5330">
        <v>28</v>
      </c>
      <c r="H5330">
        <v>0</v>
      </c>
      <c r="I5330">
        <v>10</v>
      </c>
      <c r="J5330">
        <v>0</v>
      </c>
      <c r="K5330">
        <v>0</v>
      </c>
      <c r="L5330">
        <v>0</v>
      </c>
      <c r="M5330">
        <v>0</v>
      </c>
      <c r="N5330">
        <v>0</v>
      </c>
      <c r="O5330">
        <v>0</v>
      </c>
      <c r="P5330">
        <v>0</v>
      </c>
      <c r="Q5330">
        <v>0</v>
      </c>
      <c r="R5330">
        <v>0</v>
      </c>
      <c r="S5330">
        <v>0</v>
      </c>
      <c r="T5330">
        <v>0</v>
      </c>
      <c r="U5330">
        <v>0</v>
      </c>
      <c r="V5330">
        <v>0</v>
      </c>
      <c r="W5330">
        <v>0</v>
      </c>
      <c r="X5330">
        <v>0</v>
      </c>
      <c r="Y5330" t="s">
        <v>31</v>
      </c>
      <c r="Z5330">
        <v>55</v>
      </c>
      <c r="AA5330">
        <v>0.5</v>
      </c>
    </row>
    <row r="5331" spans="1:27" x14ac:dyDescent="0.2">
      <c r="A5331" t="s">
        <v>547</v>
      </c>
      <c r="B5331">
        <v>2023</v>
      </c>
      <c r="C5331">
        <v>5077017011</v>
      </c>
      <c r="D5331" t="s">
        <v>6435</v>
      </c>
      <c r="E5331" t="s">
        <v>29</v>
      </c>
      <c r="F5331" t="s">
        <v>30</v>
      </c>
      <c r="G5331">
        <v>0</v>
      </c>
      <c r="H5331">
        <v>0</v>
      </c>
      <c r="I5331">
        <v>0</v>
      </c>
      <c r="J5331">
        <v>0</v>
      </c>
      <c r="K5331">
        <v>0</v>
      </c>
      <c r="L5331">
        <v>0</v>
      </c>
      <c r="M5331">
        <v>8</v>
      </c>
      <c r="N5331">
        <v>0</v>
      </c>
      <c r="O5331">
        <v>0</v>
      </c>
      <c r="P5331">
        <v>0</v>
      </c>
      <c r="Q5331">
        <v>0</v>
      </c>
      <c r="R5331">
        <v>0</v>
      </c>
      <c r="S5331">
        <v>0</v>
      </c>
      <c r="T5331">
        <v>0</v>
      </c>
      <c r="U5331">
        <v>0</v>
      </c>
      <c r="V5331">
        <v>0</v>
      </c>
      <c r="W5331">
        <v>0</v>
      </c>
      <c r="X5331">
        <v>0</v>
      </c>
      <c r="Y5331" t="s">
        <v>51</v>
      </c>
      <c r="Z5331">
        <v>55</v>
      </c>
      <c r="AA5331">
        <v>0</v>
      </c>
    </row>
    <row r="5332" spans="1:27" x14ac:dyDescent="0.2">
      <c r="A5332" t="s">
        <v>547</v>
      </c>
      <c r="B5332">
        <v>2023</v>
      </c>
      <c r="C5332">
        <v>5507030015</v>
      </c>
      <c r="D5332" t="s">
        <v>3800</v>
      </c>
      <c r="E5332" t="s">
        <v>29</v>
      </c>
      <c r="F5332" t="s">
        <v>30</v>
      </c>
      <c r="G5332">
        <v>0</v>
      </c>
      <c r="H5332">
        <v>0</v>
      </c>
      <c r="I5332">
        <v>0</v>
      </c>
      <c r="J5332">
        <v>0</v>
      </c>
      <c r="K5332">
        <v>0</v>
      </c>
      <c r="L5332">
        <v>0</v>
      </c>
      <c r="M5332">
        <v>6</v>
      </c>
      <c r="N5332">
        <v>0</v>
      </c>
      <c r="O5332">
        <v>0</v>
      </c>
      <c r="P5332">
        <v>0</v>
      </c>
      <c r="Q5332">
        <v>0</v>
      </c>
      <c r="R5332">
        <v>0</v>
      </c>
      <c r="S5332">
        <v>0</v>
      </c>
      <c r="T5332">
        <v>0</v>
      </c>
      <c r="U5332">
        <v>0</v>
      </c>
      <c r="V5332">
        <v>0</v>
      </c>
      <c r="W5332">
        <v>0</v>
      </c>
      <c r="X5332">
        <v>0</v>
      </c>
      <c r="Y5332" t="s">
        <v>31</v>
      </c>
      <c r="Z5332">
        <v>55</v>
      </c>
      <c r="AA5332" s="2" t="s">
        <v>3316</v>
      </c>
    </row>
    <row r="5333" spans="1:27" x14ac:dyDescent="0.2">
      <c r="A5333" t="s">
        <v>547</v>
      </c>
      <c r="B5333">
        <v>2023</v>
      </c>
      <c r="C5333">
        <v>5521012025</v>
      </c>
      <c r="D5333" t="s">
        <v>6436</v>
      </c>
      <c r="E5333" t="s">
        <v>29</v>
      </c>
      <c r="F5333" t="s">
        <v>30</v>
      </c>
      <c r="G5333">
        <v>0</v>
      </c>
      <c r="H5333">
        <v>0</v>
      </c>
      <c r="I5333">
        <v>0</v>
      </c>
      <c r="J5333">
        <v>0</v>
      </c>
      <c r="K5333">
        <v>0</v>
      </c>
      <c r="L5333">
        <v>0</v>
      </c>
      <c r="M5333">
        <v>4</v>
      </c>
      <c r="N5333">
        <v>0</v>
      </c>
      <c r="O5333">
        <v>0</v>
      </c>
      <c r="P5333">
        <v>0</v>
      </c>
      <c r="Q5333">
        <v>0</v>
      </c>
      <c r="R5333">
        <v>0</v>
      </c>
      <c r="S5333">
        <v>0</v>
      </c>
      <c r="T5333">
        <v>0</v>
      </c>
      <c r="U5333">
        <v>0</v>
      </c>
      <c r="V5333">
        <v>0</v>
      </c>
      <c r="W5333">
        <v>0</v>
      </c>
      <c r="X5333">
        <v>0</v>
      </c>
      <c r="Y5333" t="s">
        <v>51</v>
      </c>
      <c r="Z5333">
        <v>55</v>
      </c>
      <c r="AA5333">
        <v>0</v>
      </c>
    </row>
    <row r="5334" spans="1:27" x14ac:dyDescent="0.2">
      <c r="A5334" t="s">
        <v>547</v>
      </c>
      <c r="B5334">
        <v>2023</v>
      </c>
      <c r="C5334">
        <v>6004019004</v>
      </c>
      <c r="D5334" t="s">
        <v>6437</v>
      </c>
      <c r="E5334" t="s">
        <v>29</v>
      </c>
      <c r="F5334" t="s">
        <v>30</v>
      </c>
      <c r="G5334">
        <v>0</v>
      </c>
      <c r="H5334">
        <v>0</v>
      </c>
      <c r="I5334">
        <v>0</v>
      </c>
      <c r="J5334">
        <v>0</v>
      </c>
      <c r="K5334">
        <v>0</v>
      </c>
      <c r="L5334">
        <v>0</v>
      </c>
      <c r="M5334">
        <v>1</v>
      </c>
      <c r="N5334">
        <v>0</v>
      </c>
      <c r="O5334">
        <v>14</v>
      </c>
      <c r="P5334">
        <v>0</v>
      </c>
      <c r="Q5334">
        <v>0</v>
      </c>
      <c r="R5334">
        <v>0</v>
      </c>
      <c r="S5334">
        <v>0</v>
      </c>
      <c r="T5334">
        <v>0</v>
      </c>
      <c r="U5334">
        <v>0</v>
      </c>
      <c r="V5334">
        <v>0</v>
      </c>
      <c r="W5334">
        <v>0</v>
      </c>
      <c r="X5334">
        <v>0</v>
      </c>
      <c r="Y5334" t="s">
        <v>51</v>
      </c>
      <c r="Z5334">
        <v>55</v>
      </c>
      <c r="AA5334">
        <v>0</v>
      </c>
    </row>
    <row r="5335" spans="1:27" x14ac:dyDescent="0.2">
      <c r="A5335" t="s">
        <v>547</v>
      </c>
      <c r="B5335">
        <v>2023</v>
      </c>
      <c r="C5335">
        <v>4005001013</v>
      </c>
      <c r="D5335" t="s">
        <v>6438</v>
      </c>
      <c r="E5335" t="s">
        <v>29</v>
      </c>
      <c r="F5335" t="s">
        <v>30</v>
      </c>
      <c r="G5335">
        <v>0</v>
      </c>
      <c r="H5335">
        <v>0</v>
      </c>
      <c r="I5335">
        <v>41</v>
      </c>
      <c r="J5335">
        <v>0</v>
      </c>
      <c r="K5335">
        <v>11</v>
      </c>
      <c r="L5335">
        <v>0</v>
      </c>
      <c r="M5335">
        <v>0</v>
      </c>
      <c r="N5335">
        <v>0</v>
      </c>
      <c r="O5335">
        <v>0</v>
      </c>
      <c r="P5335">
        <v>0</v>
      </c>
      <c r="Q5335">
        <v>0</v>
      </c>
      <c r="R5335">
        <v>0</v>
      </c>
      <c r="S5335">
        <v>0</v>
      </c>
      <c r="T5335">
        <v>0</v>
      </c>
      <c r="U5335">
        <v>0</v>
      </c>
      <c r="V5335">
        <v>0</v>
      </c>
      <c r="W5335">
        <v>0</v>
      </c>
      <c r="X5335">
        <v>0</v>
      </c>
      <c r="Y5335" t="s">
        <v>31</v>
      </c>
      <c r="Z5335">
        <v>55</v>
      </c>
      <c r="AA5335" s="2" t="s">
        <v>6439</v>
      </c>
    </row>
    <row r="5336" spans="1:27" x14ac:dyDescent="0.2">
      <c r="A5336" t="s">
        <v>547</v>
      </c>
      <c r="B5336">
        <v>2023</v>
      </c>
      <c r="C5336">
        <v>5547031001</v>
      </c>
      <c r="D5336" t="s">
        <v>822</v>
      </c>
      <c r="E5336" t="s">
        <v>29</v>
      </c>
      <c r="F5336" t="s">
        <v>30</v>
      </c>
      <c r="G5336">
        <v>2</v>
      </c>
      <c r="H5336">
        <v>0</v>
      </c>
      <c r="I5336">
        <v>41</v>
      </c>
      <c r="J5336">
        <v>0</v>
      </c>
      <c r="K5336">
        <v>9</v>
      </c>
      <c r="L5336">
        <v>0</v>
      </c>
      <c r="M5336">
        <v>0</v>
      </c>
      <c r="N5336">
        <v>0</v>
      </c>
      <c r="O5336">
        <v>0</v>
      </c>
      <c r="P5336">
        <v>0</v>
      </c>
      <c r="Q5336">
        <v>0</v>
      </c>
      <c r="R5336">
        <v>0</v>
      </c>
      <c r="S5336">
        <v>0</v>
      </c>
      <c r="T5336">
        <v>0</v>
      </c>
      <c r="U5336">
        <v>0</v>
      </c>
      <c r="V5336">
        <v>0</v>
      </c>
      <c r="W5336">
        <v>0</v>
      </c>
      <c r="X5336">
        <v>0</v>
      </c>
      <c r="Y5336" t="s">
        <v>31</v>
      </c>
      <c r="AA5336" s="2" t="s">
        <v>6440</v>
      </c>
    </row>
    <row r="5337" spans="1:27" x14ac:dyDescent="0.2">
      <c r="A5337" t="s">
        <v>547</v>
      </c>
      <c r="B5337">
        <v>2023</v>
      </c>
      <c r="C5337">
        <v>5104017033</v>
      </c>
      <c r="D5337" t="s">
        <v>6441</v>
      </c>
      <c r="E5337" t="s">
        <v>29</v>
      </c>
      <c r="F5337" t="s">
        <v>30</v>
      </c>
      <c r="G5337">
        <v>0</v>
      </c>
      <c r="H5337">
        <v>0</v>
      </c>
      <c r="I5337">
        <v>22</v>
      </c>
      <c r="J5337">
        <v>0</v>
      </c>
      <c r="K5337">
        <v>6</v>
      </c>
      <c r="L5337">
        <v>0</v>
      </c>
      <c r="M5337">
        <v>0</v>
      </c>
      <c r="N5337">
        <v>0</v>
      </c>
      <c r="O5337">
        <v>0</v>
      </c>
      <c r="P5337">
        <v>0</v>
      </c>
      <c r="Q5337">
        <v>0</v>
      </c>
      <c r="R5337">
        <v>0</v>
      </c>
      <c r="S5337">
        <v>0</v>
      </c>
      <c r="T5337">
        <v>0</v>
      </c>
      <c r="U5337">
        <v>0</v>
      </c>
      <c r="V5337">
        <v>0</v>
      </c>
      <c r="W5337">
        <v>0</v>
      </c>
      <c r="X5337">
        <v>0</v>
      </c>
      <c r="Y5337" t="s">
        <v>31</v>
      </c>
      <c r="Z5337">
        <v>55</v>
      </c>
      <c r="AA5337" s="2" t="s">
        <v>5823</v>
      </c>
    </row>
    <row r="5338" spans="1:27" x14ac:dyDescent="0.2">
      <c r="A5338" t="s">
        <v>547</v>
      </c>
      <c r="B5338">
        <v>2023</v>
      </c>
      <c r="C5338">
        <v>4005004001</v>
      </c>
      <c r="D5338" t="s">
        <v>6442</v>
      </c>
      <c r="E5338" t="s">
        <v>29</v>
      </c>
      <c r="F5338" t="s">
        <v>30</v>
      </c>
      <c r="G5338">
        <v>9</v>
      </c>
      <c r="H5338">
        <v>0</v>
      </c>
      <c r="I5338">
        <v>17</v>
      </c>
      <c r="J5338">
        <v>0</v>
      </c>
      <c r="K5338">
        <v>0</v>
      </c>
      <c r="L5338">
        <v>0</v>
      </c>
      <c r="M5338">
        <v>0</v>
      </c>
      <c r="N5338">
        <v>0</v>
      </c>
      <c r="O5338">
        <v>0</v>
      </c>
      <c r="P5338">
        <v>0</v>
      </c>
      <c r="Q5338">
        <v>0</v>
      </c>
      <c r="R5338">
        <v>0</v>
      </c>
      <c r="S5338">
        <v>0</v>
      </c>
      <c r="T5338">
        <v>0</v>
      </c>
      <c r="U5338">
        <v>0</v>
      </c>
      <c r="V5338">
        <v>0</v>
      </c>
      <c r="W5338">
        <v>0</v>
      </c>
      <c r="X5338">
        <v>0</v>
      </c>
      <c r="Y5338" t="s">
        <v>31</v>
      </c>
      <c r="AA5338">
        <v>0.63</v>
      </c>
    </row>
    <row r="5339" spans="1:27" x14ac:dyDescent="0.2">
      <c r="A5339" t="s">
        <v>547</v>
      </c>
      <c r="B5339">
        <v>2023</v>
      </c>
      <c r="C5339">
        <v>4252024020</v>
      </c>
      <c r="D5339" t="s">
        <v>6443</v>
      </c>
      <c r="E5339" t="s">
        <v>29</v>
      </c>
      <c r="F5339" t="s">
        <v>30</v>
      </c>
      <c r="G5339">
        <v>11</v>
      </c>
      <c r="H5339">
        <v>0</v>
      </c>
      <c r="I5339">
        <v>0</v>
      </c>
      <c r="J5339">
        <v>0</v>
      </c>
      <c r="K5339">
        <v>0</v>
      </c>
      <c r="L5339">
        <v>0</v>
      </c>
      <c r="M5339">
        <v>0</v>
      </c>
      <c r="N5339">
        <v>0</v>
      </c>
      <c r="O5339">
        <v>0</v>
      </c>
      <c r="P5339">
        <v>0</v>
      </c>
      <c r="Q5339">
        <v>0</v>
      </c>
      <c r="R5339">
        <v>0</v>
      </c>
      <c r="S5339">
        <v>0</v>
      </c>
      <c r="T5339">
        <v>0</v>
      </c>
      <c r="U5339">
        <v>0</v>
      </c>
      <c r="V5339">
        <v>0</v>
      </c>
      <c r="W5339">
        <v>0</v>
      </c>
      <c r="X5339">
        <v>0</v>
      </c>
      <c r="Y5339" t="s">
        <v>31</v>
      </c>
      <c r="AA5339" s="2" t="s">
        <v>6444</v>
      </c>
    </row>
    <row r="5340" spans="1:27" x14ac:dyDescent="0.2">
      <c r="A5340" t="s">
        <v>547</v>
      </c>
      <c r="B5340">
        <v>2023</v>
      </c>
      <c r="C5340">
        <v>5021009030</v>
      </c>
      <c r="D5340" t="s">
        <v>6445</v>
      </c>
      <c r="E5340" t="s">
        <v>29</v>
      </c>
      <c r="F5340" t="s">
        <v>30</v>
      </c>
      <c r="G5340">
        <v>1</v>
      </c>
      <c r="H5340">
        <v>0</v>
      </c>
      <c r="I5340">
        <v>92</v>
      </c>
      <c r="J5340">
        <v>0</v>
      </c>
      <c r="K5340">
        <v>24</v>
      </c>
      <c r="L5340">
        <v>0</v>
      </c>
      <c r="M5340">
        <v>0</v>
      </c>
      <c r="N5340">
        <v>0</v>
      </c>
      <c r="O5340">
        <v>0</v>
      </c>
      <c r="P5340">
        <v>0</v>
      </c>
      <c r="Q5340">
        <v>0</v>
      </c>
      <c r="R5340">
        <v>0</v>
      </c>
      <c r="S5340">
        <v>0</v>
      </c>
      <c r="T5340">
        <v>0</v>
      </c>
      <c r="U5340">
        <v>0</v>
      </c>
      <c r="V5340">
        <v>0</v>
      </c>
      <c r="W5340">
        <v>0</v>
      </c>
      <c r="X5340">
        <v>0</v>
      </c>
      <c r="Y5340" t="s">
        <v>31</v>
      </c>
      <c r="Z5340">
        <v>55</v>
      </c>
      <c r="AA5340">
        <v>3.54</v>
      </c>
    </row>
    <row r="5341" spans="1:27" x14ac:dyDescent="0.2">
      <c r="A5341" t="s">
        <v>547</v>
      </c>
      <c r="B5341">
        <v>2023</v>
      </c>
      <c r="C5341">
        <v>5135028007</v>
      </c>
      <c r="D5341" t="s">
        <v>6446</v>
      </c>
      <c r="E5341" t="s">
        <v>29</v>
      </c>
      <c r="F5341" t="s">
        <v>30</v>
      </c>
      <c r="G5341">
        <v>15</v>
      </c>
      <c r="H5341">
        <v>0</v>
      </c>
      <c r="I5341">
        <v>19</v>
      </c>
      <c r="J5341">
        <v>0</v>
      </c>
      <c r="K5341">
        <v>0</v>
      </c>
      <c r="L5341">
        <v>0</v>
      </c>
      <c r="M5341">
        <v>0</v>
      </c>
      <c r="N5341">
        <v>0</v>
      </c>
      <c r="O5341">
        <v>0</v>
      </c>
      <c r="P5341">
        <v>0</v>
      </c>
      <c r="Q5341">
        <v>0</v>
      </c>
      <c r="R5341">
        <v>0</v>
      </c>
      <c r="S5341">
        <v>0</v>
      </c>
      <c r="T5341">
        <v>0</v>
      </c>
      <c r="U5341">
        <v>0</v>
      </c>
      <c r="V5341">
        <v>0</v>
      </c>
      <c r="W5341">
        <v>0</v>
      </c>
      <c r="X5341">
        <v>0</v>
      </c>
      <c r="Y5341" t="s">
        <v>31</v>
      </c>
      <c r="AA5341" s="2" t="s">
        <v>3316</v>
      </c>
    </row>
    <row r="5342" spans="1:27" x14ac:dyDescent="0.2">
      <c r="A5342" t="s">
        <v>547</v>
      </c>
      <c r="B5342">
        <v>2023</v>
      </c>
      <c r="C5342">
        <v>5148024011</v>
      </c>
      <c r="D5342" t="s">
        <v>6447</v>
      </c>
      <c r="E5342" t="s">
        <v>29</v>
      </c>
      <c r="F5342" t="s">
        <v>30</v>
      </c>
      <c r="G5342">
        <v>215</v>
      </c>
      <c r="H5342">
        <v>0</v>
      </c>
      <c r="I5342">
        <v>0</v>
      </c>
      <c r="J5342">
        <v>0</v>
      </c>
      <c r="K5342">
        <v>0</v>
      </c>
      <c r="L5342">
        <v>0</v>
      </c>
      <c r="M5342">
        <v>0</v>
      </c>
      <c r="N5342">
        <v>0</v>
      </c>
      <c r="O5342">
        <v>0</v>
      </c>
      <c r="P5342">
        <v>0</v>
      </c>
      <c r="Q5342">
        <v>0</v>
      </c>
      <c r="R5342">
        <v>0</v>
      </c>
      <c r="S5342">
        <v>0</v>
      </c>
      <c r="T5342">
        <v>0</v>
      </c>
      <c r="U5342">
        <v>0</v>
      </c>
      <c r="V5342">
        <v>0</v>
      </c>
      <c r="W5342">
        <v>0</v>
      </c>
      <c r="X5342">
        <v>0</v>
      </c>
      <c r="Y5342" t="s">
        <v>31</v>
      </c>
      <c r="AA5342" s="2" t="s">
        <v>6448</v>
      </c>
    </row>
    <row r="5343" spans="1:27" x14ac:dyDescent="0.2">
      <c r="A5343" t="s">
        <v>547</v>
      </c>
      <c r="B5343">
        <v>2023</v>
      </c>
      <c r="C5343">
        <v>5536011009</v>
      </c>
      <c r="D5343" t="s">
        <v>6449</v>
      </c>
      <c r="E5343" t="s">
        <v>29</v>
      </c>
      <c r="F5343" t="s">
        <v>30</v>
      </c>
      <c r="G5343">
        <v>10</v>
      </c>
      <c r="H5343">
        <v>0</v>
      </c>
      <c r="I5343">
        <v>0</v>
      </c>
      <c r="J5343">
        <v>0</v>
      </c>
      <c r="K5343">
        <v>0</v>
      </c>
      <c r="L5343">
        <v>0</v>
      </c>
      <c r="M5343">
        <v>0</v>
      </c>
      <c r="N5343">
        <v>0</v>
      </c>
      <c r="O5343">
        <v>0</v>
      </c>
      <c r="P5343">
        <v>0</v>
      </c>
      <c r="Q5343">
        <v>0</v>
      </c>
      <c r="R5343">
        <v>0</v>
      </c>
      <c r="S5343">
        <v>0</v>
      </c>
      <c r="T5343">
        <v>0</v>
      </c>
      <c r="U5343">
        <v>0</v>
      </c>
      <c r="V5343">
        <v>0</v>
      </c>
      <c r="W5343">
        <v>0</v>
      </c>
      <c r="X5343">
        <v>0</v>
      </c>
      <c r="Y5343" t="s">
        <v>31</v>
      </c>
      <c r="AA5343" s="2" t="s">
        <v>6158</v>
      </c>
    </row>
    <row r="5344" spans="1:27" x14ac:dyDescent="0.2">
      <c r="A5344" t="s">
        <v>3510</v>
      </c>
      <c r="B5344">
        <v>2023</v>
      </c>
      <c r="C5344">
        <v>4333030021</v>
      </c>
      <c r="D5344" t="s">
        <v>6450</v>
      </c>
      <c r="E5344" t="s">
        <v>29</v>
      </c>
      <c r="F5344" t="s">
        <v>30</v>
      </c>
      <c r="G5344">
        <v>1</v>
      </c>
      <c r="H5344">
        <v>0</v>
      </c>
      <c r="I5344">
        <v>0</v>
      </c>
      <c r="J5344">
        <v>0</v>
      </c>
      <c r="K5344">
        <v>0</v>
      </c>
      <c r="L5344">
        <v>0</v>
      </c>
      <c r="M5344">
        <v>0</v>
      </c>
      <c r="N5344">
        <v>0</v>
      </c>
      <c r="O5344">
        <v>0</v>
      </c>
      <c r="P5344">
        <v>0</v>
      </c>
      <c r="Q5344">
        <v>0</v>
      </c>
      <c r="R5344">
        <v>0</v>
      </c>
      <c r="S5344">
        <v>0</v>
      </c>
      <c r="T5344">
        <v>0</v>
      </c>
      <c r="U5344">
        <v>0</v>
      </c>
      <c r="V5344">
        <v>0</v>
      </c>
      <c r="W5344">
        <v>0</v>
      </c>
      <c r="X5344">
        <v>0</v>
      </c>
      <c r="Y5344" t="s">
        <v>31</v>
      </c>
      <c r="Z5344">
        <v>55</v>
      </c>
      <c r="AA5344">
        <v>0.125</v>
      </c>
    </row>
    <row r="5345" spans="1:27" ht="51" x14ac:dyDescent="0.2">
      <c r="A5345" t="s">
        <v>457</v>
      </c>
      <c r="B5345">
        <v>2024</v>
      </c>
      <c r="C5345" s="2" t="s">
        <v>6451</v>
      </c>
      <c r="D5345" s="1" t="s">
        <v>6452</v>
      </c>
      <c r="E5345" t="s">
        <v>29</v>
      </c>
      <c r="F5345" t="s">
        <v>30</v>
      </c>
      <c r="G5345">
        <v>0</v>
      </c>
      <c r="H5345">
        <v>0</v>
      </c>
      <c r="I5345">
        <v>0</v>
      </c>
      <c r="J5345">
        <v>0</v>
      </c>
      <c r="K5345">
        <v>0</v>
      </c>
      <c r="L5345">
        <v>0</v>
      </c>
      <c r="M5345">
        <v>0</v>
      </c>
      <c r="N5345">
        <v>0</v>
      </c>
      <c r="O5345">
        <v>0</v>
      </c>
      <c r="P5345">
        <v>0</v>
      </c>
      <c r="Q5345">
        <v>16</v>
      </c>
      <c r="R5345">
        <v>0</v>
      </c>
      <c r="S5345">
        <v>0</v>
      </c>
      <c r="T5345">
        <v>0</v>
      </c>
      <c r="U5345">
        <v>0</v>
      </c>
      <c r="V5345">
        <v>0</v>
      </c>
      <c r="W5345">
        <v>16</v>
      </c>
      <c r="X5345">
        <v>0</v>
      </c>
      <c r="Y5345" t="s">
        <v>31</v>
      </c>
      <c r="Z5345">
        <v>55</v>
      </c>
      <c r="AA5345">
        <v>1</v>
      </c>
    </row>
    <row r="5346" spans="1:27" x14ac:dyDescent="0.2">
      <c r="A5346" t="s">
        <v>1127</v>
      </c>
      <c r="B5346">
        <v>2022</v>
      </c>
      <c r="C5346" t="s">
        <v>1267</v>
      </c>
      <c r="D5346" t="s">
        <v>1268</v>
      </c>
      <c r="E5346" t="s">
        <v>29</v>
      </c>
      <c r="F5346" t="s">
        <v>30</v>
      </c>
      <c r="G5346">
        <v>0</v>
      </c>
      <c r="H5346">
        <v>0</v>
      </c>
      <c r="I5346">
        <v>1</v>
      </c>
      <c r="J5346">
        <v>0</v>
      </c>
      <c r="K5346">
        <v>1</v>
      </c>
      <c r="L5346">
        <v>0</v>
      </c>
      <c r="M5346">
        <v>0</v>
      </c>
      <c r="N5346">
        <v>0</v>
      </c>
      <c r="O5346">
        <v>1</v>
      </c>
      <c r="P5346">
        <v>0</v>
      </c>
      <c r="Q5346">
        <v>1</v>
      </c>
      <c r="R5346">
        <v>0</v>
      </c>
      <c r="S5346">
        <v>0</v>
      </c>
      <c r="T5346">
        <v>0</v>
      </c>
      <c r="U5346">
        <v>1</v>
      </c>
      <c r="V5346">
        <v>0</v>
      </c>
      <c r="W5346">
        <v>1</v>
      </c>
      <c r="X5346">
        <v>0</v>
      </c>
      <c r="Y5346" t="s">
        <v>51</v>
      </c>
      <c r="AA5346">
        <v>0</v>
      </c>
    </row>
    <row r="5347" spans="1:27" x14ac:dyDescent="0.2">
      <c r="A5347" t="s">
        <v>387</v>
      </c>
      <c r="B5347">
        <v>2024</v>
      </c>
      <c r="C5347" t="s">
        <v>6453</v>
      </c>
      <c r="D5347" t="s">
        <v>6454</v>
      </c>
      <c r="E5347" t="s">
        <v>29</v>
      </c>
      <c r="F5347" t="s">
        <v>30</v>
      </c>
      <c r="G5347">
        <v>6</v>
      </c>
      <c r="H5347">
        <v>0</v>
      </c>
      <c r="I5347">
        <v>0</v>
      </c>
      <c r="J5347">
        <v>0</v>
      </c>
      <c r="K5347">
        <v>0</v>
      </c>
      <c r="L5347">
        <v>0</v>
      </c>
      <c r="M5347">
        <v>0</v>
      </c>
      <c r="N5347">
        <v>0</v>
      </c>
      <c r="O5347">
        <v>0</v>
      </c>
      <c r="P5347">
        <v>0</v>
      </c>
      <c r="Q5347">
        <v>0</v>
      </c>
      <c r="R5347">
        <v>0</v>
      </c>
      <c r="S5347">
        <v>0</v>
      </c>
      <c r="T5347">
        <v>0</v>
      </c>
      <c r="U5347">
        <v>0</v>
      </c>
      <c r="V5347">
        <v>0</v>
      </c>
      <c r="W5347">
        <v>0</v>
      </c>
      <c r="X5347">
        <v>0</v>
      </c>
      <c r="Y5347" t="s">
        <v>31</v>
      </c>
      <c r="Z5347">
        <v>1000</v>
      </c>
      <c r="AA5347" s="2" t="s">
        <v>3299</v>
      </c>
    </row>
    <row r="5348" spans="1:27" x14ac:dyDescent="0.2">
      <c r="A5348" t="s">
        <v>547</v>
      </c>
      <c r="B5348">
        <v>2023</v>
      </c>
      <c r="C5348">
        <v>5106001002</v>
      </c>
      <c r="D5348" t="s">
        <v>6455</v>
      </c>
      <c r="E5348" t="s">
        <v>29</v>
      </c>
      <c r="F5348" t="s">
        <v>30</v>
      </c>
      <c r="G5348">
        <v>3</v>
      </c>
      <c r="H5348">
        <v>0</v>
      </c>
      <c r="I5348">
        <v>20</v>
      </c>
      <c r="J5348">
        <v>0</v>
      </c>
      <c r="K5348">
        <v>0</v>
      </c>
      <c r="L5348">
        <v>0</v>
      </c>
      <c r="M5348">
        <v>0</v>
      </c>
      <c r="N5348">
        <v>0</v>
      </c>
      <c r="O5348">
        <v>0</v>
      </c>
      <c r="P5348">
        <v>0</v>
      </c>
      <c r="Q5348">
        <v>0</v>
      </c>
      <c r="R5348">
        <v>0</v>
      </c>
      <c r="S5348">
        <v>0</v>
      </c>
      <c r="T5348">
        <v>0</v>
      </c>
      <c r="U5348">
        <v>0</v>
      </c>
      <c r="V5348">
        <v>0</v>
      </c>
      <c r="W5348">
        <v>0</v>
      </c>
      <c r="X5348">
        <v>0</v>
      </c>
      <c r="Y5348" t="s">
        <v>51</v>
      </c>
      <c r="Z5348">
        <v>55</v>
      </c>
      <c r="AA5348">
        <v>0</v>
      </c>
    </row>
    <row r="5349" spans="1:27" x14ac:dyDescent="0.2">
      <c r="A5349" t="s">
        <v>547</v>
      </c>
      <c r="B5349">
        <v>2023</v>
      </c>
      <c r="C5349">
        <v>6032010013</v>
      </c>
      <c r="D5349" t="s">
        <v>6456</v>
      </c>
      <c r="E5349" t="s">
        <v>29</v>
      </c>
      <c r="F5349" t="s">
        <v>30</v>
      </c>
      <c r="G5349">
        <v>0</v>
      </c>
      <c r="H5349">
        <v>0</v>
      </c>
      <c r="I5349">
        <v>55</v>
      </c>
      <c r="J5349">
        <v>0</v>
      </c>
      <c r="K5349">
        <v>14</v>
      </c>
      <c r="L5349">
        <v>0</v>
      </c>
      <c r="M5349">
        <v>0</v>
      </c>
      <c r="N5349">
        <v>0</v>
      </c>
      <c r="O5349">
        <v>0</v>
      </c>
      <c r="P5349">
        <v>0</v>
      </c>
      <c r="Q5349">
        <v>0</v>
      </c>
      <c r="R5349">
        <v>0</v>
      </c>
      <c r="S5349">
        <v>0</v>
      </c>
      <c r="T5349">
        <v>0</v>
      </c>
      <c r="U5349">
        <v>0</v>
      </c>
      <c r="V5349">
        <v>0</v>
      </c>
      <c r="W5349">
        <v>0</v>
      </c>
      <c r="X5349">
        <v>0</v>
      </c>
      <c r="Y5349" t="s">
        <v>31</v>
      </c>
      <c r="Z5349">
        <v>55</v>
      </c>
      <c r="AA5349" s="2" t="s">
        <v>6439</v>
      </c>
    </row>
    <row r="5350" spans="1:27" x14ac:dyDescent="0.2">
      <c r="A5350" t="s">
        <v>547</v>
      </c>
      <c r="B5350">
        <v>2023</v>
      </c>
      <c r="C5350">
        <v>6035009003</v>
      </c>
      <c r="D5350" t="s">
        <v>6457</v>
      </c>
      <c r="E5350" t="s">
        <v>29</v>
      </c>
      <c r="F5350" t="s">
        <v>30</v>
      </c>
      <c r="G5350">
        <v>0</v>
      </c>
      <c r="H5350">
        <v>0</v>
      </c>
      <c r="I5350">
        <v>35</v>
      </c>
      <c r="J5350">
        <v>0</v>
      </c>
      <c r="K5350">
        <v>0</v>
      </c>
      <c r="L5350">
        <v>0</v>
      </c>
      <c r="M5350">
        <v>0</v>
      </c>
      <c r="N5350">
        <v>0</v>
      </c>
      <c r="O5350">
        <v>0</v>
      </c>
      <c r="P5350">
        <v>0</v>
      </c>
      <c r="Q5350">
        <v>0</v>
      </c>
      <c r="R5350">
        <v>0</v>
      </c>
      <c r="S5350">
        <v>0</v>
      </c>
      <c r="T5350">
        <v>0</v>
      </c>
      <c r="U5350">
        <v>0</v>
      </c>
      <c r="V5350">
        <v>0</v>
      </c>
      <c r="W5350">
        <v>0</v>
      </c>
      <c r="X5350">
        <v>0</v>
      </c>
      <c r="Y5350" t="s">
        <v>31</v>
      </c>
      <c r="Z5350">
        <v>55</v>
      </c>
      <c r="AA5350" s="2" t="s">
        <v>5886</v>
      </c>
    </row>
    <row r="5351" spans="1:27" x14ac:dyDescent="0.2">
      <c r="A5351" t="s">
        <v>547</v>
      </c>
      <c r="B5351">
        <v>2023</v>
      </c>
      <c r="C5351">
        <v>5547008022</v>
      </c>
      <c r="D5351" t="s">
        <v>6458</v>
      </c>
      <c r="E5351" t="s">
        <v>29</v>
      </c>
      <c r="F5351" t="s">
        <v>30</v>
      </c>
      <c r="G5351">
        <v>4</v>
      </c>
      <c r="H5351">
        <v>0</v>
      </c>
      <c r="I5351">
        <v>0</v>
      </c>
      <c r="J5351">
        <v>0</v>
      </c>
      <c r="K5351">
        <v>0</v>
      </c>
      <c r="L5351">
        <v>0</v>
      </c>
      <c r="M5351">
        <v>0</v>
      </c>
      <c r="N5351">
        <v>0</v>
      </c>
      <c r="O5351">
        <v>0</v>
      </c>
      <c r="P5351">
        <v>0</v>
      </c>
      <c r="Q5351">
        <v>0</v>
      </c>
      <c r="R5351">
        <v>0</v>
      </c>
      <c r="S5351">
        <v>0</v>
      </c>
      <c r="T5351">
        <v>0</v>
      </c>
      <c r="U5351">
        <v>0</v>
      </c>
      <c r="V5351">
        <v>0</v>
      </c>
      <c r="W5351">
        <v>0</v>
      </c>
      <c r="X5351">
        <v>0</v>
      </c>
      <c r="Y5351" t="s">
        <v>31</v>
      </c>
      <c r="Z5351">
        <v>55</v>
      </c>
      <c r="AA5351" s="2" t="s">
        <v>3316</v>
      </c>
    </row>
    <row r="5352" spans="1:27" x14ac:dyDescent="0.2">
      <c r="A5352" t="s">
        <v>547</v>
      </c>
      <c r="B5352">
        <v>2023</v>
      </c>
      <c r="C5352">
        <v>2375021027</v>
      </c>
      <c r="D5352" t="s">
        <v>6459</v>
      </c>
      <c r="E5352" t="s">
        <v>29</v>
      </c>
      <c r="F5352" t="s">
        <v>30</v>
      </c>
      <c r="G5352">
        <v>78</v>
      </c>
      <c r="H5352">
        <v>0</v>
      </c>
      <c r="I5352">
        <v>0</v>
      </c>
      <c r="J5352">
        <v>0</v>
      </c>
      <c r="K5352">
        <v>0</v>
      </c>
      <c r="L5352">
        <v>0</v>
      </c>
      <c r="M5352">
        <v>0</v>
      </c>
      <c r="N5352">
        <v>0</v>
      </c>
      <c r="O5352">
        <v>0</v>
      </c>
      <c r="P5352">
        <v>0</v>
      </c>
      <c r="Q5352">
        <v>0</v>
      </c>
      <c r="R5352">
        <v>0</v>
      </c>
      <c r="S5352">
        <v>0</v>
      </c>
      <c r="T5352">
        <v>0</v>
      </c>
      <c r="U5352">
        <v>0</v>
      </c>
      <c r="V5352">
        <v>0</v>
      </c>
      <c r="W5352">
        <v>0</v>
      </c>
      <c r="X5352">
        <v>0</v>
      </c>
      <c r="Y5352" t="s">
        <v>31</v>
      </c>
      <c r="Z5352">
        <v>55</v>
      </c>
      <c r="AA5352">
        <v>0</v>
      </c>
    </row>
    <row r="5353" spans="1:27" x14ac:dyDescent="0.2">
      <c r="A5353" t="s">
        <v>547</v>
      </c>
      <c r="B5353">
        <v>2023</v>
      </c>
      <c r="C5353">
        <v>2558032005</v>
      </c>
      <c r="D5353" t="s">
        <v>6460</v>
      </c>
      <c r="E5353" t="s">
        <v>29</v>
      </c>
      <c r="F5353" t="s">
        <v>30</v>
      </c>
      <c r="G5353">
        <v>7</v>
      </c>
      <c r="H5353">
        <v>0</v>
      </c>
      <c r="I5353">
        <v>0</v>
      </c>
      <c r="J5353">
        <v>0</v>
      </c>
      <c r="K5353">
        <v>0</v>
      </c>
      <c r="L5353">
        <v>0</v>
      </c>
      <c r="M5353">
        <v>0</v>
      </c>
      <c r="N5353">
        <v>0</v>
      </c>
      <c r="O5353">
        <v>0</v>
      </c>
      <c r="P5353">
        <v>0</v>
      </c>
      <c r="Q5353">
        <v>0</v>
      </c>
      <c r="R5353">
        <v>0</v>
      </c>
      <c r="S5353">
        <v>0</v>
      </c>
      <c r="T5353">
        <v>0</v>
      </c>
      <c r="U5353">
        <v>0</v>
      </c>
      <c r="V5353">
        <v>0</v>
      </c>
      <c r="W5353">
        <v>0</v>
      </c>
      <c r="X5353">
        <v>0</v>
      </c>
      <c r="Y5353" t="s">
        <v>31</v>
      </c>
      <c r="Z5353">
        <v>55</v>
      </c>
      <c r="AA5353">
        <v>0</v>
      </c>
    </row>
    <row r="5354" spans="1:27" x14ac:dyDescent="0.2">
      <c r="A5354" t="s">
        <v>3510</v>
      </c>
      <c r="B5354">
        <v>2024</v>
      </c>
      <c r="C5354">
        <v>4335006043</v>
      </c>
      <c r="D5354" t="s">
        <v>6461</v>
      </c>
      <c r="E5354" t="s">
        <v>29</v>
      </c>
      <c r="F5354" t="s">
        <v>30</v>
      </c>
      <c r="G5354">
        <v>2</v>
      </c>
      <c r="H5354">
        <v>0</v>
      </c>
      <c r="I5354">
        <v>1</v>
      </c>
      <c r="J5354">
        <v>0</v>
      </c>
      <c r="K5354">
        <v>0</v>
      </c>
      <c r="L5354">
        <v>0</v>
      </c>
      <c r="M5354">
        <v>0</v>
      </c>
      <c r="N5354">
        <v>0</v>
      </c>
      <c r="O5354">
        <v>0</v>
      </c>
      <c r="P5354">
        <v>0</v>
      </c>
      <c r="Q5354">
        <v>0</v>
      </c>
      <c r="R5354">
        <v>0</v>
      </c>
      <c r="S5354">
        <v>0</v>
      </c>
      <c r="T5354">
        <v>0</v>
      </c>
      <c r="U5354">
        <v>0</v>
      </c>
      <c r="V5354">
        <v>0</v>
      </c>
      <c r="W5354">
        <v>0</v>
      </c>
      <c r="X5354">
        <v>0</v>
      </c>
      <c r="Y5354" t="s">
        <v>31</v>
      </c>
      <c r="Z5354">
        <v>55</v>
      </c>
      <c r="AA5354" s="2" t="s">
        <v>6462</v>
      </c>
    </row>
    <row r="5355" spans="1:27" x14ac:dyDescent="0.2">
      <c r="A5355" t="s">
        <v>3510</v>
      </c>
      <c r="B5355">
        <v>2023</v>
      </c>
      <c r="C5355">
        <v>4331025026</v>
      </c>
      <c r="D5355" t="s">
        <v>6463</v>
      </c>
      <c r="E5355" t="s">
        <v>29</v>
      </c>
      <c r="F5355" t="s">
        <v>30</v>
      </c>
      <c r="G5355">
        <v>1</v>
      </c>
      <c r="H5355">
        <v>0</v>
      </c>
      <c r="I5355">
        <v>0</v>
      </c>
      <c r="J5355">
        <v>0</v>
      </c>
      <c r="K5355">
        <v>0</v>
      </c>
      <c r="L5355">
        <v>0</v>
      </c>
      <c r="M5355">
        <v>0</v>
      </c>
      <c r="N5355">
        <v>0</v>
      </c>
      <c r="O5355">
        <v>0</v>
      </c>
      <c r="P5355">
        <v>0</v>
      </c>
      <c r="Q5355">
        <v>0</v>
      </c>
      <c r="R5355">
        <v>0</v>
      </c>
      <c r="S5355">
        <v>0</v>
      </c>
      <c r="T5355">
        <v>0</v>
      </c>
      <c r="U5355">
        <v>0</v>
      </c>
      <c r="V5355">
        <v>0</v>
      </c>
      <c r="W5355">
        <v>0</v>
      </c>
      <c r="X5355">
        <v>0</v>
      </c>
      <c r="Y5355" t="s">
        <v>31</v>
      </c>
      <c r="Z5355">
        <v>55</v>
      </c>
      <c r="AA5355" s="2" t="s">
        <v>6464</v>
      </c>
    </row>
    <row r="5356" spans="1:27" ht="102" x14ac:dyDescent="0.2">
      <c r="A5356" t="s">
        <v>872</v>
      </c>
      <c r="B5356">
        <v>2024</v>
      </c>
      <c r="C5356" s="2" t="s">
        <v>6465</v>
      </c>
      <c r="D5356" s="1" t="s">
        <v>6466</v>
      </c>
      <c r="E5356" t="s">
        <v>29</v>
      </c>
      <c r="F5356" t="s">
        <v>30</v>
      </c>
      <c r="G5356">
        <v>0</v>
      </c>
      <c r="H5356">
        <v>0</v>
      </c>
      <c r="I5356">
        <v>0</v>
      </c>
      <c r="J5356">
        <v>0</v>
      </c>
      <c r="K5356">
        <v>0</v>
      </c>
      <c r="L5356">
        <v>0</v>
      </c>
      <c r="M5356">
        <v>0</v>
      </c>
      <c r="N5356">
        <v>0</v>
      </c>
      <c r="O5356">
        <v>0</v>
      </c>
      <c r="P5356">
        <v>0</v>
      </c>
      <c r="Q5356">
        <v>0</v>
      </c>
      <c r="R5356">
        <v>0</v>
      </c>
      <c r="S5356">
        <v>21</v>
      </c>
      <c r="T5356">
        <v>0</v>
      </c>
      <c r="U5356">
        <v>0</v>
      </c>
      <c r="V5356">
        <v>0</v>
      </c>
      <c r="W5356">
        <v>0</v>
      </c>
      <c r="X5356">
        <v>0</v>
      </c>
      <c r="Y5356" t="s">
        <v>51</v>
      </c>
      <c r="Z5356">
        <v>55</v>
      </c>
      <c r="AA5356">
        <v>0</v>
      </c>
    </row>
    <row r="5357" spans="1:27" x14ac:dyDescent="0.2">
      <c r="A5357" t="s">
        <v>387</v>
      </c>
      <c r="B5357">
        <v>2024</v>
      </c>
      <c r="C5357" t="s">
        <v>6467</v>
      </c>
      <c r="D5357" t="s">
        <v>6468</v>
      </c>
      <c r="E5357" t="s">
        <v>29</v>
      </c>
      <c r="F5357" t="s">
        <v>30</v>
      </c>
      <c r="G5357">
        <v>90</v>
      </c>
      <c r="H5357">
        <v>0</v>
      </c>
      <c r="I5357">
        <v>36</v>
      </c>
      <c r="J5357">
        <v>0</v>
      </c>
      <c r="K5357">
        <v>0</v>
      </c>
      <c r="L5357">
        <v>0</v>
      </c>
      <c r="M5357">
        <v>90</v>
      </c>
      <c r="N5357">
        <v>0</v>
      </c>
      <c r="O5357">
        <v>36</v>
      </c>
      <c r="P5357">
        <v>0</v>
      </c>
      <c r="Q5357">
        <v>0</v>
      </c>
      <c r="R5357">
        <v>0</v>
      </c>
      <c r="S5357">
        <v>0</v>
      </c>
      <c r="T5357">
        <v>0</v>
      </c>
      <c r="U5357">
        <v>0</v>
      </c>
      <c r="V5357">
        <v>0</v>
      </c>
      <c r="W5357">
        <v>0</v>
      </c>
      <c r="X5357">
        <v>0</v>
      </c>
      <c r="Y5357" t="s">
        <v>31</v>
      </c>
      <c r="Z5357">
        <v>1000</v>
      </c>
      <c r="AA5357" s="2" t="s">
        <v>6469</v>
      </c>
    </row>
    <row r="5358" spans="1:27" x14ac:dyDescent="0.2">
      <c r="A5358" t="s">
        <v>547</v>
      </c>
      <c r="B5358">
        <v>2023</v>
      </c>
      <c r="C5358">
        <v>5548022040</v>
      </c>
      <c r="D5358" t="s">
        <v>6470</v>
      </c>
      <c r="E5358" t="s">
        <v>29</v>
      </c>
      <c r="F5358" t="s">
        <v>30</v>
      </c>
      <c r="G5358">
        <v>2</v>
      </c>
      <c r="H5358">
        <v>0</v>
      </c>
      <c r="I5358">
        <v>0</v>
      </c>
      <c r="J5358">
        <v>0</v>
      </c>
      <c r="K5358">
        <v>0</v>
      </c>
      <c r="L5358">
        <v>0</v>
      </c>
      <c r="M5358">
        <v>0</v>
      </c>
      <c r="N5358">
        <v>0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  <c r="V5358">
        <v>0</v>
      </c>
      <c r="W5358">
        <v>0</v>
      </c>
      <c r="X5358">
        <v>0</v>
      </c>
      <c r="Y5358" t="s">
        <v>31</v>
      </c>
      <c r="Z5358">
        <v>55</v>
      </c>
      <c r="AA5358" s="2" t="s">
        <v>3316</v>
      </c>
    </row>
    <row r="5359" spans="1:27" x14ac:dyDescent="0.2">
      <c r="A5359" t="s">
        <v>547</v>
      </c>
      <c r="B5359">
        <v>2023</v>
      </c>
      <c r="C5359">
        <v>6020031011</v>
      </c>
      <c r="D5359" t="s">
        <v>6471</v>
      </c>
      <c r="E5359" t="s">
        <v>29</v>
      </c>
      <c r="F5359" t="s">
        <v>30</v>
      </c>
      <c r="G5359">
        <v>1</v>
      </c>
      <c r="H5359">
        <v>0</v>
      </c>
      <c r="I5359">
        <v>123</v>
      </c>
      <c r="J5359">
        <v>0</v>
      </c>
      <c r="K5359">
        <v>32</v>
      </c>
      <c r="L5359">
        <v>0</v>
      </c>
      <c r="M5359">
        <v>0</v>
      </c>
      <c r="N5359">
        <v>0</v>
      </c>
      <c r="O5359">
        <v>0</v>
      </c>
      <c r="P5359">
        <v>0</v>
      </c>
      <c r="Q5359">
        <v>0</v>
      </c>
      <c r="R5359">
        <v>0</v>
      </c>
      <c r="S5359">
        <v>0</v>
      </c>
      <c r="T5359">
        <v>0</v>
      </c>
      <c r="U5359">
        <v>0</v>
      </c>
      <c r="V5359">
        <v>0</v>
      </c>
      <c r="W5359">
        <v>0</v>
      </c>
      <c r="X5359">
        <v>0</v>
      </c>
      <c r="Y5359" t="s">
        <v>31</v>
      </c>
      <c r="Z5359">
        <v>55</v>
      </c>
      <c r="AA5359" s="2" t="s">
        <v>6472</v>
      </c>
    </row>
    <row r="5360" spans="1:27" x14ac:dyDescent="0.2">
      <c r="A5360" t="s">
        <v>514</v>
      </c>
      <c r="B5360">
        <v>2023</v>
      </c>
      <c r="C5360">
        <v>7101900610000</v>
      </c>
      <c r="D5360" t="s">
        <v>6206</v>
      </c>
      <c r="E5360" t="s">
        <v>29</v>
      </c>
      <c r="F5360" t="s">
        <v>30</v>
      </c>
      <c r="G5360">
        <v>0</v>
      </c>
      <c r="H5360">
        <v>0</v>
      </c>
      <c r="I5360">
        <v>0</v>
      </c>
      <c r="J5360">
        <v>0</v>
      </c>
      <c r="K5360">
        <v>0</v>
      </c>
      <c r="L5360">
        <v>0</v>
      </c>
      <c r="M5360">
        <v>0</v>
      </c>
      <c r="N5360">
        <v>0</v>
      </c>
      <c r="O5360">
        <v>0</v>
      </c>
      <c r="P5360">
        <v>0</v>
      </c>
      <c r="Q5360">
        <v>0</v>
      </c>
      <c r="R5360">
        <v>0</v>
      </c>
      <c r="S5360">
        <v>0</v>
      </c>
      <c r="T5360">
        <v>0</v>
      </c>
      <c r="U5360">
        <v>25</v>
      </c>
      <c r="V5360">
        <v>0</v>
      </c>
      <c r="W5360">
        <v>0</v>
      </c>
      <c r="X5360">
        <v>0</v>
      </c>
      <c r="Y5360" t="s">
        <v>31</v>
      </c>
      <c r="AA5360" s="2" t="s">
        <v>3299</v>
      </c>
    </row>
    <row r="5361" spans="1:27" x14ac:dyDescent="0.2">
      <c r="A5361" t="s">
        <v>547</v>
      </c>
      <c r="B5361">
        <v>2023</v>
      </c>
      <c r="C5361">
        <v>2249005017</v>
      </c>
      <c r="D5361" t="s">
        <v>6473</v>
      </c>
      <c r="E5361" t="s">
        <v>29</v>
      </c>
      <c r="F5361" t="s">
        <v>30</v>
      </c>
      <c r="G5361">
        <v>0</v>
      </c>
      <c r="H5361">
        <v>0</v>
      </c>
      <c r="I5361">
        <v>17</v>
      </c>
      <c r="J5361">
        <v>0</v>
      </c>
      <c r="K5361">
        <v>5</v>
      </c>
      <c r="L5361">
        <v>0</v>
      </c>
      <c r="M5361">
        <v>0</v>
      </c>
      <c r="N5361">
        <v>0</v>
      </c>
      <c r="O5361">
        <v>0</v>
      </c>
      <c r="P5361">
        <v>0</v>
      </c>
      <c r="Q5361">
        <v>0</v>
      </c>
      <c r="R5361">
        <v>0</v>
      </c>
      <c r="S5361">
        <v>0</v>
      </c>
      <c r="T5361">
        <v>0</v>
      </c>
      <c r="U5361">
        <v>0</v>
      </c>
      <c r="V5361">
        <v>0</v>
      </c>
      <c r="W5361">
        <v>0</v>
      </c>
      <c r="X5361">
        <v>0</v>
      </c>
      <c r="Y5361" t="s">
        <v>31</v>
      </c>
      <c r="Z5361">
        <v>55</v>
      </c>
      <c r="AA5361">
        <v>4.75</v>
      </c>
    </row>
    <row r="5362" spans="1:27" x14ac:dyDescent="0.2">
      <c r="A5362" t="s">
        <v>547</v>
      </c>
      <c r="B5362">
        <v>2023</v>
      </c>
      <c r="C5362">
        <v>5534018018</v>
      </c>
      <c r="D5362" t="s">
        <v>6474</v>
      </c>
      <c r="E5362" t="s">
        <v>29</v>
      </c>
      <c r="F5362" t="s">
        <v>30</v>
      </c>
      <c r="G5362">
        <v>2</v>
      </c>
      <c r="H5362">
        <v>0</v>
      </c>
      <c r="I5362">
        <v>0</v>
      </c>
      <c r="J5362">
        <v>0</v>
      </c>
      <c r="K5362">
        <v>0</v>
      </c>
      <c r="L5362">
        <v>0</v>
      </c>
      <c r="M5362">
        <v>0</v>
      </c>
      <c r="N5362">
        <v>0</v>
      </c>
      <c r="O5362">
        <v>0</v>
      </c>
      <c r="P5362">
        <v>0</v>
      </c>
      <c r="Q5362">
        <v>0</v>
      </c>
      <c r="R5362">
        <v>0</v>
      </c>
      <c r="S5362">
        <v>0</v>
      </c>
      <c r="T5362">
        <v>0</v>
      </c>
      <c r="U5362">
        <v>0</v>
      </c>
      <c r="V5362">
        <v>0</v>
      </c>
      <c r="W5362">
        <v>0</v>
      </c>
      <c r="X5362">
        <v>0</v>
      </c>
      <c r="Y5362" t="s">
        <v>31</v>
      </c>
      <c r="Z5362">
        <v>55</v>
      </c>
      <c r="AA5362" s="2" t="s">
        <v>3316</v>
      </c>
    </row>
    <row r="5363" spans="1:27" x14ac:dyDescent="0.2">
      <c r="A5363" t="s">
        <v>547</v>
      </c>
      <c r="B5363">
        <v>2023</v>
      </c>
      <c r="C5363">
        <v>5073016009</v>
      </c>
      <c r="D5363" t="s">
        <v>6475</v>
      </c>
      <c r="E5363" t="s">
        <v>29</v>
      </c>
      <c r="F5363" t="s">
        <v>30</v>
      </c>
      <c r="G5363">
        <v>3</v>
      </c>
      <c r="H5363">
        <v>0</v>
      </c>
      <c r="I5363">
        <v>0</v>
      </c>
      <c r="J5363">
        <v>0</v>
      </c>
      <c r="K5363">
        <v>0</v>
      </c>
      <c r="L5363">
        <v>0</v>
      </c>
      <c r="M5363">
        <v>0</v>
      </c>
      <c r="N5363">
        <v>0</v>
      </c>
      <c r="O5363">
        <v>0</v>
      </c>
      <c r="P5363">
        <v>0</v>
      </c>
      <c r="Q5363">
        <v>0</v>
      </c>
      <c r="R5363">
        <v>0</v>
      </c>
      <c r="S5363">
        <v>0</v>
      </c>
      <c r="T5363">
        <v>0</v>
      </c>
      <c r="U5363">
        <v>0</v>
      </c>
      <c r="V5363">
        <v>0</v>
      </c>
      <c r="W5363">
        <v>0</v>
      </c>
      <c r="X5363">
        <v>0</v>
      </c>
      <c r="Y5363" t="s">
        <v>31</v>
      </c>
      <c r="Z5363">
        <v>55</v>
      </c>
      <c r="AA5363" s="2" t="s">
        <v>5540</v>
      </c>
    </row>
    <row r="5364" spans="1:27" x14ac:dyDescent="0.2">
      <c r="A5364" t="s">
        <v>547</v>
      </c>
      <c r="B5364">
        <v>2023</v>
      </c>
      <c r="C5364">
        <v>4236020030</v>
      </c>
      <c r="D5364" t="s">
        <v>6476</v>
      </c>
      <c r="E5364" t="s">
        <v>29</v>
      </c>
      <c r="F5364" t="s">
        <v>30</v>
      </c>
      <c r="G5364">
        <v>3</v>
      </c>
      <c r="H5364">
        <v>0</v>
      </c>
      <c r="I5364">
        <v>0</v>
      </c>
      <c r="J5364">
        <v>0</v>
      </c>
      <c r="K5364">
        <v>0</v>
      </c>
      <c r="L5364">
        <v>0</v>
      </c>
      <c r="M5364">
        <v>0</v>
      </c>
      <c r="N5364">
        <v>0</v>
      </c>
      <c r="O5364">
        <v>0</v>
      </c>
      <c r="P5364">
        <v>0</v>
      </c>
      <c r="Q5364">
        <v>0</v>
      </c>
      <c r="R5364">
        <v>0</v>
      </c>
      <c r="S5364">
        <v>0</v>
      </c>
      <c r="T5364">
        <v>0</v>
      </c>
      <c r="U5364">
        <v>0</v>
      </c>
      <c r="V5364">
        <v>0</v>
      </c>
      <c r="W5364">
        <v>0</v>
      </c>
      <c r="X5364">
        <v>0</v>
      </c>
      <c r="Y5364" t="s">
        <v>31</v>
      </c>
      <c r="Z5364">
        <v>55</v>
      </c>
      <c r="AA5364" s="2" t="s">
        <v>3920</v>
      </c>
    </row>
    <row r="5365" spans="1:27" x14ac:dyDescent="0.2">
      <c r="A5365" t="s">
        <v>387</v>
      </c>
      <c r="B5365">
        <v>2024</v>
      </c>
      <c r="C5365" t="s">
        <v>1182</v>
      </c>
      <c r="D5365" t="s">
        <v>1183</v>
      </c>
      <c r="E5365" t="s">
        <v>29</v>
      </c>
      <c r="F5365" t="s">
        <v>30</v>
      </c>
      <c r="G5365">
        <v>4</v>
      </c>
      <c r="H5365">
        <v>0</v>
      </c>
      <c r="I5365">
        <v>0</v>
      </c>
      <c r="J5365">
        <v>0</v>
      </c>
      <c r="K5365">
        <v>0</v>
      </c>
      <c r="L5365">
        <v>0</v>
      </c>
      <c r="M5365">
        <v>0</v>
      </c>
      <c r="N5365">
        <v>0</v>
      </c>
      <c r="O5365">
        <v>0</v>
      </c>
      <c r="P5365">
        <v>0</v>
      </c>
      <c r="Q5365">
        <v>0</v>
      </c>
      <c r="R5365">
        <v>0</v>
      </c>
      <c r="S5365">
        <v>0</v>
      </c>
      <c r="T5365">
        <v>0</v>
      </c>
      <c r="U5365">
        <v>0</v>
      </c>
      <c r="V5365">
        <v>0</v>
      </c>
      <c r="W5365">
        <v>0</v>
      </c>
      <c r="X5365">
        <v>0</v>
      </c>
      <c r="Y5365" t="s">
        <v>31</v>
      </c>
      <c r="Z5365">
        <v>1000</v>
      </c>
      <c r="AA5365">
        <v>0.5</v>
      </c>
    </row>
    <row r="5366" spans="1:27" x14ac:dyDescent="0.2">
      <c r="A5366" t="s">
        <v>387</v>
      </c>
      <c r="B5366">
        <v>2024</v>
      </c>
      <c r="C5366" t="s">
        <v>6477</v>
      </c>
      <c r="D5366" t="s">
        <v>6478</v>
      </c>
      <c r="E5366" t="s">
        <v>29</v>
      </c>
      <c r="F5366" t="s">
        <v>30</v>
      </c>
      <c r="G5366">
        <v>0</v>
      </c>
      <c r="H5366">
        <v>0</v>
      </c>
      <c r="I5366">
        <v>0</v>
      </c>
      <c r="J5366">
        <v>0</v>
      </c>
      <c r="K5366">
        <v>0</v>
      </c>
      <c r="L5366">
        <v>0</v>
      </c>
      <c r="M5366">
        <v>0</v>
      </c>
      <c r="N5366">
        <v>0</v>
      </c>
      <c r="O5366">
        <v>7</v>
      </c>
      <c r="P5366">
        <v>0</v>
      </c>
      <c r="Q5366">
        <v>0</v>
      </c>
      <c r="R5366">
        <v>12</v>
      </c>
      <c r="S5366">
        <v>0</v>
      </c>
      <c r="T5366">
        <v>0</v>
      </c>
      <c r="U5366">
        <v>0</v>
      </c>
      <c r="V5366">
        <v>0</v>
      </c>
      <c r="W5366">
        <v>0</v>
      </c>
      <c r="X5366">
        <v>0</v>
      </c>
      <c r="Y5366" t="s">
        <v>51</v>
      </c>
      <c r="Z5366">
        <v>1000</v>
      </c>
      <c r="AA5366">
        <v>0</v>
      </c>
    </row>
    <row r="5367" spans="1:27" x14ac:dyDescent="0.2">
      <c r="A5367" t="s">
        <v>600</v>
      </c>
      <c r="B5367">
        <v>2024</v>
      </c>
      <c r="C5367">
        <v>3776044</v>
      </c>
      <c r="D5367" t="s">
        <v>6479</v>
      </c>
      <c r="E5367" t="s">
        <v>29</v>
      </c>
      <c r="F5367" t="s">
        <v>30</v>
      </c>
      <c r="G5367">
        <v>46</v>
      </c>
      <c r="H5367">
        <v>0</v>
      </c>
      <c r="I5367">
        <v>16</v>
      </c>
      <c r="J5367">
        <v>0</v>
      </c>
      <c r="K5367">
        <v>16</v>
      </c>
      <c r="L5367">
        <v>0</v>
      </c>
      <c r="M5367">
        <v>0</v>
      </c>
      <c r="N5367">
        <v>0</v>
      </c>
      <c r="O5367">
        <v>0</v>
      </c>
      <c r="P5367">
        <v>0</v>
      </c>
      <c r="Q5367">
        <v>0</v>
      </c>
      <c r="R5367">
        <v>0</v>
      </c>
      <c r="S5367">
        <v>0</v>
      </c>
      <c r="T5367">
        <v>0</v>
      </c>
      <c r="U5367">
        <v>0</v>
      </c>
      <c r="V5367">
        <v>0</v>
      </c>
      <c r="W5367">
        <v>0</v>
      </c>
      <c r="X5367">
        <v>0</v>
      </c>
      <c r="Y5367" t="s">
        <v>31</v>
      </c>
      <c r="Z5367">
        <v>99</v>
      </c>
      <c r="AA5367" s="2" t="s">
        <v>6267</v>
      </c>
    </row>
    <row r="5368" spans="1:27" x14ac:dyDescent="0.2">
      <c r="A5368" t="s">
        <v>600</v>
      </c>
      <c r="B5368">
        <v>2024</v>
      </c>
      <c r="C5368">
        <v>3706048</v>
      </c>
      <c r="D5368" t="s">
        <v>6480</v>
      </c>
      <c r="E5368" t="s">
        <v>29</v>
      </c>
      <c r="F5368" t="s">
        <v>30</v>
      </c>
      <c r="G5368">
        <v>4</v>
      </c>
      <c r="H5368">
        <v>0</v>
      </c>
      <c r="I5368">
        <v>21</v>
      </c>
      <c r="J5368">
        <v>0</v>
      </c>
      <c r="K5368">
        <v>2</v>
      </c>
      <c r="L5368">
        <v>0</v>
      </c>
      <c r="M5368">
        <v>0</v>
      </c>
      <c r="N5368">
        <v>0</v>
      </c>
      <c r="O5368">
        <v>0</v>
      </c>
      <c r="P5368">
        <v>0</v>
      </c>
      <c r="Q5368">
        <v>0</v>
      </c>
      <c r="R5368">
        <v>0</v>
      </c>
      <c r="S5368">
        <v>0</v>
      </c>
      <c r="T5368">
        <v>0</v>
      </c>
      <c r="U5368">
        <v>0</v>
      </c>
      <c r="V5368">
        <v>0</v>
      </c>
      <c r="W5368">
        <v>0</v>
      </c>
      <c r="X5368">
        <v>0</v>
      </c>
      <c r="Y5368" t="s">
        <v>51</v>
      </c>
      <c r="Z5368">
        <v>99</v>
      </c>
      <c r="AA5368">
        <v>0</v>
      </c>
    </row>
    <row r="5369" spans="1:27" x14ac:dyDescent="0.2">
      <c r="A5369" t="s">
        <v>600</v>
      </c>
      <c r="B5369">
        <v>2024</v>
      </c>
      <c r="C5369">
        <v>3596099</v>
      </c>
      <c r="D5369" t="s">
        <v>2345</v>
      </c>
      <c r="E5369" t="s">
        <v>29</v>
      </c>
      <c r="F5369" t="s">
        <v>30</v>
      </c>
      <c r="G5369">
        <v>0</v>
      </c>
      <c r="H5369">
        <v>0</v>
      </c>
      <c r="I5369">
        <v>2</v>
      </c>
      <c r="J5369">
        <v>0</v>
      </c>
      <c r="K5369">
        <v>0</v>
      </c>
      <c r="L5369">
        <v>0</v>
      </c>
      <c r="M5369">
        <v>0</v>
      </c>
      <c r="N5369">
        <v>0</v>
      </c>
      <c r="O5369">
        <v>0</v>
      </c>
      <c r="P5369">
        <v>0</v>
      </c>
      <c r="Q5369">
        <v>0</v>
      </c>
      <c r="R5369">
        <v>0</v>
      </c>
      <c r="S5369">
        <v>0</v>
      </c>
      <c r="T5369">
        <v>0</v>
      </c>
      <c r="U5369">
        <v>0</v>
      </c>
      <c r="V5369">
        <v>0</v>
      </c>
      <c r="W5369">
        <v>0</v>
      </c>
      <c r="X5369">
        <v>0</v>
      </c>
      <c r="Y5369" t="s">
        <v>51</v>
      </c>
      <c r="Z5369">
        <v>99</v>
      </c>
      <c r="AA5369">
        <v>0</v>
      </c>
    </row>
    <row r="5370" spans="1:27" x14ac:dyDescent="0.2">
      <c r="A5370" t="s">
        <v>600</v>
      </c>
      <c r="B5370">
        <v>2024</v>
      </c>
      <c r="C5370">
        <v>343014</v>
      </c>
      <c r="D5370" t="s">
        <v>2055</v>
      </c>
      <c r="E5370" t="s">
        <v>29</v>
      </c>
      <c r="F5370" t="s">
        <v>30</v>
      </c>
      <c r="G5370">
        <v>0</v>
      </c>
      <c r="H5370">
        <v>0</v>
      </c>
      <c r="I5370">
        <v>0</v>
      </c>
      <c r="J5370">
        <v>0</v>
      </c>
      <c r="K5370">
        <v>0</v>
      </c>
      <c r="L5370">
        <v>0</v>
      </c>
      <c r="M5370">
        <v>0</v>
      </c>
      <c r="N5370">
        <v>0</v>
      </c>
      <c r="O5370">
        <v>0</v>
      </c>
      <c r="P5370">
        <v>0</v>
      </c>
      <c r="Q5370">
        <v>0</v>
      </c>
      <c r="R5370">
        <v>0</v>
      </c>
      <c r="S5370">
        <v>48</v>
      </c>
      <c r="T5370">
        <v>0</v>
      </c>
      <c r="U5370">
        <v>21</v>
      </c>
      <c r="V5370">
        <v>0</v>
      </c>
      <c r="W5370">
        <v>0</v>
      </c>
      <c r="X5370">
        <v>0</v>
      </c>
      <c r="Y5370" t="s">
        <v>31</v>
      </c>
      <c r="Z5370">
        <v>99</v>
      </c>
      <c r="AA5370" s="2" t="s">
        <v>6481</v>
      </c>
    </row>
    <row r="5371" spans="1:27" x14ac:dyDescent="0.2">
      <c r="A5371" t="s">
        <v>1241</v>
      </c>
      <c r="B5371">
        <v>2024</v>
      </c>
      <c r="C5371">
        <v>211181033</v>
      </c>
      <c r="D5371" t="s">
        <v>1840</v>
      </c>
      <c r="E5371" t="s">
        <v>29</v>
      </c>
      <c r="F5371" t="s">
        <v>30</v>
      </c>
      <c r="G5371">
        <v>0</v>
      </c>
      <c r="H5371">
        <v>0</v>
      </c>
      <c r="I5371">
        <v>0</v>
      </c>
      <c r="J5371">
        <v>0</v>
      </c>
      <c r="K5371">
        <v>0</v>
      </c>
      <c r="L5371">
        <v>0</v>
      </c>
      <c r="M5371">
        <v>0</v>
      </c>
      <c r="N5371">
        <v>0</v>
      </c>
      <c r="O5371">
        <v>0</v>
      </c>
      <c r="P5371">
        <v>0</v>
      </c>
      <c r="Q5371">
        <v>0</v>
      </c>
      <c r="R5371">
        <v>0</v>
      </c>
      <c r="S5371">
        <v>0</v>
      </c>
      <c r="T5371">
        <v>0</v>
      </c>
      <c r="U5371">
        <v>13</v>
      </c>
      <c r="V5371">
        <v>0</v>
      </c>
      <c r="W5371">
        <v>0</v>
      </c>
      <c r="X5371">
        <v>0</v>
      </c>
      <c r="Y5371" t="s">
        <v>31</v>
      </c>
      <c r="Z5371">
        <v>55</v>
      </c>
      <c r="AA5371" s="2" t="s">
        <v>6373</v>
      </c>
    </row>
    <row r="5372" spans="1:27" x14ac:dyDescent="0.2">
      <c r="A5372" t="s">
        <v>1658</v>
      </c>
      <c r="B5372">
        <v>2024</v>
      </c>
      <c r="C5372" t="s">
        <v>2320</v>
      </c>
      <c r="D5372" t="s">
        <v>4973</v>
      </c>
      <c r="E5372" t="s">
        <v>29</v>
      </c>
      <c r="F5372" t="s">
        <v>41</v>
      </c>
      <c r="G5372">
        <v>0</v>
      </c>
      <c r="H5372">
        <v>0</v>
      </c>
      <c r="I5372">
        <v>0</v>
      </c>
      <c r="J5372">
        <v>0</v>
      </c>
      <c r="K5372">
        <v>0</v>
      </c>
      <c r="L5372">
        <v>0</v>
      </c>
      <c r="M5372">
        <v>0</v>
      </c>
      <c r="N5372">
        <v>0</v>
      </c>
      <c r="O5372">
        <v>0</v>
      </c>
      <c r="P5372">
        <v>0</v>
      </c>
      <c r="Q5372">
        <v>0</v>
      </c>
      <c r="R5372">
        <v>0</v>
      </c>
      <c r="S5372">
        <v>1</v>
      </c>
      <c r="T5372">
        <v>0</v>
      </c>
      <c r="U5372">
        <v>0</v>
      </c>
      <c r="V5372">
        <v>0</v>
      </c>
      <c r="W5372">
        <v>0</v>
      </c>
      <c r="X5372">
        <v>0</v>
      </c>
      <c r="Y5372" t="s">
        <v>51</v>
      </c>
      <c r="Z5372">
        <v>55</v>
      </c>
      <c r="AA5372">
        <v>0</v>
      </c>
    </row>
    <row r="5373" spans="1:27" x14ac:dyDescent="0.2">
      <c r="A5373" t="s">
        <v>1658</v>
      </c>
      <c r="B5373">
        <v>2024</v>
      </c>
      <c r="C5373" t="s">
        <v>2320</v>
      </c>
      <c r="D5373" t="s">
        <v>5086</v>
      </c>
      <c r="E5373" t="s">
        <v>29</v>
      </c>
      <c r="F5373" t="s">
        <v>41</v>
      </c>
      <c r="G5373">
        <v>0</v>
      </c>
      <c r="H5373">
        <v>0</v>
      </c>
      <c r="I5373">
        <v>0</v>
      </c>
      <c r="J5373">
        <v>0</v>
      </c>
      <c r="K5373">
        <v>0</v>
      </c>
      <c r="L5373">
        <v>0</v>
      </c>
      <c r="M5373">
        <v>0</v>
      </c>
      <c r="N5373">
        <v>0</v>
      </c>
      <c r="O5373">
        <v>0</v>
      </c>
      <c r="P5373">
        <v>0</v>
      </c>
      <c r="Q5373">
        <v>0</v>
      </c>
      <c r="R5373">
        <v>0</v>
      </c>
      <c r="S5373">
        <v>0</v>
      </c>
      <c r="T5373">
        <v>0</v>
      </c>
      <c r="U5373">
        <v>1</v>
      </c>
      <c r="V5373">
        <v>0</v>
      </c>
      <c r="W5373">
        <v>0</v>
      </c>
      <c r="X5373">
        <v>0</v>
      </c>
      <c r="Y5373" t="s">
        <v>51</v>
      </c>
      <c r="Z5373">
        <v>55</v>
      </c>
      <c r="AA5373">
        <v>0</v>
      </c>
    </row>
    <row r="5374" spans="1:27" x14ac:dyDescent="0.2">
      <c r="A5374" t="s">
        <v>1658</v>
      </c>
      <c r="B5374">
        <v>2024</v>
      </c>
      <c r="C5374" t="s">
        <v>6482</v>
      </c>
      <c r="D5374" t="s">
        <v>6483</v>
      </c>
      <c r="E5374" t="s">
        <v>29</v>
      </c>
      <c r="F5374" t="s">
        <v>30</v>
      </c>
      <c r="G5374">
        <v>4</v>
      </c>
      <c r="H5374">
        <v>0</v>
      </c>
      <c r="I5374">
        <v>1</v>
      </c>
      <c r="J5374">
        <v>0</v>
      </c>
      <c r="K5374">
        <v>0</v>
      </c>
      <c r="L5374">
        <v>0</v>
      </c>
      <c r="M5374">
        <v>0</v>
      </c>
      <c r="N5374">
        <v>0</v>
      </c>
      <c r="O5374">
        <v>0</v>
      </c>
      <c r="P5374">
        <v>0</v>
      </c>
      <c r="Q5374">
        <v>0</v>
      </c>
      <c r="R5374">
        <v>0</v>
      </c>
      <c r="S5374">
        <v>0</v>
      </c>
      <c r="T5374">
        <v>0</v>
      </c>
      <c r="U5374">
        <v>0</v>
      </c>
      <c r="V5374">
        <v>0</v>
      </c>
      <c r="W5374">
        <v>0</v>
      </c>
      <c r="X5374">
        <v>0</v>
      </c>
      <c r="Y5374" t="s">
        <v>31</v>
      </c>
      <c r="Z5374">
        <v>55</v>
      </c>
      <c r="AA5374" s="2" t="s">
        <v>3641</v>
      </c>
    </row>
    <row r="5375" spans="1:27" x14ac:dyDescent="0.2">
      <c r="A5375" t="s">
        <v>1658</v>
      </c>
      <c r="B5375">
        <v>2024</v>
      </c>
      <c r="C5375" t="s">
        <v>3061</v>
      </c>
      <c r="D5375" t="s">
        <v>4972</v>
      </c>
      <c r="E5375" t="s">
        <v>29</v>
      </c>
      <c r="F5375" t="s">
        <v>41</v>
      </c>
      <c r="G5375">
        <v>0</v>
      </c>
      <c r="H5375">
        <v>0</v>
      </c>
      <c r="I5375">
        <v>0</v>
      </c>
      <c r="J5375">
        <v>0</v>
      </c>
      <c r="K5375">
        <v>0</v>
      </c>
      <c r="L5375">
        <v>0</v>
      </c>
      <c r="M5375">
        <v>0</v>
      </c>
      <c r="N5375">
        <v>0</v>
      </c>
      <c r="O5375">
        <v>0</v>
      </c>
      <c r="P5375">
        <v>0</v>
      </c>
      <c r="Q5375">
        <v>0</v>
      </c>
      <c r="R5375">
        <v>0</v>
      </c>
      <c r="S5375">
        <v>0</v>
      </c>
      <c r="T5375">
        <v>0</v>
      </c>
      <c r="U5375">
        <v>0</v>
      </c>
      <c r="V5375">
        <v>0</v>
      </c>
      <c r="W5375">
        <v>1</v>
      </c>
      <c r="X5375">
        <v>0</v>
      </c>
      <c r="Y5375" t="s">
        <v>51</v>
      </c>
      <c r="Z5375">
        <v>55</v>
      </c>
      <c r="AA5375">
        <v>0</v>
      </c>
    </row>
    <row r="5376" spans="1:27" x14ac:dyDescent="0.2">
      <c r="A5376" t="s">
        <v>1658</v>
      </c>
      <c r="B5376">
        <v>2024</v>
      </c>
      <c r="C5376" t="s">
        <v>3061</v>
      </c>
      <c r="D5376" t="s">
        <v>5214</v>
      </c>
      <c r="E5376" t="s">
        <v>29</v>
      </c>
      <c r="F5376" t="s">
        <v>41</v>
      </c>
      <c r="G5376">
        <v>0</v>
      </c>
      <c r="H5376">
        <v>0</v>
      </c>
      <c r="I5376">
        <v>0</v>
      </c>
      <c r="J5376">
        <v>0</v>
      </c>
      <c r="K5376">
        <v>0</v>
      </c>
      <c r="L5376">
        <v>0</v>
      </c>
      <c r="M5376">
        <v>0</v>
      </c>
      <c r="N5376">
        <v>0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0</v>
      </c>
      <c r="U5376">
        <v>0</v>
      </c>
      <c r="V5376">
        <v>0</v>
      </c>
      <c r="W5376">
        <v>1</v>
      </c>
      <c r="X5376">
        <v>0</v>
      </c>
      <c r="Y5376" t="s">
        <v>51</v>
      </c>
      <c r="Z5376">
        <v>55</v>
      </c>
      <c r="AA5376">
        <v>0</v>
      </c>
    </row>
    <row r="5377" spans="1:27" x14ac:dyDescent="0.2">
      <c r="A5377" t="s">
        <v>1658</v>
      </c>
      <c r="B5377">
        <v>2024</v>
      </c>
      <c r="C5377" t="s">
        <v>3061</v>
      </c>
      <c r="D5377" t="s">
        <v>5215</v>
      </c>
      <c r="E5377" t="s">
        <v>29</v>
      </c>
      <c r="F5377" t="s">
        <v>41</v>
      </c>
      <c r="G5377">
        <v>0</v>
      </c>
      <c r="H5377">
        <v>0</v>
      </c>
      <c r="I5377">
        <v>0</v>
      </c>
      <c r="J5377">
        <v>0</v>
      </c>
      <c r="K5377">
        <v>0</v>
      </c>
      <c r="L5377">
        <v>0</v>
      </c>
      <c r="M5377">
        <v>0</v>
      </c>
      <c r="N5377">
        <v>0</v>
      </c>
      <c r="O5377">
        <v>0</v>
      </c>
      <c r="P5377">
        <v>0</v>
      </c>
      <c r="Q5377">
        <v>0</v>
      </c>
      <c r="R5377">
        <v>0</v>
      </c>
      <c r="S5377">
        <v>0</v>
      </c>
      <c r="T5377">
        <v>0</v>
      </c>
      <c r="U5377">
        <v>1</v>
      </c>
      <c r="V5377">
        <v>0</v>
      </c>
      <c r="W5377">
        <v>0</v>
      </c>
      <c r="X5377">
        <v>0</v>
      </c>
      <c r="Y5377" t="s">
        <v>51</v>
      </c>
      <c r="Z5377">
        <v>55</v>
      </c>
      <c r="AA5377">
        <v>0</v>
      </c>
    </row>
    <row r="5378" spans="1:27" x14ac:dyDescent="0.2">
      <c r="A5378" t="s">
        <v>3322</v>
      </c>
      <c r="B5378">
        <v>2024</v>
      </c>
      <c r="C5378" t="s">
        <v>3969</v>
      </c>
      <c r="D5378" t="s">
        <v>3970</v>
      </c>
      <c r="E5378" t="s">
        <v>29</v>
      </c>
      <c r="F5378" t="s">
        <v>41</v>
      </c>
      <c r="G5378">
        <v>0</v>
      </c>
      <c r="H5378">
        <v>0</v>
      </c>
      <c r="I5378">
        <v>0</v>
      </c>
      <c r="J5378">
        <v>0</v>
      </c>
      <c r="K5378">
        <v>12</v>
      </c>
      <c r="L5378">
        <v>0</v>
      </c>
      <c r="M5378">
        <v>0</v>
      </c>
      <c r="N5378">
        <v>0</v>
      </c>
      <c r="O5378">
        <v>0</v>
      </c>
      <c r="P5378">
        <v>0</v>
      </c>
      <c r="Q5378">
        <v>0</v>
      </c>
      <c r="R5378">
        <v>7</v>
      </c>
      <c r="S5378">
        <v>0</v>
      </c>
      <c r="T5378">
        <v>0</v>
      </c>
      <c r="U5378">
        <v>0</v>
      </c>
      <c r="V5378">
        <v>0</v>
      </c>
      <c r="W5378">
        <v>0</v>
      </c>
      <c r="X5378">
        <v>0</v>
      </c>
      <c r="Y5378" t="s">
        <v>31</v>
      </c>
      <c r="Z5378">
        <v>55</v>
      </c>
      <c r="AA5378">
        <v>0</v>
      </c>
    </row>
    <row r="5379" spans="1:27" x14ac:dyDescent="0.2">
      <c r="A5379" t="s">
        <v>418</v>
      </c>
      <c r="B5379">
        <v>2024</v>
      </c>
      <c r="C5379" t="s">
        <v>6484</v>
      </c>
      <c r="D5379" t="s">
        <v>6485</v>
      </c>
      <c r="E5379" t="s">
        <v>29</v>
      </c>
      <c r="F5379" t="s">
        <v>30</v>
      </c>
      <c r="G5379">
        <v>0</v>
      </c>
      <c r="H5379">
        <v>0</v>
      </c>
      <c r="I5379">
        <v>99</v>
      </c>
      <c r="J5379">
        <v>0</v>
      </c>
      <c r="K5379">
        <v>0</v>
      </c>
      <c r="L5379">
        <v>0</v>
      </c>
      <c r="M5379">
        <v>0</v>
      </c>
      <c r="N5379">
        <v>0</v>
      </c>
      <c r="O5379">
        <v>0</v>
      </c>
      <c r="P5379">
        <v>0</v>
      </c>
      <c r="Q5379">
        <v>0</v>
      </c>
      <c r="R5379">
        <v>0</v>
      </c>
      <c r="S5379">
        <v>0</v>
      </c>
      <c r="T5379">
        <v>0</v>
      </c>
      <c r="U5379">
        <v>0</v>
      </c>
      <c r="V5379">
        <v>0</v>
      </c>
      <c r="W5379">
        <v>0</v>
      </c>
      <c r="X5379">
        <v>0</v>
      </c>
      <c r="Y5379" t="s">
        <v>31</v>
      </c>
      <c r="Z5379">
        <v>55</v>
      </c>
      <c r="AA5379">
        <v>0</v>
      </c>
    </row>
    <row r="5380" spans="1:27" x14ac:dyDescent="0.2">
      <c r="A5380" t="s">
        <v>418</v>
      </c>
      <c r="B5380">
        <v>2024</v>
      </c>
      <c r="C5380" t="s">
        <v>6486</v>
      </c>
      <c r="D5380" t="s">
        <v>6487</v>
      </c>
      <c r="E5380" t="s">
        <v>29</v>
      </c>
      <c r="F5380" t="s">
        <v>30</v>
      </c>
      <c r="G5380">
        <v>0</v>
      </c>
      <c r="H5380">
        <v>0</v>
      </c>
      <c r="I5380">
        <v>0</v>
      </c>
      <c r="J5380">
        <v>0</v>
      </c>
      <c r="K5380">
        <v>0</v>
      </c>
      <c r="L5380">
        <v>0</v>
      </c>
      <c r="M5380">
        <v>0</v>
      </c>
      <c r="N5380">
        <v>0</v>
      </c>
      <c r="O5380">
        <v>0</v>
      </c>
      <c r="P5380">
        <v>0</v>
      </c>
      <c r="Q5380">
        <v>0</v>
      </c>
      <c r="R5380">
        <v>0</v>
      </c>
      <c r="S5380">
        <v>0</v>
      </c>
      <c r="T5380">
        <v>0</v>
      </c>
      <c r="U5380">
        <v>0</v>
      </c>
      <c r="V5380">
        <v>0</v>
      </c>
      <c r="W5380">
        <v>0</v>
      </c>
      <c r="X5380">
        <v>0</v>
      </c>
      <c r="Y5380" t="s">
        <v>31</v>
      </c>
      <c r="Z5380">
        <v>55</v>
      </c>
      <c r="AA5380" s="2" t="s">
        <v>3244</v>
      </c>
    </row>
    <row r="5381" spans="1:27" x14ac:dyDescent="0.2">
      <c r="A5381" t="s">
        <v>418</v>
      </c>
      <c r="B5381">
        <v>2024</v>
      </c>
      <c r="C5381" t="s">
        <v>6488</v>
      </c>
      <c r="D5381" t="s">
        <v>6489</v>
      </c>
      <c r="E5381" t="s">
        <v>29</v>
      </c>
      <c r="F5381" t="s">
        <v>30</v>
      </c>
      <c r="G5381">
        <v>0</v>
      </c>
      <c r="H5381">
        <v>0</v>
      </c>
      <c r="I5381">
        <v>0</v>
      </c>
      <c r="J5381">
        <v>0</v>
      </c>
      <c r="K5381">
        <v>0</v>
      </c>
      <c r="L5381">
        <v>0</v>
      </c>
      <c r="M5381">
        <v>58</v>
      </c>
      <c r="N5381">
        <v>0</v>
      </c>
      <c r="O5381">
        <v>113</v>
      </c>
      <c r="P5381">
        <v>0</v>
      </c>
      <c r="Q5381">
        <v>0</v>
      </c>
      <c r="R5381">
        <v>0</v>
      </c>
      <c r="S5381">
        <v>0</v>
      </c>
      <c r="T5381">
        <v>0</v>
      </c>
      <c r="U5381">
        <v>0</v>
      </c>
      <c r="V5381">
        <v>0</v>
      </c>
      <c r="W5381">
        <v>0</v>
      </c>
      <c r="X5381">
        <v>0</v>
      </c>
      <c r="Y5381" t="s">
        <v>31</v>
      </c>
      <c r="Z5381">
        <v>55</v>
      </c>
      <c r="AA5381">
        <v>0</v>
      </c>
    </row>
    <row r="5382" spans="1:27" x14ac:dyDescent="0.2">
      <c r="A5382" t="s">
        <v>1127</v>
      </c>
      <c r="B5382">
        <v>2024</v>
      </c>
      <c r="C5382" t="s">
        <v>1400</v>
      </c>
      <c r="D5382" t="s">
        <v>1401</v>
      </c>
      <c r="E5382" t="s">
        <v>29</v>
      </c>
      <c r="F5382" t="s">
        <v>41</v>
      </c>
      <c r="G5382">
        <v>0</v>
      </c>
      <c r="H5382">
        <v>0</v>
      </c>
      <c r="I5382">
        <v>1</v>
      </c>
      <c r="J5382">
        <v>0</v>
      </c>
      <c r="K5382">
        <v>1</v>
      </c>
      <c r="L5382">
        <v>0</v>
      </c>
      <c r="M5382">
        <v>0</v>
      </c>
      <c r="N5382">
        <v>0</v>
      </c>
      <c r="O5382">
        <v>0</v>
      </c>
      <c r="P5382">
        <v>0</v>
      </c>
      <c r="Q5382">
        <v>0</v>
      </c>
      <c r="R5382">
        <v>0</v>
      </c>
      <c r="S5382">
        <v>0</v>
      </c>
      <c r="T5382">
        <v>0</v>
      </c>
      <c r="U5382">
        <v>0</v>
      </c>
      <c r="V5382">
        <v>0</v>
      </c>
      <c r="W5382">
        <v>0</v>
      </c>
      <c r="X5382">
        <v>0</v>
      </c>
      <c r="Y5382" t="s">
        <v>51</v>
      </c>
      <c r="AA5382">
        <v>0</v>
      </c>
    </row>
    <row r="5383" spans="1:27" x14ac:dyDescent="0.2">
      <c r="A5383" t="s">
        <v>514</v>
      </c>
      <c r="B5383">
        <v>2023</v>
      </c>
      <c r="C5383" s="2" t="s">
        <v>3980</v>
      </c>
      <c r="D5383" t="s">
        <v>684</v>
      </c>
      <c r="E5383" t="s">
        <v>29</v>
      </c>
      <c r="F5383" t="s">
        <v>30</v>
      </c>
      <c r="G5383">
        <v>0</v>
      </c>
      <c r="H5383">
        <v>0</v>
      </c>
      <c r="I5383">
        <v>0</v>
      </c>
      <c r="J5383">
        <v>0</v>
      </c>
      <c r="K5383">
        <v>0</v>
      </c>
      <c r="L5383">
        <v>0</v>
      </c>
      <c r="M5383">
        <v>5</v>
      </c>
      <c r="N5383">
        <v>0</v>
      </c>
      <c r="O5383">
        <v>19</v>
      </c>
      <c r="P5383">
        <v>0</v>
      </c>
      <c r="Q5383">
        <v>0</v>
      </c>
      <c r="R5383">
        <v>0</v>
      </c>
      <c r="S5383">
        <v>0</v>
      </c>
      <c r="T5383">
        <v>0</v>
      </c>
      <c r="U5383">
        <v>0</v>
      </c>
      <c r="V5383">
        <v>0</v>
      </c>
      <c r="W5383">
        <v>0</v>
      </c>
      <c r="X5383">
        <v>0</v>
      </c>
      <c r="Y5383" t="s">
        <v>31</v>
      </c>
      <c r="AA5383" s="2" t="s">
        <v>3981</v>
      </c>
    </row>
    <row r="5384" spans="1:27" x14ac:dyDescent="0.2">
      <c r="A5384" t="s">
        <v>514</v>
      </c>
      <c r="B5384">
        <v>2023</v>
      </c>
      <c r="C5384" s="2" t="s">
        <v>3980</v>
      </c>
      <c r="D5384" t="s">
        <v>684</v>
      </c>
      <c r="E5384" t="s">
        <v>29</v>
      </c>
      <c r="F5384" t="s">
        <v>30</v>
      </c>
      <c r="G5384">
        <v>0</v>
      </c>
      <c r="H5384">
        <v>0</v>
      </c>
      <c r="I5384">
        <v>0</v>
      </c>
      <c r="J5384">
        <v>0</v>
      </c>
      <c r="K5384">
        <v>0</v>
      </c>
      <c r="L5384">
        <v>0</v>
      </c>
      <c r="M5384">
        <v>5</v>
      </c>
      <c r="N5384">
        <v>0</v>
      </c>
      <c r="O5384">
        <v>19</v>
      </c>
      <c r="P5384">
        <v>0</v>
      </c>
      <c r="Q5384">
        <v>0</v>
      </c>
      <c r="R5384">
        <v>0</v>
      </c>
      <c r="S5384">
        <v>0</v>
      </c>
      <c r="T5384">
        <v>0</v>
      </c>
      <c r="U5384">
        <v>0</v>
      </c>
      <c r="V5384">
        <v>0</v>
      </c>
      <c r="W5384">
        <v>0</v>
      </c>
      <c r="X5384">
        <v>0</v>
      </c>
      <c r="Y5384" t="s">
        <v>31</v>
      </c>
      <c r="AA5384" s="2" t="s">
        <v>3981</v>
      </c>
    </row>
    <row r="5385" spans="1:27" x14ac:dyDescent="0.2">
      <c r="A5385" t="s">
        <v>514</v>
      </c>
      <c r="B5385">
        <v>2023</v>
      </c>
      <c r="C5385" s="2" t="s">
        <v>3980</v>
      </c>
      <c r="D5385" t="s">
        <v>684</v>
      </c>
      <c r="E5385" t="s">
        <v>29</v>
      </c>
      <c r="F5385" t="s">
        <v>30</v>
      </c>
      <c r="G5385">
        <v>0</v>
      </c>
      <c r="H5385">
        <v>0</v>
      </c>
      <c r="I5385">
        <v>0</v>
      </c>
      <c r="J5385">
        <v>0</v>
      </c>
      <c r="K5385">
        <v>0</v>
      </c>
      <c r="L5385">
        <v>0</v>
      </c>
      <c r="M5385">
        <v>5</v>
      </c>
      <c r="N5385">
        <v>0</v>
      </c>
      <c r="O5385">
        <v>19</v>
      </c>
      <c r="P5385">
        <v>0</v>
      </c>
      <c r="Q5385">
        <v>0</v>
      </c>
      <c r="R5385">
        <v>0</v>
      </c>
      <c r="S5385">
        <v>0</v>
      </c>
      <c r="T5385">
        <v>0</v>
      </c>
      <c r="U5385">
        <v>0</v>
      </c>
      <c r="V5385">
        <v>0</v>
      </c>
      <c r="W5385">
        <v>0</v>
      </c>
      <c r="X5385">
        <v>0</v>
      </c>
      <c r="Y5385" t="s">
        <v>31</v>
      </c>
      <c r="AA5385" s="2" t="s">
        <v>3981</v>
      </c>
    </row>
    <row r="5386" spans="1:27" x14ac:dyDescent="0.2">
      <c r="A5386" t="s">
        <v>514</v>
      </c>
      <c r="B5386">
        <v>2023</v>
      </c>
      <c r="C5386" s="2" t="s">
        <v>3980</v>
      </c>
      <c r="D5386" t="s">
        <v>684</v>
      </c>
      <c r="E5386" t="s">
        <v>29</v>
      </c>
      <c r="F5386" t="s">
        <v>30</v>
      </c>
      <c r="G5386">
        <v>0</v>
      </c>
      <c r="H5386">
        <v>0</v>
      </c>
      <c r="I5386">
        <v>0</v>
      </c>
      <c r="J5386">
        <v>0</v>
      </c>
      <c r="K5386">
        <v>0</v>
      </c>
      <c r="L5386">
        <v>0</v>
      </c>
      <c r="M5386">
        <v>5</v>
      </c>
      <c r="N5386">
        <v>0</v>
      </c>
      <c r="O5386">
        <v>19</v>
      </c>
      <c r="P5386">
        <v>0</v>
      </c>
      <c r="Q5386">
        <v>0</v>
      </c>
      <c r="R5386">
        <v>0</v>
      </c>
      <c r="S5386">
        <v>0</v>
      </c>
      <c r="T5386">
        <v>0</v>
      </c>
      <c r="U5386">
        <v>0</v>
      </c>
      <c r="V5386">
        <v>0</v>
      </c>
      <c r="W5386">
        <v>0</v>
      </c>
      <c r="X5386">
        <v>0</v>
      </c>
      <c r="Y5386" t="s">
        <v>31</v>
      </c>
      <c r="AA5386" s="2" t="s">
        <v>3981</v>
      </c>
    </row>
    <row r="5387" spans="1:27" x14ac:dyDescent="0.2">
      <c r="A5387" t="s">
        <v>600</v>
      </c>
      <c r="B5387">
        <v>2024</v>
      </c>
      <c r="C5387">
        <v>3535015</v>
      </c>
      <c r="D5387" t="s">
        <v>6490</v>
      </c>
      <c r="E5387" t="s">
        <v>29</v>
      </c>
      <c r="F5387" t="s">
        <v>30</v>
      </c>
      <c r="G5387">
        <v>0</v>
      </c>
      <c r="H5387">
        <v>0</v>
      </c>
      <c r="I5387">
        <v>3</v>
      </c>
      <c r="J5387">
        <v>0</v>
      </c>
      <c r="K5387">
        <v>0</v>
      </c>
      <c r="L5387">
        <v>0</v>
      </c>
      <c r="M5387">
        <v>0</v>
      </c>
      <c r="N5387">
        <v>0</v>
      </c>
      <c r="O5387">
        <v>0</v>
      </c>
      <c r="P5387">
        <v>0</v>
      </c>
      <c r="Q5387">
        <v>0</v>
      </c>
      <c r="R5387">
        <v>0</v>
      </c>
      <c r="S5387">
        <v>0</v>
      </c>
      <c r="T5387">
        <v>0</v>
      </c>
      <c r="U5387">
        <v>0</v>
      </c>
      <c r="V5387">
        <v>0</v>
      </c>
      <c r="W5387">
        <v>0</v>
      </c>
      <c r="X5387">
        <v>0</v>
      </c>
      <c r="Y5387" t="s">
        <v>31</v>
      </c>
      <c r="Z5387">
        <v>99</v>
      </c>
      <c r="AA5387" s="2" t="s">
        <v>6491</v>
      </c>
    </row>
    <row r="5388" spans="1:27" x14ac:dyDescent="0.2">
      <c r="A5388" t="s">
        <v>600</v>
      </c>
      <c r="B5388">
        <v>2024</v>
      </c>
      <c r="C5388">
        <v>130025</v>
      </c>
      <c r="D5388" t="s">
        <v>6492</v>
      </c>
      <c r="E5388" t="s">
        <v>29</v>
      </c>
      <c r="F5388" t="s">
        <v>30</v>
      </c>
      <c r="G5388">
        <v>0</v>
      </c>
      <c r="H5388">
        <v>0</v>
      </c>
      <c r="I5388">
        <v>3</v>
      </c>
      <c r="J5388">
        <v>0</v>
      </c>
      <c r="K5388">
        <v>0</v>
      </c>
      <c r="L5388">
        <v>0</v>
      </c>
      <c r="M5388">
        <v>0</v>
      </c>
      <c r="N5388">
        <v>0</v>
      </c>
      <c r="O5388">
        <v>0</v>
      </c>
      <c r="P5388">
        <v>0</v>
      </c>
      <c r="Q5388">
        <v>0</v>
      </c>
      <c r="R5388">
        <v>0</v>
      </c>
      <c r="S5388">
        <v>0</v>
      </c>
      <c r="T5388">
        <v>0</v>
      </c>
      <c r="U5388">
        <v>0</v>
      </c>
      <c r="V5388">
        <v>0</v>
      </c>
      <c r="W5388">
        <v>0</v>
      </c>
      <c r="X5388">
        <v>0</v>
      </c>
      <c r="Y5388" t="s">
        <v>31</v>
      </c>
      <c r="Z5388">
        <v>99</v>
      </c>
      <c r="AA5388" s="2" t="s">
        <v>6089</v>
      </c>
    </row>
    <row r="5389" spans="1:27" x14ac:dyDescent="0.2">
      <c r="A5389" t="s">
        <v>1226</v>
      </c>
      <c r="B5389">
        <v>2024</v>
      </c>
      <c r="C5389">
        <v>507251015</v>
      </c>
      <c r="D5389" t="s">
        <v>6493</v>
      </c>
      <c r="E5389" t="s">
        <v>29</v>
      </c>
      <c r="F5389" t="s">
        <v>41</v>
      </c>
      <c r="G5389">
        <v>0</v>
      </c>
      <c r="H5389">
        <v>0</v>
      </c>
      <c r="I5389">
        <v>0</v>
      </c>
      <c r="J5389">
        <v>0</v>
      </c>
      <c r="K5389">
        <v>0</v>
      </c>
      <c r="L5389">
        <v>0</v>
      </c>
      <c r="M5389">
        <v>0</v>
      </c>
      <c r="N5389">
        <v>0</v>
      </c>
      <c r="O5389">
        <v>0</v>
      </c>
      <c r="P5389">
        <v>0</v>
      </c>
      <c r="Q5389">
        <v>1</v>
      </c>
      <c r="R5389">
        <v>0</v>
      </c>
      <c r="S5389">
        <v>0</v>
      </c>
      <c r="T5389">
        <v>0</v>
      </c>
      <c r="U5389">
        <v>0</v>
      </c>
      <c r="V5389">
        <v>0</v>
      </c>
      <c r="W5389">
        <v>0</v>
      </c>
      <c r="X5389">
        <v>0</v>
      </c>
      <c r="Y5389" t="s">
        <v>51</v>
      </c>
      <c r="AA5389">
        <v>0</v>
      </c>
    </row>
    <row r="5390" spans="1:27" x14ac:dyDescent="0.2">
      <c r="A5390" t="s">
        <v>1931</v>
      </c>
      <c r="B5390">
        <v>2024</v>
      </c>
      <c r="C5390" t="s">
        <v>6494</v>
      </c>
      <c r="D5390" t="s">
        <v>6495</v>
      </c>
      <c r="E5390" t="s">
        <v>29</v>
      </c>
      <c r="F5390" t="s">
        <v>30</v>
      </c>
      <c r="G5390">
        <v>0</v>
      </c>
      <c r="H5390">
        <v>0</v>
      </c>
      <c r="I5390">
        <v>0</v>
      </c>
      <c r="J5390">
        <v>0</v>
      </c>
      <c r="K5390">
        <v>0</v>
      </c>
      <c r="L5390">
        <v>0</v>
      </c>
      <c r="M5390">
        <v>0</v>
      </c>
      <c r="N5390">
        <v>0</v>
      </c>
      <c r="O5390">
        <v>0</v>
      </c>
      <c r="P5390">
        <v>0</v>
      </c>
      <c r="Q5390">
        <v>0</v>
      </c>
      <c r="R5390">
        <v>0</v>
      </c>
      <c r="S5390">
        <v>0</v>
      </c>
      <c r="T5390">
        <v>0</v>
      </c>
      <c r="U5390">
        <v>0</v>
      </c>
      <c r="V5390">
        <v>0</v>
      </c>
      <c r="W5390">
        <v>8</v>
      </c>
      <c r="X5390">
        <v>0</v>
      </c>
      <c r="Y5390" t="s">
        <v>51</v>
      </c>
      <c r="Z5390">
        <v>55</v>
      </c>
      <c r="AA5390">
        <v>0</v>
      </c>
    </row>
    <row r="5391" spans="1:27" x14ac:dyDescent="0.2">
      <c r="A5391" t="s">
        <v>106</v>
      </c>
      <c r="B5391">
        <v>2024</v>
      </c>
      <c r="C5391" t="s">
        <v>1342</v>
      </c>
      <c r="D5391" t="s">
        <v>6496</v>
      </c>
      <c r="E5391" t="s">
        <v>29</v>
      </c>
      <c r="F5391" t="s">
        <v>30</v>
      </c>
      <c r="G5391">
        <v>0</v>
      </c>
      <c r="H5391">
        <v>0</v>
      </c>
      <c r="I5391">
        <v>1</v>
      </c>
      <c r="J5391">
        <v>0</v>
      </c>
      <c r="K5391">
        <v>0</v>
      </c>
      <c r="L5391">
        <v>0</v>
      </c>
      <c r="M5391">
        <v>0</v>
      </c>
      <c r="N5391">
        <v>0</v>
      </c>
      <c r="O5391">
        <v>1</v>
      </c>
      <c r="P5391">
        <v>0</v>
      </c>
      <c r="Q5391">
        <v>0</v>
      </c>
      <c r="R5391">
        <v>0</v>
      </c>
      <c r="S5391">
        <v>0</v>
      </c>
      <c r="T5391">
        <v>0</v>
      </c>
      <c r="U5391">
        <v>1</v>
      </c>
      <c r="V5391">
        <v>0</v>
      </c>
      <c r="W5391">
        <v>0</v>
      </c>
      <c r="X5391">
        <v>0</v>
      </c>
      <c r="Y5391" t="s">
        <v>31</v>
      </c>
      <c r="AA5391" s="2" t="s">
        <v>3390</v>
      </c>
    </row>
    <row r="5392" spans="1:27" ht="102" x14ac:dyDescent="0.2">
      <c r="A5392" t="s">
        <v>872</v>
      </c>
      <c r="B5392">
        <v>2024</v>
      </c>
      <c r="C5392" s="2" t="s">
        <v>6465</v>
      </c>
      <c r="D5392" s="1" t="s">
        <v>6497</v>
      </c>
      <c r="E5392" t="s">
        <v>29</v>
      </c>
      <c r="F5392" t="s">
        <v>30</v>
      </c>
      <c r="G5392">
        <v>0</v>
      </c>
      <c r="H5392">
        <v>0</v>
      </c>
      <c r="I5392">
        <v>0</v>
      </c>
      <c r="J5392">
        <v>0</v>
      </c>
      <c r="K5392">
        <v>0</v>
      </c>
      <c r="L5392">
        <v>0</v>
      </c>
      <c r="M5392">
        <v>0</v>
      </c>
      <c r="N5392">
        <v>0</v>
      </c>
      <c r="O5392">
        <v>0</v>
      </c>
      <c r="P5392">
        <v>0</v>
      </c>
      <c r="Q5392">
        <v>0</v>
      </c>
      <c r="R5392">
        <v>0</v>
      </c>
      <c r="S5392">
        <v>26</v>
      </c>
      <c r="T5392">
        <v>25</v>
      </c>
      <c r="U5392">
        <v>0</v>
      </c>
      <c r="V5392">
        <v>0</v>
      </c>
      <c r="W5392">
        <v>0</v>
      </c>
      <c r="X5392">
        <v>0</v>
      </c>
      <c r="Y5392" t="s">
        <v>51</v>
      </c>
      <c r="Z5392">
        <v>55</v>
      </c>
      <c r="AA5392">
        <v>0</v>
      </c>
    </row>
    <row r="5393" spans="1:27" ht="102" x14ac:dyDescent="0.2">
      <c r="A5393" t="s">
        <v>48</v>
      </c>
      <c r="B5393">
        <v>2024</v>
      </c>
      <c r="C5393" t="s">
        <v>6498</v>
      </c>
      <c r="D5393" s="1" t="s">
        <v>6499</v>
      </c>
      <c r="E5393" t="s">
        <v>29</v>
      </c>
      <c r="F5393" t="s">
        <v>41</v>
      </c>
      <c r="G5393">
        <v>0</v>
      </c>
      <c r="H5393">
        <v>0</v>
      </c>
      <c r="I5393">
        <v>0</v>
      </c>
      <c r="J5393">
        <v>0</v>
      </c>
      <c r="K5393">
        <v>0</v>
      </c>
      <c r="L5393">
        <v>0</v>
      </c>
      <c r="M5393">
        <v>0</v>
      </c>
      <c r="N5393">
        <v>0</v>
      </c>
      <c r="O5393">
        <v>0</v>
      </c>
      <c r="P5393">
        <v>0</v>
      </c>
      <c r="Q5393">
        <v>9</v>
      </c>
      <c r="R5393">
        <v>0</v>
      </c>
      <c r="S5393">
        <v>0</v>
      </c>
      <c r="T5393">
        <v>0</v>
      </c>
      <c r="U5393">
        <v>0</v>
      </c>
      <c r="V5393">
        <v>0</v>
      </c>
      <c r="W5393">
        <v>0</v>
      </c>
      <c r="X5393">
        <v>0</v>
      </c>
      <c r="Y5393" t="s">
        <v>51</v>
      </c>
      <c r="AA5393">
        <v>0</v>
      </c>
    </row>
    <row r="5394" spans="1:27" x14ac:dyDescent="0.2">
      <c r="A5394" t="s">
        <v>1241</v>
      </c>
      <c r="B5394">
        <v>2024</v>
      </c>
      <c r="C5394">
        <v>211181033</v>
      </c>
      <c r="D5394" t="s">
        <v>1840</v>
      </c>
      <c r="E5394" t="s">
        <v>29</v>
      </c>
      <c r="F5394" t="s">
        <v>30</v>
      </c>
      <c r="G5394">
        <v>0</v>
      </c>
      <c r="H5394">
        <v>0</v>
      </c>
      <c r="I5394">
        <v>0</v>
      </c>
      <c r="J5394">
        <v>0</v>
      </c>
      <c r="K5394">
        <v>0</v>
      </c>
      <c r="L5394">
        <v>0</v>
      </c>
      <c r="M5394">
        <v>0</v>
      </c>
      <c r="N5394">
        <v>0</v>
      </c>
      <c r="O5394">
        <v>0</v>
      </c>
      <c r="P5394">
        <v>0</v>
      </c>
      <c r="Q5394">
        <v>0</v>
      </c>
      <c r="R5394">
        <v>0</v>
      </c>
      <c r="S5394">
        <v>0</v>
      </c>
      <c r="T5394">
        <v>0</v>
      </c>
      <c r="U5394">
        <v>13</v>
      </c>
      <c r="V5394">
        <v>0</v>
      </c>
      <c r="W5394">
        <v>0</v>
      </c>
      <c r="X5394">
        <v>0</v>
      </c>
      <c r="Y5394" t="s">
        <v>31</v>
      </c>
      <c r="Z5394">
        <v>55</v>
      </c>
      <c r="AA5394" s="2" t="s">
        <v>6373</v>
      </c>
    </row>
    <row r="5395" spans="1:27" x14ac:dyDescent="0.2">
      <c r="A5395" t="s">
        <v>1241</v>
      </c>
      <c r="B5395">
        <v>2024</v>
      </c>
      <c r="C5395">
        <v>211181033</v>
      </c>
      <c r="D5395" t="s">
        <v>1840</v>
      </c>
      <c r="E5395" t="s">
        <v>29</v>
      </c>
      <c r="F5395" t="s">
        <v>30</v>
      </c>
      <c r="G5395">
        <v>0</v>
      </c>
      <c r="H5395">
        <v>0</v>
      </c>
      <c r="I5395">
        <v>0</v>
      </c>
      <c r="J5395">
        <v>0</v>
      </c>
      <c r="K5395">
        <v>0</v>
      </c>
      <c r="L5395">
        <v>0</v>
      </c>
      <c r="M5395">
        <v>0</v>
      </c>
      <c r="N5395">
        <v>0</v>
      </c>
      <c r="O5395">
        <v>0</v>
      </c>
      <c r="P5395">
        <v>0</v>
      </c>
      <c r="Q5395">
        <v>0</v>
      </c>
      <c r="R5395">
        <v>0</v>
      </c>
      <c r="S5395">
        <v>0</v>
      </c>
      <c r="T5395">
        <v>0</v>
      </c>
      <c r="U5395">
        <v>13</v>
      </c>
      <c r="V5395">
        <v>0</v>
      </c>
      <c r="W5395">
        <v>0</v>
      </c>
      <c r="X5395">
        <v>0</v>
      </c>
      <c r="Y5395" t="s">
        <v>31</v>
      </c>
      <c r="Z5395">
        <v>55</v>
      </c>
      <c r="AA5395" s="2" t="s">
        <v>6373</v>
      </c>
    </row>
    <row r="5396" spans="1:27" x14ac:dyDescent="0.2">
      <c r="A5396" t="s">
        <v>1241</v>
      </c>
      <c r="B5396">
        <v>2024</v>
      </c>
      <c r="C5396">
        <v>146141072</v>
      </c>
      <c r="D5396" t="s">
        <v>4017</v>
      </c>
      <c r="E5396" t="s">
        <v>29</v>
      </c>
      <c r="F5396" t="s">
        <v>30</v>
      </c>
      <c r="G5396">
        <v>0</v>
      </c>
      <c r="H5396">
        <v>0</v>
      </c>
      <c r="I5396">
        <v>0</v>
      </c>
      <c r="J5396">
        <v>0</v>
      </c>
      <c r="K5396">
        <v>0</v>
      </c>
      <c r="L5396">
        <v>0</v>
      </c>
      <c r="M5396">
        <v>0</v>
      </c>
      <c r="N5396">
        <v>0</v>
      </c>
      <c r="O5396">
        <v>0</v>
      </c>
      <c r="P5396">
        <v>0</v>
      </c>
      <c r="Q5396">
        <v>0</v>
      </c>
      <c r="R5396">
        <v>0</v>
      </c>
      <c r="S5396">
        <v>0</v>
      </c>
      <c r="T5396">
        <v>0</v>
      </c>
      <c r="U5396">
        <v>12</v>
      </c>
      <c r="V5396">
        <v>0</v>
      </c>
      <c r="W5396">
        <v>0</v>
      </c>
      <c r="X5396">
        <v>0</v>
      </c>
      <c r="Y5396" t="s">
        <v>31</v>
      </c>
      <c r="Z5396">
        <v>55</v>
      </c>
      <c r="AA5396">
        <v>0</v>
      </c>
    </row>
    <row r="5397" spans="1:27" x14ac:dyDescent="0.2">
      <c r="A5397" t="s">
        <v>1658</v>
      </c>
      <c r="B5397">
        <v>2024</v>
      </c>
      <c r="C5397" t="s">
        <v>2320</v>
      </c>
      <c r="D5397" t="s">
        <v>5083</v>
      </c>
      <c r="E5397" t="s">
        <v>29</v>
      </c>
      <c r="F5397" t="s">
        <v>41</v>
      </c>
      <c r="G5397">
        <v>0</v>
      </c>
      <c r="H5397">
        <v>0</v>
      </c>
      <c r="I5397">
        <v>0</v>
      </c>
      <c r="J5397">
        <v>0</v>
      </c>
      <c r="K5397">
        <v>0</v>
      </c>
      <c r="L5397">
        <v>0</v>
      </c>
      <c r="M5397">
        <v>0</v>
      </c>
      <c r="N5397">
        <v>0</v>
      </c>
      <c r="O5397">
        <v>0</v>
      </c>
      <c r="P5397">
        <v>0</v>
      </c>
      <c r="Q5397">
        <v>0</v>
      </c>
      <c r="R5397">
        <v>0</v>
      </c>
      <c r="S5397">
        <v>1</v>
      </c>
      <c r="T5397">
        <v>0</v>
      </c>
      <c r="U5397">
        <v>0</v>
      </c>
      <c r="V5397">
        <v>0</v>
      </c>
      <c r="W5397">
        <v>0</v>
      </c>
      <c r="X5397">
        <v>0</v>
      </c>
      <c r="Y5397" t="s">
        <v>51</v>
      </c>
      <c r="Z5397">
        <v>55</v>
      </c>
      <c r="AA5397">
        <v>0</v>
      </c>
    </row>
    <row r="5398" spans="1:27" x14ac:dyDescent="0.2">
      <c r="A5398" t="s">
        <v>418</v>
      </c>
      <c r="B5398">
        <v>2024</v>
      </c>
      <c r="C5398" t="s">
        <v>6500</v>
      </c>
      <c r="D5398" t="s">
        <v>6501</v>
      </c>
      <c r="E5398" t="s">
        <v>29</v>
      </c>
      <c r="F5398" t="s">
        <v>41</v>
      </c>
      <c r="G5398">
        <v>3</v>
      </c>
      <c r="H5398">
        <v>0</v>
      </c>
      <c r="I5398">
        <v>0</v>
      </c>
      <c r="J5398">
        <v>0</v>
      </c>
      <c r="K5398">
        <v>0</v>
      </c>
      <c r="L5398">
        <v>0</v>
      </c>
      <c r="M5398">
        <v>0</v>
      </c>
      <c r="N5398">
        <v>0</v>
      </c>
      <c r="O5398">
        <v>0</v>
      </c>
      <c r="P5398">
        <v>0</v>
      </c>
      <c r="Q5398">
        <v>0</v>
      </c>
      <c r="R5398">
        <v>0</v>
      </c>
      <c r="S5398">
        <v>0</v>
      </c>
      <c r="T5398">
        <v>0</v>
      </c>
      <c r="U5398">
        <v>0</v>
      </c>
      <c r="V5398">
        <v>0</v>
      </c>
      <c r="W5398">
        <v>0</v>
      </c>
      <c r="X5398">
        <v>0</v>
      </c>
      <c r="Y5398" t="s">
        <v>31</v>
      </c>
      <c r="Z5398">
        <v>55</v>
      </c>
      <c r="AA5398">
        <v>0.5</v>
      </c>
    </row>
    <row r="5399" spans="1:27" x14ac:dyDescent="0.2">
      <c r="A5399" t="s">
        <v>418</v>
      </c>
      <c r="B5399">
        <v>2024</v>
      </c>
      <c r="C5399" t="s">
        <v>6380</v>
      </c>
      <c r="D5399" t="s">
        <v>6381</v>
      </c>
      <c r="E5399" t="s">
        <v>29</v>
      </c>
      <c r="F5399" t="s">
        <v>30</v>
      </c>
      <c r="G5399">
        <v>183</v>
      </c>
      <c r="H5399">
        <v>0</v>
      </c>
      <c r="I5399">
        <v>120</v>
      </c>
      <c r="J5399">
        <v>0</v>
      </c>
      <c r="K5399">
        <v>0</v>
      </c>
      <c r="L5399">
        <v>0</v>
      </c>
      <c r="M5399">
        <v>0</v>
      </c>
      <c r="N5399">
        <v>0</v>
      </c>
      <c r="O5399">
        <v>0</v>
      </c>
      <c r="P5399">
        <v>0</v>
      </c>
      <c r="Q5399">
        <v>0</v>
      </c>
      <c r="R5399">
        <v>0</v>
      </c>
      <c r="S5399">
        <v>0</v>
      </c>
      <c r="T5399">
        <v>0</v>
      </c>
      <c r="U5399">
        <v>0</v>
      </c>
      <c r="V5399">
        <v>0</v>
      </c>
      <c r="W5399">
        <v>0</v>
      </c>
      <c r="X5399">
        <v>0</v>
      </c>
      <c r="Y5399" t="s">
        <v>31</v>
      </c>
      <c r="Z5399">
        <v>55</v>
      </c>
      <c r="AA5399">
        <v>2.27</v>
      </c>
    </row>
    <row r="5400" spans="1:27" x14ac:dyDescent="0.2">
      <c r="A5400" t="s">
        <v>418</v>
      </c>
      <c r="B5400">
        <v>2024</v>
      </c>
      <c r="C5400" t="s">
        <v>6502</v>
      </c>
      <c r="D5400" t="s">
        <v>6503</v>
      </c>
      <c r="E5400" t="s">
        <v>29</v>
      </c>
      <c r="F5400" t="s">
        <v>30</v>
      </c>
      <c r="G5400">
        <v>0</v>
      </c>
      <c r="H5400">
        <v>0</v>
      </c>
      <c r="I5400">
        <v>0</v>
      </c>
      <c r="J5400">
        <v>0</v>
      </c>
      <c r="K5400">
        <v>0</v>
      </c>
      <c r="L5400">
        <v>0</v>
      </c>
      <c r="M5400">
        <v>0</v>
      </c>
      <c r="N5400">
        <v>0</v>
      </c>
      <c r="O5400">
        <v>0</v>
      </c>
      <c r="P5400">
        <v>0</v>
      </c>
      <c r="Q5400">
        <v>0</v>
      </c>
      <c r="R5400">
        <v>0</v>
      </c>
      <c r="S5400">
        <v>145</v>
      </c>
      <c r="T5400">
        <v>0</v>
      </c>
      <c r="U5400">
        <v>0</v>
      </c>
      <c r="V5400">
        <v>0</v>
      </c>
      <c r="W5400">
        <v>0</v>
      </c>
      <c r="X5400">
        <v>0</v>
      </c>
      <c r="Y5400" t="s">
        <v>31</v>
      </c>
      <c r="Z5400">
        <v>55</v>
      </c>
      <c r="AA5400">
        <v>0</v>
      </c>
    </row>
    <row r="5401" spans="1:27" x14ac:dyDescent="0.2">
      <c r="A5401" t="s">
        <v>418</v>
      </c>
      <c r="B5401">
        <v>2024</v>
      </c>
      <c r="C5401" t="s">
        <v>6504</v>
      </c>
      <c r="D5401" t="s">
        <v>6505</v>
      </c>
      <c r="E5401" t="s">
        <v>29</v>
      </c>
      <c r="F5401" t="s">
        <v>30</v>
      </c>
      <c r="G5401">
        <v>0</v>
      </c>
      <c r="H5401">
        <v>0</v>
      </c>
      <c r="I5401">
        <v>0</v>
      </c>
      <c r="J5401">
        <v>0</v>
      </c>
      <c r="K5401">
        <v>0</v>
      </c>
      <c r="L5401">
        <v>0</v>
      </c>
      <c r="M5401">
        <v>0</v>
      </c>
      <c r="N5401">
        <v>0</v>
      </c>
      <c r="O5401">
        <v>0</v>
      </c>
      <c r="P5401">
        <v>0</v>
      </c>
      <c r="Q5401">
        <v>0</v>
      </c>
      <c r="R5401">
        <v>0</v>
      </c>
      <c r="S5401">
        <v>65</v>
      </c>
      <c r="T5401">
        <v>0</v>
      </c>
      <c r="U5401">
        <v>48</v>
      </c>
      <c r="V5401">
        <v>0</v>
      </c>
      <c r="W5401">
        <v>0</v>
      </c>
      <c r="X5401">
        <v>0</v>
      </c>
      <c r="Y5401" t="s">
        <v>31</v>
      </c>
      <c r="Z5401">
        <v>55</v>
      </c>
      <c r="AA5401">
        <v>0</v>
      </c>
    </row>
    <row r="5402" spans="1:27" ht="68" x14ac:dyDescent="0.2">
      <c r="A5402" t="s">
        <v>2411</v>
      </c>
      <c r="B5402">
        <v>2023</v>
      </c>
      <c r="C5402" t="s">
        <v>4200</v>
      </c>
      <c r="D5402" s="1" t="s">
        <v>6506</v>
      </c>
      <c r="E5402" t="s">
        <v>29</v>
      </c>
      <c r="F5402" t="s">
        <v>30</v>
      </c>
      <c r="G5402">
        <v>0</v>
      </c>
      <c r="H5402">
        <v>0</v>
      </c>
      <c r="I5402">
        <v>0</v>
      </c>
      <c r="J5402">
        <v>0</v>
      </c>
      <c r="K5402">
        <v>0</v>
      </c>
      <c r="L5402">
        <v>0</v>
      </c>
      <c r="M5402">
        <v>0</v>
      </c>
      <c r="N5402">
        <v>0</v>
      </c>
      <c r="O5402">
        <v>0</v>
      </c>
      <c r="P5402">
        <v>0</v>
      </c>
      <c r="Q5402">
        <v>0</v>
      </c>
      <c r="R5402">
        <v>0</v>
      </c>
      <c r="S5402">
        <v>94</v>
      </c>
      <c r="T5402">
        <v>0</v>
      </c>
      <c r="U5402">
        <v>30</v>
      </c>
      <c r="V5402">
        <v>0</v>
      </c>
      <c r="W5402">
        <v>0</v>
      </c>
      <c r="X5402">
        <v>0</v>
      </c>
      <c r="Y5402" t="s">
        <v>31</v>
      </c>
      <c r="Z5402">
        <v>1000</v>
      </c>
      <c r="AA5402">
        <v>2.29</v>
      </c>
    </row>
    <row r="5403" spans="1:27" x14ac:dyDescent="0.2">
      <c r="A5403" t="s">
        <v>1127</v>
      </c>
      <c r="B5403">
        <v>2024</v>
      </c>
      <c r="C5403" t="s">
        <v>1128</v>
      </c>
      <c r="D5403" t="s">
        <v>1129</v>
      </c>
      <c r="E5403" t="s">
        <v>29</v>
      </c>
      <c r="F5403" t="s">
        <v>30</v>
      </c>
      <c r="G5403">
        <v>0</v>
      </c>
      <c r="H5403">
        <v>0</v>
      </c>
      <c r="I5403">
        <v>4</v>
      </c>
      <c r="J5403">
        <v>0</v>
      </c>
      <c r="K5403">
        <v>4</v>
      </c>
      <c r="L5403">
        <v>0</v>
      </c>
      <c r="M5403">
        <v>0</v>
      </c>
      <c r="N5403">
        <v>0</v>
      </c>
      <c r="O5403">
        <v>0</v>
      </c>
      <c r="P5403">
        <v>0</v>
      </c>
      <c r="Q5403">
        <v>0</v>
      </c>
      <c r="R5403">
        <v>0</v>
      </c>
      <c r="S5403">
        <v>0</v>
      </c>
      <c r="T5403">
        <v>0</v>
      </c>
      <c r="U5403">
        <v>0</v>
      </c>
      <c r="V5403">
        <v>0</v>
      </c>
      <c r="W5403">
        <v>0</v>
      </c>
      <c r="X5403">
        <v>0</v>
      </c>
      <c r="Y5403" t="s">
        <v>31</v>
      </c>
      <c r="AA5403" s="2" t="s">
        <v>4024</v>
      </c>
    </row>
    <row r="5404" spans="1:27" x14ac:dyDescent="0.2">
      <c r="A5404" t="s">
        <v>1057</v>
      </c>
      <c r="B5404">
        <v>2024</v>
      </c>
      <c r="C5404" t="s">
        <v>6507</v>
      </c>
      <c r="D5404" t="s">
        <v>6508</v>
      </c>
      <c r="E5404" t="s">
        <v>29</v>
      </c>
      <c r="F5404" t="s">
        <v>30</v>
      </c>
      <c r="G5404">
        <v>0</v>
      </c>
      <c r="H5404">
        <v>80</v>
      </c>
      <c r="I5404">
        <v>0</v>
      </c>
      <c r="J5404">
        <v>0</v>
      </c>
      <c r="K5404">
        <v>0</v>
      </c>
      <c r="L5404">
        <v>0</v>
      </c>
      <c r="M5404">
        <v>0</v>
      </c>
      <c r="N5404">
        <v>0</v>
      </c>
      <c r="O5404">
        <v>0</v>
      </c>
      <c r="P5404">
        <v>0</v>
      </c>
      <c r="Q5404">
        <v>0</v>
      </c>
      <c r="R5404">
        <v>0</v>
      </c>
      <c r="S5404">
        <v>0</v>
      </c>
      <c r="T5404">
        <v>0</v>
      </c>
      <c r="U5404">
        <v>0</v>
      </c>
      <c r="V5404">
        <v>0</v>
      </c>
      <c r="W5404">
        <v>0</v>
      </c>
      <c r="X5404">
        <v>0</v>
      </c>
      <c r="Y5404" t="s">
        <v>31</v>
      </c>
      <c r="Z5404">
        <v>30</v>
      </c>
      <c r="AA5404" s="2" t="s">
        <v>5735</v>
      </c>
    </row>
    <row r="5405" spans="1:27" x14ac:dyDescent="0.2">
      <c r="A5405" t="s">
        <v>6509</v>
      </c>
      <c r="B5405">
        <v>2024</v>
      </c>
      <c r="C5405" t="s">
        <v>6510</v>
      </c>
      <c r="D5405" t="s">
        <v>6511</v>
      </c>
      <c r="E5405" t="s">
        <v>29</v>
      </c>
      <c r="F5405" t="s">
        <v>30</v>
      </c>
      <c r="G5405">
        <v>70</v>
      </c>
      <c r="H5405">
        <v>0</v>
      </c>
      <c r="I5405">
        <v>90</v>
      </c>
      <c r="J5405">
        <v>0</v>
      </c>
      <c r="K5405">
        <v>0</v>
      </c>
      <c r="L5405">
        <v>0</v>
      </c>
      <c r="M5405">
        <v>70</v>
      </c>
      <c r="N5405">
        <v>0</v>
      </c>
      <c r="O5405">
        <v>90</v>
      </c>
      <c r="P5405">
        <v>0</v>
      </c>
      <c r="Q5405">
        <v>0</v>
      </c>
      <c r="R5405">
        <v>0</v>
      </c>
      <c r="S5405">
        <v>0</v>
      </c>
      <c r="T5405">
        <v>0</v>
      </c>
      <c r="U5405">
        <v>0</v>
      </c>
      <c r="V5405">
        <v>0</v>
      </c>
      <c r="W5405">
        <v>0</v>
      </c>
      <c r="X5405">
        <v>0</v>
      </c>
      <c r="Y5405" t="s">
        <v>31</v>
      </c>
      <c r="AA5405">
        <v>0.11</v>
      </c>
    </row>
    <row r="5406" spans="1:27" x14ac:dyDescent="0.2">
      <c r="A5406" t="s">
        <v>792</v>
      </c>
      <c r="B5406">
        <v>2022</v>
      </c>
      <c r="C5406">
        <v>39032215</v>
      </c>
      <c r="D5406" t="s">
        <v>6512</v>
      </c>
      <c r="E5406" t="s">
        <v>29</v>
      </c>
      <c r="F5406" t="s">
        <v>30</v>
      </c>
      <c r="G5406">
        <v>59</v>
      </c>
      <c r="H5406">
        <v>0</v>
      </c>
      <c r="I5406">
        <v>106</v>
      </c>
      <c r="J5406">
        <v>0</v>
      </c>
      <c r="K5406">
        <v>1</v>
      </c>
      <c r="L5406">
        <v>0</v>
      </c>
      <c r="M5406">
        <v>0</v>
      </c>
      <c r="N5406">
        <v>0</v>
      </c>
      <c r="O5406">
        <v>0</v>
      </c>
      <c r="P5406">
        <v>0</v>
      </c>
      <c r="Q5406">
        <v>0</v>
      </c>
      <c r="R5406">
        <v>0</v>
      </c>
      <c r="S5406">
        <v>0</v>
      </c>
      <c r="T5406">
        <v>0</v>
      </c>
      <c r="U5406">
        <v>0</v>
      </c>
      <c r="V5406">
        <v>0</v>
      </c>
      <c r="W5406">
        <v>0</v>
      </c>
      <c r="X5406">
        <v>0</v>
      </c>
      <c r="Y5406" t="s">
        <v>31</v>
      </c>
      <c r="Z5406">
        <v>55</v>
      </c>
      <c r="AA5406" s="2" t="s">
        <v>3514</v>
      </c>
    </row>
    <row r="5407" spans="1:27" x14ac:dyDescent="0.2">
      <c r="A5407" t="s">
        <v>6513</v>
      </c>
      <c r="B5407">
        <v>2024</v>
      </c>
      <c r="C5407">
        <v>7223600470000</v>
      </c>
      <c r="D5407" t="s">
        <v>6514</v>
      </c>
      <c r="E5407" t="s">
        <v>29</v>
      </c>
      <c r="F5407" t="s">
        <v>30</v>
      </c>
      <c r="G5407">
        <v>0</v>
      </c>
      <c r="H5407">
        <v>0</v>
      </c>
      <c r="I5407">
        <v>0</v>
      </c>
      <c r="J5407">
        <v>0</v>
      </c>
      <c r="K5407">
        <v>0</v>
      </c>
      <c r="L5407">
        <v>0</v>
      </c>
      <c r="M5407">
        <v>0</v>
      </c>
      <c r="N5407">
        <v>0</v>
      </c>
      <c r="O5407">
        <v>0</v>
      </c>
      <c r="P5407">
        <v>0</v>
      </c>
      <c r="Q5407">
        <v>0</v>
      </c>
      <c r="R5407">
        <v>0</v>
      </c>
      <c r="S5407">
        <v>0</v>
      </c>
      <c r="T5407">
        <v>0</v>
      </c>
      <c r="U5407">
        <v>0</v>
      </c>
      <c r="V5407">
        <v>0</v>
      </c>
      <c r="W5407">
        <v>0</v>
      </c>
      <c r="X5407">
        <v>0</v>
      </c>
      <c r="Y5407" t="s">
        <v>31</v>
      </c>
      <c r="Z5407">
        <v>55</v>
      </c>
      <c r="AA5407">
        <v>0</v>
      </c>
    </row>
    <row r="5408" spans="1:27" x14ac:dyDescent="0.2">
      <c r="A5408" t="s">
        <v>1226</v>
      </c>
      <c r="B5408">
        <v>2024</v>
      </c>
      <c r="C5408" t="s">
        <v>6515</v>
      </c>
      <c r="D5408" t="s">
        <v>6516</v>
      </c>
      <c r="E5408" t="s">
        <v>29</v>
      </c>
      <c r="F5408" t="s">
        <v>30</v>
      </c>
      <c r="G5408">
        <v>25</v>
      </c>
      <c r="H5408">
        <v>0</v>
      </c>
      <c r="I5408">
        <v>6</v>
      </c>
      <c r="J5408">
        <v>0</v>
      </c>
      <c r="K5408">
        <v>0</v>
      </c>
      <c r="L5408">
        <v>0</v>
      </c>
      <c r="M5408">
        <v>0</v>
      </c>
      <c r="N5408">
        <v>0</v>
      </c>
      <c r="O5408">
        <v>0</v>
      </c>
      <c r="P5408">
        <v>0</v>
      </c>
      <c r="Q5408">
        <v>0</v>
      </c>
      <c r="R5408">
        <v>0</v>
      </c>
      <c r="S5408">
        <v>0</v>
      </c>
      <c r="T5408">
        <v>0</v>
      </c>
      <c r="U5408">
        <v>0</v>
      </c>
      <c r="V5408">
        <v>0</v>
      </c>
      <c r="W5408">
        <v>0</v>
      </c>
      <c r="X5408">
        <v>0</v>
      </c>
      <c r="Y5408" t="s">
        <v>31</v>
      </c>
      <c r="Z5408">
        <v>55</v>
      </c>
      <c r="AA5408">
        <v>0</v>
      </c>
    </row>
    <row r="5409" spans="1:27" x14ac:dyDescent="0.2">
      <c r="A5409" t="s">
        <v>457</v>
      </c>
      <c r="B5409">
        <v>2024</v>
      </c>
      <c r="C5409" t="s">
        <v>6517</v>
      </c>
      <c r="D5409" t="s">
        <v>6518</v>
      </c>
      <c r="E5409" t="s">
        <v>29</v>
      </c>
      <c r="F5409" t="s">
        <v>30</v>
      </c>
      <c r="G5409">
        <v>0</v>
      </c>
      <c r="H5409">
        <v>0</v>
      </c>
      <c r="I5409">
        <v>52</v>
      </c>
      <c r="J5409">
        <v>0</v>
      </c>
      <c r="K5409">
        <v>0</v>
      </c>
      <c r="L5409">
        <v>0</v>
      </c>
      <c r="M5409">
        <v>0</v>
      </c>
      <c r="N5409">
        <v>0</v>
      </c>
      <c r="O5409">
        <v>0</v>
      </c>
      <c r="P5409">
        <v>0</v>
      </c>
      <c r="Q5409">
        <v>0</v>
      </c>
      <c r="R5409">
        <v>0</v>
      </c>
      <c r="S5409">
        <v>0</v>
      </c>
      <c r="T5409">
        <v>0</v>
      </c>
      <c r="U5409">
        <v>0</v>
      </c>
      <c r="V5409">
        <v>0</v>
      </c>
      <c r="W5409">
        <v>0</v>
      </c>
      <c r="X5409">
        <v>0</v>
      </c>
      <c r="Y5409" t="s">
        <v>31</v>
      </c>
      <c r="Z5409">
        <v>55</v>
      </c>
      <c r="AA5409">
        <v>1</v>
      </c>
    </row>
    <row r="5410" spans="1:27" ht="51" x14ac:dyDescent="0.2">
      <c r="A5410" t="s">
        <v>457</v>
      </c>
      <c r="B5410">
        <v>2024</v>
      </c>
      <c r="C5410" s="2" t="s">
        <v>6451</v>
      </c>
      <c r="D5410" s="1" t="s">
        <v>6452</v>
      </c>
      <c r="E5410" t="s">
        <v>29</v>
      </c>
      <c r="F5410" t="s">
        <v>30</v>
      </c>
      <c r="G5410">
        <v>0</v>
      </c>
      <c r="H5410">
        <v>0</v>
      </c>
      <c r="I5410">
        <v>0</v>
      </c>
      <c r="J5410">
        <v>0</v>
      </c>
      <c r="K5410">
        <v>0</v>
      </c>
      <c r="L5410">
        <v>0</v>
      </c>
      <c r="M5410">
        <v>0</v>
      </c>
      <c r="N5410">
        <v>0</v>
      </c>
      <c r="O5410">
        <v>0</v>
      </c>
      <c r="P5410">
        <v>0</v>
      </c>
      <c r="Q5410">
        <v>16</v>
      </c>
      <c r="R5410">
        <v>0</v>
      </c>
      <c r="S5410">
        <v>0</v>
      </c>
      <c r="T5410">
        <v>0</v>
      </c>
      <c r="U5410">
        <v>0</v>
      </c>
      <c r="V5410">
        <v>0</v>
      </c>
      <c r="W5410">
        <v>16</v>
      </c>
      <c r="X5410">
        <v>0</v>
      </c>
      <c r="Y5410" t="s">
        <v>31</v>
      </c>
      <c r="Z5410">
        <v>55</v>
      </c>
      <c r="AA5410">
        <v>1</v>
      </c>
    </row>
    <row r="5411" spans="1:27" x14ac:dyDescent="0.2">
      <c r="A5411" t="s">
        <v>1197</v>
      </c>
      <c r="B5411">
        <v>2024</v>
      </c>
      <c r="C5411" t="s">
        <v>6519</v>
      </c>
      <c r="D5411" t="s">
        <v>6520</v>
      </c>
      <c r="E5411" t="s">
        <v>29</v>
      </c>
      <c r="F5411" t="s">
        <v>30</v>
      </c>
      <c r="G5411">
        <v>2</v>
      </c>
      <c r="H5411">
        <v>0</v>
      </c>
      <c r="I5411">
        <v>2</v>
      </c>
      <c r="J5411">
        <v>0</v>
      </c>
      <c r="K5411">
        <v>3</v>
      </c>
      <c r="L5411">
        <v>0</v>
      </c>
      <c r="M5411">
        <v>0</v>
      </c>
      <c r="N5411">
        <v>0</v>
      </c>
      <c r="O5411">
        <v>0</v>
      </c>
      <c r="P5411">
        <v>0</v>
      </c>
      <c r="Q5411">
        <v>0</v>
      </c>
      <c r="R5411">
        <v>0</v>
      </c>
      <c r="S5411">
        <v>0</v>
      </c>
      <c r="T5411">
        <v>0</v>
      </c>
      <c r="U5411">
        <v>0</v>
      </c>
      <c r="V5411">
        <v>0</v>
      </c>
      <c r="W5411">
        <v>0</v>
      </c>
      <c r="X5411">
        <v>0</v>
      </c>
      <c r="Y5411" t="s">
        <v>31</v>
      </c>
      <c r="Z5411">
        <v>55</v>
      </c>
      <c r="AA5411">
        <v>0.5</v>
      </c>
    </row>
    <row r="5412" spans="1:27" x14ac:dyDescent="0.2">
      <c r="A5412" t="s">
        <v>3510</v>
      </c>
      <c r="B5412">
        <v>2024</v>
      </c>
      <c r="C5412">
        <v>4343003004</v>
      </c>
      <c r="D5412" t="s">
        <v>6521</v>
      </c>
      <c r="E5412" t="s">
        <v>29</v>
      </c>
      <c r="F5412" t="s">
        <v>41</v>
      </c>
      <c r="G5412">
        <v>0</v>
      </c>
      <c r="H5412">
        <v>0</v>
      </c>
      <c r="I5412">
        <v>0</v>
      </c>
      <c r="J5412">
        <v>0</v>
      </c>
      <c r="K5412">
        <v>0</v>
      </c>
      <c r="L5412">
        <v>0</v>
      </c>
      <c r="M5412">
        <v>1</v>
      </c>
      <c r="N5412">
        <v>0</v>
      </c>
      <c r="O5412">
        <v>0</v>
      </c>
      <c r="P5412">
        <v>0</v>
      </c>
      <c r="Q5412">
        <v>0</v>
      </c>
      <c r="R5412">
        <v>0</v>
      </c>
      <c r="S5412">
        <v>1</v>
      </c>
      <c r="T5412">
        <v>0</v>
      </c>
      <c r="U5412">
        <v>0</v>
      </c>
      <c r="V5412">
        <v>0</v>
      </c>
      <c r="W5412">
        <v>0</v>
      </c>
      <c r="X5412">
        <v>0</v>
      </c>
      <c r="Y5412" t="s">
        <v>31</v>
      </c>
      <c r="AA5412" s="2" t="s">
        <v>3316</v>
      </c>
    </row>
    <row r="5413" spans="1:27" x14ac:dyDescent="0.2">
      <c r="A5413" t="s">
        <v>1226</v>
      </c>
      <c r="B5413">
        <v>2024</v>
      </c>
      <c r="C5413" t="s">
        <v>6522</v>
      </c>
      <c r="D5413" t="s">
        <v>6523</v>
      </c>
      <c r="E5413" t="s">
        <v>29</v>
      </c>
      <c r="F5413" t="s">
        <v>30</v>
      </c>
      <c r="G5413">
        <v>74</v>
      </c>
      <c r="H5413">
        <v>0</v>
      </c>
      <c r="I5413">
        <v>75</v>
      </c>
      <c r="J5413">
        <v>0</v>
      </c>
      <c r="K5413">
        <v>0</v>
      </c>
      <c r="L5413">
        <v>0</v>
      </c>
      <c r="M5413">
        <v>0</v>
      </c>
      <c r="N5413">
        <v>0</v>
      </c>
      <c r="O5413">
        <v>0</v>
      </c>
      <c r="P5413">
        <v>0</v>
      </c>
      <c r="Q5413">
        <v>0</v>
      </c>
      <c r="R5413">
        <v>0</v>
      </c>
      <c r="S5413">
        <v>0</v>
      </c>
      <c r="T5413">
        <v>0</v>
      </c>
      <c r="U5413">
        <v>0</v>
      </c>
      <c r="V5413">
        <v>0</v>
      </c>
      <c r="W5413">
        <v>0</v>
      </c>
      <c r="X5413">
        <v>0</v>
      </c>
      <c r="Y5413" t="s">
        <v>31</v>
      </c>
      <c r="Z5413">
        <v>55</v>
      </c>
      <c r="AA5413" s="2" t="s">
        <v>3299</v>
      </c>
    </row>
    <row r="5414" spans="1:27" x14ac:dyDescent="0.2">
      <c r="A5414" t="s">
        <v>1226</v>
      </c>
      <c r="B5414">
        <v>2024</v>
      </c>
      <c r="C5414">
        <v>561151009</v>
      </c>
      <c r="D5414" t="s">
        <v>6524</v>
      </c>
      <c r="E5414" t="s">
        <v>29</v>
      </c>
      <c r="F5414" t="s">
        <v>41</v>
      </c>
      <c r="G5414">
        <v>0</v>
      </c>
      <c r="H5414">
        <v>0</v>
      </c>
      <c r="I5414">
        <v>0</v>
      </c>
      <c r="J5414">
        <v>0</v>
      </c>
      <c r="K5414">
        <v>0</v>
      </c>
      <c r="L5414">
        <v>0</v>
      </c>
      <c r="M5414">
        <v>14</v>
      </c>
      <c r="N5414">
        <v>0</v>
      </c>
      <c r="O5414">
        <v>10</v>
      </c>
      <c r="P5414">
        <v>0</v>
      </c>
      <c r="Q5414">
        <v>18</v>
      </c>
      <c r="R5414">
        <v>0</v>
      </c>
      <c r="S5414">
        <v>0</v>
      </c>
      <c r="T5414">
        <v>0</v>
      </c>
      <c r="U5414">
        <v>0</v>
      </c>
      <c r="V5414">
        <v>0</v>
      </c>
      <c r="W5414">
        <v>0</v>
      </c>
      <c r="X5414">
        <v>0</v>
      </c>
      <c r="Y5414" t="s">
        <v>51</v>
      </c>
      <c r="AA5414">
        <v>0</v>
      </c>
    </row>
    <row r="5415" spans="1:27" x14ac:dyDescent="0.2">
      <c r="A5415" t="s">
        <v>560</v>
      </c>
      <c r="B5415">
        <v>2021</v>
      </c>
      <c r="C5415" t="s">
        <v>1763</v>
      </c>
      <c r="D5415" t="s">
        <v>1764</v>
      </c>
      <c r="E5415" t="s">
        <v>29</v>
      </c>
      <c r="F5415" t="s">
        <v>30</v>
      </c>
      <c r="G5415">
        <v>1</v>
      </c>
      <c r="H5415">
        <v>0</v>
      </c>
      <c r="I5415">
        <v>0</v>
      </c>
      <c r="J5415">
        <v>0</v>
      </c>
      <c r="K5415">
        <v>0</v>
      </c>
      <c r="L5415">
        <v>0</v>
      </c>
      <c r="M5415">
        <v>1</v>
      </c>
      <c r="N5415">
        <v>0</v>
      </c>
      <c r="O5415">
        <v>0</v>
      </c>
      <c r="P5415">
        <v>0</v>
      </c>
      <c r="Q5415">
        <v>0</v>
      </c>
      <c r="R5415">
        <v>0</v>
      </c>
      <c r="S5415">
        <v>0</v>
      </c>
      <c r="T5415">
        <v>0</v>
      </c>
      <c r="U5415">
        <v>0</v>
      </c>
      <c r="V5415">
        <v>0</v>
      </c>
      <c r="W5415">
        <v>0</v>
      </c>
      <c r="X5415">
        <v>0</v>
      </c>
      <c r="Y5415" t="s">
        <v>31</v>
      </c>
      <c r="Z5415">
        <v>55</v>
      </c>
      <c r="AA5415" s="2" t="s">
        <v>2716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CF115-51B2-8B44-89D0-60192F5D3B0D}">
  <dimension ref="A1:F9"/>
  <sheetViews>
    <sheetView workbookViewId="0">
      <selection activeCell="E7" sqref="E7"/>
    </sheetView>
  </sheetViews>
  <sheetFormatPr baseColWidth="10" defaultRowHeight="16" x14ac:dyDescent="0.2"/>
  <cols>
    <col min="1" max="1" width="24.1640625" bestFit="1" customWidth="1"/>
    <col min="2" max="2" width="15.5" bestFit="1" customWidth="1"/>
    <col min="3" max="3" width="6.6640625" bestFit="1" customWidth="1"/>
    <col min="4" max="4" width="10.83203125" bestFit="1" customWidth="1"/>
    <col min="5" max="5" width="10" bestFit="1" customWidth="1"/>
    <col min="6" max="6" width="8.6640625" bestFit="1" customWidth="1"/>
  </cols>
  <sheetData>
    <row r="1" spans="1:6" x14ac:dyDescent="0.2">
      <c r="A1" s="5" t="s">
        <v>1</v>
      </c>
      <c r="B1" t="s">
        <v>6525</v>
      </c>
    </row>
    <row r="2" spans="1:6" x14ac:dyDescent="0.2">
      <c r="A2" s="5" t="s">
        <v>0</v>
      </c>
      <c r="B2" t="s">
        <v>6525</v>
      </c>
    </row>
    <row r="3" spans="1:6" x14ac:dyDescent="0.2">
      <c r="A3" s="5" t="s">
        <v>24</v>
      </c>
      <c r="B3" t="s">
        <v>51</v>
      </c>
    </row>
    <row r="5" spans="1:6" x14ac:dyDescent="0.2">
      <c r="B5" s="5" t="s">
        <v>6526</v>
      </c>
    </row>
    <row r="6" spans="1:6" x14ac:dyDescent="0.2">
      <c r="A6" s="5" t="s">
        <v>6528</v>
      </c>
      <c r="B6" t="s">
        <v>41</v>
      </c>
      <c r="C6" t="s">
        <v>30</v>
      </c>
      <c r="D6" t="s">
        <v>6527</v>
      </c>
      <c r="E6" t="s">
        <v>6532</v>
      </c>
    </row>
    <row r="7" spans="1:6" x14ac:dyDescent="0.2">
      <c r="A7" s="6" t="s">
        <v>6529</v>
      </c>
      <c r="B7" s="9">
        <v>87</v>
      </c>
      <c r="C7" s="9">
        <v>5152</v>
      </c>
      <c r="D7" s="9">
        <v>5239</v>
      </c>
      <c r="E7" s="8">
        <f>GETPIVOTDATA("Sum of VLOW_INCOME_DR",$A$5,"TENURE","Owner")/GETPIVOTDATA("Sum of VLOW_INCOME_DR",$A$5)</f>
        <v>1.6606222561557551E-2</v>
      </c>
      <c r="F7" s="7"/>
    </row>
    <row r="8" spans="1:6" x14ac:dyDescent="0.2">
      <c r="A8" s="6" t="s">
        <v>6530</v>
      </c>
      <c r="B8" s="9">
        <v>462</v>
      </c>
      <c r="C8" s="9">
        <v>5753</v>
      </c>
      <c r="D8" s="9">
        <v>6215</v>
      </c>
      <c r="E8" s="8">
        <f>GETPIVOTDATA("Sum of LOW_INCOME_DR",$A$5,"TENURE","Owner")/GETPIVOTDATA("Sum of LOW_INCOME_DR",$A$5)</f>
        <v>7.4336283185840707E-2</v>
      </c>
    </row>
    <row r="9" spans="1:6" x14ac:dyDescent="0.2">
      <c r="A9" s="6" t="s">
        <v>6531</v>
      </c>
      <c r="B9" s="9">
        <v>570</v>
      </c>
      <c r="C9" s="9">
        <v>2928</v>
      </c>
      <c r="D9" s="9">
        <v>3498</v>
      </c>
      <c r="E9" s="8">
        <f>GETPIVOTDATA("Sum of MOD_INCOME_DR",$A$5,"TENURE","Owner")/GETPIVOTDATA("Sum of MOD_INCOME_DR",$A$5)</f>
        <v>0.16295025728987994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456DC-FB04-B84D-B2CF-2B664711EA55}">
  <dimension ref="A1:D8"/>
  <sheetViews>
    <sheetView workbookViewId="0"/>
  </sheetViews>
  <sheetFormatPr baseColWidth="10" defaultRowHeight="16" x14ac:dyDescent="0.2"/>
  <cols>
    <col min="1" max="1" width="27.6640625" bestFit="1" customWidth="1"/>
    <col min="2" max="2" width="15.5" bestFit="1" customWidth="1"/>
    <col min="3" max="3" width="5.1640625" bestFit="1" customWidth="1"/>
    <col min="4" max="4" width="10.83203125" bestFit="1" customWidth="1"/>
    <col min="5" max="6" width="24.33203125" bestFit="1" customWidth="1"/>
    <col min="7" max="7" width="29.1640625" bestFit="1" customWidth="1"/>
    <col min="8" max="8" width="28" bestFit="1" customWidth="1"/>
    <col min="9" max="9" width="28.33203125" bestFit="1" customWidth="1"/>
  </cols>
  <sheetData>
    <row r="1" spans="1:4" x14ac:dyDescent="0.2">
      <c r="A1" s="5" t="s">
        <v>0</v>
      </c>
      <c r="B1" t="s">
        <v>6525</v>
      </c>
    </row>
    <row r="2" spans="1:4" x14ac:dyDescent="0.2">
      <c r="A2" s="5" t="s">
        <v>1</v>
      </c>
      <c r="B2" t="s">
        <v>6525</v>
      </c>
    </row>
    <row r="4" spans="1:4" x14ac:dyDescent="0.2">
      <c r="B4" s="5" t="s">
        <v>6526</v>
      </c>
    </row>
    <row r="5" spans="1:4" x14ac:dyDescent="0.2">
      <c r="A5" s="5" t="s">
        <v>6528</v>
      </c>
      <c r="B5" t="s">
        <v>31</v>
      </c>
      <c r="C5" t="s">
        <v>51</v>
      </c>
      <c r="D5" t="s">
        <v>6527</v>
      </c>
    </row>
    <row r="6" spans="1:4" x14ac:dyDescent="0.2">
      <c r="A6" s="6" t="s">
        <v>6544</v>
      </c>
      <c r="B6" s="9">
        <v>8302</v>
      </c>
      <c r="C6" s="9">
        <v>3883</v>
      </c>
      <c r="D6" s="9">
        <v>12185</v>
      </c>
    </row>
    <row r="7" spans="1:4" x14ac:dyDescent="0.2">
      <c r="A7" s="6" t="s">
        <v>6545</v>
      </c>
      <c r="B7" s="9">
        <v>7632</v>
      </c>
      <c r="C7" s="9">
        <v>5300</v>
      </c>
      <c r="D7" s="9">
        <v>12932</v>
      </c>
    </row>
    <row r="8" spans="1:4" x14ac:dyDescent="0.2">
      <c r="A8" s="6" t="s">
        <v>6546</v>
      </c>
      <c r="B8" s="9">
        <v>1337</v>
      </c>
      <c r="C8" s="9">
        <v>1752</v>
      </c>
      <c r="D8" s="9">
        <v>3089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0A75F-3052-4E42-8594-43E1F4CF0DF1}">
  <dimension ref="A1:E9"/>
  <sheetViews>
    <sheetView workbookViewId="0">
      <selection activeCell="E7" sqref="E7:E9"/>
    </sheetView>
  </sheetViews>
  <sheetFormatPr baseColWidth="10" defaultRowHeight="16" x14ac:dyDescent="0.2"/>
  <cols>
    <col min="1" max="1" width="25.5" bestFit="1" customWidth="1"/>
    <col min="2" max="2" width="15.5" bestFit="1" customWidth="1"/>
    <col min="3" max="3" width="6.6640625" bestFit="1" customWidth="1"/>
    <col min="4" max="4" width="10.83203125" bestFit="1" customWidth="1"/>
    <col min="5" max="5" width="17" customWidth="1"/>
    <col min="6" max="6" width="29.33203125" bestFit="1" customWidth="1"/>
  </cols>
  <sheetData>
    <row r="1" spans="1:5" x14ac:dyDescent="0.2">
      <c r="A1" s="5" t="s">
        <v>1</v>
      </c>
      <c r="B1" t="s">
        <v>6525</v>
      </c>
    </row>
    <row r="2" spans="1:5" x14ac:dyDescent="0.2">
      <c r="A2" s="5" t="s">
        <v>24</v>
      </c>
      <c r="B2" t="s">
        <v>31</v>
      </c>
    </row>
    <row r="3" spans="1:5" x14ac:dyDescent="0.2">
      <c r="A3" s="5" t="s">
        <v>0</v>
      </c>
      <c r="B3" t="s">
        <v>6525</v>
      </c>
    </row>
    <row r="5" spans="1:5" x14ac:dyDescent="0.2">
      <c r="B5" s="5" t="s">
        <v>6526</v>
      </c>
    </row>
    <row r="6" spans="1:5" x14ac:dyDescent="0.2">
      <c r="A6" s="5" t="s">
        <v>6528</v>
      </c>
      <c r="B6" t="s">
        <v>41</v>
      </c>
      <c r="C6" t="s">
        <v>30</v>
      </c>
      <c r="D6" t="s">
        <v>6527</v>
      </c>
      <c r="E6" t="s">
        <v>6543</v>
      </c>
    </row>
    <row r="7" spans="1:5" x14ac:dyDescent="0.2">
      <c r="A7" s="6" t="s">
        <v>6533</v>
      </c>
      <c r="B7" s="9">
        <v>8</v>
      </c>
      <c r="C7" s="9">
        <v>613</v>
      </c>
      <c r="D7" s="9">
        <v>621</v>
      </c>
      <c r="E7" s="8">
        <f>GETPIVOTDATA("Sum of VLOW_INCOME_NDR",$A$5,"TENURE","Owner")/GETPIVOTDATA("Sum of VLOW_INCOME_NDR",$A$5)</f>
        <v>1.2882447665056361E-2</v>
      </c>
    </row>
    <row r="8" spans="1:5" x14ac:dyDescent="0.2">
      <c r="A8" s="6" t="s">
        <v>6534</v>
      </c>
      <c r="B8" s="9">
        <v>11</v>
      </c>
      <c r="C8" s="9">
        <v>1355</v>
      </c>
      <c r="D8" s="9">
        <v>1366</v>
      </c>
      <c r="E8" s="8">
        <f>GETPIVOTDATA("Sum of LOW_INCOME_NDR",$A$5,"TENURE","Owner")/GETPIVOTDATA("Sum of LOW_INCOME_NDR",$A$5)</f>
        <v>8.0527086383601759E-3</v>
      </c>
    </row>
    <row r="9" spans="1:5" x14ac:dyDescent="0.2">
      <c r="A9" s="6" t="s">
        <v>6535</v>
      </c>
      <c r="B9" s="9">
        <v>47</v>
      </c>
      <c r="C9" s="9">
        <v>3125</v>
      </c>
      <c r="D9" s="9">
        <v>3172</v>
      </c>
      <c r="E9" s="8">
        <f>GETPIVOTDATA("Sum of MOD_INCOME_NDR",$A$5,"TENURE","Owner")/GETPIVOTDATA("Sum of MOD_INCOME_NDR",$A$5)</f>
        <v>1.4817150063051702E-2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59E8C-EE09-4841-BB76-F123EFB12380}">
  <dimension ref="A1:E9"/>
  <sheetViews>
    <sheetView workbookViewId="0">
      <selection activeCell="B6" sqref="B6"/>
    </sheetView>
  </sheetViews>
  <sheetFormatPr baseColWidth="10" defaultRowHeight="16" x14ac:dyDescent="0.2"/>
  <cols>
    <col min="1" max="1" width="27.5" bestFit="1" customWidth="1"/>
    <col min="2" max="2" width="15.5" bestFit="1" customWidth="1"/>
    <col min="3" max="3" width="6.6640625" bestFit="1" customWidth="1"/>
    <col min="4" max="4" width="10.83203125" bestFit="1" customWidth="1"/>
    <col min="5" max="5" width="32.5" bestFit="1" customWidth="1"/>
    <col min="6" max="6" width="31.1640625" bestFit="1" customWidth="1"/>
    <col min="7" max="113" width="15.5" bestFit="1" customWidth="1"/>
  </cols>
  <sheetData>
    <row r="1" spans="1:5" x14ac:dyDescent="0.2">
      <c r="A1" s="5" t="s">
        <v>1</v>
      </c>
      <c r="B1" t="s">
        <v>6525</v>
      </c>
    </row>
    <row r="2" spans="1:5" x14ac:dyDescent="0.2">
      <c r="A2" s="5" t="s">
        <v>0</v>
      </c>
      <c r="B2" t="s">
        <v>6525</v>
      </c>
    </row>
    <row r="3" spans="1:5" x14ac:dyDescent="0.2">
      <c r="A3" s="5" t="s">
        <v>24</v>
      </c>
      <c r="B3" t="s">
        <v>31</v>
      </c>
    </row>
    <row r="5" spans="1:5" x14ac:dyDescent="0.2">
      <c r="B5" s="5" t="s">
        <v>6526</v>
      </c>
    </row>
    <row r="6" spans="1:5" x14ac:dyDescent="0.2">
      <c r="A6" s="5" t="s">
        <v>6528</v>
      </c>
      <c r="B6" t="s">
        <v>41</v>
      </c>
      <c r="C6" t="s">
        <v>30</v>
      </c>
      <c r="D6" t="s">
        <v>6527</v>
      </c>
      <c r="E6" t="s">
        <v>6539</v>
      </c>
    </row>
    <row r="7" spans="1:5" x14ac:dyDescent="0.2">
      <c r="A7" s="6" t="s">
        <v>6536</v>
      </c>
      <c r="B7" s="9">
        <v>265</v>
      </c>
      <c r="C7" s="9">
        <v>20678</v>
      </c>
      <c r="D7" s="9">
        <v>20943</v>
      </c>
      <c r="E7" s="8">
        <f>GETPIVOTDATA("Sum of BP_VLOW_INCOME_DR",$A$5,"TENURE","Owner")/GETPIVOTDATA("Sum of BP_VLOW_INCOME_DR",$A$5)</f>
        <v>1.2653392541660698E-2</v>
      </c>
    </row>
    <row r="8" spans="1:5" x14ac:dyDescent="0.2">
      <c r="A8" s="6" t="s">
        <v>6537</v>
      </c>
      <c r="B8" s="9">
        <v>173</v>
      </c>
      <c r="C8" s="9">
        <v>20935</v>
      </c>
      <c r="D8" s="9">
        <v>21108</v>
      </c>
      <c r="E8" s="8">
        <f>GETPIVOTDATA("Sum of BP_LOW_INCOME_DR",$A$5,"TENURE","Owner")/GETPIVOTDATA("Sum of BP_LOW_INCOME_DR",$A$5)</f>
        <v>8.1959446655296576E-3</v>
      </c>
    </row>
    <row r="9" spans="1:5" x14ac:dyDescent="0.2">
      <c r="A9" s="6" t="s">
        <v>6538</v>
      </c>
      <c r="B9" s="9">
        <v>159</v>
      </c>
      <c r="C9" s="9">
        <v>2997</v>
      </c>
      <c r="D9" s="9">
        <v>3156</v>
      </c>
      <c r="E9" s="8">
        <f>GETPIVOTDATA("Sum of BP_MOD_INCOME_DR",$A$5,"TENURE","Owner")/GETPIVOTDATA("Sum of BP_MOD_INCOME_DR",$A$5)</f>
        <v>5.038022813688213E-2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81174-FEF2-9C4F-B359-F939AD15D2FF}">
  <dimension ref="A1:E9"/>
  <sheetViews>
    <sheetView workbookViewId="0">
      <selection activeCell="E7" sqref="E7:E9"/>
    </sheetView>
  </sheetViews>
  <sheetFormatPr baseColWidth="10" defaultRowHeight="16" x14ac:dyDescent="0.2"/>
  <cols>
    <col min="1" max="1" width="28.83203125" bestFit="1" customWidth="1"/>
    <col min="2" max="2" width="15.5" bestFit="1" customWidth="1"/>
    <col min="3" max="3" width="6.6640625" bestFit="1" customWidth="1"/>
    <col min="4" max="4" width="10.83203125" bestFit="1" customWidth="1"/>
    <col min="5" max="6" width="29" bestFit="1" customWidth="1"/>
    <col min="7" max="7" width="33.83203125" bestFit="1" customWidth="1"/>
    <col min="8" max="8" width="32.6640625" bestFit="1" customWidth="1"/>
    <col min="9" max="9" width="33" bestFit="1" customWidth="1"/>
  </cols>
  <sheetData>
    <row r="1" spans="1:5" x14ac:dyDescent="0.2">
      <c r="A1" s="5" t="s">
        <v>1</v>
      </c>
      <c r="B1" t="s">
        <v>6525</v>
      </c>
    </row>
    <row r="2" spans="1:5" x14ac:dyDescent="0.2">
      <c r="A2" s="5" t="s">
        <v>0</v>
      </c>
      <c r="B2" t="s">
        <v>6525</v>
      </c>
    </row>
    <row r="3" spans="1:5" x14ac:dyDescent="0.2">
      <c r="A3" s="5" t="s">
        <v>24</v>
      </c>
      <c r="B3" t="s">
        <v>6525</v>
      </c>
    </row>
    <row r="5" spans="1:5" x14ac:dyDescent="0.2">
      <c r="B5" s="5" t="s">
        <v>6526</v>
      </c>
    </row>
    <row r="6" spans="1:5" x14ac:dyDescent="0.2">
      <c r="A6" s="5" t="s">
        <v>6528</v>
      </c>
      <c r="B6" t="s">
        <v>41</v>
      </c>
      <c r="C6" t="s">
        <v>30</v>
      </c>
      <c r="D6" t="s">
        <v>6527</v>
      </c>
      <c r="E6" t="s">
        <v>6539</v>
      </c>
    </row>
    <row r="7" spans="1:5" x14ac:dyDescent="0.2">
      <c r="A7" s="6" t="s">
        <v>6540</v>
      </c>
      <c r="B7" s="9">
        <v>0</v>
      </c>
      <c r="C7" s="9">
        <v>492</v>
      </c>
      <c r="D7" s="9">
        <v>492</v>
      </c>
      <c r="E7" s="8">
        <f>GETPIVOTDATA("Sum of BP_VLOW_INCOME_NDR",$A$5,"TENURE","Owner")/GETPIVOTDATA("Sum of BP_VLOW_INCOME_NDR",$A$5)</f>
        <v>0</v>
      </c>
    </row>
    <row r="8" spans="1:5" x14ac:dyDescent="0.2">
      <c r="A8" s="6" t="s">
        <v>6541</v>
      </c>
      <c r="B8" s="9">
        <v>8</v>
      </c>
      <c r="C8" s="9">
        <v>528</v>
      </c>
      <c r="D8" s="9">
        <v>536</v>
      </c>
      <c r="E8" s="8">
        <f>GETPIVOTDATA("Sum of BP_LOW_INCOME_NDR",$A$5,"TENURE","Owner")/GETPIVOTDATA("Sum of BP_LOW_INCOME_NDR",$A$5)</f>
        <v>1.4925373134328358E-2</v>
      </c>
    </row>
    <row r="9" spans="1:5" x14ac:dyDescent="0.2">
      <c r="A9" s="6" t="s">
        <v>6542</v>
      </c>
      <c r="B9" s="9">
        <v>154</v>
      </c>
      <c r="C9" s="9">
        <v>1535</v>
      </c>
      <c r="D9" s="9">
        <v>1689</v>
      </c>
      <c r="E9" s="8">
        <f>GETPIVOTDATA("Sum of BP_MOD_INCOME_NDR",$A$5,"TENURE","Owner")/GETPIVOTDATA("Sum of BP_MOD_INCOME_NDR",$A$5)</f>
        <v>9.1178211959739491E-2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tablea2_filtered</vt:lpstr>
      <vt:lpstr>Entitled - Deed Restricted</vt:lpstr>
      <vt:lpstr>Sheet5</vt:lpstr>
      <vt:lpstr>Entitled - NDR</vt:lpstr>
      <vt:lpstr>BP - DR</vt:lpstr>
      <vt:lpstr>BP - NDR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Aguilar-Canabal, Diego</cp:lastModifiedBy>
  <dcterms:created xsi:type="dcterms:W3CDTF">2026-01-21T00:39:18Z</dcterms:created>
  <dcterms:modified xsi:type="dcterms:W3CDTF">2026-01-27T18:48:03Z</dcterms:modified>
</cp:coreProperties>
</file>